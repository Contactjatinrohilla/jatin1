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Summary" sheetId="2" state="visible" r:id="rId4"/>
    <sheet name="Yearly" sheetId="3" state="visible" r:id="rId5"/>
    <sheet name="Monthly" sheetId="4" state="visible" r:id="rId6"/>
    <sheet name="Calendar" sheetId="5" state="visible" r:id="rId7"/>
    <sheet name="Weekly" sheetId="6" state="visible" r:id="rId8"/>
    <sheet name="Daily" sheetId="7" state="visible" r:id="rId9"/>
    <sheet name="Trades" sheetId="8" state="visible" r:id="rId10"/>
    <sheet name="Breakdown" sheetId="9" state="visible" r:id="rId11"/>
    <sheet name="Drawdowns &amp; Streaks" sheetId="10" state="visible" r:id="rId12"/>
    <sheet name="MT5 Report" sheetId="11" state="visible" r:id="rId13"/>
    <sheet name="Setting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BREACH = the day's net loss reached the daily loss limit (Summary C7) of the start-of-day balance.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Take profit = TP hit. Initial stop loss = SL at its original level. Breakeven stop = SL had been moved to entry or beyond. Moved stop (loss side) = SL moved but still below entry.</t>
        </r>
      </text>
    </comment>
    <comment ref="X1" authorId="0">
      <text>
        <r>
          <rPr>
            <sz val="10"/>
            <rFont val="Arial"/>
            <family val="2"/>
          </rPr>
          <t xml:space="preserve">Profit + commission + swap from the MT5 deals list (blue = source data).</t>
        </r>
      </text>
    </comment>
    <comment ref="Y1" authorId="0">
      <text>
        <r>
          <rPr>
            <sz val="10"/>
            <rFont val="Arial"/>
            <family val="2"/>
          </rPr>
          <t xml:space="preserve">Net profit / planned risk (SL distance x lots x $ per point per lot).</t>
        </r>
      </text>
    </comment>
  </commentList>
</comments>
</file>

<file path=xl/sharedStrings.xml><?xml version="1.0" encoding="utf-8"?>
<sst xmlns="http://schemas.openxmlformats.org/spreadsheetml/2006/main" count="6342" uniqueCount="446">
  <si>
    <t xml:space="preserve">How to read this workbook</t>
  </si>
  <si>
    <t xml:space="preserve">Summary</t>
  </si>
  <si>
    <t xml:space="preserve">Key numbers next to the MT5 report's own figures, verdicts, findings, balance and drawdown charts.</t>
  </si>
  <si>
    <t xml:space="preserve">Yearly / Monthly / Weekly / Daily</t>
  </si>
  <si>
    <t xml:space="preserve">One row per period: trades, wins, win rate, net, profit factor, best/worst trade, total R, start/end balance and return. Daily flags days that hit the daily loss limit.</t>
  </si>
  <si>
    <t xml:space="preserve">Calendar</t>
  </si>
  <si>
    <t xml:space="preserve">Year x month grid of net profit (colour scale), trades per month and win rate per month.</t>
  </si>
  <si>
    <t xml:space="preserve">Trades</t>
  </si>
  <si>
    <t xml:space="preserve">Every trade on one row: entry deal matched to its exit, SL/TP, planned risk, exit reason, R, hold time, balance and drawdown. Use the filter arrows in the header row.</t>
  </si>
  <si>
    <t xml:space="preserve">Breakdown</t>
  </si>
  <si>
    <t xml:space="preserve">Results split by side, setup, exit reason, weekday, entry hour, hold time, SL size, year, and the R distribution.</t>
  </si>
  <si>
    <t xml:space="preserve">Drawdowns &amp; Streaks</t>
  </si>
  <si>
    <t xml:space="preserve">The 10 deepest drawdown periods with dates and recovery time, longest win/loss streaks.</t>
  </si>
  <si>
    <t xml:space="preserve">MT5 Report / Settings</t>
  </si>
  <si>
    <t xml:space="preserve">The tester's original statistics and the EA inputs used.</t>
  </si>
  <si>
    <t xml:space="preserve">Dates</t>
  </si>
  <si>
    <t xml:space="preserve">Profit is booked on the trade's CLOSE date/time (broker server time).</t>
  </si>
  <si>
    <t xml:space="preserve">R multiple</t>
  </si>
  <si>
    <t xml:space="preserve">Net profit / planned risk. Planned risk = SL distance x lots x $ per point per lot (Summary C6).</t>
  </si>
  <si>
    <t xml:space="preserve">Win / Loss</t>
  </si>
  <si>
    <t xml:space="preserve">Breakeven stops that close a few dollars negative (slippage/commission) count as losses, as in MT5.</t>
  </si>
  <si>
    <t xml:space="preserve">Colours</t>
  </si>
  <si>
    <t xml:space="preserve">Blue = data from the MT5 report or inputs you may change. Black = formulas. Yellow = inputs.</t>
  </si>
  <si>
    <t xml:space="preserve">Source</t>
  </si>
  <si>
    <t xml:space="preserve">MT5 Strategy Tester report: Pdh pdl m1 atr on NDX100.m_S0, 1145 trades. Net profit here matches the report's Total Net Profit (14640.25).</t>
  </si>
  <si>
    <t xml:space="preserve">Backtest analysis</t>
  </si>
  <si>
    <t xml:space="preserve">Pdh pdl m1 atr | NDX100.m_S0 | M1 (2022.04.01 - 2026.10.01) | 100% real ticks</t>
  </si>
  <si>
    <t xml:space="preserve">Blue cells are inputs: change them and every sheet recalculates.</t>
  </si>
  <si>
    <t xml:space="preserve">WARNING: this test ran with 'Profit in pips' - every $ figure (MT5's and this workbook's) is in pip units, not account money. R multiples, win rate, profit factor and counts are still valid.</t>
  </si>
  <si>
    <t xml:space="preserve">Starting balance</t>
  </si>
  <si>
    <t xml:space="preserve">From the report (Initial Deposit).</t>
  </si>
  <si>
    <t xml:space="preserve">$ per 1.00 point per 1.00 lot</t>
  </si>
  <si>
    <t xml:space="preserve">Measured from the trades (profit / points / lots, median). NDX100.m_S0: 1 lot moving 1 point = $100.</t>
  </si>
  <si>
    <t xml:space="preserve">Daily loss limit (prop rule)</t>
  </si>
  <si>
    <t xml:space="preserve">Used for the breach checks on Daily. Matches the EA input DailyLossPct when present.</t>
  </si>
  <si>
    <t xml:space="preserve">Max drawdown limit (prop rule)</t>
  </si>
  <si>
    <t xml:space="preserve">Typical prop-firm overall limit.</t>
  </si>
  <si>
    <t xml:space="preserve">Metric</t>
  </si>
  <si>
    <t xml:space="preserve">Value</t>
  </si>
  <si>
    <t xml:space="preserve">MT5 report</t>
  </si>
  <si>
    <t xml:space="preserve">Verdict</t>
  </si>
  <si>
    <t xml:space="preserve">What it means</t>
  </si>
  <si>
    <t xml:space="preserve">RESULT</t>
  </si>
  <si>
    <t xml:space="preserve">Net profit</t>
  </si>
  <si>
    <t xml:space="preserve">Total money made over the whole test, after commission and swap.</t>
  </si>
  <si>
    <t xml:space="preserve">Final balance</t>
  </si>
  <si>
    <t xml:space="preserve">Return on starting balance</t>
  </si>
  <si>
    <t xml:space="preserve">Gross profit</t>
  </si>
  <si>
    <t xml:space="preserve">Sum of all winning trades.</t>
  </si>
  <si>
    <t xml:space="preserve">Gross loss</t>
  </si>
  <si>
    <t xml:space="preserve">Sum of all losing trades.</t>
  </si>
  <si>
    <t xml:space="preserve">Profit factor</t>
  </si>
  <si>
    <t xml:space="preserve">Gross profit / gross loss. 1.2+ is decent for an intraday system, 1.5+ strong.</t>
  </si>
  <si>
    <t xml:space="preserve">Expectancy per trade $</t>
  </si>
  <si>
    <t xml:space="preserve">What one trade earns on average.</t>
  </si>
  <si>
    <t xml:space="preserve">TRADES</t>
  </si>
  <si>
    <t xml:space="preserve">Total trades</t>
  </si>
  <si>
    <t xml:space="preserve">Wins</t>
  </si>
  <si>
    <t xml:space="preserve">327 (28.56%)</t>
  </si>
  <si>
    <t xml:space="preserve">Losses</t>
  </si>
  <si>
    <t xml:space="preserve">818 (71.44%)</t>
  </si>
  <si>
    <t xml:space="preserve">Includes breakeven stops that lost a little to slippage.</t>
  </si>
  <si>
    <t xml:space="preserve">Win rate</t>
  </si>
  <si>
    <t xml:space="preserve">Average win</t>
  </si>
  <si>
    <t xml:space="preserve">Average loss</t>
  </si>
  <si>
    <t xml:space="preserve">Win/loss size ratio</t>
  </si>
  <si>
    <t xml:space="preserve">Average win / average loss.</t>
  </si>
  <si>
    <t xml:space="preserve">Break-even win rate needed</t>
  </si>
  <si>
    <t xml:space="preserve">Win rate needed to break even with these win/loss sizes.</t>
  </si>
  <si>
    <t xml:space="preserve">Largest win</t>
  </si>
  <si>
    <t xml:space="preserve">Largest loss</t>
  </si>
  <si>
    <t xml:space="preserve">Long trades / net</t>
  </si>
  <si>
    <t xml:space="preserve">641 (28.55%)</t>
  </si>
  <si>
    <t xml:space="preserve">Verdict column = net $ of longs.</t>
  </si>
  <si>
    <t xml:space="preserve">Short trades / net</t>
  </si>
  <si>
    <t xml:space="preserve">504 (28.57%)</t>
  </si>
  <si>
    <t xml:space="preserve">Verdict column = net $ of shorts.</t>
  </si>
  <si>
    <t xml:space="preserve">RISK (R multiples)</t>
  </si>
  <si>
    <t xml:space="preserve">Average planned risk per trade $</t>
  </si>
  <si>
    <t xml:space="preserve">SL distance x lots x $ per point.</t>
  </si>
  <si>
    <t xml:space="preserve">Average planned risk % of balance</t>
  </si>
  <si>
    <t xml:space="preserve">Compare with the EA's RiskPercent.</t>
  </si>
  <si>
    <t xml:space="preserve">Average SL distance (points)</t>
  </si>
  <si>
    <t xml:space="preserve">Average R per trade</t>
  </si>
  <si>
    <t xml:space="preserve">Expectancy in units of risk.</t>
  </si>
  <si>
    <t xml:space="preserve">Total R</t>
  </si>
  <si>
    <t xml:space="preserve">Average R of full stop losses</t>
  </si>
  <si>
    <t xml:space="preserve">-1.00R = lost exactly the plan. Below -1.05R = slippage.</t>
  </si>
  <si>
    <t xml:space="preserve">Average R of take profits</t>
  </si>
  <si>
    <t xml:space="preserve">DRAWDOWN &amp; PROP RULES</t>
  </si>
  <si>
    <t xml:space="preserve">Max closed-trade drawdown $</t>
  </si>
  <si>
    <t xml:space="preserve">1 669.23 (7.07%)</t>
  </si>
  <si>
    <t xml:space="preserve">Peak-to-low of the balance.</t>
  </si>
  <si>
    <t xml:space="preserve">Max closed-trade drawdown %</t>
  </si>
  <si>
    <t xml:space="preserve">1 862.79 (7.84%)</t>
  </si>
  <si>
    <t xml:space="preserve">MT5 report column shows the equity drawdown (includes open trades).</t>
  </si>
  <si>
    <t xml:space="preserve">Worst day $</t>
  </si>
  <si>
    <t xml:space="preserve">See Daily sheet.</t>
  </si>
  <si>
    <t xml:space="preserve">Worst day % of start balance</t>
  </si>
  <si>
    <t xml:space="preserve">Compared with the daily loss limit.</t>
  </si>
  <si>
    <t xml:space="preserve">Days breaching daily loss limit</t>
  </si>
  <si>
    <t xml:space="preserve">Worst week $</t>
  </si>
  <si>
    <t xml:space="preserve">Worst month $</t>
  </si>
  <si>
    <t xml:space="preserve">Recovery factor</t>
  </si>
  <si>
    <t xml:space="preserve">Net profit / max drawdown. 3+ is good.</t>
  </si>
  <si>
    <t xml:space="preserve">CONSISTENCY</t>
  </si>
  <si>
    <t xml:space="preserve">Trading days</t>
  </si>
  <si>
    <t xml:space="preserve">Days with at least one closed trade.</t>
  </si>
  <si>
    <t xml:space="preserve">Green days %</t>
  </si>
  <si>
    <t xml:space="preserve">Average day $</t>
  </si>
  <si>
    <t xml:space="preserve">Months profitable</t>
  </si>
  <si>
    <t xml:space="preserve">Average month $</t>
  </si>
  <si>
    <t xml:space="preserve">Best day share of total profit</t>
  </si>
  <si>
    <t xml:space="preserve">Prop consistency rules often require the best day &lt; 30-50% of total profit.</t>
  </si>
  <si>
    <t xml:space="preserve">Median hold (minutes)</t>
  </si>
  <si>
    <t xml:space="preserve">0:17:34</t>
  </si>
  <si>
    <t xml:space="preserve">MT5 column = average.</t>
  </si>
  <si>
    <t xml:space="preserve">Sharpe ratio (MT5)</t>
  </si>
  <si>
    <t xml:space="preserve">As reported by MT5.</t>
  </si>
  <si>
    <t xml:space="preserve">Z-score (MT5)</t>
  </si>
  <si>
    <t xml:space="preserve">0.38 (29.61%)</t>
  </si>
  <si>
    <t xml:space="preserve">Near +/-2 = wins/losses cluster in streaks; near 0 = random order.</t>
  </si>
  <si>
    <t xml:space="preserve">FINDINGS (computed from this report)</t>
  </si>
  <si>
    <t xml:space="preserve">1. Result: 1145 trades, net $14,640 (146.4% on $10,000), profit factor 1.45, win rate 27.6%, average +0.208R per trade.</t>
  </si>
  <si>
    <t xml:space="preserve">2. Exits: Initial stop loss 525 (46%), net $-29,517 | Take profit 316 (28%), net $47,333 | Breakeven stop 298 (26%), net $-921 | Closed by EA (guard) 6 (1%), net $-2,255.</t>
  </si>
  <si>
    <t xml:space="preserve">3. Breakeven stops: 298 trades (26%) reached +1R then came back to entry; together they cost $921 (exit slippage, swap, commission). They are counted as losses by MT5, which is why the win rate looks low while the system is profitable.</t>
  </si>
  <si>
    <t xml:space="preserve">4. Full stop losses average -1.04R (worst -1.44R). Take profits average 2.54R.</t>
  </si>
  <si>
    <t xml:space="preserve">5. 1006 trading days, 30% of them green; worst day 2026-03-23 $-597; 36 of 54 months profitable; best month 2026-01 ($1,475), worst 2026-04 ($-797).</t>
  </si>
  <si>
    <t xml:space="preserve">6. Deepest closed-trade drawdown $1,669 (7.07% of the peak), from 2026-03-13 to the low on 2026-04-21, recovered 2026-08-20. Max limit used here: 10% - close to it.</t>
  </si>
  <si>
    <t xml:space="preserve">7. Longs $9,078 vs shorts $5,563. Best entry hours (server): 01:00 $4,121, 16:00 $3,839, 17:00 $2,487; worst: 19:00 $-622, 21:00 $-514, 23:00 $-253.</t>
  </si>
  <si>
    <t xml:space="preserve">8. Median hold 4 min, 157 trades closed within 1 minute (those are mostly decided by noise/spread). Commission total $0.00, swap $0.00.</t>
  </si>
  <si>
    <t xml:space="preserve">9. Concentration: entries in the 01:00 server hour made $4,121 = 28% of the total profit from 224 trades. All other hours together: 921 trades, net $10,519, profit factor 1.44. Check that this hour is tradable live (session open gaps, spread on this zero-spread test symbol).</t>
  </si>
  <si>
    <t xml:space="preserve">10. Position size: the trades risked 0.38% of balance on average (SL distance x lots x $100), while RiskPercent = 1%. The EA sizes positions much smaller than the setting - check its tick value / lot step / margin cap on this symbol; returns and drawdowns scale with it.</t>
  </si>
  <si>
    <t xml:space="preserve">Year</t>
  </si>
  <si>
    <t xml:space="preserve">Best trade</t>
  </si>
  <si>
    <t xml:space="preserve">Worst trade</t>
  </si>
  <si>
    <t xml:space="preserve">Start balance</t>
  </si>
  <si>
    <t xml:space="preserve">Return %</t>
  </si>
  <si>
    <t xml:space="preserve">Limit check</t>
  </si>
  <si>
    <t xml:space="preserve">End balance</t>
  </si>
  <si>
    <t xml:space="preserve">Cumulative net</t>
  </si>
  <si>
    <t xml:space="preserve">TOTAL</t>
  </si>
  <si>
    <t xml:space="preserve">Partial years: the test period decides the first and last year's length.</t>
  </si>
  <si>
    <t xml:space="preserve">Month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</si>
  <si>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</si>
  <si>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</si>
  <si>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</si>
  <si>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</si>
  <si>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</si>
  <si>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</si>
  <si>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</si>
  <si>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</si>
  <si>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</si>
  <si>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</si>
  <si>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</si>
  <si>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</si>
  <si>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</si>
  <si>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</si>
  <si>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</si>
  <si>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</si>
  <si>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</si>
  <si>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</si>
  <si>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</si>
  <si>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</si>
  <si>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</si>
  <si>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</si>
  <si>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</si>
  <si>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</si>
  <si>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</si>
  <si>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</si>
  <si>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</si>
  <si>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</si>
  <si>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</si>
  <si>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</si>
  <si>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</si>
  <si>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</si>
  <si>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</si>
  <si>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</si>
  <si>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</si>
  <si>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</si>
  <si>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</si>
  <si>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</si>
  <si>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</si>
  <si>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</si>
  <si>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</si>
  <si>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</si>
  <si>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</si>
  <si>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</si>
  <si>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</si>
  <si>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</si>
  <si>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</si>
  <si>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</si>
  <si>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</si>
  <si>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</si>
  <si>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</si>
  <si>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</si>
  <si>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</si>
  <si>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</si>
  <si>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Net profit by month ($) - green = profit, red = loss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</si>
  <si>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</si>
  <si>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</si>
  <si>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</si>
  <si>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</si>
  <si>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</si>
  <si>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</si>
  <si>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</si>
  <si>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</si>
  <si>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</si>
  <si>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</si>
  <si>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</si>
  <si>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</si>
  <si>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total</t>
  </si>
  <si>
    <t xml:space="preserve">Trades per month</t>
  </si>
  <si>
    <t xml:space="preserve">Win rate per month</t>
  </si>
  <si>
    <t xml:space="preserve">Week (Mon)</t>
  </si>
  <si>
    <t xml:space="preserve">Date</t>
  </si>
  <si>
    <t xml:space="preserve">Weekday</t>
  </si>
  <si>
    <t xml:space="preserve">#</t>
  </si>
  <si>
    <t xml:space="preserve">Entry time</t>
  </si>
  <si>
    <t xml:space="preserve">Close time</t>
  </si>
  <si>
    <t xml:space="preserve">Close date</t>
  </si>
  <si>
    <t xml:space="preserve">Entry hour</t>
  </si>
  <si>
    <t xml:space="preserve">Side</t>
  </si>
  <si>
    <t xml:space="preserve">Setup</t>
  </si>
  <si>
    <t xml:space="preserve">Lots</t>
  </si>
  <si>
    <t xml:space="preserve">Entry price</t>
  </si>
  <si>
    <t xml:space="preserve">Initial SL</t>
  </si>
  <si>
    <t xml:space="preserve">Take profit</t>
  </si>
  <si>
    <t xml:space="preserve">SL distance (pts)</t>
  </si>
  <si>
    <t xml:space="preserve">TP distance (pts)</t>
  </si>
  <si>
    <t xml:space="preserve">Planned risk $</t>
  </si>
  <si>
    <t xml:space="preserve">Exit price</t>
  </si>
  <si>
    <t xml:space="preserve">Exit reason</t>
  </si>
  <si>
    <t xml:space="preserve">Points made</t>
  </si>
  <si>
    <t xml:space="preserve">Commission $</t>
  </si>
  <si>
    <t xml:space="preserve">Swap $</t>
  </si>
  <si>
    <t xml:space="preserve">Net profit $</t>
  </si>
  <si>
    <t xml:space="preserve">Result</t>
  </si>
  <si>
    <t xml:space="preserve">Hold (min)</t>
  </si>
  <si>
    <t xml:space="preserve">Hold bucket</t>
  </si>
  <si>
    <t xml:space="preserve">SL bucket (pts)</t>
  </si>
  <si>
    <t xml:space="preserve">Balance after</t>
  </si>
  <si>
    <t xml:space="preserve">Peak balance</t>
  </si>
  <si>
    <t xml:space="preserve">Drawdown $</t>
  </si>
  <si>
    <t xml:space="preserve">Drawdown %</t>
  </si>
  <si>
    <t xml:space="preserve">Mon</t>
  </si>
  <si>
    <t xml:space="preserve">BUY</t>
  </si>
  <si>
    <t xml:space="preserve">PDH breakout</t>
  </si>
  <si>
    <t xml:space="preserve">Tue</t>
  </si>
  <si>
    <t xml:space="preserve">Initial stop loss</t>
  </si>
  <si>
    <t xml:space="preserve">SELL</t>
  </si>
  <si>
    <t xml:space="preserve">PDL breakout</t>
  </si>
  <si>
    <t xml:space="preserve">Wed</t>
  </si>
  <si>
    <t xml:space="preserve">Thu</t>
  </si>
  <si>
    <t xml:space="preserve">Fri</t>
  </si>
  <si>
    <t xml:space="preserve">Breakeven stop</t>
  </si>
  <si>
    <t xml:space="preserve">Closed by EA (guard)</t>
  </si>
  <si>
    <t xml:space="preserve">Where the money is made and lost</t>
  </si>
  <si>
    <t xml:space="preserve">By side</t>
  </si>
  <si>
    <t xml:space="preserve">Is one direction worse than the other?</t>
  </si>
  <si>
    <t xml:space="preserve">side</t>
  </si>
  <si>
    <t xml:space="preserve">Avg per trade</t>
  </si>
  <si>
    <t xml:space="preserve">Avg R</t>
  </si>
  <si>
    <t xml:space="preserve">Total</t>
  </si>
  <si>
    <t xml:space="preserve">By setup</t>
  </si>
  <si>
    <t xml:space="preserve">Entry comment written by the EA.</t>
  </si>
  <si>
    <t xml:space="preserve">setup</t>
  </si>
  <si>
    <t xml:space="preserve">By exit reason</t>
  </si>
  <si>
    <t xml:space="preserve">Breakeven stop = price reached the breakeven trigger, then came back to entry. Small losses there are slippage/commission.</t>
  </si>
  <si>
    <t xml:space="preserve">exit reason</t>
  </si>
  <si>
    <t xml:space="preserve">Moved stop (loss side)</t>
  </si>
  <si>
    <t xml:space="preserve">By weekday (entry)</t>
  </si>
  <si>
    <t xml:space="preserve">Day of the week the trade was entered (server time).</t>
  </si>
  <si>
    <t xml:space="preserve">weekday (entry)</t>
  </si>
  <si>
    <t xml:space="preserve">By entry hour (server)</t>
  </si>
  <si>
    <t xml:space="preserve">Server hour of entry. Hours with a clearly negative total are candidates for a no-trade window.</t>
  </si>
  <si>
    <t xml:space="preserve">entry hour (server)</t>
  </si>
  <si>
    <t xml:space="preserve">By hold time</t>
  </si>
  <si>
    <t xml:space="preserve">How long trades stayed open.</t>
  </si>
  <si>
    <t xml:space="preserve">hold time</t>
  </si>
  <si>
    <t xml:space="preserve">a) &lt;1 min</t>
  </si>
  <si>
    <t xml:space="preserve">b) 1-10 min</t>
  </si>
  <si>
    <t xml:space="preserve">c) 10-60 min</t>
  </si>
  <si>
    <t xml:space="preserve">d) 1-4 h</t>
  </si>
  <si>
    <t xml:space="preserve">e) 4 h+</t>
  </si>
  <si>
    <t xml:space="preserve">By SL distance (points)</t>
  </si>
  <si>
    <t xml:space="preserve">ATR-based stops: very small stops are easily hit by noise, very large ones mean volatile days.</t>
  </si>
  <si>
    <t xml:space="preserve">SL distance (points)</t>
  </si>
  <si>
    <t xml:space="preserve">a) &lt;10</t>
  </si>
  <si>
    <t xml:space="preserve">b) 10-20</t>
  </si>
  <si>
    <t xml:space="preserve">c) 20-40</t>
  </si>
  <si>
    <t xml:space="preserve">d) 40-80</t>
  </si>
  <si>
    <t xml:space="preserve">e) 80+</t>
  </si>
  <si>
    <t xml:space="preserve">By year</t>
  </si>
  <si>
    <t xml:space="preserve">Same as the Yearly sheet, for side-by-side reading.</t>
  </si>
  <si>
    <t xml:space="preserve">year</t>
  </si>
  <si>
    <t xml:space="preserve">R distribution</t>
  </si>
  <si>
    <t xml:space="preserve">How many trades ended in each R range.</t>
  </si>
  <si>
    <t xml:space="preserve">R range</t>
  </si>
  <si>
    <t xml:space="preserve">Share</t>
  </si>
  <si>
    <t xml:space="preserve">worse than -1.05R</t>
  </si>
  <si>
    <t xml:space="preserve">-1R (full stop)</t>
  </si>
  <si>
    <t xml:space="preserve">-0.95R to -0.05R</t>
  </si>
  <si>
    <t xml:space="preserve">about 0R (breakeven)</t>
  </si>
  <si>
    <t xml:space="preserve">0 to +1R</t>
  </si>
  <si>
    <t xml:space="preserve">+1R to +2R</t>
  </si>
  <si>
    <t xml:space="preserve">+2R to +3R</t>
  </si>
  <si>
    <t xml:space="preserve">+3R and more</t>
  </si>
  <si>
    <t xml:space="preserve">Top 10 drawdown periods (closed trades)</t>
  </si>
  <si>
    <t xml:space="preserve">Computed from the trade list when the workbook was built (values, not formulas).</t>
  </si>
  <si>
    <t xml:space="preserve">Started (peak)</t>
  </si>
  <si>
    <t xml:space="preserve">Lowest point</t>
  </si>
  <si>
    <t xml:space="preserve">Recovered</t>
  </si>
  <si>
    <t xml:space="preserve">Depth $</t>
  </si>
  <si>
    <t xml:space="preserve">Depth %</t>
  </si>
  <si>
    <t xml:space="preserve">Days to recover</t>
  </si>
  <si>
    <t xml:space="preserve">Longest streaks</t>
  </si>
  <si>
    <t xml:space="preserve">Streak</t>
  </si>
  <si>
    <t xml:space="preserve">Net $</t>
  </si>
  <si>
    <t xml:space="preserve">Started</t>
  </si>
  <si>
    <t xml:space="preserve">Winning</t>
  </si>
  <si>
    <t xml:space="preserve">Losing</t>
  </si>
  <si>
    <t xml:space="preserve">Losing days in a row</t>
  </si>
  <si>
    <t xml:space="preserve">Figures exactly as the MT5 Strategy Tester reported them</t>
  </si>
  <si>
    <t xml:space="preserve">History Quality</t>
  </si>
  <si>
    <t xml:space="preserve">100% real ticks</t>
  </si>
  <si>
    <t xml:space="preserve">Bars</t>
  </si>
  <si>
    <t xml:space="preserve">Ticks</t>
  </si>
  <si>
    <t xml:space="preserve">Symbols</t>
  </si>
  <si>
    <t xml:space="preserve">Total Net Profit</t>
  </si>
  <si>
    <t xml:space="preserve">Balance Drawdown Absolute</t>
  </si>
  <si>
    <t xml:space="preserve">Equity Drawdown Absolute</t>
  </si>
  <si>
    <t xml:space="preserve">Gross Profit</t>
  </si>
  <si>
    <t xml:space="preserve">Balance Drawdown Maximal</t>
  </si>
  <si>
    <t xml:space="preserve">Equity Drawdown Maximal</t>
  </si>
  <si>
    <t xml:space="preserve">Gross Loss</t>
  </si>
  <si>
    <t xml:space="preserve">Balance Drawdown Relative</t>
  </si>
  <si>
    <t xml:space="preserve">10.35% (1 630.07)</t>
  </si>
  <si>
    <t xml:space="preserve">Equity Drawdown Relative</t>
  </si>
  <si>
    <t xml:space="preserve">10.83% (1 338.35)</t>
  </si>
  <si>
    <t xml:space="preserve">Profit Factor</t>
  </si>
  <si>
    <t xml:space="preserve">Expected Payoff</t>
  </si>
  <si>
    <t xml:space="preserve">Margin Level</t>
  </si>
  <si>
    <t xml:space="preserve">99.50%</t>
  </si>
  <si>
    <t xml:space="preserve">Recovery Factor</t>
  </si>
  <si>
    <t xml:space="preserve">Sharpe Ratio</t>
  </si>
  <si>
    <t xml:space="preserve">Z-Score</t>
  </si>
  <si>
    <t xml:space="preserve">AHPR</t>
  </si>
  <si>
    <t xml:space="preserve">1.0008 (0.08%)</t>
  </si>
  <si>
    <t xml:space="preserve">LR Correlation</t>
  </si>
  <si>
    <t xml:space="preserve">OnTester result</t>
  </si>
  <si>
    <t xml:space="preserve">0</t>
  </si>
  <si>
    <t xml:space="preserve">GHPR</t>
  </si>
  <si>
    <t xml:space="preserve">LR Standard Error</t>
  </si>
  <si>
    <t xml:space="preserve">Correlation (Profits,MFE)</t>
  </si>
  <si>
    <t xml:space="preserve">Correlation (Profits,MAE)</t>
  </si>
  <si>
    <t xml:space="preserve">Correlation (MFE,MAE)</t>
  </si>
  <si>
    <t xml:space="preserve">Minimal position holding time</t>
  </si>
  <si>
    <t xml:space="preserve">0:00:02</t>
  </si>
  <si>
    <t xml:space="preserve">Maximal position holding time</t>
  </si>
  <si>
    <t xml:space="preserve">15:44:12</t>
  </si>
  <si>
    <t xml:space="preserve">Average position holding time</t>
  </si>
  <si>
    <t xml:space="preserve">Total Trades</t>
  </si>
  <si>
    <t xml:space="preserve">Short Trades (won %)</t>
  </si>
  <si>
    <t xml:space="preserve">Long Trades (won %)</t>
  </si>
  <si>
    <t xml:space="preserve">Total Deals</t>
  </si>
  <si>
    <t xml:space="preserve">Profit Trades (% of total)</t>
  </si>
  <si>
    <t xml:space="preserve">Loss Trades (% of total)</t>
  </si>
  <si>
    <t xml:space="preserve">Largest profit trade</t>
  </si>
  <si>
    <t xml:space="preserve">Largest loss trade</t>
  </si>
  <si>
    <t xml:space="preserve">Average profit trade</t>
  </si>
  <si>
    <t xml:space="preserve">Average loss trade</t>
  </si>
  <si>
    <t xml:space="preserve">Maximum consecutive wins ($)</t>
  </si>
  <si>
    <t xml:space="preserve">4 (1 180.49)</t>
  </si>
  <si>
    <t xml:space="preserve">Maximum consecutive losses ($)</t>
  </si>
  <si>
    <t xml:space="preserve">20 (-656.58)</t>
  </si>
  <si>
    <t xml:space="preserve">Maximal consecutive profit (count)</t>
  </si>
  <si>
    <t xml:space="preserve">1 637.20 (2)</t>
  </si>
  <si>
    <t xml:space="preserve">Maximal consecutive loss (count)</t>
  </si>
  <si>
    <t xml:space="preserve">-1 248.28 (10)</t>
  </si>
  <si>
    <t xml:space="preserve">Average consecutive wins</t>
  </si>
  <si>
    <t xml:space="preserve">Average consecutive losses</t>
  </si>
  <si>
    <t xml:space="preserve">Test settings and EA inputs</t>
  </si>
  <si>
    <t xml:space="preserve">Expert</t>
  </si>
  <si>
    <t xml:space="preserve">Pdh pdl m1 atr</t>
  </si>
  <si>
    <t xml:space="preserve">Symbol</t>
  </si>
  <si>
    <t xml:space="preserve">NDX100.m_S0</t>
  </si>
  <si>
    <t xml:space="preserve">Period</t>
  </si>
  <si>
    <t xml:space="preserve">M1 (2022.04.01 - 2026.10.01)</t>
  </si>
  <si>
    <t xml:space="preserve">Company</t>
  </si>
  <si>
    <t xml:space="preserve">FundingPips Corp</t>
  </si>
  <si>
    <t xml:space="preserve">Currency</t>
  </si>
  <si>
    <t xml:space="preserve">profit in pips</t>
  </si>
  <si>
    <t xml:space="preserve">Initial Deposit</t>
  </si>
  <si>
    <t xml:space="preserve">Leverage</t>
  </si>
  <si>
    <t xml:space="preserve">1:100</t>
  </si>
  <si>
    <t xml:space="preserve">History quality</t>
  </si>
  <si>
    <t xml:space="preserve">Input</t>
  </si>
  <si>
    <t xml:space="preserve">Entry</t>
  </si>
  <si>
    <t xml:space="preserve">TradeBuys</t>
  </si>
  <si>
    <t xml:space="preserve">true</t>
  </si>
  <si>
    <t xml:space="preserve">TradeSells</t>
  </si>
  <si>
    <t xml:space="preserve">Stop Loss / Take Profit (ATR)</t>
  </si>
  <si>
    <t xml:space="preserve">ATR_Timeframe</t>
  </si>
  <si>
    <t xml:space="preserve">1</t>
  </si>
  <si>
    <t xml:space="preserve">ATR_Period</t>
  </si>
  <si>
    <t xml:space="preserve">5</t>
  </si>
  <si>
    <t xml:space="preserve">ATR_SL_Mult</t>
  </si>
  <si>
    <t xml:space="preserve">ATR_TP_Mult</t>
  </si>
  <si>
    <t xml:space="preserve">2.45</t>
  </si>
  <si>
    <t xml:space="preserve">Trade Management</t>
  </si>
  <si>
    <t xml:space="preserve">UseBreakeven</t>
  </si>
  <si>
    <t xml:space="preserve">BreakevenAtR</t>
  </si>
  <si>
    <t xml:space="preserve">1.0</t>
  </si>
  <si>
    <t xml:space="preserve">UseTimeExit</t>
  </si>
  <si>
    <t xml:space="preserve">false</t>
  </si>
  <si>
    <t xml:space="preserve">ExitHour</t>
  </si>
  <si>
    <t xml:space="preserve">22</t>
  </si>
  <si>
    <t xml:space="preserve">ExitMinute</t>
  </si>
  <si>
    <t xml:space="preserve">45</t>
  </si>
  <si>
    <t xml:space="preserve">Position Size</t>
  </si>
  <si>
    <t xml:space="preserve">LotMode</t>
  </si>
  <si>
    <t xml:space="preserve">FixedLots</t>
  </si>
  <si>
    <t xml:space="preserve">0.01</t>
  </si>
  <si>
    <t xml:space="preserve">RiskPercent</t>
  </si>
  <si>
    <t xml:space="preserve">MaxMarginUsePct</t>
  </si>
  <si>
    <t xml:space="preserve">100</t>
  </si>
  <si>
    <t xml:space="preserve">Loss Limits (whole account, all EA instances)</t>
  </si>
  <si>
    <t xml:space="preserve">DailyLossPct</t>
  </si>
  <si>
    <t xml:space="preserve">2.5</t>
  </si>
  <si>
    <t xml:space="preserve">WeeklyLossPct</t>
  </si>
  <si>
    <t xml:space="preserve">8.5</t>
  </si>
  <si>
    <t xml:space="preserve">LossBaseAmount</t>
  </si>
  <si>
    <t xml:space="preserve">0.0</t>
  </si>
  <si>
    <t xml:space="preserve">Optional Filters (off by default)</t>
  </si>
  <si>
    <t xml:space="preserve">MaxSpreadPoints</t>
  </si>
  <si>
    <t xml:space="preserve">UseSession</t>
  </si>
  <si>
    <t xml:space="preserve">SessionStartHour</t>
  </si>
  <si>
    <t xml:space="preserve">8</t>
  </si>
  <si>
    <t xml:space="preserve">SessionEndHour</t>
  </si>
  <si>
    <t xml:space="preserve">17</t>
  </si>
  <si>
    <t xml:space="preserve">Execution</t>
  </si>
  <si>
    <t xml:space="preserve">MagicNumber</t>
  </si>
  <si>
    <t xml:space="preserve">260514</t>
  </si>
  <si>
    <t xml:space="preserve">SlippagePoints</t>
  </si>
  <si>
    <t xml:space="preserve">30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</si>
</sst>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.00;[RED]&quot;-$&quot;#,##0.00;\-"/>
    <numFmt numFmtId="166" formatCode="0.00"/>
    <numFmt numFmtId="167" formatCode="0.00%;[RED]\-0.00%;\-"/>
    <numFmt numFmtId="168" formatCode="0"/>
    <numFmt numFmtId="169" formatCode="0.00;[RED]\-0.00;\-"/>
    <numFmt numFmtId="170" formatCode="0.00\R;[RED]\-0.00\R;&quot;0R&quot;"/>
    <numFmt numFmtId="171" formatCode="@"/>
    <numFmt numFmtId="172" formatCode="0.0"/>
    <numFmt numFmtId="173" formatCode="\$#,##0"/>
    <numFmt numFmtId="174" formatCode="0.0%"/>
    <numFmt numFmtId="175" formatCode="General"/>
    <numFmt numFmtId="176" formatCode="0%"/>
    <numFmt numFmtId="177" formatCode="yyyy\-mm\-dd"/>
    <numFmt numFmtId="178" formatCode="yyyy\-mm\-dd\ hh:mm:ss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after each trade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Trades!AD1</c:f>
              <c:strCache>
                <c:ptCount val="1"/>
                <c:pt idx="0">
                  <c:v>Balance after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Trades!$AD$2:$AD$1146</c:f>
              <c:numCache>
                <c:formatCode>\$#,##0.00;[RED]"-$"#,##0.00;\-</c:formatCode>
                <c:ptCount val="1145"/>
                <c:pt idx="0">
                  <c:v>10151.71</c:v>
                </c:pt>
                <c:pt idx="1">
                  <c:v>10129.78</c:v>
                </c:pt>
                <c:pt idx="2">
                  <c:v>10097.71</c:v>
                </c:pt>
                <c:pt idx="3">
                  <c:v>10198.93</c:v>
                </c:pt>
                <c:pt idx="4">
                  <c:v>10156.63</c:v>
                </c:pt>
                <c:pt idx="5">
                  <c:v>10134.85</c:v>
                </c:pt>
                <c:pt idx="6">
                  <c:v>10081.42</c:v>
                </c:pt>
                <c:pt idx="7">
                  <c:v>10081.36</c:v>
                </c:pt>
                <c:pt idx="8">
                  <c:v>10081.24</c:v>
                </c:pt>
                <c:pt idx="9">
                  <c:v>10062.43</c:v>
                </c:pt>
                <c:pt idx="10">
                  <c:v>10030.18</c:v>
                </c:pt>
                <c:pt idx="11">
                  <c:v>10104.19</c:v>
                </c:pt>
                <c:pt idx="12">
                  <c:v>10083.55</c:v>
                </c:pt>
                <c:pt idx="13">
                  <c:v>10193.23</c:v>
                </c:pt>
                <c:pt idx="14">
                  <c:v>10148.44</c:v>
                </c:pt>
                <c:pt idx="15">
                  <c:v>10212.07</c:v>
                </c:pt>
                <c:pt idx="16">
                  <c:v>10161.94</c:v>
                </c:pt>
                <c:pt idx="17">
                  <c:v>10151.26</c:v>
                </c:pt>
                <c:pt idx="18">
                  <c:v>10076.17</c:v>
                </c:pt>
                <c:pt idx="19">
                  <c:v>10031.77</c:v>
                </c:pt>
                <c:pt idx="20">
                  <c:v>10031.44</c:v>
                </c:pt>
                <c:pt idx="21">
                  <c:v>10031.32</c:v>
                </c:pt>
                <c:pt idx="22">
                  <c:v>10107.16</c:v>
                </c:pt>
                <c:pt idx="23">
                  <c:v>10105.06</c:v>
                </c:pt>
                <c:pt idx="24">
                  <c:v>9960.88</c:v>
                </c:pt>
                <c:pt idx="25">
                  <c:v>9890.35</c:v>
                </c:pt>
                <c:pt idx="26">
                  <c:v>10206.94</c:v>
                </c:pt>
                <c:pt idx="27">
                  <c:v>10171.26</c:v>
                </c:pt>
                <c:pt idx="28">
                  <c:v>10165.78</c:v>
                </c:pt>
                <c:pt idx="29">
                  <c:v>10162.14</c:v>
                </c:pt>
                <c:pt idx="30">
                  <c:v>10091.34</c:v>
                </c:pt>
                <c:pt idx="31">
                  <c:v>10064.9</c:v>
                </c:pt>
                <c:pt idx="32">
                  <c:v>10063.22</c:v>
                </c:pt>
                <c:pt idx="33">
                  <c:v>10063.1</c:v>
                </c:pt>
                <c:pt idx="34">
                  <c:v>10062.94</c:v>
                </c:pt>
                <c:pt idx="35">
                  <c:v>10105.42</c:v>
                </c:pt>
                <c:pt idx="36">
                  <c:v>10104.38</c:v>
                </c:pt>
                <c:pt idx="37">
                  <c:v>10063.82</c:v>
                </c:pt>
                <c:pt idx="38">
                  <c:v>10229.9</c:v>
                </c:pt>
                <c:pt idx="39">
                  <c:v>10225.38</c:v>
                </c:pt>
                <c:pt idx="40">
                  <c:v>10159.82</c:v>
                </c:pt>
                <c:pt idx="41">
                  <c:v>10468.78</c:v>
                </c:pt>
                <c:pt idx="42">
                  <c:v>10430.98</c:v>
                </c:pt>
                <c:pt idx="43">
                  <c:v>10394.38</c:v>
                </c:pt>
                <c:pt idx="44">
                  <c:v>10331.66</c:v>
                </c:pt>
                <c:pt idx="45">
                  <c:v>10268.74</c:v>
                </c:pt>
                <c:pt idx="46">
                  <c:v>10158.66</c:v>
                </c:pt>
                <c:pt idx="47">
                  <c:v>10125.36</c:v>
                </c:pt>
                <c:pt idx="48">
                  <c:v>10191.84</c:v>
                </c:pt>
                <c:pt idx="49">
                  <c:v>10121.4</c:v>
                </c:pt>
                <c:pt idx="50">
                  <c:v>10121.31</c:v>
                </c:pt>
                <c:pt idx="51">
                  <c:v>10075.51</c:v>
                </c:pt>
                <c:pt idx="52">
                  <c:v>9868.15</c:v>
                </c:pt>
                <c:pt idx="53">
                  <c:v>9865.51</c:v>
                </c:pt>
                <c:pt idx="54">
                  <c:v>9782.71</c:v>
                </c:pt>
                <c:pt idx="55">
                  <c:v>9688.59</c:v>
                </c:pt>
                <c:pt idx="56">
                  <c:v>9688.47</c:v>
                </c:pt>
                <c:pt idx="57">
                  <c:v>9758.03</c:v>
                </c:pt>
                <c:pt idx="58">
                  <c:v>9757.95</c:v>
                </c:pt>
                <c:pt idx="59">
                  <c:v>9889.63</c:v>
                </c:pt>
                <c:pt idx="60">
                  <c:v>10053.11</c:v>
                </c:pt>
                <c:pt idx="61">
                  <c:v>9995.83</c:v>
                </c:pt>
                <c:pt idx="62">
                  <c:v>9995.75</c:v>
                </c:pt>
                <c:pt idx="63">
                  <c:v>9940.23</c:v>
                </c:pt>
                <c:pt idx="64">
                  <c:v>9940.03</c:v>
                </c:pt>
                <c:pt idx="65">
                  <c:v>9909.11</c:v>
                </c:pt>
                <c:pt idx="66">
                  <c:v>9865.63</c:v>
                </c:pt>
                <c:pt idx="67">
                  <c:v>9843.79</c:v>
                </c:pt>
                <c:pt idx="68">
                  <c:v>9908.39</c:v>
                </c:pt>
                <c:pt idx="69">
                  <c:v>9908.31</c:v>
                </c:pt>
                <c:pt idx="70">
                  <c:v>10220.83</c:v>
                </c:pt>
                <c:pt idx="71">
                  <c:v>10220.55</c:v>
                </c:pt>
                <c:pt idx="72">
                  <c:v>10513.15</c:v>
                </c:pt>
                <c:pt idx="73">
                  <c:v>10624.79</c:v>
                </c:pt>
                <c:pt idx="74">
                  <c:v>10619.19</c:v>
                </c:pt>
                <c:pt idx="75">
                  <c:v>10618.43</c:v>
                </c:pt>
                <c:pt idx="76">
                  <c:v>10568.43</c:v>
                </c:pt>
                <c:pt idx="77">
                  <c:v>10538.59</c:v>
                </c:pt>
                <c:pt idx="78">
                  <c:v>10494.59</c:v>
                </c:pt>
                <c:pt idx="79">
                  <c:v>10602.39</c:v>
                </c:pt>
                <c:pt idx="80">
                  <c:v>10595.95</c:v>
                </c:pt>
                <c:pt idx="81">
                  <c:v>10595.95</c:v>
                </c:pt>
                <c:pt idx="82">
                  <c:v>10594.31</c:v>
                </c:pt>
                <c:pt idx="83">
                  <c:v>10565.59</c:v>
                </c:pt>
                <c:pt idx="84">
                  <c:v>10769.43</c:v>
                </c:pt>
                <c:pt idx="85">
                  <c:v>10725.95</c:v>
                </c:pt>
                <c:pt idx="86">
                  <c:v>10724.63</c:v>
                </c:pt>
                <c:pt idx="87">
                  <c:v>10650.15</c:v>
                </c:pt>
                <c:pt idx="88">
                  <c:v>10617.43</c:v>
                </c:pt>
                <c:pt idx="89">
                  <c:v>10611.83</c:v>
                </c:pt>
                <c:pt idx="90">
                  <c:v>10611.74</c:v>
                </c:pt>
                <c:pt idx="91">
                  <c:v>10591.34</c:v>
                </c:pt>
                <c:pt idx="92">
                  <c:v>10760.7</c:v>
                </c:pt>
                <c:pt idx="93">
                  <c:v>10760.58</c:v>
                </c:pt>
                <c:pt idx="94">
                  <c:v>10760.26</c:v>
                </c:pt>
                <c:pt idx="95">
                  <c:v>10760.26</c:v>
                </c:pt>
                <c:pt idx="96">
                  <c:v>10744.34</c:v>
                </c:pt>
                <c:pt idx="97">
                  <c:v>10744.1</c:v>
                </c:pt>
                <c:pt idx="98">
                  <c:v>10744.04</c:v>
                </c:pt>
                <c:pt idx="99">
                  <c:v>10797.5</c:v>
                </c:pt>
                <c:pt idx="100">
                  <c:v>10796.78</c:v>
                </c:pt>
                <c:pt idx="101">
                  <c:v>10769.02</c:v>
                </c:pt>
                <c:pt idx="102">
                  <c:v>10708.42</c:v>
                </c:pt>
                <c:pt idx="103">
                  <c:v>10825.42</c:v>
                </c:pt>
                <c:pt idx="104">
                  <c:v>10738.5</c:v>
                </c:pt>
                <c:pt idx="105">
                  <c:v>10824.22</c:v>
                </c:pt>
                <c:pt idx="106">
                  <c:v>11015.02</c:v>
                </c:pt>
                <c:pt idx="107">
                  <c:v>11014.62</c:v>
                </c:pt>
                <c:pt idx="108">
                  <c:v>10989.3</c:v>
                </c:pt>
                <c:pt idx="109">
                  <c:v>10929.3</c:v>
                </c:pt>
                <c:pt idx="110">
                  <c:v>10965.78</c:v>
                </c:pt>
                <c:pt idx="111">
                  <c:v>10965.1</c:v>
                </c:pt>
                <c:pt idx="112">
                  <c:v>10962.38</c:v>
                </c:pt>
                <c:pt idx="113">
                  <c:v>10960.98</c:v>
                </c:pt>
                <c:pt idx="114">
                  <c:v>10938.5</c:v>
                </c:pt>
                <c:pt idx="115">
                  <c:v>10936.66</c:v>
                </c:pt>
                <c:pt idx="116">
                  <c:v>10993.7</c:v>
                </c:pt>
                <c:pt idx="117">
                  <c:v>10993.26</c:v>
                </c:pt>
                <c:pt idx="118">
                  <c:v>11130.86</c:v>
                </c:pt>
                <c:pt idx="119">
                  <c:v>11111.54</c:v>
                </c:pt>
                <c:pt idx="120">
                  <c:v>11820.38</c:v>
                </c:pt>
                <c:pt idx="121">
                  <c:v>11851.42</c:v>
                </c:pt>
                <c:pt idx="122">
                  <c:v>12028.38</c:v>
                </c:pt>
                <c:pt idx="123">
                  <c:v>12292.03</c:v>
                </c:pt>
                <c:pt idx="124">
                  <c:v>12291.33</c:v>
                </c:pt>
                <c:pt idx="125">
                  <c:v>12272.38</c:v>
                </c:pt>
                <c:pt idx="126">
                  <c:v>11940.28</c:v>
                </c:pt>
                <c:pt idx="127">
                  <c:v>12129.13</c:v>
                </c:pt>
                <c:pt idx="128">
                  <c:v>12092.43</c:v>
                </c:pt>
                <c:pt idx="129">
                  <c:v>12092.13</c:v>
                </c:pt>
                <c:pt idx="130">
                  <c:v>12014.18</c:v>
                </c:pt>
                <c:pt idx="131">
                  <c:v>12012.88</c:v>
                </c:pt>
                <c:pt idx="132">
                  <c:v>11959.48</c:v>
                </c:pt>
                <c:pt idx="133">
                  <c:v>11958.33</c:v>
                </c:pt>
                <c:pt idx="134">
                  <c:v>11890.43</c:v>
                </c:pt>
                <c:pt idx="135">
                  <c:v>11780.18</c:v>
                </c:pt>
                <c:pt idx="136">
                  <c:v>11747.73</c:v>
                </c:pt>
                <c:pt idx="137">
                  <c:v>11824.18</c:v>
                </c:pt>
                <c:pt idx="138">
                  <c:v>11756.78</c:v>
                </c:pt>
                <c:pt idx="139">
                  <c:v>11756.48</c:v>
                </c:pt>
                <c:pt idx="140">
                  <c:v>11669.73</c:v>
                </c:pt>
                <c:pt idx="141">
                  <c:v>11662.63</c:v>
                </c:pt>
                <c:pt idx="142">
                  <c:v>11659.93</c:v>
                </c:pt>
                <c:pt idx="143">
                  <c:v>11368.03</c:v>
                </c:pt>
                <c:pt idx="144">
                  <c:v>11305.43</c:v>
                </c:pt>
                <c:pt idx="145">
                  <c:v>11462.88</c:v>
                </c:pt>
                <c:pt idx="146">
                  <c:v>11345.18</c:v>
                </c:pt>
                <c:pt idx="147">
                  <c:v>11280.53</c:v>
                </c:pt>
                <c:pt idx="148">
                  <c:v>11279.28</c:v>
                </c:pt>
                <c:pt idx="149">
                  <c:v>11354.04</c:v>
                </c:pt>
                <c:pt idx="150">
                  <c:v>11580.44</c:v>
                </c:pt>
                <c:pt idx="151">
                  <c:v>11577.34</c:v>
                </c:pt>
                <c:pt idx="152">
                  <c:v>11337.54</c:v>
                </c:pt>
                <c:pt idx="153">
                  <c:v>11306.78</c:v>
                </c:pt>
                <c:pt idx="154">
                  <c:v>11274.42</c:v>
                </c:pt>
                <c:pt idx="155">
                  <c:v>11273.66</c:v>
                </c:pt>
                <c:pt idx="156">
                  <c:v>11220.62</c:v>
                </c:pt>
                <c:pt idx="157">
                  <c:v>11157.18</c:v>
                </c:pt>
                <c:pt idx="158">
                  <c:v>11111.93</c:v>
                </c:pt>
                <c:pt idx="159">
                  <c:v>11047.53</c:v>
                </c:pt>
                <c:pt idx="160">
                  <c:v>11141.48</c:v>
                </c:pt>
                <c:pt idx="161">
                  <c:v>11140.98</c:v>
                </c:pt>
                <c:pt idx="162">
                  <c:v>11255.93</c:v>
                </c:pt>
                <c:pt idx="163">
                  <c:v>12328.93</c:v>
                </c:pt>
                <c:pt idx="164">
                  <c:v>12328.73</c:v>
                </c:pt>
                <c:pt idx="165">
                  <c:v>12326.98</c:v>
                </c:pt>
                <c:pt idx="166">
                  <c:v>12417.73</c:v>
                </c:pt>
                <c:pt idx="167">
                  <c:v>12289.58</c:v>
                </c:pt>
                <c:pt idx="168">
                  <c:v>12413.48</c:v>
                </c:pt>
                <c:pt idx="169">
                  <c:v>12385.38</c:v>
                </c:pt>
                <c:pt idx="170">
                  <c:v>12348.78</c:v>
                </c:pt>
                <c:pt idx="171">
                  <c:v>12431.83</c:v>
                </c:pt>
                <c:pt idx="172">
                  <c:v>12431.08</c:v>
                </c:pt>
                <c:pt idx="173">
                  <c:v>12404.28</c:v>
                </c:pt>
                <c:pt idx="174">
                  <c:v>12379.03</c:v>
                </c:pt>
                <c:pt idx="175">
                  <c:v>12488.33</c:v>
                </c:pt>
                <c:pt idx="176">
                  <c:v>12398.78</c:v>
                </c:pt>
                <c:pt idx="177">
                  <c:v>12328.43</c:v>
                </c:pt>
                <c:pt idx="178">
                  <c:v>12566.13</c:v>
                </c:pt>
                <c:pt idx="179">
                  <c:v>12517.48</c:v>
                </c:pt>
                <c:pt idx="180">
                  <c:v>12506.68</c:v>
                </c:pt>
                <c:pt idx="181">
                  <c:v>12676.03</c:v>
                </c:pt>
                <c:pt idx="182">
                  <c:v>12675.88</c:v>
                </c:pt>
                <c:pt idx="183">
                  <c:v>12672.38</c:v>
                </c:pt>
                <c:pt idx="184">
                  <c:v>12661.23</c:v>
                </c:pt>
                <c:pt idx="185">
                  <c:v>12636.23</c:v>
                </c:pt>
                <c:pt idx="186">
                  <c:v>12403.48</c:v>
                </c:pt>
                <c:pt idx="187">
                  <c:v>12335.18</c:v>
                </c:pt>
                <c:pt idx="188">
                  <c:v>12465.33</c:v>
                </c:pt>
                <c:pt idx="189">
                  <c:v>12654.53</c:v>
                </c:pt>
                <c:pt idx="190">
                  <c:v>12868.63</c:v>
                </c:pt>
                <c:pt idx="191">
                  <c:v>12867.93</c:v>
                </c:pt>
                <c:pt idx="192">
                  <c:v>13002.58</c:v>
                </c:pt>
                <c:pt idx="193">
                  <c:v>13065.98</c:v>
                </c:pt>
                <c:pt idx="194">
                  <c:v>12932.6</c:v>
                </c:pt>
                <c:pt idx="195">
                  <c:v>12897.25</c:v>
                </c:pt>
                <c:pt idx="196">
                  <c:v>12838.75</c:v>
                </c:pt>
                <c:pt idx="197">
                  <c:v>12711.85</c:v>
                </c:pt>
                <c:pt idx="198">
                  <c:v>12701.3</c:v>
                </c:pt>
                <c:pt idx="199">
                  <c:v>12797.65</c:v>
                </c:pt>
                <c:pt idx="200">
                  <c:v>12736.15</c:v>
                </c:pt>
                <c:pt idx="201">
                  <c:v>12772.65</c:v>
                </c:pt>
                <c:pt idx="202">
                  <c:v>12770.55</c:v>
                </c:pt>
                <c:pt idx="203">
                  <c:v>12806.8</c:v>
                </c:pt>
                <c:pt idx="204">
                  <c:v>12787.35</c:v>
                </c:pt>
                <c:pt idx="205">
                  <c:v>12784.3</c:v>
                </c:pt>
                <c:pt idx="206">
                  <c:v>12752.8</c:v>
                </c:pt>
                <c:pt idx="207">
                  <c:v>12928.65</c:v>
                </c:pt>
                <c:pt idx="208">
                  <c:v>12851.8</c:v>
                </c:pt>
                <c:pt idx="209">
                  <c:v>12798.85</c:v>
                </c:pt>
                <c:pt idx="210">
                  <c:v>12775.4</c:v>
                </c:pt>
                <c:pt idx="211">
                  <c:v>12702.85</c:v>
                </c:pt>
                <c:pt idx="212">
                  <c:v>12662.4</c:v>
                </c:pt>
                <c:pt idx="213">
                  <c:v>12496.05</c:v>
                </c:pt>
                <c:pt idx="214">
                  <c:v>12442.2</c:v>
                </c:pt>
                <c:pt idx="215">
                  <c:v>12502.7</c:v>
                </c:pt>
                <c:pt idx="216">
                  <c:v>12502.7</c:v>
                </c:pt>
                <c:pt idx="217">
                  <c:v>12502.6</c:v>
                </c:pt>
                <c:pt idx="218">
                  <c:v>12502.6</c:v>
                </c:pt>
                <c:pt idx="219">
                  <c:v>12479.3</c:v>
                </c:pt>
                <c:pt idx="220">
                  <c:v>12641.65</c:v>
                </c:pt>
                <c:pt idx="221">
                  <c:v>12612.8</c:v>
                </c:pt>
                <c:pt idx="222">
                  <c:v>12524</c:v>
                </c:pt>
                <c:pt idx="223">
                  <c:v>12472.6</c:v>
                </c:pt>
                <c:pt idx="224">
                  <c:v>12602.8</c:v>
                </c:pt>
                <c:pt idx="225">
                  <c:v>12535.55</c:v>
                </c:pt>
                <c:pt idx="226">
                  <c:v>12574.9</c:v>
                </c:pt>
                <c:pt idx="227">
                  <c:v>12554.78</c:v>
                </c:pt>
                <c:pt idx="228">
                  <c:v>12553.7</c:v>
                </c:pt>
                <c:pt idx="229">
                  <c:v>12511.7</c:v>
                </c:pt>
                <c:pt idx="230">
                  <c:v>12641.35</c:v>
                </c:pt>
                <c:pt idx="231">
                  <c:v>12701.35</c:v>
                </c:pt>
                <c:pt idx="232">
                  <c:v>12778.1</c:v>
                </c:pt>
                <c:pt idx="233">
                  <c:v>12822.25</c:v>
                </c:pt>
                <c:pt idx="234">
                  <c:v>12775.9</c:v>
                </c:pt>
                <c:pt idx="235">
                  <c:v>12991.7</c:v>
                </c:pt>
                <c:pt idx="236">
                  <c:v>12988.8</c:v>
                </c:pt>
                <c:pt idx="237">
                  <c:v>12988.5</c:v>
                </c:pt>
                <c:pt idx="238">
                  <c:v>12988.35</c:v>
                </c:pt>
                <c:pt idx="239">
                  <c:v>13078.75</c:v>
                </c:pt>
                <c:pt idx="240">
                  <c:v>13354</c:v>
                </c:pt>
                <c:pt idx="241">
                  <c:v>13331.95</c:v>
                </c:pt>
                <c:pt idx="242">
                  <c:v>13257.2</c:v>
                </c:pt>
                <c:pt idx="243">
                  <c:v>13220.7</c:v>
                </c:pt>
                <c:pt idx="244">
                  <c:v>13220.7</c:v>
                </c:pt>
                <c:pt idx="245">
                  <c:v>13132</c:v>
                </c:pt>
                <c:pt idx="246">
                  <c:v>13064.4</c:v>
                </c:pt>
                <c:pt idx="247">
                  <c:v>13030.9</c:v>
                </c:pt>
                <c:pt idx="248">
                  <c:v>13028.8</c:v>
                </c:pt>
                <c:pt idx="249">
                  <c:v>13012.05</c:v>
                </c:pt>
                <c:pt idx="250">
                  <c:v>13170.65</c:v>
                </c:pt>
                <c:pt idx="251">
                  <c:v>13144.25</c:v>
                </c:pt>
                <c:pt idx="252">
                  <c:v>13254.3</c:v>
                </c:pt>
                <c:pt idx="253">
                  <c:v>13221.9</c:v>
                </c:pt>
                <c:pt idx="254">
                  <c:v>13221.7</c:v>
                </c:pt>
                <c:pt idx="255">
                  <c:v>13180.5</c:v>
                </c:pt>
                <c:pt idx="256">
                  <c:v>13178</c:v>
                </c:pt>
                <c:pt idx="257">
                  <c:v>13230.5</c:v>
                </c:pt>
                <c:pt idx="258">
                  <c:v>13273.65</c:v>
                </c:pt>
                <c:pt idx="259">
                  <c:v>13264.2</c:v>
                </c:pt>
                <c:pt idx="260">
                  <c:v>13347.5</c:v>
                </c:pt>
                <c:pt idx="261">
                  <c:v>13313.05</c:v>
                </c:pt>
                <c:pt idx="262">
                  <c:v>13300.95</c:v>
                </c:pt>
                <c:pt idx="263">
                  <c:v>13284.7</c:v>
                </c:pt>
                <c:pt idx="264">
                  <c:v>13262</c:v>
                </c:pt>
                <c:pt idx="265">
                  <c:v>13037.5</c:v>
                </c:pt>
                <c:pt idx="266">
                  <c:v>13031.15</c:v>
                </c:pt>
                <c:pt idx="267">
                  <c:v>13030.99</c:v>
                </c:pt>
                <c:pt idx="268">
                  <c:v>13003.15</c:v>
                </c:pt>
                <c:pt idx="269">
                  <c:v>13059.07</c:v>
                </c:pt>
                <c:pt idx="270">
                  <c:v>13024.97</c:v>
                </c:pt>
                <c:pt idx="271">
                  <c:v>12999.32</c:v>
                </c:pt>
                <c:pt idx="272">
                  <c:v>12942.68</c:v>
                </c:pt>
                <c:pt idx="273">
                  <c:v>12941.78</c:v>
                </c:pt>
                <c:pt idx="274">
                  <c:v>12904.08</c:v>
                </c:pt>
                <c:pt idx="275">
                  <c:v>12960.32</c:v>
                </c:pt>
                <c:pt idx="276">
                  <c:v>12923.2</c:v>
                </c:pt>
                <c:pt idx="277">
                  <c:v>12900.4</c:v>
                </c:pt>
                <c:pt idx="278">
                  <c:v>13007.28</c:v>
                </c:pt>
                <c:pt idx="279">
                  <c:v>12922.08</c:v>
                </c:pt>
                <c:pt idx="280">
                  <c:v>12919.92</c:v>
                </c:pt>
                <c:pt idx="281">
                  <c:v>12918.96</c:v>
                </c:pt>
                <c:pt idx="282">
                  <c:v>12918.64</c:v>
                </c:pt>
                <c:pt idx="283">
                  <c:v>12898.04</c:v>
                </c:pt>
                <c:pt idx="284">
                  <c:v>13039.52</c:v>
                </c:pt>
                <c:pt idx="285">
                  <c:v>13019.48</c:v>
                </c:pt>
                <c:pt idx="286">
                  <c:v>12999.56</c:v>
                </c:pt>
                <c:pt idx="287">
                  <c:v>12970.48</c:v>
                </c:pt>
                <c:pt idx="288">
                  <c:v>12952.12</c:v>
                </c:pt>
                <c:pt idx="289">
                  <c:v>12932.28</c:v>
                </c:pt>
                <c:pt idx="290">
                  <c:v>12917.04</c:v>
                </c:pt>
                <c:pt idx="291">
                  <c:v>12967.16</c:v>
                </c:pt>
                <c:pt idx="292">
                  <c:v>12930.96</c:v>
                </c:pt>
                <c:pt idx="293">
                  <c:v>12911.96</c:v>
                </c:pt>
                <c:pt idx="294">
                  <c:v>12910.68</c:v>
                </c:pt>
                <c:pt idx="295">
                  <c:v>12885.08</c:v>
                </c:pt>
                <c:pt idx="296">
                  <c:v>12682.04</c:v>
                </c:pt>
                <c:pt idx="297">
                  <c:v>12681.4</c:v>
                </c:pt>
                <c:pt idx="298">
                  <c:v>12618.24</c:v>
                </c:pt>
                <c:pt idx="299">
                  <c:v>12678.44</c:v>
                </c:pt>
                <c:pt idx="300">
                  <c:v>12779.68</c:v>
                </c:pt>
                <c:pt idx="301">
                  <c:v>12779.48</c:v>
                </c:pt>
                <c:pt idx="302">
                  <c:v>12743.56</c:v>
                </c:pt>
                <c:pt idx="303">
                  <c:v>12811.4</c:v>
                </c:pt>
                <c:pt idx="304">
                  <c:v>12843.64</c:v>
                </c:pt>
                <c:pt idx="305">
                  <c:v>12843.4</c:v>
                </c:pt>
                <c:pt idx="306">
                  <c:v>12956.72</c:v>
                </c:pt>
                <c:pt idx="307">
                  <c:v>13098.08</c:v>
                </c:pt>
                <c:pt idx="308">
                  <c:v>13127.88</c:v>
                </c:pt>
                <c:pt idx="309">
                  <c:v>13110.08</c:v>
                </c:pt>
                <c:pt idx="310">
                  <c:v>13154.76</c:v>
                </c:pt>
                <c:pt idx="311">
                  <c:v>13220.08</c:v>
                </c:pt>
                <c:pt idx="312">
                  <c:v>13219.96</c:v>
                </c:pt>
                <c:pt idx="313">
                  <c:v>13192.64</c:v>
                </c:pt>
                <c:pt idx="314">
                  <c:v>13268.92</c:v>
                </c:pt>
                <c:pt idx="315">
                  <c:v>13248.44</c:v>
                </c:pt>
                <c:pt idx="316">
                  <c:v>13236.52</c:v>
                </c:pt>
                <c:pt idx="317">
                  <c:v>13348.88</c:v>
                </c:pt>
                <c:pt idx="318">
                  <c:v>13391.4</c:v>
                </c:pt>
                <c:pt idx="319">
                  <c:v>13367.08</c:v>
                </c:pt>
                <c:pt idx="320">
                  <c:v>13531.08</c:v>
                </c:pt>
                <c:pt idx="321">
                  <c:v>13659.16</c:v>
                </c:pt>
                <c:pt idx="322">
                  <c:v>13770.96</c:v>
                </c:pt>
                <c:pt idx="323">
                  <c:v>13770.28</c:v>
                </c:pt>
                <c:pt idx="324">
                  <c:v>13805.92</c:v>
                </c:pt>
                <c:pt idx="325">
                  <c:v>13760.08</c:v>
                </c:pt>
                <c:pt idx="326">
                  <c:v>13719.44</c:v>
                </c:pt>
                <c:pt idx="327">
                  <c:v>13719.36</c:v>
                </c:pt>
                <c:pt idx="328">
                  <c:v>13690.68</c:v>
                </c:pt>
                <c:pt idx="329">
                  <c:v>13669.76</c:v>
                </c:pt>
                <c:pt idx="330">
                  <c:v>13662.92</c:v>
                </c:pt>
                <c:pt idx="331">
                  <c:v>13630.96</c:v>
                </c:pt>
                <c:pt idx="332">
                  <c:v>13630.84</c:v>
                </c:pt>
                <c:pt idx="333">
                  <c:v>13619.88</c:v>
                </c:pt>
                <c:pt idx="334">
                  <c:v>13675</c:v>
                </c:pt>
                <c:pt idx="335">
                  <c:v>13618.04</c:v>
                </c:pt>
                <c:pt idx="336">
                  <c:v>13560.48</c:v>
                </c:pt>
                <c:pt idx="337">
                  <c:v>13600.64</c:v>
                </c:pt>
                <c:pt idx="338">
                  <c:v>13600.56</c:v>
                </c:pt>
                <c:pt idx="339">
                  <c:v>13600.16</c:v>
                </c:pt>
                <c:pt idx="340">
                  <c:v>13586.2</c:v>
                </c:pt>
                <c:pt idx="341">
                  <c:v>13530.52</c:v>
                </c:pt>
                <c:pt idx="342">
                  <c:v>13530.44</c:v>
                </c:pt>
                <c:pt idx="343">
                  <c:v>13604.2</c:v>
                </c:pt>
                <c:pt idx="344">
                  <c:v>13658.08</c:v>
                </c:pt>
                <c:pt idx="345">
                  <c:v>13704.28</c:v>
                </c:pt>
                <c:pt idx="346">
                  <c:v>13588.28</c:v>
                </c:pt>
                <c:pt idx="347">
                  <c:v>13588.2</c:v>
                </c:pt>
                <c:pt idx="348">
                  <c:v>13558.8</c:v>
                </c:pt>
                <c:pt idx="349">
                  <c:v>13543.32</c:v>
                </c:pt>
                <c:pt idx="350">
                  <c:v>13502.68</c:v>
                </c:pt>
                <c:pt idx="351">
                  <c:v>13499.08</c:v>
                </c:pt>
                <c:pt idx="352">
                  <c:v>13448.84</c:v>
                </c:pt>
                <c:pt idx="353">
                  <c:v>13385.6</c:v>
                </c:pt>
                <c:pt idx="354">
                  <c:v>13568.4</c:v>
                </c:pt>
                <c:pt idx="355">
                  <c:v>13567.28</c:v>
                </c:pt>
                <c:pt idx="356">
                  <c:v>13535.44</c:v>
                </c:pt>
                <c:pt idx="357">
                  <c:v>13524.36</c:v>
                </c:pt>
                <c:pt idx="358">
                  <c:v>13523.72</c:v>
                </c:pt>
                <c:pt idx="359">
                  <c:v>13509.44</c:v>
                </c:pt>
                <c:pt idx="360">
                  <c:v>13571.36</c:v>
                </c:pt>
                <c:pt idx="361">
                  <c:v>13624</c:v>
                </c:pt>
                <c:pt idx="362">
                  <c:v>13623.92</c:v>
                </c:pt>
                <c:pt idx="363">
                  <c:v>13565.96</c:v>
                </c:pt>
                <c:pt idx="364">
                  <c:v>13453</c:v>
                </c:pt>
                <c:pt idx="365">
                  <c:v>13399.8</c:v>
                </c:pt>
                <c:pt idx="366">
                  <c:v>13373.76</c:v>
                </c:pt>
                <c:pt idx="367">
                  <c:v>13432.6</c:v>
                </c:pt>
                <c:pt idx="368">
                  <c:v>13421.6</c:v>
                </c:pt>
                <c:pt idx="369">
                  <c:v>13421.16</c:v>
                </c:pt>
                <c:pt idx="370">
                  <c:v>13402.2</c:v>
                </c:pt>
                <c:pt idx="371">
                  <c:v>13331.72</c:v>
                </c:pt>
                <c:pt idx="372">
                  <c:v>13314.08</c:v>
                </c:pt>
                <c:pt idx="373">
                  <c:v>13293.08</c:v>
                </c:pt>
                <c:pt idx="374">
                  <c:v>13291.92</c:v>
                </c:pt>
                <c:pt idx="375">
                  <c:v>13291.88</c:v>
                </c:pt>
                <c:pt idx="376">
                  <c:v>13291.36</c:v>
                </c:pt>
                <c:pt idx="377">
                  <c:v>13259.12</c:v>
                </c:pt>
                <c:pt idx="378">
                  <c:v>13242.2</c:v>
                </c:pt>
                <c:pt idx="379">
                  <c:v>13241.96</c:v>
                </c:pt>
                <c:pt idx="380">
                  <c:v>13227.68</c:v>
                </c:pt>
                <c:pt idx="381">
                  <c:v>13161.16</c:v>
                </c:pt>
                <c:pt idx="382">
                  <c:v>13219.08</c:v>
                </c:pt>
                <c:pt idx="383">
                  <c:v>13157.68</c:v>
                </c:pt>
                <c:pt idx="384">
                  <c:v>13100.96</c:v>
                </c:pt>
                <c:pt idx="385">
                  <c:v>13077.04</c:v>
                </c:pt>
                <c:pt idx="386">
                  <c:v>13059.76</c:v>
                </c:pt>
                <c:pt idx="387">
                  <c:v>13167.52</c:v>
                </c:pt>
                <c:pt idx="388">
                  <c:v>13165.72</c:v>
                </c:pt>
                <c:pt idx="389">
                  <c:v>13165.68</c:v>
                </c:pt>
                <c:pt idx="390">
                  <c:v>13317.04</c:v>
                </c:pt>
                <c:pt idx="391">
                  <c:v>13297.04</c:v>
                </c:pt>
                <c:pt idx="392">
                  <c:v>13232.96</c:v>
                </c:pt>
                <c:pt idx="393">
                  <c:v>13206.92</c:v>
                </c:pt>
                <c:pt idx="394">
                  <c:v>13180.56</c:v>
                </c:pt>
                <c:pt idx="395">
                  <c:v>12935.08</c:v>
                </c:pt>
                <c:pt idx="396">
                  <c:v>13119.84</c:v>
                </c:pt>
                <c:pt idx="397">
                  <c:v>13080.88</c:v>
                </c:pt>
                <c:pt idx="398">
                  <c:v>13062.48</c:v>
                </c:pt>
                <c:pt idx="399">
                  <c:v>13012.12</c:v>
                </c:pt>
                <c:pt idx="400">
                  <c:v>13007.6</c:v>
                </c:pt>
                <c:pt idx="401">
                  <c:v>13005.4</c:v>
                </c:pt>
                <c:pt idx="402">
                  <c:v>13002.76</c:v>
                </c:pt>
                <c:pt idx="403">
                  <c:v>13002.48</c:v>
                </c:pt>
                <c:pt idx="404">
                  <c:v>12999.12</c:v>
                </c:pt>
                <c:pt idx="405">
                  <c:v>13105.92</c:v>
                </c:pt>
                <c:pt idx="406">
                  <c:v>13104.48</c:v>
                </c:pt>
                <c:pt idx="407">
                  <c:v>13104.12</c:v>
                </c:pt>
                <c:pt idx="408">
                  <c:v>13102</c:v>
                </c:pt>
                <c:pt idx="409">
                  <c:v>13246.68</c:v>
                </c:pt>
                <c:pt idx="410">
                  <c:v>13432.08</c:v>
                </c:pt>
                <c:pt idx="411">
                  <c:v>13594.04</c:v>
                </c:pt>
                <c:pt idx="412">
                  <c:v>13592.28</c:v>
                </c:pt>
                <c:pt idx="413">
                  <c:v>13532.48</c:v>
                </c:pt>
                <c:pt idx="414">
                  <c:v>13606.56</c:v>
                </c:pt>
                <c:pt idx="415">
                  <c:v>13606.44</c:v>
                </c:pt>
                <c:pt idx="416">
                  <c:v>13567.44</c:v>
                </c:pt>
                <c:pt idx="417">
                  <c:v>13637.68</c:v>
                </c:pt>
                <c:pt idx="418">
                  <c:v>13605.56</c:v>
                </c:pt>
                <c:pt idx="419">
                  <c:v>13601.68</c:v>
                </c:pt>
                <c:pt idx="420">
                  <c:v>13550.88</c:v>
                </c:pt>
                <c:pt idx="421">
                  <c:v>13582.8</c:v>
                </c:pt>
                <c:pt idx="422">
                  <c:v>13673.56</c:v>
                </c:pt>
                <c:pt idx="423">
                  <c:v>13694.52</c:v>
                </c:pt>
                <c:pt idx="424">
                  <c:v>13727.16</c:v>
                </c:pt>
                <c:pt idx="425">
                  <c:v>13709.52</c:v>
                </c:pt>
                <c:pt idx="426">
                  <c:v>13707.64</c:v>
                </c:pt>
                <c:pt idx="427">
                  <c:v>13851.44</c:v>
                </c:pt>
                <c:pt idx="428">
                  <c:v>13841.24</c:v>
                </c:pt>
                <c:pt idx="429">
                  <c:v>13983.8</c:v>
                </c:pt>
                <c:pt idx="430">
                  <c:v>13983.72</c:v>
                </c:pt>
                <c:pt idx="431">
                  <c:v>13970.84</c:v>
                </c:pt>
                <c:pt idx="432">
                  <c:v>13954.88</c:v>
                </c:pt>
                <c:pt idx="433">
                  <c:v>13954</c:v>
                </c:pt>
                <c:pt idx="434">
                  <c:v>14130.04</c:v>
                </c:pt>
                <c:pt idx="435">
                  <c:v>14094.36</c:v>
                </c:pt>
                <c:pt idx="436">
                  <c:v>14083.12</c:v>
                </c:pt>
                <c:pt idx="437">
                  <c:v>14069.92</c:v>
                </c:pt>
                <c:pt idx="438">
                  <c:v>14065.76</c:v>
                </c:pt>
                <c:pt idx="439">
                  <c:v>14064.32</c:v>
                </c:pt>
                <c:pt idx="440">
                  <c:v>13977</c:v>
                </c:pt>
                <c:pt idx="441">
                  <c:v>14013.32</c:v>
                </c:pt>
                <c:pt idx="442">
                  <c:v>14063.4</c:v>
                </c:pt>
                <c:pt idx="443">
                  <c:v>14082.24</c:v>
                </c:pt>
                <c:pt idx="444">
                  <c:v>14051.84</c:v>
                </c:pt>
                <c:pt idx="445">
                  <c:v>14051</c:v>
                </c:pt>
                <c:pt idx="446">
                  <c:v>14050.92</c:v>
                </c:pt>
                <c:pt idx="447">
                  <c:v>14066.4</c:v>
                </c:pt>
                <c:pt idx="448">
                  <c:v>14199.6</c:v>
                </c:pt>
                <c:pt idx="449">
                  <c:v>14186.12</c:v>
                </c:pt>
                <c:pt idx="450">
                  <c:v>14185.48</c:v>
                </c:pt>
                <c:pt idx="451">
                  <c:v>14134.52</c:v>
                </c:pt>
                <c:pt idx="452">
                  <c:v>14149.12</c:v>
                </c:pt>
                <c:pt idx="453">
                  <c:v>14121.4</c:v>
                </c:pt>
                <c:pt idx="454">
                  <c:v>14187.04</c:v>
                </c:pt>
                <c:pt idx="455">
                  <c:v>14234.96</c:v>
                </c:pt>
                <c:pt idx="456">
                  <c:v>14234.32</c:v>
                </c:pt>
                <c:pt idx="457">
                  <c:v>14256.52</c:v>
                </c:pt>
                <c:pt idx="458">
                  <c:v>14352.2</c:v>
                </c:pt>
                <c:pt idx="459">
                  <c:v>14351.88</c:v>
                </c:pt>
                <c:pt idx="460">
                  <c:v>14422.72</c:v>
                </c:pt>
                <c:pt idx="461">
                  <c:v>14405.16</c:v>
                </c:pt>
                <c:pt idx="462">
                  <c:v>14330.4</c:v>
                </c:pt>
                <c:pt idx="463">
                  <c:v>14330.16</c:v>
                </c:pt>
                <c:pt idx="464">
                  <c:v>14330.08</c:v>
                </c:pt>
                <c:pt idx="465">
                  <c:v>14307.4</c:v>
                </c:pt>
                <c:pt idx="466">
                  <c:v>14288.8</c:v>
                </c:pt>
                <c:pt idx="467">
                  <c:v>14281.52</c:v>
                </c:pt>
                <c:pt idx="468">
                  <c:v>14279.92</c:v>
                </c:pt>
                <c:pt idx="469">
                  <c:v>14259.12</c:v>
                </c:pt>
                <c:pt idx="470">
                  <c:v>14363.96</c:v>
                </c:pt>
                <c:pt idx="471">
                  <c:v>14306.12</c:v>
                </c:pt>
                <c:pt idx="472">
                  <c:v>14303.88</c:v>
                </c:pt>
                <c:pt idx="473">
                  <c:v>14288.04</c:v>
                </c:pt>
                <c:pt idx="474">
                  <c:v>14287.92</c:v>
                </c:pt>
                <c:pt idx="475">
                  <c:v>14666.16</c:v>
                </c:pt>
                <c:pt idx="476">
                  <c:v>15038.28</c:v>
                </c:pt>
                <c:pt idx="477">
                  <c:v>15038.24</c:v>
                </c:pt>
                <c:pt idx="478">
                  <c:v>15038.04</c:v>
                </c:pt>
                <c:pt idx="479">
                  <c:v>15036.84</c:v>
                </c:pt>
                <c:pt idx="480">
                  <c:v>15035.36</c:v>
                </c:pt>
                <c:pt idx="481">
                  <c:v>15034.68</c:v>
                </c:pt>
                <c:pt idx="482">
                  <c:v>15033.64</c:v>
                </c:pt>
                <c:pt idx="483">
                  <c:v>15021.12</c:v>
                </c:pt>
                <c:pt idx="484">
                  <c:v>15020.84</c:v>
                </c:pt>
                <c:pt idx="485">
                  <c:v>15019.8</c:v>
                </c:pt>
                <c:pt idx="486">
                  <c:v>15248.64</c:v>
                </c:pt>
                <c:pt idx="487">
                  <c:v>15248.24</c:v>
                </c:pt>
                <c:pt idx="488">
                  <c:v>15199.92</c:v>
                </c:pt>
                <c:pt idx="489">
                  <c:v>15620.68</c:v>
                </c:pt>
                <c:pt idx="490">
                  <c:v>15685</c:v>
                </c:pt>
                <c:pt idx="491">
                  <c:v>15683.16</c:v>
                </c:pt>
                <c:pt idx="492">
                  <c:v>15647.04</c:v>
                </c:pt>
                <c:pt idx="493">
                  <c:v>15647.04</c:v>
                </c:pt>
                <c:pt idx="494">
                  <c:v>15646.48</c:v>
                </c:pt>
                <c:pt idx="495">
                  <c:v>15644.88</c:v>
                </c:pt>
                <c:pt idx="496">
                  <c:v>15616.64</c:v>
                </c:pt>
                <c:pt idx="497">
                  <c:v>15597.52</c:v>
                </c:pt>
                <c:pt idx="498">
                  <c:v>15565.36</c:v>
                </c:pt>
                <c:pt idx="499">
                  <c:v>15561.64</c:v>
                </c:pt>
                <c:pt idx="500">
                  <c:v>15404</c:v>
                </c:pt>
                <c:pt idx="501">
                  <c:v>15332.36</c:v>
                </c:pt>
                <c:pt idx="502">
                  <c:v>15332.32</c:v>
                </c:pt>
                <c:pt idx="503">
                  <c:v>15307.84</c:v>
                </c:pt>
                <c:pt idx="504">
                  <c:v>15566.28</c:v>
                </c:pt>
                <c:pt idx="505">
                  <c:v>15484.48</c:v>
                </c:pt>
                <c:pt idx="506">
                  <c:v>15484.2</c:v>
                </c:pt>
                <c:pt idx="507">
                  <c:v>15428.44</c:v>
                </c:pt>
                <c:pt idx="508">
                  <c:v>15412.76</c:v>
                </c:pt>
                <c:pt idx="509">
                  <c:v>15384.8</c:v>
                </c:pt>
                <c:pt idx="510">
                  <c:v>15453.56</c:v>
                </c:pt>
                <c:pt idx="511">
                  <c:v>15430.28</c:v>
                </c:pt>
                <c:pt idx="512">
                  <c:v>15429.72</c:v>
                </c:pt>
                <c:pt idx="513">
                  <c:v>15594.64</c:v>
                </c:pt>
                <c:pt idx="514">
                  <c:v>15756.64</c:v>
                </c:pt>
                <c:pt idx="515">
                  <c:v>15705.84</c:v>
                </c:pt>
                <c:pt idx="516">
                  <c:v>15673.8</c:v>
                </c:pt>
                <c:pt idx="517">
                  <c:v>15607.04</c:v>
                </c:pt>
                <c:pt idx="518">
                  <c:v>15523.28</c:v>
                </c:pt>
                <c:pt idx="519">
                  <c:v>15484.16</c:v>
                </c:pt>
                <c:pt idx="520">
                  <c:v>15483.44</c:v>
                </c:pt>
                <c:pt idx="521">
                  <c:v>15405.68</c:v>
                </c:pt>
                <c:pt idx="522">
                  <c:v>15388.88</c:v>
                </c:pt>
                <c:pt idx="523">
                  <c:v>15054.12</c:v>
                </c:pt>
                <c:pt idx="524">
                  <c:v>15149.08</c:v>
                </c:pt>
                <c:pt idx="525">
                  <c:v>15148.68</c:v>
                </c:pt>
                <c:pt idx="526">
                  <c:v>15089.64</c:v>
                </c:pt>
                <c:pt idx="527">
                  <c:v>15002.52</c:v>
                </c:pt>
                <c:pt idx="528">
                  <c:v>15223.24</c:v>
                </c:pt>
                <c:pt idx="529">
                  <c:v>15282.52</c:v>
                </c:pt>
                <c:pt idx="530">
                  <c:v>15212.64</c:v>
                </c:pt>
                <c:pt idx="531">
                  <c:v>15337.96</c:v>
                </c:pt>
                <c:pt idx="532">
                  <c:v>15337.08</c:v>
                </c:pt>
                <c:pt idx="533">
                  <c:v>15127.4</c:v>
                </c:pt>
                <c:pt idx="534">
                  <c:v>15124.28</c:v>
                </c:pt>
                <c:pt idx="535">
                  <c:v>15102.2</c:v>
                </c:pt>
                <c:pt idx="536">
                  <c:v>15100.84</c:v>
                </c:pt>
                <c:pt idx="537">
                  <c:v>14974.8</c:v>
                </c:pt>
                <c:pt idx="538">
                  <c:v>15162.36</c:v>
                </c:pt>
                <c:pt idx="539">
                  <c:v>15162.16</c:v>
                </c:pt>
                <c:pt idx="540">
                  <c:v>15136.84</c:v>
                </c:pt>
                <c:pt idx="541">
                  <c:v>15116.52</c:v>
                </c:pt>
                <c:pt idx="542">
                  <c:v>15133.92</c:v>
                </c:pt>
                <c:pt idx="543">
                  <c:v>15015.12</c:v>
                </c:pt>
                <c:pt idx="544">
                  <c:v>15013.28</c:v>
                </c:pt>
                <c:pt idx="545">
                  <c:v>14993.68</c:v>
                </c:pt>
                <c:pt idx="546">
                  <c:v>14986.8</c:v>
                </c:pt>
                <c:pt idx="547">
                  <c:v>14967.64</c:v>
                </c:pt>
                <c:pt idx="548">
                  <c:v>14956.12</c:v>
                </c:pt>
                <c:pt idx="549">
                  <c:v>14955.61</c:v>
                </c:pt>
                <c:pt idx="550">
                  <c:v>14949.64</c:v>
                </c:pt>
                <c:pt idx="551">
                  <c:v>15108.73</c:v>
                </c:pt>
                <c:pt idx="552">
                  <c:v>15035.81</c:v>
                </c:pt>
                <c:pt idx="553">
                  <c:v>15035.75</c:v>
                </c:pt>
                <c:pt idx="554">
                  <c:v>15035.36</c:v>
                </c:pt>
                <c:pt idx="555">
                  <c:v>14985</c:v>
                </c:pt>
                <c:pt idx="556">
                  <c:v>14965.77</c:v>
                </c:pt>
                <c:pt idx="557">
                  <c:v>15102.09</c:v>
                </c:pt>
                <c:pt idx="558">
                  <c:v>15175.25</c:v>
                </c:pt>
                <c:pt idx="559">
                  <c:v>15210.57</c:v>
                </c:pt>
                <c:pt idx="560">
                  <c:v>15192.49</c:v>
                </c:pt>
                <c:pt idx="561">
                  <c:v>15173.56</c:v>
                </c:pt>
                <c:pt idx="562">
                  <c:v>15076.75</c:v>
                </c:pt>
                <c:pt idx="563">
                  <c:v>15051.04</c:v>
                </c:pt>
                <c:pt idx="564">
                  <c:v>15050.74</c:v>
                </c:pt>
                <c:pt idx="565">
                  <c:v>15044.11</c:v>
                </c:pt>
                <c:pt idx="566">
                  <c:v>15248.95</c:v>
                </c:pt>
                <c:pt idx="567">
                  <c:v>15322.27</c:v>
                </c:pt>
                <c:pt idx="568">
                  <c:v>15321.97</c:v>
                </c:pt>
                <c:pt idx="569">
                  <c:v>15265.15</c:v>
                </c:pt>
                <c:pt idx="570">
                  <c:v>15240.7</c:v>
                </c:pt>
                <c:pt idx="571">
                  <c:v>15240.37</c:v>
                </c:pt>
                <c:pt idx="572">
                  <c:v>15239.02</c:v>
                </c:pt>
                <c:pt idx="573">
                  <c:v>15238.3</c:v>
                </c:pt>
                <c:pt idx="574">
                  <c:v>15235.57</c:v>
                </c:pt>
                <c:pt idx="575">
                  <c:v>15267.22</c:v>
                </c:pt>
                <c:pt idx="576">
                  <c:v>15267.22</c:v>
                </c:pt>
                <c:pt idx="577">
                  <c:v>15198.55</c:v>
                </c:pt>
                <c:pt idx="578">
                  <c:v>15185.92</c:v>
                </c:pt>
                <c:pt idx="579">
                  <c:v>15185.83</c:v>
                </c:pt>
                <c:pt idx="580">
                  <c:v>15177.46</c:v>
                </c:pt>
                <c:pt idx="581">
                  <c:v>15197.98</c:v>
                </c:pt>
                <c:pt idx="582">
                  <c:v>15159.49</c:v>
                </c:pt>
                <c:pt idx="583">
                  <c:v>15155.05</c:v>
                </c:pt>
                <c:pt idx="584">
                  <c:v>15152.47</c:v>
                </c:pt>
                <c:pt idx="585">
                  <c:v>15126.04</c:v>
                </c:pt>
                <c:pt idx="586">
                  <c:v>15070.66</c:v>
                </c:pt>
                <c:pt idx="587">
                  <c:v>15138.07</c:v>
                </c:pt>
                <c:pt idx="588">
                  <c:v>15136.36</c:v>
                </c:pt>
                <c:pt idx="589">
                  <c:v>15135.25</c:v>
                </c:pt>
                <c:pt idx="590">
                  <c:v>15059.11</c:v>
                </c:pt>
                <c:pt idx="591">
                  <c:v>15011.8</c:v>
                </c:pt>
                <c:pt idx="592">
                  <c:v>15009.67</c:v>
                </c:pt>
                <c:pt idx="593">
                  <c:v>14966.32</c:v>
                </c:pt>
                <c:pt idx="594">
                  <c:v>15018.22</c:v>
                </c:pt>
                <c:pt idx="595">
                  <c:v>14981.35</c:v>
                </c:pt>
                <c:pt idx="596">
                  <c:v>14936.32</c:v>
                </c:pt>
                <c:pt idx="597">
                  <c:v>14983.18</c:v>
                </c:pt>
                <c:pt idx="598">
                  <c:v>14982.34</c:v>
                </c:pt>
                <c:pt idx="599">
                  <c:v>14728.54</c:v>
                </c:pt>
                <c:pt idx="600">
                  <c:v>14666.82</c:v>
                </c:pt>
                <c:pt idx="601">
                  <c:v>14662.74</c:v>
                </c:pt>
                <c:pt idx="602">
                  <c:v>14549.54</c:v>
                </c:pt>
                <c:pt idx="603">
                  <c:v>14459.39</c:v>
                </c:pt>
                <c:pt idx="604">
                  <c:v>14522.24</c:v>
                </c:pt>
                <c:pt idx="605">
                  <c:v>14499.23</c:v>
                </c:pt>
                <c:pt idx="606">
                  <c:v>14564.51</c:v>
                </c:pt>
                <c:pt idx="607">
                  <c:v>14534.96</c:v>
                </c:pt>
                <c:pt idx="608">
                  <c:v>14514.23</c:v>
                </c:pt>
                <c:pt idx="609">
                  <c:v>14495.18</c:v>
                </c:pt>
                <c:pt idx="610">
                  <c:v>14469.71</c:v>
                </c:pt>
                <c:pt idx="611">
                  <c:v>14446.97</c:v>
                </c:pt>
                <c:pt idx="612">
                  <c:v>14445.47</c:v>
                </c:pt>
                <c:pt idx="613">
                  <c:v>14428.97</c:v>
                </c:pt>
                <c:pt idx="614">
                  <c:v>14546.63</c:v>
                </c:pt>
                <c:pt idx="615">
                  <c:v>14691.8</c:v>
                </c:pt>
                <c:pt idx="616">
                  <c:v>14647.73</c:v>
                </c:pt>
                <c:pt idx="617">
                  <c:v>14591.06</c:v>
                </c:pt>
                <c:pt idx="618">
                  <c:v>14589.59</c:v>
                </c:pt>
                <c:pt idx="619">
                  <c:v>14558.96</c:v>
                </c:pt>
                <c:pt idx="620">
                  <c:v>14558.33</c:v>
                </c:pt>
                <c:pt idx="621">
                  <c:v>14523.02</c:v>
                </c:pt>
                <c:pt idx="622">
                  <c:v>14484.44</c:v>
                </c:pt>
                <c:pt idx="623">
                  <c:v>14603.66</c:v>
                </c:pt>
                <c:pt idx="624">
                  <c:v>14601.59</c:v>
                </c:pt>
                <c:pt idx="625">
                  <c:v>14601.56</c:v>
                </c:pt>
                <c:pt idx="626">
                  <c:v>14600.84</c:v>
                </c:pt>
                <c:pt idx="627">
                  <c:v>14561.03</c:v>
                </c:pt>
                <c:pt idx="628">
                  <c:v>14559.32</c:v>
                </c:pt>
                <c:pt idx="629">
                  <c:v>14488.94</c:v>
                </c:pt>
                <c:pt idx="630">
                  <c:v>14517.77</c:v>
                </c:pt>
                <c:pt idx="631">
                  <c:v>14500.19</c:v>
                </c:pt>
                <c:pt idx="632">
                  <c:v>14643.26</c:v>
                </c:pt>
                <c:pt idx="633">
                  <c:v>14663.9</c:v>
                </c:pt>
                <c:pt idx="634">
                  <c:v>14603.63</c:v>
                </c:pt>
                <c:pt idx="635">
                  <c:v>14574.83</c:v>
                </c:pt>
                <c:pt idx="636">
                  <c:v>14611.07</c:v>
                </c:pt>
                <c:pt idx="637">
                  <c:v>14610.32</c:v>
                </c:pt>
                <c:pt idx="638">
                  <c:v>14708.72</c:v>
                </c:pt>
                <c:pt idx="639">
                  <c:v>14761.58</c:v>
                </c:pt>
                <c:pt idx="640">
                  <c:v>14741.18</c:v>
                </c:pt>
                <c:pt idx="641">
                  <c:v>14783.15</c:v>
                </c:pt>
                <c:pt idx="642">
                  <c:v>14782.85</c:v>
                </c:pt>
                <c:pt idx="643">
                  <c:v>14691.59</c:v>
                </c:pt>
                <c:pt idx="644">
                  <c:v>14613.62</c:v>
                </c:pt>
                <c:pt idx="645">
                  <c:v>14591.27</c:v>
                </c:pt>
                <c:pt idx="646">
                  <c:v>14480.3</c:v>
                </c:pt>
                <c:pt idx="647">
                  <c:v>14409.5</c:v>
                </c:pt>
                <c:pt idx="648">
                  <c:v>14408.93</c:v>
                </c:pt>
                <c:pt idx="649">
                  <c:v>14381.87</c:v>
                </c:pt>
                <c:pt idx="650">
                  <c:v>14368.31</c:v>
                </c:pt>
                <c:pt idx="651">
                  <c:v>14367.89</c:v>
                </c:pt>
                <c:pt idx="652">
                  <c:v>14367.29</c:v>
                </c:pt>
                <c:pt idx="653">
                  <c:v>14364.62</c:v>
                </c:pt>
                <c:pt idx="654">
                  <c:v>14316.92</c:v>
                </c:pt>
                <c:pt idx="655">
                  <c:v>14282.84</c:v>
                </c:pt>
                <c:pt idx="656">
                  <c:v>14224.49</c:v>
                </c:pt>
                <c:pt idx="657">
                  <c:v>14206.58</c:v>
                </c:pt>
                <c:pt idx="658">
                  <c:v>14174.78</c:v>
                </c:pt>
                <c:pt idx="659">
                  <c:v>14140.7</c:v>
                </c:pt>
                <c:pt idx="660">
                  <c:v>14127.59</c:v>
                </c:pt>
                <c:pt idx="661">
                  <c:v>14126.57</c:v>
                </c:pt>
                <c:pt idx="662">
                  <c:v>14261.48</c:v>
                </c:pt>
                <c:pt idx="663">
                  <c:v>14329.7</c:v>
                </c:pt>
                <c:pt idx="664">
                  <c:v>14313.68</c:v>
                </c:pt>
                <c:pt idx="665">
                  <c:v>14312.75</c:v>
                </c:pt>
                <c:pt idx="666">
                  <c:v>14410.49</c:v>
                </c:pt>
                <c:pt idx="667">
                  <c:v>14382.56</c:v>
                </c:pt>
                <c:pt idx="668">
                  <c:v>14477.09</c:v>
                </c:pt>
                <c:pt idx="669">
                  <c:v>14476.43</c:v>
                </c:pt>
                <c:pt idx="670">
                  <c:v>14419.46</c:v>
                </c:pt>
                <c:pt idx="671">
                  <c:v>14399.6</c:v>
                </c:pt>
                <c:pt idx="672">
                  <c:v>14509.37</c:v>
                </c:pt>
                <c:pt idx="673">
                  <c:v>14489.87</c:v>
                </c:pt>
                <c:pt idx="674">
                  <c:v>14522.84</c:v>
                </c:pt>
                <c:pt idx="675">
                  <c:v>14521.91</c:v>
                </c:pt>
                <c:pt idx="676">
                  <c:v>14521.85</c:v>
                </c:pt>
                <c:pt idx="677">
                  <c:v>14477.48</c:v>
                </c:pt>
                <c:pt idx="678">
                  <c:v>14426.33</c:v>
                </c:pt>
                <c:pt idx="679">
                  <c:v>14454.5</c:v>
                </c:pt>
                <c:pt idx="680">
                  <c:v>14499.41</c:v>
                </c:pt>
                <c:pt idx="681">
                  <c:v>14472.53</c:v>
                </c:pt>
                <c:pt idx="682">
                  <c:v>14524.85</c:v>
                </c:pt>
                <c:pt idx="683">
                  <c:v>14524.46</c:v>
                </c:pt>
                <c:pt idx="684">
                  <c:v>14557.79</c:v>
                </c:pt>
                <c:pt idx="685">
                  <c:v>14661.47</c:v>
                </c:pt>
                <c:pt idx="686">
                  <c:v>14648</c:v>
                </c:pt>
                <c:pt idx="687">
                  <c:v>14630.48</c:v>
                </c:pt>
                <c:pt idx="688">
                  <c:v>14579.84</c:v>
                </c:pt>
                <c:pt idx="689">
                  <c:v>14577.56</c:v>
                </c:pt>
                <c:pt idx="690">
                  <c:v>14562.59</c:v>
                </c:pt>
                <c:pt idx="691">
                  <c:v>14561.96</c:v>
                </c:pt>
                <c:pt idx="692">
                  <c:v>14556.59</c:v>
                </c:pt>
                <c:pt idx="693">
                  <c:v>14697.8</c:v>
                </c:pt>
                <c:pt idx="694">
                  <c:v>14686.79</c:v>
                </c:pt>
                <c:pt idx="695">
                  <c:v>14661.95</c:v>
                </c:pt>
                <c:pt idx="696">
                  <c:v>14717.99</c:v>
                </c:pt>
                <c:pt idx="697">
                  <c:v>14717.45</c:v>
                </c:pt>
                <c:pt idx="698">
                  <c:v>14714.3</c:v>
                </c:pt>
                <c:pt idx="699">
                  <c:v>14862.95</c:v>
                </c:pt>
                <c:pt idx="700">
                  <c:v>14836.73</c:v>
                </c:pt>
                <c:pt idx="701">
                  <c:v>14836.13</c:v>
                </c:pt>
                <c:pt idx="702">
                  <c:v>14835.56</c:v>
                </c:pt>
                <c:pt idx="703">
                  <c:v>14832.32</c:v>
                </c:pt>
                <c:pt idx="704">
                  <c:v>14826.86</c:v>
                </c:pt>
                <c:pt idx="705">
                  <c:v>14876.3</c:v>
                </c:pt>
                <c:pt idx="706">
                  <c:v>14823.56</c:v>
                </c:pt>
                <c:pt idx="707">
                  <c:v>14883.59</c:v>
                </c:pt>
                <c:pt idx="708">
                  <c:v>15273.26</c:v>
                </c:pt>
                <c:pt idx="709">
                  <c:v>15347.33</c:v>
                </c:pt>
                <c:pt idx="710">
                  <c:v>15453.65</c:v>
                </c:pt>
                <c:pt idx="711">
                  <c:v>15453.44</c:v>
                </c:pt>
                <c:pt idx="712">
                  <c:v>15760.79</c:v>
                </c:pt>
                <c:pt idx="713">
                  <c:v>15756.74</c:v>
                </c:pt>
                <c:pt idx="714">
                  <c:v>15755.96</c:v>
                </c:pt>
                <c:pt idx="715">
                  <c:v>16099.52</c:v>
                </c:pt>
                <c:pt idx="716">
                  <c:v>16098.62</c:v>
                </c:pt>
                <c:pt idx="717">
                  <c:v>16098.53</c:v>
                </c:pt>
                <c:pt idx="718">
                  <c:v>16151.69</c:v>
                </c:pt>
                <c:pt idx="719">
                  <c:v>15745.43</c:v>
                </c:pt>
                <c:pt idx="720">
                  <c:v>15621.74</c:v>
                </c:pt>
                <c:pt idx="721">
                  <c:v>15694.31</c:v>
                </c:pt>
                <c:pt idx="722">
                  <c:v>15694.04</c:v>
                </c:pt>
                <c:pt idx="723">
                  <c:v>15718.94</c:v>
                </c:pt>
                <c:pt idx="724">
                  <c:v>15622.04</c:v>
                </c:pt>
                <c:pt idx="725">
                  <c:v>15498.2</c:v>
                </c:pt>
                <c:pt idx="726">
                  <c:v>15497.54</c:v>
                </c:pt>
                <c:pt idx="727">
                  <c:v>15616.49</c:v>
                </c:pt>
                <c:pt idx="728">
                  <c:v>15672.56</c:v>
                </c:pt>
                <c:pt idx="729">
                  <c:v>15644.69</c:v>
                </c:pt>
                <c:pt idx="730">
                  <c:v>15689.87</c:v>
                </c:pt>
                <c:pt idx="731">
                  <c:v>15618.8</c:v>
                </c:pt>
                <c:pt idx="732">
                  <c:v>15760.73</c:v>
                </c:pt>
                <c:pt idx="733">
                  <c:v>15746.93</c:v>
                </c:pt>
                <c:pt idx="734">
                  <c:v>15690.53</c:v>
                </c:pt>
                <c:pt idx="735">
                  <c:v>15868.04</c:v>
                </c:pt>
                <c:pt idx="736">
                  <c:v>15840.08</c:v>
                </c:pt>
                <c:pt idx="737">
                  <c:v>16104.29</c:v>
                </c:pt>
                <c:pt idx="738">
                  <c:v>16027.94</c:v>
                </c:pt>
                <c:pt idx="739">
                  <c:v>16026.95</c:v>
                </c:pt>
                <c:pt idx="740">
                  <c:v>15922.01</c:v>
                </c:pt>
                <c:pt idx="741">
                  <c:v>15851.18</c:v>
                </c:pt>
                <c:pt idx="742">
                  <c:v>15756.56</c:v>
                </c:pt>
                <c:pt idx="743">
                  <c:v>16021.37</c:v>
                </c:pt>
                <c:pt idx="744">
                  <c:v>15871.13</c:v>
                </c:pt>
                <c:pt idx="745">
                  <c:v>15775.81</c:v>
                </c:pt>
                <c:pt idx="746">
                  <c:v>15628.42</c:v>
                </c:pt>
                <c:pt idx="747">
                  <c:v>15616.98</c:v>
                </c:pt>
                <c:pt idx="748">
                  <c:v>15578.28</c:v>
                </c:pt>
                <c:pt idx="749">
                  <c:v>15576.87</c:v>
                </c:pt>
                <c:pt idx="750">
                  <c:v>15476.64</c:v>
                </c:pt>
                <c:pt idx="751">
                  <c:v>15640.11</c:v>
                </c:pt>
                <c:pt idx="752">
                  <c:v>15635.43</c:v>
                </c:pt>
                <c:pt idx="753">
                  <c:v>15876.66</c:v>
                </c:pt>
                <c:pt idx="754">
                  <c:v>15874.26</c:v>
                </c:pt>
                <c:pt idx="755">
                  <c:v>15917.28</c:v>
                </c:pt>
                <c:pt idx="756">
                  <c:v>16046.7</c:v>
                </c:pt>
                <c:pt idx="757">
                  <c:v>16268.58</c:v>
                </c:pt>
                <c:pt idx="758">
                  <c:v>16267.62</c:v>
                </c:pt>
                <c:pt idx="759">
                  <c:v>16555.66</c:v>
                </c:pt>
                <c:pt idx="760">
                  <c:v>16522.82</c:v>
                </c:pt>
                <c:pt idx="761">
                  <c:v>16448.02</c:v>
                </c:pt>
                <c:pt idx="762">
                  <c:v>16026.2</c:v>
                </c:pt>
                <c:pt idx="763">
                  <c:v>15966.28</c:v>
                </c:pt>
                <c:pt idx="764">
                  <c:v>15540.64</c:v>
                </c:pt>
                <c:pt idx="765">
                  <c:v>15677.08</c:v>
                </c:pt>
                <c:pt idx="766">
                  <c:v>17177.84</c:v>
                </c:pt>
                <c:pt idx="767">
                  <c:v>17121.52</c:v>
                </c:pt>
                <c:pt idx="768">
                  <c:v>17121.08</c:v>
                </c:pt>
                <c:pt idx="769">
                  <c:v>17607.32</c:v>
                </c:pt>
                <c:pt idx="770">
                  <c:v>17447.32</c:v>
                </c:pt>
                <c:pt idx="771">
                  <c:v>17445.28</c:v>
                </c:pt>
                <c:pt idx="772">
                  <c:v>17443.64</c:v>
                </c:pt>
                <c:pt idx="773">
                  <c:v>17405.64</c:v>
                </c:pt>
                <c:pt idx="774">
                  <c:v>17338.36</c:v>
                </c:pt>
                <c:pt idx="775">
                  <c:v>17305.48</c:v>
                </c:pt>
                <c:pt idx="776">
                  <c:v>17271.8</c:v>
                </c:pt>
                <c:pt idx="777">
                  <c:v>17240.84</c:v>
                </c:pt>
                <c:pt idx="778">
                  <c:v>17543.04</c:v>
                </c:pt>
                <c:pt idx="779">
                  <c:v>17409.48</c:v>
                </c:pt>
                <c:pt idx="780">
                  <c:v>17731.2</c:v>
                </c:pt>
                <c:pt idx="781">
                  <c:v>17648.92</c:v>
                </c:pt>
                <c:pt idx="782">
                  <c:v>17648.84</c:v>
                </c:pt>
                <c:pt idx="783">
                  <c:v>17614.36</c:v>
                </c:pt>
                <c:pt idx="784">
                  <c:v>17413.28</c:v>
                </c:pt>
                <c:pt idx="785">
                  <c:v>17411.4</c:v>
                </c:pt>
                <c:pt idx="786">
                  <c:v>17466.64</c:v>
                </c:pt>
                <c:pt idx="787">
                  <c:v>18058.28</c:v>
                </c:pt>
                <c:pt idx="788">
                  <c:v>17958.36</c:v>
                </c:pt>
                <c:pt idx="789">
                  <c:v>17927.2</c:v>
                </c:pt>
                <c:pt idx="790">
                  <c:v>17874.08</c:v>
                </c:pt>
                <c:pt idx="791">
                  <c:v>17872.6</c:v>
                </c:pt>
                <c:pt idx="792">
                  <c:v>17828.08</c:v>
                </c:pt>
                <c:pt idx="793">
                  <c:v>17913.8</c:v>
                </c:pt>
                <c:pt idx="794">
                  <c:v>17969.04</c:v>
                </c:pt>
                <c:pt idx="795">
                  <c:v>17933.84</c:v>
                </c:pt>
                <c:pt idx="796">
                  <c:v>17930.72</c:v>
                </c:pt>
                <c:pt idx="797">
                  <c:v>18170.84</c:v>
                </c:pt>
                <c:pt idx="798">
                  <c:v>18170</c:v>
                </c:pt>
                <c:pt idx="799">
                  <c:v>18288.08</c:v>
                </c:pt>
                <c:pt idx="800">
                  <c:v>18365.2</c:v>
                </c:pt>
                <c:pt idx="801">
                  <c:v>18456.72</c:v>
                </c:pt>
                <c:pt idx="802">
                  <c:v>18295.64</c:v>
                </c:pt>
                <c:pt idx="803">
                  <c:v>18286.64</c:v>
                </c:pt>
                <c:pt idx="804">
                  <c:v>18193.76</c:v>
                </c:pt>
                <c:pt idx="805">
                  <c:v>18124.08</c:v>
                </c:pt>
                <c:pt idx="806">
                  <c:v>18123.84</c:v>
                </c:pt>
                <c:pt idx="807">
                  <c:v>18123.6</c:v>
                </c:pt>
                <c:pt idx="808">
                  <c:v>18035.72</c:v>
                </c:pt>
                <c:pt idx="809">
                  <c:v>17936.52</c:v>
                </c:pt>
                <c:pt idx="810">
                  <c:v>17870.36</c:v>
                </c:pt>
                <c:pt idx="811">
                  <c:v>17933.68</c:v>
                </c:pt>
                <c:pt idx="812">
                  <c:v>17879.28</c:v>
                </c:pt>
                <c:pt idx="813">
                  <c:v>17971</c:v>
                </c:pt>
                <c:pt idx="814">
                  <c:v>17965.84</c:v>
                </c:pt>
                <c:pt idx="815">
                  <c:v>18201.96</c:v>
                </c:pt>
                <c:pt idx="816">
                  <c:v>18275.04</c:v>
                </c:pt>
                <c:pt idx="817">
                  <c:v>18212.64</c:v>
                </c:pt>
                <c:pt idx="818">
                  <c:v>18291.72</c:v>
                </c:pt>
                <c:pt idx="819">
                  <c:v>18157</c:v>
                </c:pt>
                <c:pt idx="820">
                  <c:v>18313</c:v>
                </c:pt>
                <c:pt idx="821">
                  <c:v>18311.52</c:v>
                </c:pt>
                <c:pt idx="822">
                  <c:v>18311.4</c:v>
                </c:pt>
                <c:pt idx="823">
                  <c:v>18261.68</c:v>
                </c:pt>
                <c:pt idx="824">
                  <c:v>18223.28</c:v>
                </c:pt>
                <c:pt idx="825">
                  <c:v>18393.32</c:v>
                </c:pt>
                <c:pt idx="826">
                  <c:v>18344.72</c:v>
                </c:pt>
                <c:pt idx="827">
                  <c:v>18322.96</c:v>
                </c:pt>
                <c:pt idx="828">
                  <c:v>18322.32</c:v>
                </c:pt>
                <c:pt idx="829">
                  <c:v>18387.76</c:v>
                </c:pt>
                <c:pt idx="830">
                  <c:v>18575.16</c:v>
                </c:pt>
                <c:pt idx="831">
                  <c:v>18520</c:v>
                </c:pt>
                <c:pt idx="832">
                  <c:v>18520</c:v>
                </c:pt>
                <c:pt idx="833">
                  <c:v>18675.72</c:v>
                </c:pt>
                <c:pt idx="834">
                  <c:v>18633.2</c:v>
                </c:pt>
                <c:pt idx="835">
                  <c:v>18685.72</c:v>
                </c:pt>
                <c:pt idx="836">
                  <c:v>18673.72</c:v>
                </c:pt>
                <c:pt idx="837">
                  <c:v>18623.84</c:v>
                </c:pt>
                <c:pt idx="838">
                  <c:v>18808.16</c:v>
                </c:pt>
                <c:pt idx="839">
                  <c:v>18691.48</c:v>
                </c:pt>
                <c:pt idx="840">
                  <c:v>18681.76</c:v>
                </c:pt>
                <c:pt idx="841">
                  <c:v>18681.48</c:v>
                </c:pt>
                <c:pt idx="842">
                  <c:v>18850.68</c:v>
                </c:pt>
                <c:pt idx="843">
                  <c:v>18890.6</c:v>
                </c:pt>
                <c:pt idx="844">
                  <c:v>18851.68</c:v>
                </c:pt>
                <c:pt idx="845">
                  <c:v>18850.08</c:v>
                </c:pt>
                <c:pt idx="846">
                  <c:v>19112.76</c:v>
                </c:pt>
                <c:pt idx="847">
                  <c:v>19111.52</c:v>
                </c:pt>
                <c:pt idx="848">
                  <c:v>19083.2</c:v>
                </c:pt>
                <c:pt idx="849">
                  <c:v>19013.56</c:v>
                </c:pt>
                <c:pt idx="850">
                  <c:v>19013.24</c:v>
                </c:pt>
                <c:pt idx="851">
                  <c:v>19012.84</c:v>
                </c:pt>
                <c:pt idx="852">
                  <c:v>19088</c:v>
                </c:pt>
                <c:pt idx="853">
                  <c:v>19030.16</c:v>
                </c:pt>
                <c:pt idx="854">
                  <c:v>19017.12</c:v>
                </c:pt>
                <c:pt idx="855">
                  <c:v>18960.4</c:v>
                </c:pt>
                <c:pt idx="856">
                  <c:v>18949.03</c:v>
                </c:pt>
                <c:pt idx="857">
                  <c:v>19142.47</c:v>
                </c:pt>
                <c:pt idx="858">
                  <c:v>19053.95</c:v>
                </c:pt>
                <c:pt idx="859">
                  <c:v>19004.19</c:v>
                </c:pt>
                <c:pt idx="860">
                  <c:v>18999.75</c:v>
                </c:pt>
                <c:pt idx="861">
                  <c:v>18965.75</c:v>
                </c:pt>
                <c:pt idx="862">
                  <c:v>18965.51</c:v>
                </c:pt>
                <c:pt idx="863">
                  <c:v>19409.31</c:v>
                </c:pt>
                <c:pt idx="864">
                  <c:v>19615.99</c:v>
                </c:pt>
                <c:pt idx="865">
                  <c:v>19600.27</c:v>
                </c:pt>
                <c:pt idx="866">
                  <c:v>19497.43</c:v>
                </c:pt>
                <c:pt idx="867">
                  <c:v>19472.95</c:v>
                </c:pt>
                <c:pt idx="868">
                  <c:v>19469.95</c:v>
                </c:pt>
                <c:pt idx="869">
                  <c:v>19551.15</c:v>
                </c:pt>
                <c:pt idx="870">
                  <c:v>19642.95</c:v>
                </c:pt>
                <c:pt idx="871">
                  <c:v>19603.95</c:v>
                </c:pt>
                <c:pt idx="872">
                  <c:v>19577.95</c:v>
                </c:pt>
                <c:pt idx="873">
                  <c:v>19576.75</c:v>
                </c:pt>
                <c:pt idx="874">
                  <c:v>19538.87</c:v>
                </c:pt>
                <c:pt idx="875">
                  <c:v>19496.55</c:v>
                </c:pt>
                <c:pt idx="876">
                  <c:v>19458.03</c:v>
                </c:pt>
                <c:pt idx="877">
                  <c:v>19447.91</c:v>
                </c:pt>
                <c:pt idx="878">
                  <c:v>19432.31</c:v>
                </c:pt>
                <c:pt idx="879">
                  <c:v>19431.14</c:v>
                </c:pt>
                <c:pt idx="880">
                  <c:v>19375.82</c:v>
                </c:pt>
                <c:pt idx="881">
                  <c:v>19413.53</c:v>
                </c:pt>
                <c:pt idx="882">
                  <c:v>19360.4</c:v>
                </c:pt>
                <c:pt idx="883">
                  <c:v>19330.61</c:v>
                </c:pt>
                <c:pt idx="884">
                  <c:v>19319.51</c:v>
                </c:pt>
                <c:pt idx="885">
                  <c:v>19294.88</c:v>
                </c:pt>
                <c:pt idx="886">
                  <c:v>19294.16</c:v>
                </c:pt>
                <c:pt idx="887">
                  <c:v>19293.44</c:v>
                </c:pt>
                <c:pt idx="888">
                  <c:v>19382.12</c:v>
                </c:pt>
                <c:pt idx="889">
                  <c:v>19381.04</c:v>
                </c:pt>
                <c:pt idx="890">
                  <c:v>19363.49</c:v>
                </c:pt>
                <c:pt idx="891">
                  <c:v>19350.77</c:v>
                </c:pt>
                <c:pt idx="892">
                  <c:v>19480.88</c:v>
                </c:pt>
                <c:pt idx="893">
                  <c:v>19535.27</c:v>
                </c:pt>
                <c:pt idx="894">
                  <c:v>19534.58</c:v>
                </c:pt>
                <c:pt idx="895">
                  <c:v>19473.47</c:v>
                </c:pt>
                <c:pt idx="896">
                  <c:v>19459.46</c:v>
                </c:pt>
                <c:pt idx="897">
                  <c:v>19505.09</c:v>
                </c:pt>
                <c:pt idx="898">
                  <c:v>19470.32</c:v>
                </c:pt>
                <c:pt idx="899">
                  <c:v>19933.07</c:v>
                </c:pt>
                <c:pt idx="900">
                  <c:v>20036.35</c:v>
                </c:pt>
                <c:pt idx="901">
                  <c:v>19950.83</c:v>
                </c:pt>
                <c:pt idx="902">
                  <c:v>20079.19</c:v>
                </c:pt>
                <c:pt idx="903">
                  <c:v>19972.71</c:v>
                </c:pt>
                <c:pt idx="904">
                  <c:v>19880.27</c:v>
                </c:pt>
                <c:pt idx="905">
                  <c:v>19877.27</c:v>
                </c:pt>
                <c:pt idx="906">
                  <c:v>19811.18</c:v>
                </c:pt>
                <c:pt idx="907">
                  <c:v>19799.48</c:v>
                </c:pt>
                <c:pt idx="908">
                  <c:v>19722.74</c:v>
                </c:pt>
                <c:pt idx="909">
                  <c:v>19722.02</c:v>
                </c:pt>
                <c:pt idx="910">
                  <c:v>20122.19</c:v>
                </c:pt>
                <c:pt idx="911">
                  <c:v>20191.55</c:v>
                </c:pt>
                <c:pt idx="912">
                  <c:v>20171.99</c:v>
                </c:pt>
                <c:pt idx="913">
                  <c:v>20153.15</c:v>
                </c:pt>
                <c:pt idx="914">
                  <c:v>20389.31</c:v>
                </c:pt>
                <c:pt idx="915">
                  <c:v>20457.98</c:v>
                </c:pt>
                <c:pt idx="916">
                  <c:v>20621.46</c:v>
                </c:pt>
                <c:pt idx="917">
                  <c:v>20511.1</c:v>
                </c:pt>
                <c:pt idx="918">
                  <c:v>20441.46</c:v>
                </c:pt>
                <c:pt idx="919">
                  <c:v>20271.46</c:v>
                </c:pt>
                <c:pt idx="920">
                  <c:v>20245</c:v>
                </c:pt>
                <c:pt idx="921">
                  <c:v>20234.83</c:v>
                </c:pt>
                <c:pt idx="922">
                  <c:v>20330.44</c:v>
                </c:pt>
                <c:pt idx="923">
                  <c:v>20277.96</c:v>
                </c:pt>
                <c:pt idx="924">
                  <c:v>20374.16</c:v>
                </c:pt>
                <c:pt idx="925">
                  <c:v>20330.72</c:v>
                </c:pt>
                <c:pt idx="926">
                  <c:v>20234.08</c:v>
                </c:pt>
                <c:pt idx="927">
                  <c:v>20914.92</c:v>
                </c:pt>
                <c:pt idx="928">
                  <c:v>20718.96</c:v>
                </c:pt>
                <c:pt idx="929">
                  <c:v>20588.84</c:v>
                </c:pt>
                <c:pt idx="930">
                  <c:v>20879.36</c:v>
                </c:pt>
                <c:pt idx="931">
                  <c:v>20867</c:v>
                </c:pt>
                <c:pt idx="932">
                  <c:v>20917.28</c:v>
                </c:pt>
                <c:pt idx="933">
                  <c:v>20957.92</c:v>
                </c:pt>
                <c:pt idx="934">
                  <c:v>20885.72</c:v>
                </c:pt>
                <c:pt idx="935">
                  <c:v>20823.32</c:v>
                </c:pt>
                <c:pt idx="936">
                  <c:v>21061.6</c:v>
                </c:pt>
                <c:pt idx="937">
                  <c:v>21061.44</c:v>
                </c:pt>
                <c:pt idx="938">
                  <c:v>21031.96</c:v>
                </c:pt>
                <c:pt idx="939">
                  <c:v>21016.52</c:v>
                </c:pt>
                <c:pt idx="940">
                  <c:v>20948.88</c:v>
                </c:pt>
                <c:pt idx="941">
                  <c:v>20948.64</c:v>
                </c:pt>
                <c:pt idx="942">
                  <c:v>20878.92</c:v>
                </c:pt>
                <c:pt idx="943">
                  <c:v>21062.36</c:v>
                </c:pt>
                <c:pt idx="944">
                  <c:v>21336.84</c:v>
                </c:pt>
                <c:pt idx="945">
                  <c:v>21331.88</c:v>
                </c:pt>
                <c:pt idx="946">
                  <c:v>21452.6</c:v>
                </c:pt>
                <c:pt idx="947">
                  <c:v>21417.08</c:v>
                </c:pt>
                <c:pt idx="948">
                  <c:v>21292.12</c:v>
                </c:pt>
                <c:pt idx="949">
                  <c:v>21288.4</c:v>
                </c:pt>
                <c:pt idx="950">
                  <c:v>21201.28</c:v>
                </c:pt>
                <c:pt idx="951">
                  <c:v>21131</c:v>
                </c:pt>
                <c:pt idx="952">
                  <c:v>21161.64</c:v>
                </c:pt>
                <c:pt idx="953">
                  <c:v>21160.56</c:v>
                </c:pt>
                <c:pt idx="954">
                  <c:v>21132.04</c:v>
                </c:pt>
                <c:pt idx="955">
                  <c:v>21108.48</c:v>
                </c:pt>
                <c:pt idx="956">
                  <c:v>21074.6</c:v>
                </c:pt>
                <c:pt idx="957">
                  <c:v>21073</c:v>
                </c:pt>
                <c:pt idx="958">
                  <c:v>21417.16</c:v>
                </c:pt>
                <c:pt idx="959">
                  <c:v>21327.52</c:v>
                </c:pt>
                <c:pt idx="960">
                  <c:v>21291.8</c:v>
                </c:pt>
                <c:pt idx="961">
                  <c:v>21391.64</c:v>
                </c:pt>
                <c:pt idx="962">
                  <c:v>21316.44</c:v>
                </c:pt>
                <c:pt idx="963">
                  <c:v>21313.92</c:v>
                </c:pt>
                <c:pt idx="964">
                  <c:v>21175.36</c:v>
                </c:pt>
                <c:pt idx="965">
                  <c:v>21279.16</c:v>
                </c:pt>
                <c:pt idx="966">
                  <c:v>21371.04</c:v>
                </c:pt>
                <c:pt idx="967">
                  <c:v>21965.44</c:v>
                </c:pt>
                <c:pt idx="968">
                  <c:v>21885.24</c:v>
                </c:pt>
                <c:pt idx="969">
                  <c:v>22024.8</c:v>
                </c:pt>
                <c:pt idx="970">
                  <c:v>22202.72</c:v>
                </c:pt>
                <c:pt idx="971">
                  <c:v>22158.52</c:v>
                </c:pt>
                <c:pt idx="972">
                  <c:v>22394</c:v>
                </c:pt>
                <c:pt idx="973">
                  <c:v>22145.92</c:v>
                </c:pt>
                <c:pt idx="974">
                  <c:v>22073.36</c:v>
                </c:pt>
                <c:pt idx="975">
                  <c:v>22108.8</c:v>
                </c:pt>
                <c:pt idx="976">
                  <c:v>22257.56</c:v>
                </c:pt>
                <c:pt idx="977">
                  <c:v>22549.96</c:v>
                </c:pt>
                <c:pt idx="978">
                  <c:v>22915</c:v>
                </c:pt>
                <c:pt idx="979">
                  <c:v>22882.4</c:v>
                </c:pt>
                <c:pt idx="980">
                  <c:v>22882.16</c:v>
                </c:pt>
                <c:pt idx="981">
                  <c:v>22764.12</c:v>
                </c:pt>
                <c:pt idx="982">
                  <c:v>22762.16</c:v>
                </c:pt>
                <c:pt idx="983">
                  <c:v>22885.76</c:v>
                </c:pt>
                <c:pt idx="984">
                  <c:v>22882.68</c:v>
                </c:pt>
                <c:pt idx="985">
                  <c:v>22798.28</c:v>
                </c:pt>
                <c:pt idx="986">
                  <c:v>22914.92</c:v>
                </c:pt>
                <c:pt idx="987">
                  <c:v>22854.88</c:v>
                </c:pt>
                <c:pt idx="988">
                  <c:v>23121.92</c:v>
                </c:pt>
                <c:pt idx="989">
                  <c:v>23120.12</c:v>
                </c:pt>
                <c:pt idx="990">
                  <c:v>23119.68</c:v>
                </c:pt>
                <c:pt idx="991">
                  <c:v>23054.4</c:v>
                </c:pt>
                <c:pt idx="992">
                  <c:v>22958.04</c:v>
                </c:pt>
                <c:pt idx="993">
                  <c:v>22713.04</c:v>
                </c:pt>
                <c:pt idx="994">
                  <c:v>22643.12</c:v>
                </c:pt>
                <c:pt idx="995">
                  <c:v>22642.88</c:v>
                </c:pt>
                <c:pt idx="996">
                  <c:v>22624.88</c:v>
                </c:pt>
                <c:pt idx="997">
                  <c:v>22571.88</c:v>
                </c:pt>
                <c:pt idx="998">
                  <c:v>22932.64</c:v>
                </c:pt>
                <c:pt idx="999">
                  <c:v>22931.64</c:v>
                </c:pt>
                <c:pt idx="1000">
                  <c:v>22641.52</c:v>
                </c:pt>
                <c:pt idx="1001">
                  <c:v>22637</c:v>
                </c:pt>
                <c:pt idx="1002">
                  <c:v>22880.16</c:v>
                </c:pt>
                <c:pt idx="1003">
                  <c:v>22828.64</c:v>
                </c:pt>
                <c:pt idx="1004">
                  <c:v>22699.8</c:v>
                </c:pt>
                <c:pt idx="1005">
                  <c:v>23434.48</c:v>
                </c:pt>
                <c:pt idx="1006">
                  <c:v>23432.56</c:v>
                </c:pt>
                <c:pt idx="1007">
                  <c:v>23611.84</c:v>
                </c:pt>
                <c:pt idx="1008">
                  <c:v>23611.84</c:v>
                </c:pt>
                <c:pt idx="1009">
                  <c:v>23532.88</c:v>
                </c:pt>
                <c:pt idx="1010">
                  <c:v>23531.44</c:v>
                </c:pt>
                <c:pt idx="1011">
                  <c:v>23583.52</c:v>
                </c:pt>
                <c:pt idx="1012">
                  <c:v>23582.6</c:v>
                </c:pt>
                <c:pt idx="1013">
                  <c:v>23578.64</c:v>
                </c:pt>
                <c:pt idx="1014">
                  <c:v>23572.6</c:v>
                </c:pt>
                <c:pt idx="1015">
                  <c:v>23353.36</c:v>
                </c:pt>
                <c:pt idx="1016">
                  <c:v>22976.04</c:v>
                </c:pt>
                <c:pt idx="1017">
                  <c:v>22975.24</c:v>
                </c:pt>
                <c:pt idx="1018">
                  <c:v>22975.12</c:v>
                </c:pt>
                <c:pt idx="1019">
                  <c:v>23124.32</c:v>
                </c:pt>
                <c:pt idx="1020">
                  <c:v>22986.72</c:v>
                </c:pt>
                <c:pt idx="1021">
                  <c:v>23193.17</c:v>
                </c:pt>
                <c:pt idx="1022">
                  <c:v>23079.57</c:v>
                </c:pt>
                <c:pt idx="1023">
                  <c:v>23035.89</c:v>
                </c:pt>
                <c:pt idx="1024">
                  <c:v>22963.01</c:v>
                </c:pt>
                <c:pt idx="1025">
                  <c:v>22962.73</c:v>
                </c:pt>
                <c:pt idx="1026">
                  <c:v>22877.13</c:v>
                </c:pt>
                <c:pt idx="1027">
                  <c:v>22416.09</c:v>
                </c:pt>
                <c:pt idx="1028">
                  <c:v>22369.53</c:v>
                </c:pt>
                <c:pt idx="1029">
                  <c:v>22331.49</c:v>
                </c:pt>
                <c:pt idx="1030">
                  <c:v>22034.21</c:v>
                </c:pt>
                <c:pt idx="1031">
                  <c:v>21944.89</c:v>
                </c:pt>
                <c:pt idx="1032">
                  <c:v>22029.13</c:v>
                </c:pt>
                <c:pt idx="1033">
                  <c:v>22024.65</c:v>
                </c:pt>
                <c:pt idx="1034">
                  <c:v>22005.05</c:v>
                </c:pt>
                <c:pt idx="1035">
                  <c:v>21985.69</c:v>
                </c:pt>
                <c:pt idx="1036">
                  <c:v>21942.61</c:v>
                </c:pt>
                <c:pt idx="1037">
                  <c:v>22173.73</c:v>
                </c:pt>
                <c:pt idx="1038">
                  <c:v>22173.73</c:v>
                </c:pt>
                <c:pt idx="1039">
                  <c:v>22008.21</c:v>
                </c:pt>
                <c:pt idx="1040">
                  <c:v>22005.81</c:v>
                </c:pt>
                <c:pt idx="1041">
                  <c:v>22088.17</c:v>
                </c:pt>
                <c:pt idx="1042">
                  <c:v>22087.45</c:v>
                </c:pt>
                <c:pt idx="1043">
                  <c:v>22282.65</c:v>
                </c:pt>
                <c:pt idx="1044">
                  <c:v>22213.65</c:v>
                </c:pt>
                <c:pt idx="1045">
                  <c:v>22213.23</c:v>
                </c:pt>
                <c:pt idx="1046">
                  <c:v>22306.89</c:v>
                </c:pt>
                <c:pt idx="1047">
                  <c:v>22712.94</c:v>
                </c:pt>
                <c:pt idx="1048">
                  <c:v>22672.08</c:v>
                </c:pt>
                <c:pt idx="1049">
                  <c:v>22616.82</c:v>
                </c:pt>
                <c:pt idx="1050">
                  <c:v>22616.22</c:v>
                </c:pt>
                <c:pt idx="1051">
                  <c:v>22593.93</c:v>
                </c:pt>
                <c:pt idx="1052">
                  <c:v>22552.5</c:v>
                </c:pt>
                <c:pt idx="1053">
                  <c:v>22552.47</c:v>
                </c:pt>
                <c:pt idx="1054">
                  <c:v>22492.95</c:v>
                </c:pt>
                <c:pt idx="1055">
                  <c:v>22489.83</c:v>
                </c:pt>
                <c:pt idx="1056">
                  <c:v>22437.12</c:v>
                </c:pt>
                <c:pt idx="1057">
                  <c:v>22300.11</c:v>
                </c:pt>
                <c:pt idx="1058">
                  <c:v>22299.63</c:v>
                </c:pt>
                <c:pt idx="1059">
                  <c:v>22279.86</c:v>
                </c:pt>
                <c:pt idx="1060">
                  <c:v>22610.82</c:v>
                </c:pt>
                <c:pt idx="1061">
                  <c:v>22792.02</c:v>
                </c:pt>
                <c:pt idx="1062">
                  <c:v>22752.63</c:v>
                </c:pt>
                <c:pt idx="1063">
                  <c:v>22853.01</c:v>
                </c:pt>
                <c:pt idx="1064">
                  <c:v>22821.99</c:v>
                </c:pt>
                <c:pt idx="1065">
                  <c:v>22870.68</c:v>
                </c:pt>
                <c:pt idx="1066">
                  <c:v>22869.72</c:v>
                </c:pt>
                <c:pt idx="1067">
                  <c:v>22839.75</c:v>
                </c:pt>
                <c:pt idx="1068">
                  <c:v>22839</c:v>
                </c:pt>
                <c:pt idx="1069">
                  <c:v>22836.78</c:v>
                </c:pt>
                <c:pt idx="1070">
                  <c:v>22788.99</c:v>
                </c:pt>
                <c:pt idx="1071">
                  <c:v>22650.21</c:v>
                </c:pt>
                <c:pt idx="1072">
                  <c:v>22645.95</c:v>
                </c:pt>
                <c:pt idx="1073">
                  <c:v>22497.18</c:v>
                </c:pt>
                <c:pt idx="1074">
                  <c:v>22450.68</c:v>
                </c:pt>
                <c:pt idx="1075">
                  <c:v>23015.58</c:v>
                </c:pt>
                <c:pt idx="1076">
                  <c:v>23011.11</c:v>
                </c:pt>
                <c:pt idx="1077">
                  <c:v>23510.7</c:v>
                </c:pt>
                <c:pt idx="1078">
                  <c:v>23436.63</c:v>
                </c:pt>
                <c:pt idx="1079">
                  <c:v>23571.09</c:v>
                </c:pt>
                <c:pt idx="1080">
                  <c:v>23532.93</c:v>
                </c:pt>
                <c:pt idx="1081">
                  <c:v>23530.47</c:v>
                </c:pt>
                <c:pt idx="1082">
                  <c:v>23373.15</c:v>
                </c:pt>
                <c:pt idx="1083">
                  <c:v>23118.39</c:v>
                </c:pt>
                <c:pt idx="1084">
                  <c:v>23243.37</c:v>
                </c:pt>
                <c:pt idx="1085">
                  <c:v>23192.22</c:v>
                </c:pt>
                <c:pt idx="1086">
                  <c:v>23131.8</c:v>
                </c:pt>
                <c:pt idx="1087">
                  <c:v>23125.83</c:v>
                </c:pt>
                <c:pt idx="1088">
                  <c:v>23089.5</c:v>
                </c:pt>
                <c:pt idx="1089">
                  <c:v>23043.57</c:v>
                </c:pt>
                <c:pt idx="1090">
                  <c:v>23334.96</c:v>
                </c:pt>
                <c:pt idx="1091">
                  <c:v>23334.87</c:v>
                </c:pt>
                <c:pt idx="1092">
                  <c:v>23287.62</c:v>
                </c:pt>
                <c:pt idx="1093">
                  <c:v>23287.14</c:v>
                </c:pt>
                <c:pt idx="1094">
                  <c:v>23343.03</c:v>
                </c:pt>
                <c:pt idx="1095">
                  <c:v>23290.86</c:v>
                </c:pt>
                <c:pt idx="1096">
                  <c:v>23206.8</c:v>
                </c:pt>
                <c:pt idx="1097">
                  <c:v>23151.92</c:v>
                </c:pt>
                <c:pt idx="1098">
                  <c:v>23150.66</c:v>
                </c:pt>
                <c:pt idx="1099">
                  <c:v>23061.34</c:v>
                </c:pt>
                <c:pt idx="1100">
                  <c:v>23054.66</c:v>
                </c:pt>
                <c:pt idx="1101">
                  <c:v>23015.46</c:v>
                </c:pt>
                <c:pt idx="1102">
                  <c:v>23435.98</c:v>
                </c:pt>
                <c:pt idx="1103">
                  <c:v>23435.22</c:v>
                </c:pt>
                <c:pt idx="1104">
                  <c:v>23429.46</c:v>
                </c:pt>
                <c:pt idx="1105">
                  <c:v>23315.02</c:v>
                </c:pt>
                <c:pt idx="1106">
                  <c:v>23186.98</c:v>
                </c:pt>
                <c:pt idx="1107">
                  <c:v>23113.14</c:v>
                </c:pt>
                <c:pt idx="1108">
                  <c:v>23109.18</c:v>
                </c:pt>
                <c:pt idx="1109">
                  <c:v>23156.61</c:v>
                </c:pt>
                <c:pt idx="1110">
                  <c:v>23154.9</c:v>
                </c:pt>
                <c:pt idx="1111">
                  <c:v>23437.92</c:v>
                </c:pt>
                <c:pt idx="1112">
                  <c:v>23377.98</c:v>
                </c:pt>
                <c:pt idx="1113">
                  <c:v>23361.75</c:v>
                </c:pt>
                <c:pt idx="1114">
                  <c:v>23280.96</c:v>
                </c:pt>
                <c:pt idx="1115">
                  <c:v>23556.39</c:v>
                </c:pt>
                <c:pt idx="1116">
                  <c:v>23544.45</c:v>
                </c:pt>
                <c:pt idx="1117">
                  <c:v>23585.22</c:v>
                </c:pt>
                <c:pt idx="1118">
                  <c:v>23562.6</c:v>
                </c:pt>
                <c:pt idx="1119">
                  <c:v>23494.64</c:v>
                </c:pt>
                <c:pt idx="1120">
                  <c:v>23681.2</c:v>
                </c:pt>
                <c:pt idx="1121">
                  <c:v>23634.92</c:v>
                </c:pt>
                <c:pt idx="1122">
                  <c:v>24050.4</c:v>
                </c:pt>
                <c:pt idx="1123">
                  <c:v>24020.08</c:v>
                </c:pt>
                <c:pt idx="1124">
                  <c:v>23965.84</c:v>
                </c:pt>
                <c:pt idx="1125">
                  <c:v>24035.68</c:v>
                </c:pt>
                <c:pt idx="1126">
                  <c:v>24035.68</c:v>
                </c:pt>
                <c:pt idx="1127">
                  <c:v>24143.28</c:v>
                </c:pt>
                <c:pt idx="1128">
                  <c:v>24110.12</c:v>
                </c:pt>
                <c:pt idx="1129">
                  <c:v>24154.52</c:v>
                </c:pt>
                <c:pt idx="1130">
                  <c:v>24109.2</c:v>
                </c:pt>
                <c:pt idx="1131">
                  <c:v>24108.56</c:v>
                </c:pt>
                <c:pt idx="1132">
                  <c:v>24254.28</c:v>
                </c:pt>
                <c:pt idx="1133">
                  <c:v>24211.32</c:v>
                </c:pt>
                <c:pt idx="1134">
                  <c:v>24210.76</c:v>
                </c:pt>
                <c:pt idx="1135">
                  <c:v>24209.92</c:v>
                </c:pt>
                <c:pt idx="1136">
                  <c:v>24561.44</c:v>
                </c:pt>
                <c:pt idx="1137">
                  <c:v>24635.68</c:v>
                </c:pt>
                <c:pt idx="1138">
                  <c:v>24600.04</c:v>
                </c:pt>
                <c:pt idx="1139">
                  <c:v>24545.6</c:v>
                </c:pt>
                <c:pt idx="1140">
                  <c:v>24545.08</c:v>
                </c:pt>
                <c:pt idx="1141">
                  <c:v>24544.21</c:v>
                </c:pt>
                <c:pt idx="1142">
                  <c:v>24439.33</c:v>
                </c:pt>
                <c:pt idx="1143">
                  <c:v>24547.65</c:v>
                </c:pt>
                <c:pt idx="1144">
                  <c:v>24640.25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10689"/>
        <c:axId val="34046470"/>
      </c:lineChart>
      <c:catAx>
        <c:axId val="87106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46470"/>
        <c:crosses val="autoZero"/>
        <c:auto val="1"/>
        <c:lblAlgn val="ctr"/>
        <c:lblOffset val="100"/>
        <c:noMultiLvlLbl val="0"/>
      </c:catAx>
      <c:valAx>
        <c:axId val="3404647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06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Drawdown % after each trade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Trades!AG1</c:f>
              <c:strCache>
                <c:ptCount val="1"/>
                <c:pt idx="0">
                  <c:v>Drawdown %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Trades!$AG$2:$AG$1146</c:f>
              <c:numCache>
                <c:formatCode>0.00%;[RED]\-0.00%;\-</c:formatCode>
                <c:ptCount val="1145"/>
                <c:pt idx="0">
                  <c:v>0</c:v>
                </c:pt>
                <c:pt idx="1">
                  <c:v>0.00216022719325104</c:v>
                </c:pt>
                <c:pt idx="2">
                  <c:v>0.00531930088625463</c:v>
                </c:pt>
                <c:pt idx="3">
                  <c:v>0</c:v>
                </c:pt>
                <c:pt idx="4">
                  <c:v>0.00414749390377237</c:v>
                </c:pt>
                <c:pt idx="5">
                  <c:v>0.00628301204145924</c:v>
                </c:pt>
                <c:pt idx="6">
                  <c:v>0.0115217968943801</c:v>
                </c:pt>
                <c:pt idx="7">
                  <c:v>0.0115276798644563</c:v>
                </c:pt>
                <c:pt idx="8">
                  <c:v>0.011539445804609</c:v>
                </c:pt>
                <c:pt idx="9">
                  <c:v>0.0133837569235204</c:v>
                </c:pt>
                <c:pt idx="10">
                  <c:v>0.016545853339517</c:v>
                </c:pt>
                <c:pt idx="11">
                  <c:v>0.00928920975043458</c:v>
                </c:pt>
                <c:pt idx="12">
                  <c:v>0.0113129514566725</c:v>
                </c:pt>
                <c:pt idx="13">
                  <c:v>0.000558882157245979</c:v>
                </c:pt>
                <c:pt idx="14">
                  <c:v>0.00495051931918346</c:v>
                </c:pt>
                <c:pt idx="15">
                  <c:v>0</c:v>
                </c:pt>
                <c:pt idx="16">
                  <c:v>0.00490889702087816</c:v>
                </c:pt>
                <c:pt idx="17">
                  <c:v>0.00595471828924004</c:v>
                </c:pt>
                <c:pt idx="18">
                  <c:v>0.0133077818698853</c:v>
                </c:pt>
                <c:pt idx="19">
                  <c:v>0.0176555781540862</c:v>
                </c:pt>
                <c:pt idx="20">
                  <c:v>0.0176878928561985</c:v>
                </c:pt>
                <c:pt idx="21">
                  <c:v>0.0176996436569667</c:v>
                </c:pt>
                <c:pt idx="22">
                  <c:v>0.0102731375715207</c:v>
                </c:pt>
                <c:pt idx="23">
                  <c:v>0.0104787765849627</c:v>
                </c:pt>
                <c:pt idx="24">
                  <c:v>0.0245973637078477</c:v>
                </c:pt>
                <c:pt idx="25">
                  <c:v>0.0315038968593047</c:v>
                </c:pt>
                <c:pt idx="26">
                  <c:v>0.000502346732836653</c:v>
                </c:pt>
                <c:pt idx="27">
                  <c:v>0.00399625149455492</c:v>
                </c:pt>
                <c:pt idx="28">
                  <c:v>0.0045328713962986</c:v>
                </c:pt>
                <c:pt idx="29">
                  <c:v>0.00488931235293141</c:v>
                </c:pt>
                <c:pt idx="30">
                  <c:v>0.0118222848061166</c:v>
                </c:pt>
                <c:pt idx="31">
                  <c:v>0.0144113779086904</c:v>
                </c:pt>
                <c:pt idx="32">
                  <c:v>0.014575889119444</c:v>
                </c:pt>
                <c:pt idx="33">
                  <c:v>0.014587639920212</c:v>
                </c:pt>
                <c:pt idx="34">
                  <c:v>0.0146033076545695</c:v>
                </c:pt>
                <c:pt idx="35">
                  <c:v>0.0104435241826583</c:v>
                </c:pt>
                <c:pt idx="36">
                  <c:v>0.010545364455982</c:v>
                </c:pt>
                <c:pt idx="37">
                  <c:v>0.0145171351156034</c:v>
                </c:pt>
                <c:pt idx="38">
                  <c:v>0</c:v>
                </c:pt>
                <c:pt idx="39">
                  <c:v>0.00044184205124199</c:v>
                </c:pt>
                <c:pt idx="40">
                  <c:v>0.00685050684757426</c:v>
                </c:pt>
                <c:pt idx="41">
                  <c:v>0</c:v>
                </c:pt>
                <c:pt idx="42">
                  <c:v>0.00361073592147328</c:v>
                </c:pt>
                <c:pt idx="43">
                  <c:v>0.00710684530575687</c:v>
                </c:pt>
                <c:pt idx="44">
                  <c:v>0.0130979923162012</c:v>
                </c:pt>
                <c:pt idx="45">
                  <c:v>0.0191082437495105</c:v>
                </c:pt>
                <c:pt idx="46">
                  <c:v>0.0296233180943721</c:v>
                </c:pt>
                <c:pt idx="47">
                  <c:v>0.0328042045013841</c:v>
                </c:pt>
                <c:pt idx="48">
                  <c:v>0.026453894341079</c:v>
                </c:pt>
                <c:pt idx="49">
                  <c:v>0.03318247207411</c:v>
                </c:pt>
                <c:pt idx="50">
                  <c:v>0.0331910690643992</c:v>
                </c:pt>
                <c:pt idx="51">
                  <c:v>0.0375659819004698</c:v>
                </c:pt>
                <c:pt idx="52">
                  <c:v>0.057373447526837</c:v>
                </c:pt>
                <c:pt idx="53">
                  <c:v>0.0576256259086542</c:v>
                </c:pt>
                <c:pt idx="54">
                  <c:v>0.0655348569747384</c:v>
                </c:pt>
                <c:pt idx="55">
                  <c:v>0.0745253983749778</c:v>
                </c:pt>
                <c:pt idx="56">
                  <c:v>0.0745368610286969</c:v>
                </c:pt>
                <c:pt idx="57">
                  <c:v>0.0678923427562715</c:v>
                </c:pt>
                <c:pt idx="58">
                  <c:v>0.0678999845254175</c:v>
                </c:pt>
                <c:pt idx="59">
                  <c:v>0.0553216325111428</c:v>
                </c:pt>
                <c:pt idx="60">
                  <c:v>0.0397056772613428</c:v>
                </c:pt>
                <c:pt idx="61">
                  <c:v>0.0451771839698609</c:v>
                </c:pt>
                <c:pt idx="62">
                  <c:v>0.0451848257390069</c:v>
                </c:pt>
                <c:pt idx="63">
                  <c:v>0.0504882135263136</c:v>
                </c:pt>
                <c:pt idx="64">
                  <c:v>0.0505073179491784</c:v>
                </c:pt>
                <c:pt idx="65">
                  <c:v>0.0534608617240978</c:v>
                </c:pt>
                <c:pt idx="66">
                  <c:v>0.0576141632549353</c:v>
                </c:pt>
                <c:pt idx="67">
                  <c:v>0.0597003662317863</c:v>
                </c:pt>
                <c:pt idx="68">
                  <c:v>0.0535296376464116</c:v>
                </c:pt>
                <c:pt idx="69">
                  <c:v>0.0535372794155576</c:v>
                </c:pt>
                <c:pt idx="70">
                  <c:v>0.0236847082468063</c:v>
                </c:pt>
                <c:pt idx="71">
                  <c:v>0.0237114544388173</c:v>
                </c:pt>
                <c:pt idx="72">
                  <c:v>0</c:v>
                </c:pt>
                <c:pt idx="73">
                  <c:v>0</c:v>
                </c:pt>
                <c:pt idx="74">
                  <c:v>0.000527069240897972</c:v>
                </c:pt>
                <c:pt idx="75">
                  <c:v>0.000598600066448427</c:v>
                </c:pt>
                <c:pt idx="76">
                  <c:v>0.00530457543160858</c:v>
                </c:pt>
                <c:pt idx="77">
                  <c:v>0.00811310152953618</c:v>
                </c:pt>
                <c:pt idx="78">
                  <c:v>0.0122543598508771</c:v>
                </c:pt>
                <c:pt idx="79">
                  <c:v>0.00210827696359189</c:v>
                </c:pt>
                <c:pt idx="80">
                  <c:v>0.00271440659062439</c:v>
                </c:pt>
                <c:pt idx="81">
                  <c:v>0.00271440659062439</c:v>
                </c:pt>
                <c:pt idx="82">
                  <c:v>0.00286876258260176</c:v>
                </c:pt>
                <c:pt idx="83">
                  <c:v>0.0055718748323497</c:v>
                </c:pt>
                <c:pt idx="84">
                  <c:v>0</c:v>
                </c:pt>
                <c:pt idx="85">
                  <c:v>0.00403735388038174</c:v>
                </c:pt>
                <c:pt idx="86">
                  <c:v>0.00415992304142384</c:v>
                </c:pt>
                <c:pt idx="87">
                  <c:v>0.0110757950977908</c:v>
                </c:pt>
                <c:pt idx="88">
                  <c:v>0.0141140246048305</c:v>
                </c:pt>
                <c:pt idx="89">
                  <c:v>0.0146340149850085</c:v>
                </c:pt>
                <c:pt idx="90">
                  <c:v>0.0146423719732614</c:v>
                </c:pt>
                <c:pt idx="91">
                  <c:v>0.0165366226439097</c:v>
                </c:pt>
                <c:pt idx="92">
                  <c:v>0.000810627860527397</c:v>
                </c:pt>
                <c:pt idx="93">
                  <c:v>0.000821770511531285</c:v>
                </c:pt>
                <c:pt idx="94">
                  <c:v>0.000851484247541427</c:v>
                </c:pt>
                <c:pt idx="95">
                  <c:v>0.000851484247541427</c:v>
                </c:pt>
                <c:pt idx="96">
                  <c:v>0.00232974261404737</c:v>
                </c:pt>
                <c:pt idx="97">
                  <c:v>0.00235202791605497</c:v>
                </c:pt>
                <c:pt idx="98">
                  <c:v>0.00235759924155683</c:v>
                </c:pt>
                <c:pt idx="99">
                  <c:v>0</c:v>
                </c:pt>
                <c:pt idx="100">
                  <c:v>6.66821023384436E-005</c:v>
                </c:pt>
                <c:pt idx="101">
                  <c:v>0.00263764760361191</c:v>
                </c:pt>
                <c:pt idx="102">
                  <c:v>0.00825005788376938</c:v>
                </c:pt>
                <c:pt idx="103">
                  <c:v>0</c:v>
                </c:pt>
                <c:pt idx="104">
                  <c:v>0.00802924967345379</c:v>
                </c:pt>
                <c:pt idx="105">
                  <c:v>0.000110850202578812</c:v>
                </c:pt>
                <c:pt idx="106">
                  <c:v>0</c:v>
                </c:pt>
                <c:pt idx="107">
                  <c:v>3.63140511773593E-005</c:v>
                </c:pt>
                <c:pt idx="108">
                  <c:v>0.00233499349070643</c:v>
                </c:pt>
                <c:pt idx="109">
                  <c:v>0.00778210116731528</c:v>
                </c:pt>
                <c:pt idx="110">
                  <c:v>0.00447025969993698</c:v>
                </c:pt>
                <c:pt idx="111">
                  <c:v>0.00453199358693857</c:v>
                </c:pt>
                <c:pt idx="112">
                  <c:v>0.00477892913494494</c:v>
                </c:pt>
                <c:pt idx="113">
                  <c:v>0.00490602831406578</c:v>
                </c:pt>
                <c:pt idx="114">
                  <c:v>0.00694687799023519</c:v>
                </c:pt>
                <c:pt idx="115">
                  <c:v>0.00711392262565121</c:v>
                </c:pt>
                <c:pt idx="116">
                  <c:v>0.00193553892775498</c:v>
                </c:pt>
                <c:pt idx="117">
                  <c:v>0.00197548438405016</c:v>
                </c:pt>
                <c:pt idx="118">
                  <c:v>0</c:v>
                </c:pt>
                <c:pt idx="119">
                  <c:v>0.00173571494026515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5.69474692138506E-005</c:v>
                </c:pt>
                <c:pt idx="125">
                  <c:v>0.00159859681435854</c:v>
                </c:pt>
                <c:pt idx="126">
                  <c:v>0.0286161032799302</c:v>
                </c:pt>
                <c:pt idx="127">
                  <c:v>0.0132524896213237</c:v>
                </c:pt>
                <c:pt idx="128">
                  <c:v>0.0162381640786754</c:v>
                </c:pt>
                <c:pt idx="129">
                  <c:v>0.0162625701369098</c:v>
                </c:pt>
                <c:pt idx="130">
                  <c:v>0.0226040776015028</c:v>
                </c:pt>
                <c:pt idx="131">
                  <c:v>0.0227098371871856</c:v>
                </c:pt>
                <c:pt idx="132">
                  <c:v>0.0270541155529234</c:v>
                </c:pt>
                <c:pt idx="133">
                  <c:v>0.0271476721094889</c:v>
                </c:pt>
                <c:pt idx="134">
                  <c:v>0.0326715766232266</c:v>
                </c:pt>
                <c:pt idx="135">
                  <c:v>0.0416408030243988</c:v>
                </c:pt>
                <c:pt idx="136">
                  <c:v>0.0442807249900953</c:v>
                </c:pt>
                <c:pt idx="137">
                  <c:v>0.0380612478166747</c:v>
                </c:pt>
                <c:pt idx="138">
                  <c:v>0.0435444755666883</c:v>
                </c:pt>
                <c:pt idx="139">
                  <c:v>0.0435688816249229</c:v>
                </c:pt>
                <c:pt idx="140">
                  <c:v>0.0506263001310606</c:v>
                </c:pt>
                <c:pt idx="141">
                  <c:v>0.0512039101759434</c:v>
                </c:pt>
                <c:pt idx="142">
                  <c:v>0.0514235647000536</c:v>
                </c:pt>
                <c:pt idx="143">
                  <c:v>0.0751706593622046</c:v>
                </c:pt>
                <c:pt idx="144">
                  <c:v>0.0802633901804666</c:v>
                </c:pt>
                <c:pt idx="145">
                  <c:v>0.067454277283736</c:v>
                </c:pt>
                <c:pt idx="146">
                  <c:v>0.0770295874643977</c:v>
                </c:pt>
                <c:pt idx="147">
                  <c:v>0.0822890930139285</c:v>
                </c:pt>
                <c:pt idx="148">
                  <c:v>0.0823907849232389</c:v>
                </c:pt>
                <c:pt idx="149">
                  <c:v>0.0763087952112059</c:v>
                </c:pt>
                <c:pt idx="150">
                  <c:v>0.0578903565969169</c:v>
                </c:pt>
                <c:pt idx="151">
                  <c:v>0.0581425525320066</c:v>
                </c:pt>
                <c:pt idx="152">
                  <c:v>0.0776511284141025</c:v>
                </c:pt>
                <c:pt idx="153">
                  <c:v>0.0801535629184114</c:v>
                </c:pt>
                <c:pt idx="154">
                  <c:v>0.0827861630666375</c:v>
                </c:pt>
                <c:pt idx="155">
                  <c:v>0.0828479917474982</c:v>
                </c:pt>
                <c:pt idx="156">
                  <c:v>0.0871629828433547</c:v>
                </c:pt>
                <c:pt idx="157">
                  <c:v>0.0923240506246731</c:v>
                </c:pt>
                <c:pt idx="158">
                  <c:v>0.0960052977417075</c:v>
                </c:pt>
                <c:pt idx="159">
                  <c:v>0.101244464909376</c:v>
                </c:pt>
                <c:pt idx="160">
                  <c:v>0.093601301005611</c:v>
                </c:pt>
                <c:pt idx="161">
                  <c:v>0.0936419777693352</c:v>
                </c:pt>
                <c:pt idx="162">
                  <c:v>0.0842903897891561</c:v>
                </c:pt>
                <c:pt idx="163">
                  <c:v>0</c:v>
                </c:pt>
                <c:pt idx="164">
                  <c:v>1.62220079115323E-005</c:v>
                </c:pt>
                <c:pt idx="165">
                  <c:v>0.000158164577136923</c:v>
                </c:pt>
                <c:pt idx="166">
                  <c:v>0</c:v>
                </c:pt>
                <c:pt idx="167">
                  <c:v>0.010319921595976</c:v>
                </c:pt>
                <c:pt idx="168">
                  <c:v>0.000342252569511497</c:v>
                </c:pt>
                <c:pt idx="169">
                  <c:v>0.00260514602910504</c:v>
                </c:pt>
                <c:pt idx="170">
                  <c:v>0.00555254462772187</c:v>
                </c:pt>
                <c:pt idx="171">
                  <c:v>0</c:v>
                </c:pt>
                <c:pt idx="172">
                  <c:v>6.03290102905204E-005</c:v>
                </c:pt>
                <c:pt idx="173">
                  <c:v>0.00221608564467187</c:v>
                </c:pt>
                <c:pt idx="174">
                  <c:v>0.00424716232445272</c:v>
                </c:pt>
                <c:pt idx="175">
                  <c:v>0</c:v>
                </c:pt>
                <c:pt idx="176">
                  <c:v>0.00717069456044172</c:v>
                </c:pt>
                <c:pt idx="177">
                  <c:v>0.0128039537712408</c:v>
                </c:pt>
                <c:pt idx="178">
                  <c:v>0</c:v>
                </c:pt>
                <c:pt idx="179">
                  <c:v>0.00387151812053524</c:v>
                </c:pt>
                <c:pt idx="180">
                  <c:v>0.00473097126959539</c:v>
                </c:pt>
                <c:pt idx="181">
                  <c:v>0</c:v>
                </c:pt>
                <c:pt idx="182">
                  <c:v>1.18333579202493E-005</c:v>
                </c:pt>
                <c:pt idx="183">
                  <c:v>0.000287945042730083</c:v>
                </c:pt>
                <c:pt idx="184">
                  <c:v>0.00116755798148153</c:v>
                </c:pt>
                <c:pt idx="185">
                  <c:v>0.00313978430155177</c:v>
                </c:pt>
                <c:pt idx="186">
                  <c:v>0.0215012113414057</c:v>
                </c:pt>
                <c:pt idx="187">
                  <c:v>0.0268893336478376</c:v>
                </c:pt>
                <c:pt idx="188">
                  <c:v>0.0166219234255519</c:v>
                </c:pt>
                <c:pt idx="189">
                  <c:v>0.00169611463526041</c:v>
                </c:pt>
                <c:pt idx="190">
                  <c:v>0</c:v>
                </c:pt>
                <c:pt idx="191">
                  <c:v>5.43958447791822E-005</c:v>
                </c:pt>
                <c:pt idx="192">
                  <c:v>0</c:v>
                </c:pt>
                <c:pt idx="193">
                  <c:v>0</c:v>
                </c:pt>
                <c:pt idx="194">
                  <c:v>0.0102081895119998</c:v>
                </c:pt>
                <c:pt idx="195">
                  <c:v>0.0129136888316069</c:v>
                </c:pt>
                <c:pt idx="196">
                  <c:v>0.0173909649333613</c:v>
                </c:pt>
                <c:pt idx="197">
                  <c:v>0.0271032100156283</c:v>
                </c:pt>
                <c:pt idx="198">
                  <c:v>0.0279106504066285</c:v>
                </c:pt>
                <c:pt idx="199">
                  <c:v>0.020536538399722</c:v>
                </c:pt>
                <c:pt idx="200">
                  <c:v>0.0252434184041304</c:v>
                </c:pt>
                <c:pt idx="201">
                  <c:v>0.0224499042551726</c:v>
                </c:pt>
                <c:pt idx="202">
                  <c:v>0.0226106269870305</c:v>
                </c:pt>
                <c:pt idx="203">
                  <c:v>0.0198362464966271</c:v>
                </c:pt>
                <c:pt idx="204">
                  <c:v>0.0213248451321676</c:v>
                </c:pt>
                <c:pt idx="205">
                  <c:v>0.0215582757665327</c:v>
                </c:pt>
                <c:pt idx="206">
                  <c:v>0.0239691167444004</c:v>
                </c:pt>
                <c:pt idx="207">
                  <c:v>0.0105105013171611</c:v>
                </c:pt>
                <c:pt idx="208">
                  <c:v>0.0163921879568161</c:v>
                </c:pt>
                <c:pt idx="209">
                  <c:v>0.0204446968386603</c:v>
                </c:pt>
                <c:pt idx="210">
                  <c:v>0.022239434011073</c:v>
                </c:pt>
                <c:pt idx="211">
                  <c:v>0.0277920217235905</c:v>
                </c:pt>
                <c:pt idx="212">
                  <c:v>0.0308878476777096</c:v>
                </c:pt>
                <c:pt idx="213">
                  <c:v>0.0436193840798777</c:v>
                </c:pt>
                <c:pt idx="214">
                  <c:v>0.0477407741325181</c:v>
                </c:pt>
                <c:pt idx="215">
                  <c:v>0.0431104287623277</c:v>
                </c:pt>
                <c:pt idx="216">
                  <c:v>0.0431104287623277</c:v>
                </c:pt>
                <c:pt idx="217">
                  <c:v>0.0431180822257496</c:v>
                </c:pt>
                <c:pt idx="218">
                  <c:v>0.0431180822257496</c:v>
                </c:pt>
                <c:pt idx="219">
                  <c:v>0.0449013392030296</c:v>
                </c:pt>
                <c:pt idx="220">
                  <c:v>0.0324759413377336</c:v>
                </c:pt>
                <c:pt idx="221">
                  <c:v>0.0346839655349235</c:v>
                </c:pt>
                <c:pt idx="222">
                  <c:v>0.0414802410534839</c:v>
                </c:pt>
                <c:pt idx="223">
                  <c:v>0.0454141212522902</c:v>
                </c:pt>
                <c:pt idx="224">
                  <c:v>0.0354493118771038</c:v>
                </c:pt>
                <c:pt idx="225">
                  <c:v>0.0405962660282658</c:v>
                </c:pt>
                <c:pt idx="226">
                  <c:v>0.0375846281717866</c:v>
                </c:pt>
                <c:pt idx="227">
                  <c:v>0.0391245050122533</c:v>
                </c:pt>
                <c:pt idx="228">
                  <c:v>0.0392071624172086</c:v>
                </c:pt>
                <c:pt idx="229">
                  <c:v>0.0424216170543655</c:v>
                </c:pt>
                <c:pt idx="230">
                  <c:v>0.0324989017279989</c:v>
                </c:pt>
                <c:pt idx="231">
                  <c:v>0.0279068236749176</c:v>
                </c:pt>
                <c:pt idx="232">
                  <c:v>0.0220327904986843</c:v>
                </c:pt>
                <c:pt idx="233">
                  <c:v>0.0186537863979586</c:v>
                </c:pt>
                <c:pt idx="234">
                  <c:v>0.022201166693964</c:v>
                </c:pt>
                <c:pt idx="235">
                  <c:v>0.00568499262971464</c:v>
                </c:pt>
                <c:pt idx="236">
                  <c:v>0.00590694306894701</c:v>
                </c:pt>
                <c:pt idx="237">
                  <c:v>0.00592990345921237</c:v>
                </c:pt>
                <c:pt idx="238">
                  <c:v>0.00594138365434504</c:v>
                </c:pt>
                <c:pt idx="239">
                  <c:v>0</c:v>
                </c:pt>
                <c:pt idx="240">
                  <c:v>0</c:v>
                </c:pt>
                <c:pt idx="241">
                  <c:v>0.00165119065448549</c:v>
                </c:pt>
                <c:pt idx="242">
                  <c:v>0.00724876441515645</c:v>
                </c:pt>
                <c:pt idx="243">
                  <c:v>0.00998202785682187</c:v>
                </c:pt>
                <c:pt idx="244">
                  <c:v>0.00998202785682187</c:v>
                </c:pt>
                <c:pt idx="245">
                  <c:v>0.0166242324397184</c:v>
                </c:pt>
                <c:pt idx="246">
                  <c:v>0.0216863861015426</c:v>
                </c:pt>
                <c:pt idx="247">
                  <c:v>0.0241949977534821</c:v>
                </c:pt>
                <c:pt idx="248">
                  <c:v>0.0243522540062903</c:v>
                </c:pt>
                <c:pt idx="249">
                  <c:v>0.0256065598322601</c:v>
                </c:pt>
                <c:pt idx="250">
                  <c:v>0.0137299685487495</c:v>
                </c:pt>
                <c:pt idx="251">
                  <c:v>0.0157069042983376</c:v>
                </c:pt>
                <c:pt idx="252">
                  <c:v>0.00746592781189162</c:v>
                </c:pt>
                <c:pt idx="253">
                  <c:v>0.00989216714093158</c:v>
                </c:pt>
                <c:pt idx="254">
                  <c:v>0.00990714392691323</c:v>
                </c:pt>
                <c:pt idx="255">
                  <c:v>0.0129923618391493</c:v>
                </c:pt>
                <c:pt idx="256">
                  <c:v>0.0131795716639209</c:v>
                </c:pt>
                <c:pt idx="257">
                  <c:v>0.00924816534371724</c:v>
                </c:pt>
                <c:pt idx="258">
                  <c:v>0.00601692376815938</c:v>
                </c:pt>
                <c:pt idx="259">
                  <c:v>0.00672457690579596</c:v>
                </c:pt>
                <c:pt idx="260">
                  <c:v>0.00048674554440617</c:v>
                </c:pt>
                <c:pt idx="261">
                  <c:v>0.00306649692975893</c:v>
                </c:pt>
                <c:pt idx="262">
                  <c:v>0.00397259248165338</c:v>
                </c:pt>
                <c:pt idx="263">
                  <c:v>0.00518945634266881</c:v>
                </c:pt>
                <c:pt idx="264">
                  <c:v>0.00688932155159503</c:v>
                </c:pt>
                <c:pt idx="265">
                  <c:v>0.0237007638160851</c:v>
                </c:pt>
                <c:pt idx="266">
                  <c:v>0.024176276771005</c:v>
                </c:pt>
                <c:pt idx="267">
                  <c:v>0.0241882581997903</c:v>
                </c:pt>
                <c:pt idx="268">
                  <c:v>0.0262730268084469</c:v>
                </c:pt>
                <c:pt idx="269">
                  <c:v>0.0220855174479557</c:v>
                </c:pt>
                <c:pt idx="270">
                  <c:v>0.0246390594578404</c:v>
                </c:pt>
                <c:pt idx="271">
                  <c:v>0.026559832259997</c:v>
                </c:pt>
                <c:pt idx="272">
                  <c:v>0.0308012580500224</c:v>
                </c:pt>
                <c:pt idx="273">
                  <c:v>0.0308686535869403</c:v>
                </c:pt>
                <c:pt idx="274">
                  <c:v>0.033691777744496</c:v>
                </c:pt>
                <c:pt idx="275">
                  <c:v>0.029480305526434</c:v>
                </c:pt>
                <c:pt idx="276">
                  <c:v>0.0322599970046428</c:v>
                </c:pt>
                <c:pt idx="277">
                  <c:v>0.0339673506065599</c:v>
                </c:pt>
                <c:pt idx="278">
                  <c:v>0.0259637561779243</c:v>
                </c:pt>
                <c:pt idx="279">
                  <c:v>0.0323438670061405</c:v>
                </c:pt>
                <c:pt idx="280">
                  <c:v>0.0325056162947431</c:v>
                </c:pt>
                <c:pt idx="281">
                  <c:v>0.0325775048674555</c:v>
                </c:pt>
                <c:pt idx="282">
                  <c:v>0.0326014677250263</c:v>
                </c:pt>
                <c:pt idx="283">
                  <c:v>0.0341440766811442</c:v>
                </c:pt>
                <c:pt idx="284">
                  <c:v>0.0235494982776696</c:v>
                </c:pt>
                <c:pt idx="285">
                  <c:v>0.0250501722330388</c:v>
                </c:pt>
                <c:pt idx="286">
                  <c:v>0.026541860116819</c:v>
                </c:pt>
                <c:pt idx="287">
                  <c:v>0.0287194847985623</c:v>
                </c:pt>
                <c:pt idx="288">
                  <c:v>0.030094353751685</c:v>
                </c:pt>
                <c:pt idx="289">
                  <c:v>0.0315800509210724</c:v>
                </c:pt>
                <c:pt idx="290">
                  <c:v>0.03272128201288</c:v>
                </c:pt>
                <c:pt idx="291">
                  <c:v>0.0289680994458589</c:v>
                </c:pt>
                <c:pt idx="292">
                  <c:v>0.0316788977085518</c:v>
                </c:pt>
                <c:pt idx="293">
                  <c:v>0.033101692376816</c:v>
                </c:pt>
                <c:pt idx="294">
                  <c:v>0.033197543807099</c:v>
                </c:pt>
                <c:pt idx="295">
                  <c:v>0.0351145724127602</c:v>
                </c:pt>
                <c:pt idx="296">
                  <c:v>0.0503190055414108</c:v>
                </c:pt>
                <c:pt idx="297">
                  <c:v>0.0503669312565524</c:v>
                </c:pt>
                <c:pt idx="298">
                  <c:v>0.0550966002695822</c:v>
                </c:pt>
                <c:pt idx="299">
                  <c:v>0.0505885876890819</c:v>
                </c:pt>
                <c:pt idx="300">
                  <c:v>0.043007338625131</c:v>
                </c:pt>
                <c:pt idx="301">
                  <c:v>0.0430223154111128</c:v>
                </c:pt>
                <c:pt idx="302">
                  <c:v>0.0457121461734312</c:v>
                </c:pt>
                <c:pt idx="303">
                  <c:v>0.040632020368429</c:v>
                </c:pt>
                <c:pt idx="304">
                  <c:v>0.0382177624681744</c:v>
                </c:pt>
                <c:pt idx="305">
                  <c:v>0.0382357346113524</c:v>
                </c:pt>
                <c:pt idx="306">
                  <c:v>0.0297498876741052</c:v>
                </c:pt>
                <c:pt idx="307">
                  <c:v>0.0191642953422196</c:v>
                </c:pt>
                <c:pt idx="308">
                  <c:v>0.016932754230942</c:v>
                </c:pt>
                <c:pt idx="309">
                  <c:v>0.0182656881833159</c:v>
                </c:pt>
                <c:pt idx="310">
                  <c:v>0.0149198741949977</c:v>
                </c:pt>
                <c:pt idx="311">
                  <c:v>0.0100284558933653</c:v>
                </c:pt>
                <c:pt idx="312">
                  <c:v>0.0100374419649544</c:v>
                </c:pt>
                <c:pt idx="313">
                  <c:v>0.0120832709300585</c:v>
                </c:pt>
                <c:pt idx="314">
                  <c:v>0.00637112475662722</c:v>
                </c:pt>
                <c:pt idx="315">
                  <c:v>0.00790474764115617</c:v>
                </c:pt>
                <c:pt idx="316">
                  <c:v>0.00879736408566718</c:v>
                </c:pt>
                <c:pt idx="317">
                  <c:v>0.000383405721132169</c:v>
                </c:pt>
                <c:pt idx="318">
                  <c:v>0</c:v>
                </c:pt>
                <c:pt idx="319">
                  <c:v>0.00181609092402585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4.9379273485675E-005</c:v>
                </c:pt>
                <c:pt idx="324">
                  <c:v>0</c:v>
                </c:pt>
                <c:pt idx="325">
                  <c:v>0.00332031476352175</c:v>
                </c:pt>
                <c:pt idx="326">
                  <c:v>0.00626397951023905</c:v>
                </c:pt>
                <c:pt idx="327">
                  <c:v>0.00626977412588219</c:v>
                </c:pt>
                <c:pt idx="328">
                  <c:v>0.00834714383394948</c:v>
                </c:pt>
                <c:pt idx="329">
                  <c:v>0.00986243582463174</c:v>
                </c:pt>
                <c:pt idx="330">
                  <c:v>0.0103578754621206</c:v>
                </c:pt>
                <c:pt idx="331">
                  <c:v>0.0126728244115569</c:v>
                </c:pt>
                <c:pt idx="332">
                  <c:v>0.0126815163350215</c:v>
                </c:pt>
                <c:pt idx="333">
                  <c:v>0.0134753786781322</c:v>
                </c:pt>
                <c:pt idx="334">
                  <c:v>0.0094828885000058</c:v>
                </c:pt>
                <c:pt idx="335">
                  <c:v>0.0136086548379245</c:v>
                </c:pt>
                <c:pt idx="336">
                  <c:v>0.017777880793167</c:v>
                </c:pt>
                <c:pt idx="337">
                  <c:v>0.0148689837403086</c:v>
                </c:pt>
                <c:pt idx="338">
                  <c:v>0.0148747783559517</c:v>
                </c:pt>
                <c:pt idx="339">
                  <c:v>0.0149037514341674</c:v>
                </c:pt>
                <c:pt idx="340">
                  <c:v>0.015914911863896</c:v>
                </c:pt>
                <c:pt idx="341">
                  <c:v>0.0199479643515245</c:v>
                </c:pt>
                <c:pt idx="342">
                  <c:v>0.0199537589671677</c:v>
                </c:pt>
                <c:pt idx="343">
                  <c:v>0.0146111233441885</c:v>
                </c:pt>
                <c:pt idx="344">
                  <c:v>0.0107084497085308</c:v>
                </c:pt>
                <c:pt idx="345">
                  <c:v>0.00736205917461504</c:v>
                </c:pt>
                <c:pt idx="346">
                  <c:v>0.0157642518571744</c:v>
                </c:pt>
                <c:pt idx="347">
                  <c:v>0.0157700464728174</c:v>
                </c:pt>
                <c:pt idx="348">
                  <c:v>0.0178995677216731</c:v>
                </c:pt>
                <c:pt idx="349">
                  <c:v>0.0190208258486215</c:v>
                </c:pt>
                <c:pt idx="350">
                  <c:v>0.0219644905953388</c:v>
                </c:pt>
                <c:pt idx="351">
                  <c:v>0.0222252482992803</c:v>
                </c:pt>
                <c:pt idx="352">
                  <c:v>0.025864266923175</c:v>
                </c:pt>
                <c:pt idx="353">
                  <c:v>0.0304449105890806</c:v>
                </c:pt>
                <c:pt idx="354">
                  <c:v>0.0172042138444957</c:v>
                </c:pt>
                <c:pt idx="355">
                  <c:v>0.0172853384634998</c:v>
                </c:pt>
                <c:pt idx="356">
                  <c:v>0.0195915954894712</c:v>
                </c:pt>
                <c:pt idx="357">
                  <c:v>0.0203941497560466</c:v>
                </c:pt>
                <c:pt idx="358">
                  <c:v>0.0204405066811919</c:v>
                </c:pt>
                <c:pt idx="359">
                  <c:v>0.0214748455734931</c:v>
                </c:pt>
                <c:pt idx="360">
                  <c:v>0.0169898130656993</c:v>
                </c:pt>
                <c:pt idx="361">
                  <c:v>0.0131769559725103</c:v>
                </c:pt>
                <c:pt idx="362">
                  <c:v>0.0131827505881535</c:v>
                </c:pt>
                <c:pt idx="363">
                  <c:v>0.0173809496216117</c:v>
                </c:pt>
                <c:pt idx="364">
                  <c:v>0.0255629469097315</c:v>
                </c:pt>
                <c:pt idx="365">
                  <c:v>0.0294163663124226</c:v>
                </c:pt>
                <c:pt idx="366">
                  <c:v>0.031302513704266</c:v>
                </c:pt>
                <c:pt idx="367">
                  <c:v>0.0270405738987333</c:v>
                </c:pt>
                <c:pt idx="368">
                  <c:v>0.0278373335496656</c:v>
                </c:pt>
                <c:pt idx="369">
                  <c:v>0.027869203935703</c:v>
                </c:pt>
                <c:pt idx="370">
                  <c:v>0.0292425278431281</c:v>
                </c:pt>
                <c:pt idx="371">
                  <c:v>0.0343475842247384</c:v>
                </c:pt>
                <c:pt idx="372">
                  <c:v>0.0356252969740517</c:v>
                </c:pt>
                <c:pt idx="373">
                  <c:v>0.0371463835803771</c:v>
                </c:pt>
                <c:pt idx="374">
                  <c:v>0.0372304055072027</c:v>
                </c:pt>
                <c:pt idx="375">
                  <c:v>0.0372333028150242</c:v>
                </c:pt>
                <c:pt idx="376">
                  <c:v>0.0372709678167047</c:v>
                </c:pt>
                <c:pt idx="377">
                  <c:v>0.039606197920892</c:v>
                </c:pt>
                <c:pt idx="378">
                  <c:v>0.0408317591294169</c:v>
                </c:pt>
                <c:pt idx="379">
                  <c:v>0.0408491429763464</c:v>
                </c:pt>
                <c:pt idx="380">
                  <c:v>0.0418834818686476</c:v>
                </c:pt>
                <c:pt idx="381">
                  <c:v>0.0467017047759222</c:v>
                </c:pt>
                <c:pt idx="382">
                  <c:v>0.0425064030502857</c:v>
                </c:pt>
                <c:pt idx="383">
                  <c:v>0.046953770556399</c:v>
                </c:pt>
                <c:pt idx="384">
                  <c:v>0.0510621530473884</c:v>
                </c:pt>
                <c:pt idx="385">
                  <c:v>0.0527947431246885</c:v>
                </c:pt>
                <c:pt idx="386">
                  <c:v>0.0540463801036077</c:v>
                </c:pt>
                <c:pt idx="387">
                  <c:v>0.0462410328322922</c:v>
                </c:pt>
                <c:pt idx="388">
                  <c:v>0.046371411684263</c:v>
                </c:pt>
                <c:pt idx="389">
                  <c:v>0.0463743089920845</c:v>
                </c:pt>
                <c:pt idx="390">
                  <c:v>0.0354108961952553</c:v>
                </c:pt>
                <c:pt idx="391">
                  <c:v>0.0368595501060414</c:v>
                </c:pt>
                <c:pt idx="392">
                  <c:v>0.0415010372362002</c:v>
                </c:pt>
                <c:pt idx="393">
                  <c:v>0.0433871846280436</c:v>
                </c:pt>
                <c:pt idx="394">
                  <c:v>0.0452965104824597</c:v>
                </c:pt>
                <c:pt idx="395">
                  <c:v>0.0630772885834483</c:v>
                </c:pt>
                <c:pt idx="396">
                  <c:v>0.0496946237556063</c:v>
                </c:pt>
                <c:pt idx="397">
                  <c:v>0.0525166015738175</c:v>
                </c:pt>
                <c:pt idx="398">
                  <c:v>0.0538493631717409</c:v>
                </c:pt>
                <c:pt idx="399">
                  <c:v>0.0574970737191003</c:v>
                </c:pt>
                <c:pt idx="400">
                  <c:v>0.0578244695029379</c:v>
                </c:pt>
                <c:pt idx="401">
                  <c:v>0.0579838214331244</c:v>
                </c:pt>
                <c:pt idx="402">
                  <c:v>0.0581750437493481</c:v>
                </c:pt>
                <c:pt idx="403">
                  <c:v>0.0581953249040992</c:v>
                </c:pt>
                <c:pt idx="404">
                  <c:v>0.0584386987611113</c:v>
                </c:pt>
                <c:pt idx="405">
                  <c:v>0.0507028868775134</c:v>
                </c:pt>
                <c:pt idx="406">
                  <c:v>0.0508071899590901</c:v>
                </c:pt>
                <c:pt idx="407">
                  <c:v>0.0508332657294842</c:v>
                </c:pt>
                <c:pt idx="408">
                  <c:v>0.0509868230440275</c:v>
                </c:pt>
                <c:pt idx="409">
                  <c:v>0.0405072606534008</c:v>
                </c:pt>
                <c:pt idx="410">
                  <c:v>0.0270782389004137</c:v>
                </c:pt>
                <c:pt idx="411">
                  <c:v>0.0153470395308679</c:v>
                </c:pt>
                <c:pt idx="412">
                  <c:v>0.0154745210750171</c:v>
                </c:pt>
                <c:pt idx="413">
                  <c:v>0.0198059962682676</c:v>
                </c:pt>
                <c:pt idx="414">
                  <c:v>0.0144401821827159</c:v>
                </c:pt>
                <c:pt idx="415">
                  <c:v>0.0144488741061805</c:v>
                </c:pt>
                <c:pt idx="416">
                  <c:v>0.0172737492322134</c:v>
                </c:pt>
                <c:pt idx="417">
                  <c:v>0.0121860766975326</c:v>
                </c:pt>
                <c:pt idx="418">
                  <c:v>0.0145126148782552</c:v>
                </c:pt>
                <c:pt idx="419">
                  <c:v>0.0147936537369476</c:v>
                </c:pt>
                <c:pt idx="420">
                  <c:v>0.0184732346703442</c:v>
                </c:pt>
                <c:pt idx="421">
                  <c:v>0.0161611830287298</c:v>
                </c:pt>
                <c:pt idx="422">
                  <c:v>0.00958719158158244</c:v>
                </c:pt>
                <c:pt idx="423">
                  <c:v>0.00806900228307854</c:v>
                </c:pt>
                <c:pt idx="424">
                  <c:v>0.00570479910067567</c:v>
                </c:pt>
                <c:pt idx="425">
                  <c:v>0.00698251184998896</c:v>
                </c:pt>
                <c:pt idx="426">
                  <c:v>0.00711868531760293</c:v>
                </c:pt>
                <c:pt idx="427">
                  <c:v>0</c:v>
                </c:pt>
                <c:pt idx="428">
                  <c:v>0.000736385531035093</c:v>
                </c:pt>
                <c:pt idx="429">
                  <c:v>0</c:v>
                </c:pt>
                <c:pt idx="430">
                  <c:v>5.72090561935434E-006</c:v>
                </c:pt>
                <c:pt idx="431">
                  <c:v>0.000926786710336184</c:v>
                </c:pt>
                <c:pt idx="432">
                  <c:v>0.00206810738139835</c:v>
                </c:pt>
                <c:pt idx="433">
                  <c:v>0.00213103734321138</c:v>
                </c:pt>
                <c:pt idx="434">
                  <c:v>0</c:v>
                </c:pt>
                <c:pt idx="435">
                  <c:v>0.00252511670172203</c:v>
                </c:pt>
                <c:pt idx="436">
                  <c:v>0.00332058507973098</c:v>
                </c:pt>
                <c:pt idx="437">
                  <c:v>0.00425476502543523</c:v>
                </c:pt>
                <c:pt idx="438">
                  <c:v>0.0045491732507481</c:v>
                </c:pt>
                <c:pt idx="439">
                  <c:v>0.00465108379027952</c:v>
                </c:pt>
                <c:pt idx="440">
                  <c:v>0.0108308256735296</c:v>
                </c:pt>
                <c:pt idx="441">
                  <c:v>0.0082604153986826</c:v>
                </c:pt>
                <c:pt idx="442">
                  <c:v>0.00471619330164679</c:v>
                </c:pt>
                <c:pt idx="443">
                  <c:v>0.00338286374277788</c:v>
                </c:pt>
                <c:pt idx="444">
                  <c:v>0.00553430846621812</c:v>
                </c:pt>
                <c:pt idx="445">
                  <c:v>0.00559375628094477</c:v>
                </c:pt>
                <c:pt idx="446">
                  <c:v>0.0055994179775854</c:v>
                </c:pt>
                <c:pt idx="447">
                  <c:v>0.00450387967762308</c:v>
                </c:pt>
                <c:pt idx="448">
                  <c:v>0</c:v>
                </c:pt>
                <c:pt idx="449">
                  <c:v>0.000949322516127312</c:v>
                </c:pt>
                <c:pt idx="450">
                  <c:v>0.000994394208287614</c:v>
                </c:pt>
                <c:pt idx="451">
                  <c:v>0.00458322769655483</c:v>
                </c:pt>
                <c:pt idx="452">
                  <c:v>0.00355502971914712</c:v>
                </c:pt>
                <c:pt idx="453">
                  <c:v>0.00550719738584191</c:v>
                </c:pt>
                <c:pt idx="454">
                  <c:v>0.000884531958646687</c:v>
                </c:pt>
                <c:pt idx="455">
                  <c:v>0</c:v>
                </c:pt>
                <c:pt idx="456">
                  <c:v>4.49597329391455E-005</c:v>
                </c:pt>
                <c:pt idx="457">
                  <c:v>0</c:v>
                </c:pt>
                <c:pt idx="458">
                  <c:v>0</c:v>
                </c:pt>
                <c:pt idx="459">
                  <c:v>2.22962333300615E-005</c:v>
                </c:pt>
                <c:pt idx="460">
                  <c:v>0</c:v>
                </c:pt>
                <c:pt idx="461">
                  <c:v>0.00121752346298072</c:v>
                </c:pt>
                <c:pt idx="462">
                  <c:v>0.00640101173703722</c:v>
                </c:pt>
                <c:pt idx="463">
                  <c:v>0.00641765214883193</c:v>
                </c:pt>
                <c:pt idx="464">
                  <c:v>0.0064231989527635</c:v>
                </c:pt>
                <c:pt idx="465">
                  <c:v>0.00799571786736493</c:v>
                </c:pt>
                <c:pt idx="466">
                  <c:v>0.00928534978145606</c:v>
                </c:pt>
                <c:pt idx="467">
                  <c:v>0.00979010893922927</c:v>
                </c:pt>
                <c:pt idx="468">
                  <c:v>0.00990104501786078</c:v>
                </c:pt>
                <c:pt idx="469">
                  <c:v>0.0113432140400703</c:v>
                </c:pt>
                <c:pt idx="470">
                  <c:v>0.0040741274877417</c:v>
                </c:pt>
                <c:pt idx="471">
                  <c:v>0.00808446673027017</c:v>
                </c:pt>
                <c:pt idx="472">
                  <c:v>0.00823977724035412</c:v>
                </c:pt>
                <c:pt idx="473">
                  <c:v>0.0093380444188059</c:v>
                </c:pt>
                <c:pt idx="474">
                  <c:v>0.00934636462470332</c:v>
                </c:pt>
                <c:pt idx="475">
                  <c:v>0</c:v>
                </c:pt>
                <c:pt idx="476">
                  <c:v>0</c:v>
                </c:pt>
                <c:pt idx="477">
                  <c:v>2.6598786562728E-006</c:v>
                </c:pt>
                <c:pt idx="478">
                  <c:v>1.59592719378787E-005</c:v>
                </c:pt>
                <c:pt idx="479">
                  <c:v>9.5755631627998E-005</c:v>
                </c:pt>
                <c:pt idx="480">
                  <c:v>0.00019417114191239</c:v>
                </c:pt>
                <c:pt idx="481">
                  <c:v>0.000239389079070116</c:v>
                </c:pt>
                <c:pt idx="482">
                  <c:v>0.000308545924134902</c:v>
                </c:pt>
                <c:pt idx="483">
                  <c:v>0.001141087943568</c:v>
                </c:pt>
                <c:pt idx="484">
                  <c:v>0.00115970709416228</c:v>
                </c:pt>
                <c:pt idx="485">
                  <c:v>0.00122886393922706</c:v>
                </c:pt>
                <c:pt idx="486">
                  <c:v>0</c:v>
                </c:pt>
                <c:pt idx="487">
                  <c:v>2.62318475614636E-005</c:v>
                </c:pt>
                <c:pt idx="488">
                  <c:v>0.00319503903298913</c:v>
                </c:pt>
                <c:pt idx="489">
                  <c:v>0</c:v>
                </c:pt>
                <c:pt idx="490">
                  <c:v>0</c:v>
                </c:pt>
                <c:pt idx="491">
                  <c:v>0.000117309531399435</c:v>
                </c:pt>
                <c:pt idx="492">
                  <c:v>0.00242014663691419</c:v>
                </c:pt>
                <c:pt idx="493">
                  <c:v>0.00242014663691419</c:v>
                </c:pt>
                <c:pt idx="494">
                  <c:v>0.00245584953777497</c:v>
                </c:pt>
                <c:pt idx="495">
                  <c:v>0.00255785782594829</c:v>
                </c:pt>
                <c:pt idx="496">
                  <c:v>0.00435830411220915</c:v>
                </c:pt>
                <c:pt idx="497">
                  <c:v>0.00557730315588139</c:v>
                </c:pt>
                <c:pt idx="498">
                  <c:v>0.007627669748167</c:v>
                </c:pt>
                <c:pt idx="499">
                  <c:v>0.00786483901817026</c:v>
                </c:pt>
                <c:pt idx="500">
                  <c:v>0.0179152056104559</c:v>
                </c:pt>
                <c:pt idx="501">
                  <c:v>0.0224826267134204</c:v>
                </c:pt>
                <c:pt idx="502">
                  <c:v>0.0224851769206248</c:v>
                </c:pt>
                <c:pt idx="503">
                  <c:v>0.024045903729678</c:v>
                </c:pt>
                <c:pt idx="504">
                  <c:v>0.0075690149824674</c:v>
                </c:pt>
                <c:pt idx="505">
                  <c:v>0.0127841887153331</c:v>
                </c:pt>
                <c:pt idx="506">
                  <c:v>0.0128020401657634</c:v>
                </c:pt>
                <c:pt idx="507">
                  <c:v>0.016357029008607</c:v>
                </c:pt>
                <c:pt idx="508">
                  <c:v>0.0173567102327064</c:v>
                </c:pt>
                <c:pt idx="509">
                  <c:v>0.0191393050685369</c:v>
                </c:pt>
                <c:pt idx="510">
                  <c:v>0.0147554988842843</c:v>
                </c:pt>
                <c:pt idx="511">
                  <c:v>0.0162397194772076</c:v>
                </c:pt>
                <c:pt idx="512">
                  <c:v>0.0162754223780681</c:v>
                </c:pt>
                <c:pt idx="513">
                  <c:v>0.0057609180745936</c:v>
                </c:pt>
                <c:pt idx="514">
                  <c:v>0</c:v>
                </c:pt>
                <c:pt idx="515">
                  <c:v>0.00322403761207969</c:v>
                </c:pt>
                <c:pt idx="516">
                  <c:v>0.00525746605875365</c:v>
                </c:pt>
                <c:pt idx="517">
                  <c:v>0.00949440997573077</c:v>
                </c:pt>
                <c:pt idx="518">
                  <c:v>0.014810264117223</c:v>
                </c:pt>
                <c:pt idx="519">
                  <c:v>0.0172930269397536</c:v>
                </c:pt>
                <c:pt idx="520">
                  <c:v>0.0173387219610273</c:v>
                </c:pt>
                <c:pt idx="521">
                  <c:v>0.0222737842585728</c:v>
                </c:pt>
                <c:pt idx="522">
                  <c:v>0.0233400014216228</c:v>
                </c:pt>
                <c:pt idx="523">
                  <c:v>0.0445856477015405</c:v>
                </c:pt>
                <c:pt idx="524">
                  <c:v>0.038558982118015</c:v>
                </c:pt>
                <c:pt idx="525">
                  <c:v>0.0385843682409447</c:v>
                </c:pt>
                <c:pt idx="526">
                  <c:v>0.0423313599853776</c:v>
                </c:pt>
                <c:pt idx="527">
                  <c:v>0.0478604575594796</c:v>
                </c:pt>
                <c:pt idx="528">
                  <c:v>0.0338523949268372</c:v>
                </c:pt>
                <c:pt idx="529">
                  <c:v>0.0300901715086465</c:v>
                </c:pt>
                <c:pt idx="530">
                  <c:v>0.0345251271844759</c:v>
                </c:pt>
                <c:pt idx="531">
                  <c:v>0.0265716548705816</c:v>
                </c:pt>
                <c:pt idx="532">
                  <c:v>0.026627504341027</c:v>
                </c:pt>
                <c:pt idx="533">
                  <c:v>0.0399349099808081</c:v>
                </c:pt>
                <c:pt idx="534">
                  <c:v>0.0401329217396603</c:v>
                </c:pt>
                <c:pt idx="535">
                  <c:v>0.041534235725383</c:v>
                </c:pt>
                <c:pt idx="536">
                  <c:v>0.0416205485433442</c:v>
                </c:pt>
                <c:pt idx="537">
                  <c:v>0.0496197158785122</c:v>
                </c:pt>
                <c:pt idx="538">
                  <c:v>0.0377161628367469</c:v>
                </c:pt>
                <c:pt idx="539">
                  <c:v>0.0377288558982118</c:v>
                </c:pt>
                <c:pt idx="540">
                  <c:v>0.0393357974796657</c:v>
                </c:pt>
                <c:pt idx="541">
                  <c:v>0.0406254125244975</c:v>
                </c:pt>
                <c:pt idx="542">
                  <c:v>0.0395211161770529</c:v>
                </c:pt>
                <c:pt idx="543">
                  <c:v>0.0470607946871922</c:v>
                </c:pt>
                <c:pt idx="544">
                  <c:v>0.0471775708526691</c:v>
                </c:pt>
                <c:pt idx="545">
                  <c:v>0.0484214908762274</c:v>
                </c:pt>
                <c:pt idx="546">
                  <c:v>0.0488581321906193</c:v>
                </c:pt>
                <c:pt idx="547">
                  <c:v>0.0500741274789549</c:v>
                </c:pt>
                <c:pt idx="548">
                  <c:v>0.0508052478193321</c:v>
                </c:pt>
                <c:pt idx="549">
                  <c:v>0.0508376151260674</c:v>
                </c:pt>
                <c:pt idx="550">
                  <c:v>0.0512165030107942</c:v>
                </c:pt>
                <c:pt idx="551">
                  <c:v>0.0411198072685547</c:v>
                </c:pt>
                <c:pt idx="552">
                  <c:v>0.0457476974786502</c:v>
                </c:pt>
                <c:pt idx="553">
                  <c:v>0.0457515053970897</c:v>
                </c:pt>
                <c:pt idx="554">
                  <c:v>0.0457762568669462</c:v>
                </c:pt>
                <c:pt idx="555">
                  <c:v>0.0489723697438032</c:v>
                </c:pt>
                <c:pt idx="556">
                  <c:v>0.0501928076036515</c:v>
                </c:pt>
                <c:pt idx="557">
                  <c:v>0.0415412169091887</c:v>
                </c:pt>
                <c:pt idx="558">
                  <c:v>0.0368980950253353</c:v>
                </c:pt>
                <c:pt idx="559">
                  <c:v>0.0346565003706374</c:v>
                </c:pt>
                <c:pt idx="560">
                  <c:v>0.0358039531270626</c:v>
                </c:pt>
                <c:pt idx="561">
                  <c:v>0.0370053513947135</c:v>
                </c:pt>
                <c:pt idx="562">
                  <c:v>0.0431494277967891</c:v>
                </c:pt>
                <c:pt idx="563">
                  <c:v>0.0447811208480995</c:v>
                </c:pt>
                <c:pt idx="564">
                  <c:v>0.0448001604402969</c:v>
                </c:pt>
                <c:pt idx="565">
                  <c:v>0.0452209354278576</c:v>
                </c:pt>
                <c:pt idx="566">
                  <c:v>0.0322207018755267</c:v>
                </c:pt>
                <c:pt idx="567">
                  <c:v>0.0275674255425014</c:v>
                </c:pt>
                <c:pt idx="568">
                  <c:v>0.0275864651346987</c:v>
                </c:pt>
                <c:pt idx="569">
                  <c:v>0.0311925638968714</c:v>
                </c:pt>
                <c:pt idx="570">
                  <c:v>0.032744290660953</c:v>
                </c:pt>
                <c:pt idx="571">
                  <c:v>0.0327652342123702</c:v>
                </c:pt>
                <c:pt idx="572">
                  <c:v>0.032850912377258</c:v>
                </c:pt>
                <c:pt idx="573">
                  <c:v>0.0328966073985317</c:v>
                </c:pt>
                <c:pt idx="574">
                  <c:v>0.0330698676875273</c:v>
                </c:pt>
                <c:pt idx="575">
                  <c:v>0.0310611907107098</c:v>
                </c:pt>
                <c:pt idx="576">
                  <c:v>0.0310611907107098</c:v>
                </c:pt>
                <c:pt idx="577">
                  <c:v>0.0354193533646767</c:v>
                </c:pt>
                <c:pt idx="578">
                  <c:v>0.0362209201961839</c:v>
                </c:pt>
                <c:pt idx="579">
                  <c:v>0.0362266320738431</c:v>
                </c:pt>
                <c:pt idx="580">
                  <c:v>0.0367578366961484</c:v>
                </c:pt>
                <c:pt idx="581">
                  <c:v>0.0354555285898516</c:v>
                </c:pt>
                <c:pt idx="582">
                  <c:v>0.0378983082687679</c:v>
                </c:pt>
                <c:pt idx="583">
                  <c:v>0.0381800942332883</c:v>
                </c:pt>
                <c:pt idx="584">
                  <c:v>0.0383438347261852</c:v>
                </c:pt>
                <c:pt idx="585">
                  <c:v>0.0400212227987692</c:v>
                </c:pt>
                <c:pt idx="586">
                  <c:v>0.0435359315183948</c:v>
                </c:pt>
                <c:pt idx="587">
                  <c:v>0.0392577351516567</c:v>
                </c:pt>
                <c:pt idx="588">
                  <c:v>0.0393662608271814</c:v>
                </c:pt>
                <c:pt idx="589">
                  <c:v>0.0394367073183115</c:v>
                </c:pt>
                <c:pt idx="590">
                  <c:v>0.0442689558179916</c:v>
                </c:pt>
                <c:pt idx="591">
                  <c:v>0.0472714995075092</c:v>
                </c:pt>
                <c:pt idx="592">
                  <c:v>0.0474066806121102</c:v>
                </c:pt>
                <c:pt idx="593">
                  <c:v>0.0501579016846231</c:v>
                </c:pt>
                <c:pt idx="594">
                  <c:v>0.0468640522344864</c:v>
                </c:pt>
                <c:pt idx="595">
                  <c:v>0.0492040181155373</c:v>
                </c:pt>
                <c:pt idx="596">
                  <c:v>0.0520618609043552</c:v>
                </c:pt>
                <c:pt idx="597">
                  <c:v>0.0490878766031336</c:v>
                </c:pt>
                <c:pt idx="598">
                  <c:v>0.0491411874612861</c:v>
                </c:pt>
                <c:pt idx="599">
                  <c:v>0.0652486824602199</c:v>
                </c:pt>
                <c:pt idx="600">
                  <c:v>0.0691657612282822</c:v>
                </c:pt>
                <c:pt idx="601">
                  <c:v>0.0694246996821657</c:v>
                </c:pt>
                <c:pt idx="602">
                  <c:v>0.0766089724712882</c:v>
                </c:pt>
                <c:pt idx="603">
                  <c:v>0.0823303699265833</c:v>
                </c:pt>
                <c:pt idx="604">
                  <c:v>0.0783415753612445</c:v>
                </c:pt>
                <c:pt idx="605">
                  <c:v>0.0798019120827791</c:v>
                </c:pt>
                <c:pt idx="606">
                  <c:v>0.0756588968206419</c:v>
                </c:pt>
                <c:pt idx="607">
                  <c:v>0.0775342966520781</c:v>
                </c:pt>
                <c:pt idx="608">
                  <c:v>0.078849932472913</c:v>
                </c:pt>
                <c:pt idx="609">
                  <c:v>0.0800589465774429</c:v>
                </c:pt>
                <c:pt idx="610">
                  <c:v>0.0816754079549955</c:v>
                </c:pt>
                <c:pt idx="611">
                  <c:v>0.0831186090435523</c:v>
                </c:pt>
                <c:pt idx="612">
                  <c:v>0.0832138070045389</c:v>
                </c:pt>
                <c:pt idx="613">
                  <c:v>0.0842609845753916</c:v>
                </c:pt>
                <c:pt idx="614">
                  <c:v>0.0767936565156022</c:v>
                </c:pt>
                <c:pt idx="615">
                  <c:v>0.0675803978513186</c:v>
                </c:pt>
                <c:pt idx="616">
                  <c:v>0.0703773139451051</c:v>
                </c:pt>
                <c:pt idx="617">
                  <c:v>0.073973892911179</c:v>
                </c:pt>
                <c:pt idx="618">
                  <c:v>0.0740671869129459</c:v>
                </c:pt>
                <c:pt idx="619">
                  <c:v>0.0760111292762924</c:v>
                </c:pt>
                <c:pt idx="620">
                  <c:v>0.0760511124199068</c:v>
                </c:pt>
                <c:pt idx="621">
                  <c:v>0.0782920724215314</c:v>
                </c:pt>
                <c:pt idx="622">
                  <c:v>0.0807405639781071</c:v>
                </c:pt>
                <c:pt idx="623">
                  <c:v>0.0731742300388915</c:v>
                </c:pt>
                <c:pt idx="624">
                  <c:v>0.073305603225053</c:v>
                </c:pt>
                <c:pt idx="625">
                  <c:v>0.0733075071842728</c:v>
                </c:pt>
                <c:pt idx="626">
                  <c:v>0.0733532022055463</c:v>
                </c:pt>
                <c:pt idx="627">
                  <c:v>0.0758797560901309</c:v>
                </c:pt>
                <c:pt idx="628">
                  <c:v>0.0759882817656556</c:v>
                </c:pt>
                <c:pt idx="629">
                  <c:v>0.0804549700951472</c:v>
                </c:pt>
                <c:pt idx="630">
                  <c:v>0.0786252652849846</c:v>
                </c:pt>
                <c:pt idx="631">
                  <c:v>0.0797409853877477</c:v>
                </c:pt>
                <c:pt idx="632">
                  <c:v>0.0706610038688451</c:v>
                </c:pt>
                <c:pt idx="633">
                  <c:v>0.0693510799256694</c:v>
                </c:pt>
                <c:pt idx="634">
                  <c:v>0.0731761339981112</c:v>
                </c:pt>
                <c:pt idx="635">
                  <c:v>0.0750039348490541</c:v>
                </c:pt>
                <c:pt idx="636">
                  <c:v>0.0727039521116177</c:v>
                </c:pt>
                <c:pt idx="637">
                  <c:v>0.072751551092111</c:v>
                </c:pt>
                <c:pt idx="638">
                  <c:v>0.0665065648513895</c:v>
                </c:pt>
                <c:pt idx="639">
                  <c:v>0.0631517887062216</c:v>
                </c:pt>
                <c:pt idx="640">
                  <c:v>0.0644464809756394</c:v>
                </c:pt>
                <c:pt idx="641">
                  <c:v>0.0617828420272342</c:v>
                </c:pt>
                <c:pt idx="642">
                  <c:v>0.0618018816194315</c:v>
                </c:pt>
                <c:pt idx="643">
                  <c:v>0.0675937255658566</c:v>
                </c:pt>
                <c:pt idx="644">
                  <c:v>0.0725421155779405</c:v>
                </c:pt>
                <c:pt idx="645">
                  <c:v>0.0739605651966409</c:v>
                </c:pt>
                <c:pt idx="646">
                  <c:v>0.0810033103504301</c:v>
                </c:pt>
                <c:pt idx="647">
                  <c:v>0.0854966541089978</c:v>
                </c:pt>
                <c:pt idx="648">
                  <c:v>0.0855328293341727</c:v>
                </c:pt>
                <c:pt idx="649">
                  <c:v>0.0872502005503712</c:v>
                </c:pt>
                <c:pt idx="650">
                  <c:v>0.0881107901176901</c:v>
                </c:pt>
                <c:pt idx="651">
                  <c:v>0.0881374455467663</c:v>
                </c:pt>
                <c:pt idx="652">
                  <c:v>0.0881755247311609</c:v>
                </c:pt>
                <c:pt idx="653">
                  <c:v>0.0883449771017172</c:v>
                </c:pt>
                <c:pt idx="654">
                  <c:v>0.0913722722610912</c:v>
                </c:pt>
                <c:pt idx="655">
                  <c:v>0.0935351699347069</c:v>
                </c:pt>
                <c:pt idx="656">
                  <c:v>0.0972383706170859</c:v>
                </c:pt>
                <c:pt idx="657">
                  <c:v>0.0983750342712659</c:v>
                </c:pt>
                <c:pt idx="658">
                  <c:v>0.100393231044182</c:v>
                </c:pt>
                <c:pt idx="659">
                  <c:v>0.102556128717798</c:v>
                </c:pt>
                <c:pt idx="660">
                  <c:v>0.103388158896821</c:v>
                </c:pt>
                <c:pt idx="661">
                  <c:v>0.103452893510292</c:v>
                </c:pt>
                <c:pt idx="662">
                  <c:v>0.0948907888991562</c:v>
                </c:pt>
                <c:pt idx="663">
                  <c:v>0.0905611856334852</c:v>
                </c:pt>
                <c:pt idx="664">
                  <c:v>0.0915778998568222</c:v>
                </c:pt>
                <c:pt idx="665">
                  <c:v>0.0916369225926339</c:v>
                </c:pt>
                <c:pt idx="666">
                  <c:v>0.0854338234547467</c:v>
                </c:pt>
                <c:pt idx="667">
                  <c:v>0.0872064094883173</c:v>
                </c:pt>
                <c:pt idx="668">
                  <c:v>0.0812070339869413</c:v>
                </c:pt>
                <c:pt idx="669">
                  <c:v>0.0812489210897754</c:v>
                </c:pt>
                <c:pt idx="670">
                  <c:v>0.0848645396480468</c:v>
                </c:pt>
                <c:pt idx="671">
                  <c:v>0.0861249606515094</c:v>
                </c:pt>
                <c:pt idx="672">
                  <c:v>0.0791583738665097</c:v>
                </c:pt>
                <c:pt idx="673">
                  <c:v>0.0803959473593355</c:v>
                </c:pt>
                <c:pt idx="674">
                  <c:v>0.0783034961768498</c:v>
                </c:pt>
                <c:pt idx="675">
                  <c:v>0.0783625189126616</c:v>
                </c:pt>
                <c:pt idx="676">
                  <c:v>0.078366326831101</c:v>
                </c:pt>
                <c:pt idx="677">
                  <c:v>0.0811822825170849</c:v>
                </c:pt>
                <c:pt idx="678">
                  <c:v>0.0844285329867281</c:v>
                </c:pt>
                <c:pt idx="679">
                  <c:v>0.0826407152793996</c:v>
                </c:pt>
                <c:pt idx="680">
                  <c:v>0.0797904883274607</c:v>
                </c:pt>
                <c:pt idx="681">
                  <c:v>0.0814964357883407</c:v>
                </c:pt>
                <c:pt idx="682">
                  <c:v>0.0781759309091278</c:v>
                </c:pt>
                <c:pt idx="683">
                  <c:v>0.0782006823789844</c:v>
                </c:pt>
                <c:pt idx="684">
                  <c:v>0.0760853836858619</c:v>
                </c:pt>
                <c:pt idx="685">
                  <c:v>0.0695053006224676</c:v>
                </c:pt>
                <c:pt idx="686">
                  <c:v>0.0703601783121274</c:v>
                </c:pt>
                <c:pt idx="687">
                  <c:v>0.071472090496451</c:v>
                </c:pt>
                <c:pt idx="688">
                  <c:v>0.0746859736593588</c:v>
                </c:pt>
                <c:pt idx="689">
                  <c:v>0.0748306745600585</c:v>
                </c:pt>
                <c:pt idx="690">
                  <c:v>0.0757807502107048</c:v>
                </c:pt>
                <c:pt idx="691">
                  <c:v>0.0758207333543192</c:v>
                </c:pt>
                <c:pt idx="692">
                  <c:v>0.0761615420546512</c:v>
                </c:pt>
                <c:pt idx="693">
                  <c:v>0.0671996060073721</c:v>
                </c:pt>
                <c:pt idx="694">
                  <c:v>0.0678983590410137</c:v>
                </c:pt>
                <c:pt idx="695">
                  <c:v>0.0694748372749519</c:v>
                </c:pt>
                <c:pt idx="696">
                  <c:v>0.0659182414524924</c:v>
                </c:pt>
                <c:pt idx="697">
                  <c:v>0.0659525127184475</c:v>
                </c:pt>
                <c:pt idx="698">
                  <c:v>0.0661524284365195</c:v>
                </c:pt>
                <c:pt idx="699">
                  <c:v>0.0567183105027467</c:v>
                </c:pt>
                <c:pt idx="700">
                  <c:v>0.0583823708607927</c:v>
                </c:pt>
                <c:pt idx="701">
                  <c:v>0.0584204500451872</c:v>
                </c:pt>
                <c:pt idx="702">
                  <c:v>0.0584566252703622</c:v>
                </c:pt>
                <c:pt idx="703">
                  <c:v>0.0586622528660933</c:v>
                </c:pt>
                <c:pt idx="704">
                  <c:v>0.0590087734440845</c:v>
                </c:pt>
                <c:pt idx="705">
                  <c:v>0.055871048649966</c:v>
                </c:pt>
                <c:pt idx="706">
                  <c:v>0.0592182089582551</c:v>
                </c:pt>
                <c:pt idx="707">
                  <c:v>0.055408386559571</c:v>
                </c:pt>
                <c:pt idx="708">
                  <c:v>0.0306778602544704</c:v>
                </c:pt>
                <c:pt idx="709">
                  <c:v>0.0259769849409518</c:v>
                </c:pt>
                <c:pt idx="710">
                  <c:v>0.0192293534662212</c:v>
                </c:pt>
                <c:pt idx="711">
                  <c:v>0.0192426811807594</c:v>
                </c:pt>
                <c:pt idx="712">
                  <c:v>0</c:v>
                </c:pt>
                <c:pt idx="713">
                  <c:v>0.000256966814480815</c:v>
                </c:pt>
                <c:pt idx="714">
                  <c:v>0.000306456719491964</c:v>
                </c:pt>
                <c:pt idx="715">
                  <c:v>0</c:v>
                </c:pt>
                <c:pt idx="716">
                  <c:v>5.59022877701605E-005</c:v>
                </c:pt>
                <c:pt idx="717">
                  <c:v>6.14925165471766E-005</c:v>
                </c:pt>
                <c:pt idx="718">
                  <c:v>0</c:v>
                </c:pt>
                <c:pt idx="719">
                  <c:v>0.0251527858694662</c:v>
                </c:pt>
                <c:pt idx="720">
                  <c:v>0.0328108080330912</c:v>
                </c:pt>
                <c:pt idx="721">
                  <c:v>0.0283177797493635</c:v>
                </c:pt>
                <c:pt idx="722">
                  <c:v>0.0283344962663348</c:v>
                </c:pt>
                <c:pt idx="723">
                  <c:v>0.0267928619234272</c:v>
                </c:pt>
                <c:pt idx="724">
                  <c:v>0.0327922341253453</c:v>
                </c:pt>
                <c:pt idx="725">
                  <c:v>0.0404595432428432</c:v>
                </c:pt>
                <c:pt idx="726">
                  <c:v>0.0405004058398841</c:v>
                </c:pt>
                <c:pt idx="727">
                  <c:v>0.0331358514186441</c:v>
                </c:pt>
                <c:pt idx="728">
                  <c:v>0.0296643880609396</c:v>
                </c:pt>
                <c:pt idx="729">
                  <c:v>0.0313899040905317</c:v>
                </c:pt>
                <c:pt idx="730">
                  <c:v>0.0285926735840026</c:v>
                </c:pt>
                <c:pt idx="731">
                  <c:v>0.0329928323290008</c:v>
                </c:pt>
                <c:pt idx="732">
                  <c:v>0.0242055165744265</c:v>
                </c:pt>
                <c:pt idx="733">
                  <c:v>0.0250599163307368</c:v>
                </c:pt>
                <c:pt idx="734">
                  <c:v>0.0285518109869617</c:v>
                </c:pt>
                <c:pt idx="735">
                  <c:v>0.0175616297737263</c:v>
                </c:pt>
                <c:pt idx="736">
                  <c:v>0.0192927179756421</c:v>
                </c:pt>
                <c:pt idx="737">
                  <c:v>0.00293467742384839</c:v>
                </c:pt>
                <c:pt idx="738">
                  <c:v>0.00766173694517416</c:v>
                </c:pt>
                <c:pt idx="739">
                  <c:v>0.00772303084073543</c:v>
                </c:pt>
                <c:pt idx="740">
                  <c:v>0.0142201837702431</c:v>
                </c:pt>
                <c:pt idx="741">
                  <c:v>0.0186054833890446</c:v>
                </c:pt>
                <c:pt idx="742">
                  <c:v>0.0244636938920942</c:v>
                </c:pt>
                <c:pt idx="743">
                  <c:v>0.00806850552480884</c:v>
                </c:pt>
                <c:pt idx="744">
                  <c:v>0.0173703185239438</c:v>
                </c:pt>
                <c:pt idx="745">
                  <c:v>0.0232718681450671</c:v>
                </c:pt>
                <c:pt idx="746">
                  <c:v>0.0323972290206163</c:v>
                </c:pt>
                <c:pt idx="747">
                  <c:v>0.0331055140359925</c:v>
                </c:pt>
                <c:pt idx="748">
                  <c:v>0.0355015481352106</c:v>
                </c:pt>
                <c:pt idx="749">
                  <c:v>0.0355888455016162</c:v>
                </c:pt>
                <c:pt idx="750">
                  <c:v>0.0417943880795136</c:v>
                </c:pt>
                <c:pt idx="751">
                  <c:v>0.0316734657487853</c:v>
                </c:pt>
                <c:pt idx="752">
                  <c:v>0.031963218709621</c:v>
                </c:pt>
                <c:pt idx="753">
                  <c:v>0.0170279394911615</c:v>
                </c:pt>
                <c:pt idx="754">
                  <c:v>0.0171765307531285</c:v>
                </c:pt>
                <c:pt idx="755">
                  <c:v>0.0145130323823699</c:v>
                </c:pt>
                <c:pt idx="756">
                  <c:v>0.00650024858079854</c:v>
                </c:pt>
                <c:pt idx="757">
                  <c:v>0</c:v>
                </c:pt>
                <c:pt idx="758">
                  <c:v>5.90094525767428E-005</c:v>
                </c:pt>
                <c:pt idx="759">
                  <c:v>0</c:v>
                </c:pt>
                <c:pt idx="760">
                  <c:v>0.00198361164701378</c:v>
                </c:pt>
                <c:pt idx="761">
                  <c:v>0.00650170394898176</c:v>
                </c:pt>
                <c:pt idx="762">
                  <c:v>0.0319806036122993</c:v>
                </c:pt>
                <c:pt idx="763">
                  <c:v>0.035599909638154</c:v>
                </c:pt>
                <c:pt idx="764">
                  <c:v>0.0613095461008501</c:v>
                </c:pt>
                <c:pt idx="765">
                  <c:v>0.0530682558110036</c:v>
                </c:pt>
                <c:pt idx="766">
                  <c:v>0</c:v>
                </c:pt>
                <c:pt idx="767">
                  <c:v>0.00327864271642999</c:v>
                </c:pt>
                <c:pt idx="768">
                  <c:v>0.00330425711265202</c:v>
                </c:pt>
                <c:pt idx="769">
                  <c:v>0</c:v>
                </c:pt>
                <c:pt idx="770">
                  <c:v>0.00908712967106862</c:v>
                </c:pt>
                <c:pt idx="771">
                  <c:v>0.0092029905743748</c:v>
                </c:pt>
                <c:pt idx="772">
                  <c:v>0.00929613365350322</c:v>
                </c:pt>
                <c:pt idx="773">
                  <c:v>0.011454326950382</c:v>
                </c:pt>
                <c:pt idx="774">
                  <c:v>0.0152754649770663</c:v>
                </c:pt>
                <c:pt idx="775">
                  <c:v>0.017142870124471</c:v>
                </c:pt>
                <c:pt idx="776">
                  <c:v>0.0190557109202309</c:v>
                </c:pt>
                <c:pt idx="777">
                  <c:v>0.0208140705115827</c:v>
                </c:pt>
                <c:pt idx="778">
                  <c:v>0.00365075434535175</c:v>
                </c:pt>
                <c:pt idx="779">
                  <c:v>0.0112362358382764</c:v>
                </c:pt>
                <c:pt idx="780">
                  <c:v>0</c:v>
                </c:pt>
                <c:pt idx="781">
                  <c:v>0.00464040786861591</c:v>
                </c:pt>
                <c:pt idx="782">
                  <c:v>0.00464491968958675</c:v>
                </c:pt>
                <c:pt idx="783">
                  <c:v>0.00658951452806353</c:v>
                </c:pt>
                <c:pt idx="784">
                  <c:v>0.0179299765385311</c:v>
                </c:pt>
                <c:pt idx="785">
                  <c:v>0.0180360043313481</c:v>
                </c:pt>
                <c:pt idx="786">
                  <c:v>0.0149205919509115</c:v>
                </c:pt>
                <c:pt idx="787">
                  <c:v>0</c:v>
                </c:pt>
                <c:pt idx="788">
                  <c:v>0.00553319585253957</c:v>
                </c:pt>
                <c:pt idx="789">
                  <c:v>0.00725872009958856</c:v>
                </c:pt>
                <c:pt idx="790">
                  <c:v>0.0102003070059827</c:v>
                </c:pt>
                <c:pt idx="791">
                  <c:v>0.0102822638700917</c:v>
                </c:pt>
                <c:pt idx="792">
                  <c:v>0.0127476149445018</c:v>
                </c:pt>
                <c:pt idx="793">
                  <c:v>0.00800076197733115</c:v>
                </c:pt>
                <c:pt idx="794">
                  <c:v>0.00494177740072687</c:v>
                </c:pt>
                <c:pt idx="795">
                  <c:v>0.00689102173628932</c:v>
                </c:pt>
                <c:pt idx="796">
                  <c:v>0.0070637956660323</c:v>
                </c:pt>
                <c:pt idx="797">
                  <c:v>0</c:v>
                </c:pt>
                <c:pt idx="798">
                  <c:v>4.62279124135233E-005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0.00872744452968901</c:v>
                </c:pt>
                <c:pt idx="803">
                  <c:v>0.00921507180040667</c:v>
                </c:pt>
                <c:pt idx="804">
                  <c:v>0.0142473852342127</c:v>
                </c:pt>
                <c:pt idx="805">
                  <c:v>0.0180227039257246</c:v>
                </c:pt>
                <c:pt idx="806">
                  <c:v>0.0180357073196105</c:v>
                </c:pt>
                <c:pt idx="807">
                  <c:v>0.0180487107134964</c:v>
                </c:pt>
                <c:pt idx="808">
                  <c:v>0.0228101201080149</c:v>
                </c:pt>
                <c:pt idx="809">
                  <c:v>0.0281848562474806</c:v>
                </c:pt>
                <c:pt idx="810">
                  <c:v>0.031769458495334</c:v>
                </c:pt>
                <c:pt idx="811">
                  <c:v>0.028338729741796</c:v>
                </c:pt>
                <c:pt idx="812">
                  <c:v>0.031286165689245</c:v>
                </c:pt>
                <c:pt idx="813">
                  <c:v>0.0263167019925535</c:v>
                </c:pt>
                <c:pt idx="814">
                  <c:v>0.0265962749610982</c:v>
                </c:pt>
                <c:pt idx="815">
                  <c:v>0.0138031026097813</c:v>
                </c:pt>
                <c:pt idx="816">
                  <c:v>0.00984356917155379</c:v>
                </c:pt>
                <c:pt idx="817">
                  <c:v>0.013224451581863</c:v>
                </c:pt>
                <c:pt idx="818">
                  <c:v>0.00893983329649038</c:v>
                </c:pt>
                <c:pt idx="819">
                  <c:v>0.0162390717310552</c:v>
                </c:pt>
                <c:pt idx="820">
                  <c:v>0.00778686570528247</c:v>
                </c:pt>
                <c:pt idx="821">
                  <c:v>0.00786705330091158</c:v>
                </c:pt>
                <c:pt idx="822">
                  <c:v>0.00787355499785442</c:v>
                </c:pt>
                <c:pt idx="823">
                  <c:v>0.0105674247645303</c:v>
                </c:pt>
                <c:pt idx="824">
                  <c:v>0.012647967786259</c:v>
                </c:pt>
                <c:pt idx="825">
                  <c:v>0.00343506321816669</c:v>
                </c:pt>
                <c:pt idx="826">
                  <c:v>0.00606825048004196</c:v>
                </c:pt>
                <c:pt idx="827">
                  <c:v>0.00724722485902165</c:v>
                </c:pt>
                <c:pt idx="828">
                  <c:v>0.00728190057605043</c:v>
                </c:pt>
                <c:pt idx="829">
                  <c:v>0.00373630850985436</c:v>
                </c:pt>
                <c:pt idx="830">
                  <c:v>0</c:v>
                </c:pt>
                <c:pt idx="831">
                  <c:v>0.0029695571935854</c:v>
                </c:pt>
                <c:pt idx="832">
                  <c:v>0.0029695571935854</c:v>
                </c:pt>
                <c:pt idx="833">
                  <c:v>0</c:v>
                </c:pt>
                <c:pt idx="834">
                  <c:v>0.00227675291769209</c:v>
                </c:pt>
                <c:pt idx="835">
                  <c:v>0</c:v>
                </c:pt>
                <c:pt idx="836">
                  <c:v>0.000642201638470447</c:v>
                </c:pt>
                <c:pt idx="837">
                  <c:v>0.00331161978237933</c:v>
                </c:pt>
                <c:pt idx="838">
                  <c:v>0</c:v>
                </c:pt>
                <c:pt idx="839">
                  <c:v>0.0062036903131407</c:v>
                </c:pt>
                <c:pt idx="840">
                  <c:v>0.00672048727786226</c:v>
                </c:pt>
                <c:pt idx="841">
                  <c:v>0.00673537443322474</c:v>
                </c:pt>
                <c:pt idx="842">
                  <c:v>0</c:v>
                </c:pt>
                <c:pt idx="843">
                  <c:v>0</c:v>
                </c:pt>
                <c:pt idx="844">
                  <c:v>0.0020602839507479</c:v>
                </c:pt>
                <c:pt idx="845">
                  <c:v>0.00214498216043941</c:v>
                </c:pt>
                <c:pt idx="846">
                  <c:v>0</c:v>
                </c:pt>
                <c:pt idx="847">
                  <c:v>6.48781233061892E-005</c:v>
                </c:pt>
                <c:pt idx="848">
                  <c:v>0.00154661074591013</c:v>
                </c:pt>
                <c:pt idx="849">
                  <c:v>0.00519024986448866</c:v>
                </c:pt>
                <c:pt idx="850">
                  <c:v>0.005206992605987</c:v>
                </c:pt>
                <c:pt idx="851">
                  <c:v>0.00522792103285982</c:v>
                </c:pt>
                <c:pt idx="852">
                  <c:v>0.00129546962343492</c:v>
                </c:pt>
                <c:pt idx="853">
                  <c:v>0.00432172014926165</c:v>
                </c:pt>
                <c:pt idx="854">
                  <c:v>0.00500398686531926</c:v>
                </c:pt>
                <c:pt idx="855">
                  <c:v>0.00797163779590183</c:v>
                </c:pt>
                <c:pt idx="856">
                  <c:v>0.0085665283297652</c:v>
                </c:pt>
                <c:pt idx="857">
                  <c:v>0</c:v>
                </c:pt>
                <c:pt idx="858">
                  <c:v>0.00462427262521506</c:v>
                </c:pt>
                <c:pt idx="859">
                  <c:v>0.00722372818136838</c:v>
                </c:pt>
                <c:pt idx="860">
                  <c:v>0.00745567317070374</c:v>
                </c:pt>
                <c:pt idx="861">
                  <c:v>0.009231828494442</c:v>
                </c:pt>
                <c:pt idx="862">
                  <c:v>0.00924436606143299</c:v>
                </c:pt>
                <c:pt idx="863">
                  <c:v>0</c:v>
                </c:pt>
                <c:pt idx="864">
                  <c:v>0</c:v>
                </c:pt>
                <c:pt idx="865">
                  <c:v>0.000801387031702072</c:v>
                </c:pt>
                <c:pt idx="866">
                  <c:v>0.00604404875818135</c:v>
                </c:pt>
                <c:pt idx="867">
                  <c:v>0.00729201024266414</c:v>
                </c:pt>
                <c:pt idx="868">
                  <c:v>0.00744494669909585</c:v>
                </c:pt>
                <c:pt idx="869">
                  <c:v>0.00330546661167734</c:v>
                </c:pt>
                <c:pt idx="870">
                  <c:v>0</c:v>
                </c:pt>
                <c:pt idx="871">
                  <c:v>0.00198544515971379</c:v>
                </c:pt>
                <c:pt idx="872">
                  <c:v>0.00330907526618965</c:v>
                </c:pt>
                <c:pt idx="873">
                  <c:v>0.00337016588648857</c:v>
                </c:pt>
                <c:pt idx="874">
                  <c:v>0.00529859313392327</c:v>
                </c:pt>
                <c:pt idx="875">
                  <c:v>0.00745305567646415</c:v>
                </c:pt>
                <c:pt idx="876">
                  <c:v>0.00941406458805841</c:v>
                </c:pt>
                <c:pt idx="877">
                  <c:v>0.00992926215257896</c:v>
                </c:pt>
                <c:pt idx="878">
                  <c:v>0.0107234402164646</c:v>
                </c:pt>
                <c:pt idx="879">
                  <c:v>0.0107830035712559</c:v>
                </c:pt>
                <c:pt idx="880">
                  <c:v>0.0135992811670345</c:v>
                </c:pt>
                <c:pt idx="881">
                  <c:v>0.0116795084241421</c:v>
                </c:pt>
                <c:pt idx="882">
                  <c:v>0.0143842956378751</c:v>
                </c:pt>
                <c:pt idx="883">
                  <c:v>0.015900870286795</c:v>
                </c:pt>
                <c:pt idx="884">
                  <c:v>0.0164659585245596</c:v>
                </c:pt>
                <c:pt idx="885">
                  <c:v>0.0177198435061945</c:v>
                </c:pt>
                <c:pt idx="886">
                  <c:v>0.0177564978783737</c:v>
                </c:pt>
                <c:pt idx="887">
                  <c:v>0.0177931522505529</c:v>
                </c:pt>
                <c:pt idx="888">
                  <c:v>0.0132785554104652</c:v>
                </c:pt>
                <c:pt idx="889">
                  <c:v>0.0133335369687343</c:v>
                </c:pt>
                <c:pt idx="890">
                  <c:v>0.0142269872906057</c:v>
                </c:pt>
                <c:pt idx="891">
                  <c:v>0.0148745478657737</c:v>
                </c:pt>
                <c:pt idx="892">
                  <c:v>0.0082507973598672</c:v>
                </c:pt>
                <c:pt idx="893">
                  <c:v>0.00548186499482004</c:v>
                </c:pt>
                <c:pt idx="894">
                  <c:v>0.00551699210149183</c:v>
                </c:pt>
                <c:pt idx="895">
                  <c:v>0.00862803194021262</c:v>
                </c:pt>
                <c:pt idx="896">
                  <c:v>0.00934126493220222</c:v>
                </c:pt>
                <c:pt idx="897">
                  <c:v>0.00701829409533703</c:v>
                </c:pt>
                <c:pt idx="898">
                  <c:v>0.00878839481849727</c:v>
                </c:pt>
                <c:pt idx="899">
                  <c:v>0</c:v>
                </c:pt>
                <c:pt idx="900">
                  <c:v>0</c:v>
                </c:pt>
                <c:pt idx="901">
                  <c:v>0.00426824246931187</c:v>
                </c:pt>
                <c:pt idx="902">
                  <c:v>0</c:v>
                </c:pt>
                <c:pt idx="903">
                  <c:v>0.00530300276056968</c:v>
                </c:pt>
                <c:pt idx="904">
                  <c:v>0.00990677412784091</c:v>
                </c:pt>
                <c:pt idx="905">
                  <c:v>0.0100561825452123</c:v>
                </c:pt>
                <c:pt idx="906">
                  <c:v>0.0133476499799047</c:v>
                </c:pt>
                <c:pt idx="907">
                  <c:v>0.0139303428076532</c:v>
                </c:pt>
                <c:pt idx="908">
                  <c:v>0.0177522101240142</c:v>
                </c:pt>
                <c:pt idx="909">
                  <c:v>0.0177880681441832</c:v>
                </c:pt>
                <c:pt idx="910">
                  <c:v>0</c:v>
                </c:pt>
                <c:pt idx="911">
                  <c:v>0</c:v>
                </c:pt>
                <c:pt idx="912">
                  <c:v>0.000968722064428006</c:v>
                </c:pt>
                <c:pt idx="913">
                  <c:v>0.00190178564795659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0.00535170642621815</c:v>
                </c:pt>
                <c:pt idx="918">
                  <c:v>0.00872877090176932</c:v>
                </c:pt>
                <c:pt idx="919">
                  <c:v>0.0169726100867737</c:v>
                </c:pt>
                <c:pt idx="920">
                  <c:v>0.0182557394093337</c:v>
                </c:pt>
                <c:pt idx="921">
                  <c:v>0.0187489149652836</c:v>
                </c:pt>
                <c:pt idx="922">
                  <c:v>0.0141124828212938</c:v>
                </c:pt>
                <c:pt idx="923">
                  <c:v>0.0166574044708765</c:v>
                </c:pt>
                <c:pt idx="924">
                  <c:v>0.0119923613555975</c:v>
                </c:pt>
                <c:pt idx="925">
                  <c:v>0.0140989047332244</c:v>
                </c:pt>
                <c:pt idx="926">
                  <c:v>0.018785284844041</c:v>
                </c:pt>
                <c:pt idx="927">
                  <c:v>0</c:v>
                </c:pt>
                <c:pt idx="928">
                  <c:v>0.00936938797757769</c:v>
                </c:pt>
                <c:pt idx="929">
                  <c:v>0.0155907839953487</c:v>
                </c:pt>
                <c:pt idx="930">
                  <c:v>0.00170022165994408</c:v>
                </c:pt>
                <c:pt idx="931">
                  <c:v>0.00229118734377173</c:v>
                </c:pt>
                <c:pt idx="932">
                  <c:v>0</c:v>
                </c:pt>
                <c:pt idx="933">
                  <c:v>0</c:v>
                </c:pt>
                <c:pt idx="934">
                  <c:v>0.0034449983586156</c:v>
                </c:pt>
                <c:pt idx="935">
                  <c:v>0.00642239306190684</c:v>
                </c:pt>
                <c:pt idx="936">
                  <c:v>0</c:v>
                </c:pt>
                <c:pt idx="937">
                  <c:v>7.59676377845066E-006</c:v>
                </c:pt>
                <c:pt idx="938">
                  <c:v>0.00140730048999124</c:v>
                </c:pt>
                <c:pt idx="939">
                  <c:v>0.002140388194629</c:v>
                </c:pt>
                <c:pt idx="940">
                  <c:v>0.00535192008204511</c:v>
                </c:pt>
                <c:pt idx="941">
                  <c:v>0.00536331522771295</c:v>
                </c:pt>
                <c:pt idx="942">
                  <c:v>0.00867360504425116</c:v>
                </c:pt>
                <c:pt idx="943">
                  <c:v>0</c:v>
                </c:pt>
                <c:pt idx="944">
                  <c:v>0</c:v>
                </c:pt>
                <c:pt idx="945">
                  <c:v>0.000232461789093547</c:v>
                </c:pt>
                <c:pt idx="946">
                  <c:v>0</c:v>
                </c:pt>
                <c:pt idx="947">
                  <c:v>0.00165574335977909</c:v>
                </c:pt>
                <c:pt idx="948">
                  <c:v>0.00748067833269608</c:v>
                </c:pt>
                <c:pt idx="949">
                  <c:v>0.00765408388726761</c:v>
                </c:pt>
                <c:pt idx="950">
                  <c:v>0.0117151301007803</c:v>
                </c:pt>
                <c:pt idx="951">
                  <c:v>0.0149911898790822</c:v>
                </c:pt>
                <c:pt idx="952">
                  <c:v>0.0135629247736871</c:v>
                </c:pt>
                <c:pt idx="953">
                  <c:v>0.0136132683217885</c:v>
                </c:pt>
                <c:pt idx="954">
                  <c:v>0.0149427109068364</c:v>
                </c:pt>
                <c:pt idx="955">
                  <c:v>0.0160409460857891</c:v>
                </c:pt>
                <c:pt idx="956">
                  <c:v>0.0176202418354885</c:v>
                </c:pt>
                <c:pt idx="957">
                  <c:v>0.0176948248697127</c:v>
                </c:pt>
                <c:pt idx="958">
                  <c:v>0.00165201420806796</c:v>
                </c:pt>
                <c:pt idx="959">
                  <c:v>0.00583052870048377</c:v>
                </c:pt>
                <c:pt idx="960">
                  <c:v>0.0074955949395411</c:v>
                </c:pt>
                <c:pt idx="961">
                  <c:v>0.0028416136039454</c:v>
                </c:pt>
                <c:pt idx="962">
                  <c:v>0.00634701621248689</c:v>
                </c:pt>
                <c:pt idx="963">
                  <c:v>0.00646448449139034</c:v>
                </c:pt>
                <c:pt idx="964">
                  <c:v>0.0129233752552137</c:v>
                </c:pt>
                <c:pt idx="965">
                  <c:v>0.00808480090991296</c:v>
                </c:pt>
                <c:pt idx="966">
                  <c:v>0.00380187016958307</c:v>
                </c:pt>
                <c:pt idx="967">
                  <c:v>0</c:v>
                </c:pt>
                <c:pt idx="968">
                  <c:v>0.00365119023338501</c:v>
                </c:pt>
                <c:pt idx="969">
                  <c:v>0</c:v>
                </c:pt>
                <c:pt idx="970">
                  <c:v>0</c:v>
                </c:pt>
                <c:pt idx="971">
                  <c:v>0.00199074707963712</c:v>
                </c:pt>
                <c:pt idx="972">
                  <c:v>0</c:v>
                </c:pt>
                <c:pt idx="973">
                  <c:v>0.0110779673126731</c:v>
                </c:pt>
                <c:pt idx="974">
                  <c:v>0.0143181209252478</c:v>
                </c:pt>
                <c:pt idx="975">
                  <c:v>0.0127355541662946</c:v>
                </c:pt>
                <c:pt idx="976">
                  <c:v>0.00609270340269726</c:v>
                </c:pt>
                <c:pt idx="977">
                  <c:v>0</c:v>
                </c:pt>
                <c:pt idx="978">
                  <c:v>0</c:v>
                </c:pt>
                <c:pt idx="979">
                  <c:v>0.00142264891992139</c:v>
                </c:pt>
                <c:pt idx="980">
                  <c:v>0.00143312240890247</c:v>
                </c:pt>
                <c:pt idx="981">
                  <c:v>0.00658433340606578</c:v>
                </c:pt>
                <c:pt idx="982">
                  <c:v>0.00666986689941087</c:v>
                </c:pt>
                <c:pt idx="983">
                  <c:v>0.00127602007418712</c:v>
                </c:pt>
                <c:pt idx="984">
                  <c:v>0.00141042984944358</c:v>
                </c:pt>
                <c:pt idx="985">
                  <c:v>0.00509360680776789</c:v>
                </c:pt>
                <c:pt idx="986">
                  <c:v>3.49116299374847E-006</c:v>
                </c:pt>
                <c:pt idx="987">
                  <c:v>0.00262360898974482</c:v>
                </c:pt>
                <c:pt idx="988">
                  <c:v>0</c:v>
                </c:pt>
                <c:pt idx="989">
                  <c:v>7.78482063771363E-005</c:v>
                </c:pt>
                <c:pt idx="990">
                  <c:v>9.68777679361386E-005</c:v>
                </c:pt>
                <c:pt idx="991">
                  <c:v>0.00292017271922041</c:v>
                </c:pt>
                <c:pt idx="992">
                  <c:v>0.00708764670061991</c:v>
                </c:pt>
                <c:pt idx="993">
                  <c:v>0.0176836525686447</c:v>
                </c:pt>
                <c:pt idx="994">
                  <c:v>0.0207076228963683</c:v>
                </c:pt>
                <c:pt idx="995">
                  <c:v>0.0207180026572188</c:v>
                </c:pt>
                <c:pt idx="996">
                  <c:v>0.0214964847209921</c:v>
                </c:pt>
                <c:pt idx="997">
                  <c:v>0.0237886819087689</c:v>
                </c:pt>
                <c:pt idx="998">
                  <c:v>0.00818617139061111</c:v>
                </c:pt>
                <c:pt idx="999">
                  <c:v>0.00822942039415407</c:v>
                </c:pt>
                <c:pt idx="1000">
                  <c:v>0.0207768213020371</c:v>
                </c:pt>
                <c:pt idx="1001">
                  <c:v>0.0209723067980513</c:v>
                </c:pt>
                <c:pt idx="1002">
                  <c:v>0.0104558790965455</c:v>
                </c:pt>
                <c:pt idx="1003">
                  <c:v>0.0126840677590788</c:v>
                </c:pt>
                <c:pt idx="1004">
                  <c:v>0.0182562693755535</c:v>
                </c:pt>
                <c:pt idx="1005">
                  <c:v>0</c:v>
                </c:pt>
                <c:pt idx="1006">
                  <c:v>8.19305570254553E-005</c:v>
                </c:pt>
                <c:pt idx="1007">
                  <c:v>0</c:v>
                </c:pt>
                <c:pt idx="1008">
                  <c:v>0</c:v>
                </c:pt>
                <c:pt idx="1009">
                  <c:v>0.00334408500142313</c:v>
                </c:pt>
                <c:pt idx="1010">
                  <c:v>0.00340507135403246</c:v>
                </c:pt>
                <c:pt idx="1011">
                  <c:v>0.00119939826798757</c:v>
                </c:pt>
                <c:pt idx="1012">
                  <c:v>0.00123836177104375</c:v>
                </c:pt>
                <c:pt idx="1013">
                  <c:v>0.00140607424071994</c:v>
                </c:pt>
                <c:pt idx="1014">
                  <c:v>0.00166187810860999</c:v>
                </c:pt>
                <c:pt idx="1015">
                  <c:v>0.0109470502934121</c:v>
                </c:pt>
                <c:pt idx="1016">
                  <c:v>0.0269271687424614</c:v>
                </c:pt>
                <c:pt idx="1017">
                  <c:v>0.0269610500494668</c:v>
                </c:pt>
                <c:pt idx="1018">
                  <c:v>0.0269661322455176</c:v>
                </c:pt>
                <c:pt idx="1019">
                  <c:v>0.0206472684890293</c:v>
                </c:pt>
                <c:pt idx="1020">
                  <c:v>0.0264748532939406</c:v>
                </c:pt>
                <c:pt idx="1021">
                  <c:v>0.0177313585048858</c:v>
                </c:pt>
                <c:pt idx="1022">
                  <c:v>0.0225425040996382</c:v>
                </c:pt>
                <c:pt idx="1023">
                  <c:v>0.0243924234621275</c:v>
                </c:pt>
                <c:pt idx="1024">
                  <c:v>0.0274790105303101</c:v>
                </c:pt>
                <c:pt idx="1025">
                  <c:v>0.0274908689877621</c:v>
                </c:pt>
                <c:pt idx="1026">
                  <c:v>0.0311161688373292</c:v>
                </c:pt>
                <c:pt idx="1027">
                  <c:v>0.0506419660644829</c:v>
                </c:pt>
                <c:pt idx="1028">
                  <c:v>0.0526138581321914</c:v>
                </c:pt>
                <c:pt idx="1029">
                  <c:v>0.0542249142802934</c:v>
                </c:pt>
                <c:pt idx="1030">
                  <c:v>0.0668152079634624</c:v>
                </c:pt>
                <c:pt idx="1031">
                  <c:v>0.0705980558906041</c:v>
                </c:pt>
                <c:pt idx="1032">
                  <c:v>0.0670303542629462</c:v>
                </c:pt>
                <c:pt idx="1033">
                  <c:v>0.0672200895821757</c:v>
                </c:pt>
                <c:pt idx="1034">
                  <c:v>0.0680501816038056</c:v>
                </c:pt>
                <c:pt idx="1035">
                  <c:v>0.0688701092333337</c:v>
                </c:pt>
                <c:pt idx="1036">
                  <c:v>0.0706946176155691</c:v>
                </c:pt>
                <c:pt idx="1037">
                  <c:v>0.0609063080217383</c:v>
                </c:pt>
                <c:pt idx="1038">
                  <c:v>0.0609063080217383</c:v>
                </c:pt>
                <c:pt idx="1039">
                  <c:v>0.0679163504411347</c:v>
                </c:pt>
                <c:pt idx="1040">
                  <c:v>0.0680179943621506</c:v>
                </c:pt>
                <c:pt idx="1041">
                  <c:v>0.0645299138059551</c:v>
                </c:pt>
                <c:pt idx="1042">
                  <c:v>0.0645604069822597</c:v>
                </c:pt>
                <c:pt idx="1043">
                  <c:v>0.0562933680729667</c:v>
                </c:pt>
                <c:pt idx="1044">
                  <c:v>0.0592156308021738</c:v>
                </c:pt>
                <c:pt idx="1045">
                  <c:v>0.0592334184883516</c:v>
                </c:pt>
                <c:pt idx="1046">
                  <c:v>0.0552667644707063</c:v>
                </c:pt>
                <c:pt idx="1047">
                  <c:v>0.038069883583829</c:v>
                </c:pt>
                <c:pt idx="1048">
                  <c:v>0.0398003713391247</c:v>
                </c:pt>
                <c:pt idx="1049">
                  <c:v>0.0421407226205158</c:v>
                </c:pt>
                <c:pt idx="1050">
                  <c:v>0.0421661336007697</c:v>
                </c:pt>
                <c:pt idx="1051">
                  <c:v>0.0431101515172049</c:v>
                </c:pt>
                <c:pt idx="1052">
                  <c:v>0.0448647797037419</c:v>
                </c:pt>
                <c:pt idx="1053">
                  <c:v>0.0448660502527545</c:v>
                </c:pt>
                <c:pt idx="1054">
                  <c:v>0.0473868194939488</c:v>
                </c:pt>
                <c:pt idx="1055">
                  <c:v>0.0475189565912694</c:v>
                </c:pt>
                <c:pt idx="1056">
                  <c:v>0.0497513112065812</c:v>
                </c:pt>
                <c:pt idx="1057">
                  <c:v>0.0555539085475761</c:v>
                </c:pt>
                <c:pt idx="1058">
                  <c:v>0.0555742373317794</c:v>
                </c:pt>
                <c:pt idx="1059">
                  <c:v>0.0564115291311478</c:v>
                </c:pt>
                <c:pt idx="1060">
                  <c:v>0.0423948324230556</c:v>
                </c:pt>
                <c:pt idx="1061">
                  <c:v>0.0347207163863553</c:v>
                </c:pt>
                <c:pt idx="1062">
                  <c:v>0.0363889472400289</c:v>
                </c:pt>
                <c:pt idx="1063">
                  <c:v>0.0321376902435388</c:v>
                </c:pt>
                <c:pt idx="1064">
                  <c:v>0.0334514379226694</c:v>
                </c:pt>
                <c:pt idx="1065">
                  <c:v>0.0313893368750593</c:v>
                </c:pt>
                <c:pt idx="1066">
                  <c:v>0.0314299944434656</c:v>
                </c:pt>
                <c:pt idx="1067">
                  <c:v>0.0326992729071517</c:v>
                </c:pt>
                <c:pt idx="1068">
                  <c:v>0.0327310366324691</c:v>
                </c:pt>
                <c:pt idx="1069">
                  <c:v>0.0328250572594089</c:v>
                </c:pt>
                <c:pt idx="1070">
                  <c:v>0.034849041836638</c:v>
                </c:pt>
                <c:pt idx="1071">
                  <c:v>0.0407266015693822</c:v>
                </c:pt>
                <c:pt idx="1072">
                  <c:v>0.0409070195291853</c:v>
                </c:pt>
                <c:pt idx="1073">
                  <c:v>0.0472076720831583</c:v>
                </c:pt>
                <c:pt idx="1074">
                  <c:v>0.0491770230528413</c:v>
                </c:pt>
                <c:pt idx="1075">
                  <c:v>0.0252525851437244</c:v>
                </c:pt>
                <c:pt idx="1076">
                  <c:v>0.0254418969466166</c:v>
                </c:pt>
                <c:pt idx="1077">
                  <c:v>0.00428344423814506</c:v>
                </c:pt>
                <c:pt idx="1078">
                  <c:v>0.00742042975049817</c:v>
                </c:pt>
                <c:pt idx="1079">
                  <c:v>0.00172582907558242</c:v>
                </c:pt>
                <c:pt idx="1080">
                  <c:v>0.00334196741973518</c:v>
                </c:pt>
                <c:pt idx="1081">
                  <c:v>0.00344615243877644</c:v>
                </c:pt>
                <c:pt idx="1082">
                  <c:v>0.0101089114613685</c:v>
                </c:pt>
                <c:pt idx="1083">
                  <c:v>0.020898413677206</c:v>
                </c:pt>
                <c:pt idx="1084">
                  <c:v>0.0156053064903032</c:v>
                </c:pt>
                <c:pt idx="1085">
                  <c:v>0.0177715925569544</c:v>
                </c:pt>
                <c:pt idx="1086">
                  <c:v>0.0203304782685297</c:v>
                </c:pt>
                <c:pt idx="1087">
                  <c:v>0.0205833175220567</c:v>
                </c:pt>
                <c:pt idx="1088">
                  <c:v>0.0221219523764349</c:v>
                </c:pt>
                <c:pt idx="1089">
                  <c:v>0.0240671629148766</c:v>
                </c:pt>
                <c:pt idx="1090">
                  <c:v>0.011726320354534</c:v>
                </c:pt>
                <c:pt idx="1091">
                  <c:v>0.0117301320015721</c:v>
                </c:pt>
                <c:pt idx="1092">
                  <c:v>0.0137312466965726</c:v>
                </c:pt>
                <c:pt idx="1093">
                  <c:v>0.0137515754807758</c:v>
                </c:pt>
                <c:pt idx="1094">
                  <c:v>0.0113845426701181</c:v>
                </c:pt>
                <c:pt idx="1095">
                  <c:v>0.0135940274032011</c:v>
                </c:pt>
                <c:pt idx="1096">
                  <c:v>0.0171541057367829</c:v>
                </c:pt>
                <c:pt idx="1097">
                  <c:v>0.0194783633973465</c:v>
                </c:pt>
                <c:pt idx="1098">
                  <c:v>0.0195317264558798</c:v>
                </c:pt>
                <c:pt idx="1099">
                  <c:v>0.0233145743830214</c:v>
                </c:pt>
                <c:pt idx="1100">
                  <c:v>0.0235974832965157</c:v>
                </c:pt>
                <c:pt idx="1101">
                  <c:v>0.0252576673397753</c:v>
                </c:pt>
                <c:pt idx="1102">
                  <c:v>0.00744795831243989</c:v>
                </c:pt>
                <c:pt idx="1103">
                  <c:v>0.00748014555409485</c:v>
                </c:pt>
                <c:pt idx="1104">
                  <c:v>0.00772409096453309</c:v>
                </c:pt>
                <c:pt idx="1105">
                  <c:v>0.0125708119316411</c:v>
                </c:pt>
                <c:pt idx="1106">
                  <c:v>0.0179935151178392</c:v>
                </c:pt>
                <c:pt idx="1107">
                  <c:v>0.0211207597544283</c:v>
                </c:pt>
                <c:pt idx="1108">
                  <c:v>0.0212884722241045</c:v>
                </c:pt>
                <c:pt idx="1109">
                  <c:v>0.0192797342350278</c:v>
                </c:pt>
                <c:pt idx="1110">
                  <c:v>0.0193521555287516</c:v>
                </c:pt>
                <c:pt idx="1111">
                  <c:v>0.00736579614295209</c:v>
                </c:pt>
                <c:pt idx="1112">
                  <c:v>0.00990435307032407</c:v>
                </c:pt>
                <c:pt idx="1113">
                  <c:v>0.0105917200861941</c:v>
                </c:pt>
                <c:pt idx="1114">
                  <c:v>0.0140133085773917</c:v>
                </c:pt>
                <c:pt idx="1115">
                  <c:v>0.00234839809180482</c:v>
                </c:pt>
                <c:pt idx="1116">
                  <c:v>0.00285407659885901</c:v>
                </c:pt>
                <c:pt idx="1117">
                  <c:v>0.00112740049060128</c:v>
                </c:pt>
                <c:pt idx="1118">
                  <c:v>0.00208539444617622</c:v>
                </c:pt>
                <c:pt idx="1119">
                  <c:v>0.00496361147627634</c:v>
                </c:pt>
                <c:pt idx="1120">
                  <c:v>0</c:v>
                </c:pt>
                <c:pt idx="1121">
                  <c:v>0.00195429285678086</c:v>
                </c:pt>
                <c:pt idx="1122">
                  <c:v>0</c:v>
                </c:pt>
                <c:pt idx="1123">
                  <c:v>0.00126068589295811</c:v>
                </c:pt>
                <c:pt idx="1124">
                  <c:v>0.00351594983867218</c:v>
                </c:pt>
                <c:pt idx="1125">
                  <c:v>0.000612048032465205</c:v>
                </c:pt>
                <c:pt idx="1126">
                  <c:v>0.000612048032465205</c:v>
                </c:pt>
                <c:pt idx="1127">
                  <c:v>0</c:v>
                </c:pt>
                <c:pt idx="1128">
                  <c:v>0.00137346706826909</c:v>
                </c:pt>
                <c:pt idx="1129">
                  <c:v>0</c:v>
                </c:pt>
                <c:pt idx="1130">
                  <c:v>0.00187625338859987</c:v>
                </c:pt>
                <c:pt idx="1131">
                  <c:v>0.00190274946469658</c:v>
                </c:pt>
                <c:pt idx="1132">
                  <c:v>0</c:v>
                </c:pt>
                <c:pt idx="1133">
                  <c:v>0.00177123377812077</c:v>
                </c:pt>
                <c:pt idx="1134">
                  <c:v>0.0017943224865878</c:v>
                </c:pt>
                <c:pt idx="1135">
                  <c:v>0.00182895554928864</c:v>
                </c:pt>
                <c:pt idx="1136">
                  <c:v>0</c:v>
                </c:pt>
                <c:pt idx="1137">
                  <c:v>0</c:v>
                </c:pt>
                <c:pt idx="1138">
                  <c:v>0.0014466822105174</c:v>
                </c:pt>
                <c:pt idx="1139">
                  <c:v>0.00365648522792964</c:v>
                </c:pt>
                <c:pt idx="1140">
                  <c:v>0.00367759282471596</c:v>
                </c:pt>
                <c:pt idx="1141">
                  <c:v>0.00371290745780109</c:v>
                </c:pt>
                <c:pt idx="1142">
                  <c:v>0.00797014736349874</c:v>
                </c:pt>
                <c:pt idx="1143">
                  <c:v>0.00357327258675218</c:v>
                </c:pt>
                <c:pt idx="1144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366546"/>
        <c:axId val="23371644"/>
      </c:lineChart>
      <c:catAx>
        <c:axId val="63366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71644"/>
        <c:crosses val="autoZero"/>
        <c:auto val="1"/>
        <c:lblAlgn val="ctr"/>
        <c:lblOffset val="100"/>
        <c:noMultiLvlLbl val="0"/>
      </c:catAx>
      <c:valAx>
        <c:axId val="23371644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665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per year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Yearly!F1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Yearly!$A$2:$A$6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Yearly!$F$2:$F$6</c:f>
              <c:numCache>
                <c:formatCode>\$#,##0.00;[RED]"-$"#,##0.00;\-</c:formatCode>
                <c:ptCount val="5"/>
                <c:pt idx="0">
                  <c:v>2838.75</c:v>
                </c:pt>
                <c:pt idx="1">
                  <c:v>1282.65</c:v>
                </c:pt>
                <c:pt idx="2">
                  <c:v>592.9</c:v>
                </c:pt>
                <c:pt idx="3">
                  <c:v>6360.3</c:v>
                </c:pt>
                <c:pt idx="4">
                  <c:v>3565.65</c:v>
                </c:pt>
              </c:numCache>
            </c:numRef>
          </c:val>
        </c:ser>
        <c:gapWidth val="150"/>
        <c:overlap val="0"/>
        <c:axId val="3231300"/>
        <c:axId val="86979553"/>
      </c:barChart>
      <c:catAx>
        <c:axId val="32313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79553"/>
        <c:crosses val="autoZero"/>
        <c:auto val="1"/>
        <c:lblAlgn val="ctr"/>
        <c:lblOffset val="100"/>
        <c:noMultiLvlLbl val="0"/>
      </c:catAx>
      <c:valAx>
        <c:axId val="86979553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13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per month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Monthly!F1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Pt>
            <c:idx val="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Lbls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Monthly!$A$2:$A$55</c:f>
              <c:strCache>
                <c:ptCount val="54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  <c:pt idx="3">
                  <c:v>2022-07</c:v>
                </c:pt>
                <c:pt idx="4">
                  <c:v>2022-08</c:v>
                </c:pt>
                <c:pt idx="5">
                  <c:v>2022-09</c:v>
                </c:pt>
                <c:pt idx="6">
                  <c:v>2022-10</c:v>
                </c:pt>
                <c:pt idx="7">
                  <c:v>2022-11</c:v>
                </c:pt>
                <c:pt idx="8">
                  <c:v>2022-12</c:v>
                </c:pt>
                <c:pt idx="9">
                  <c:v>2023-01</c:v>
                </c:pt>
                <c:pt idx="10">
                  <c:v>2023-02</c:v>
                </c:pt>
                <c:pt idx="11">
                  <c:v>2023-03</c:v>
                </c:pt>
                <c:pt idx="12">
                  <c:v>2023-04</c:v>
                </c:pt>
                <c:pt idx="13">
                  <c:v>2023-05</c:v>
                </c:pt>
                <c:pt idx="14">
                  <c:v>2023-06</c:v>
                </c:pt>
                <c:pt idx="15">
                  <c:v>2023-07</c:v>
                </c:pt>
                <c:pt idx="16">
                  <c:v>2023-08</c:v>
                </c:pt>
                <c:pt idx="17">
                  <c:v>2023-09</c:v>
                </c:pt>
                <c:pt idx="18">
                  <c:v>2023-10</c:v>
                </c:pt>
                <c:pt idx="19">
                  <c:v>2023-11</c:v>
                </c:pt>
                <c:pt idx="20">
                  <c:v>2023-12</c:v>
                </c:pt>
                <c:pt idx="21">
                  <c:v>2024-01</c:v>
                </c:pt>
                <c:pt idx="22">
                  <c:v>2024-02</c:v>
                </c:pt>
                <c:pt idx="23">
                  <c:v>2024-03</c:v>
                </c:pt>
                <c:pt idx="24">
                  <c:v>2024-04</c:v>
                </c:pt>
                <c:pt idx="25">
                  <c:v>2024-05</c:v>
                </c:pt>
                <c:pt idx="26">
                  <c:v>2024-06</c:v>
                </c:pt>
                <c:pt idx="27">
                  <c:v>2024-07</c:v>
                </c:pt>
                <c:pt idx="28">
                  <c:v>2024-08</c:v>
                </c:pt>
                <c:pt idx="29">
                  <c:v>2024-09</c:v>
                </c:pt>
                <c:pt idx="30">
                  <c:v>2024-10</c:v>
                </c:pt>
                <c:pt idx="31">
                  <c:v>2024-11</c:v>
                </c:pt>
                <c:pt idx="32">
                  <c:v>2024-12</c:v>
                </c:pt>
                <c:pt idx="33">
                  <c:v>2025-01</c:v>
                </c:pt>
                <c:pt idx="34">
                  <c:v>2025-02</c:v>
                </c:pt>
                <c:pt idx="35">
                  <c:v>2025-03</c:v>
                </c:pt>
                <c:pt idx="36">
                  <c:v>2025-04</c:v>
                </c:pt>
                <c:pt idx="37">
                  <c:v>2025-05</c:v>
                </c:pt>
                <c:pt idx="38">
                  <c:v>2025-06</c:v>
                </c:pt>
                <c:pt idx="39">
                  <c:v>2025-07</c:v>
                </c:pt>
                <c:pt idx="40">
                  <c:v>2025-08</c:v>
                </c:pt>
                <c:pt idx="41">
                  <c:v>2025-09</c:v>
                </c:pt>
                <c:pt idx="42">
                  <c:v>2025-10</c:v>
                </c:pt>
                <c:pt idx="43">
                  <c:v>2025-11</c:v>
                </c:pt>
                <c:pt idx="44">
                  <c:v>2025-12</c:v>
                </c:pt>
                <c:pt idx="45">
                  <c:v>2026-01</c:v>
                </c:pt>
                <c:pt idx="46">
                  <c:v>2026-02</c:v>
                </c:pt>
                <c:pt idx="47">
                  <c:v>2026-03</c:v>
                </c:pt>
                <c:pt idx="48">
                  <c:v>2026-04</c:v>
                </c:pt>
                <c:pt idx="49">
                  <c:v>2026-05</c:v>
                </c:pt>
                <c:pt idx="50">
                  <c:v>2026-06</c:v>
                </c:pt>
                <c:pt idx="51">
                  <c:v>2026-07</c:v>
                </c:pt>
                <c:pt idx="52">
                  <c:v>2026-08</c:v>
                </c:pt>
                <c:pt idx="53">
                  <c:v>2026-09</c:v>
                </c:pt>
              </c:strCache>
            </c:strRef>
          </c:cat>
          <c:val>
            <c:numRef>
              <c:f>Monthly!$F$2:$F$55</c:f>
              <c:numCache>
                <c:formatCode>\$#,##0.00;[RED]"-$"#,##0.00;\-</c:formatCode>
                <c:ptCount val="54"/>
                <c:pt idx="0">
                  <c:v>31.44</c:v>
                </c:pt>
                <c:pt idx="1">
                  <c:v>300.22</c:v>
                </c:pt>
                <c:pt idx="2">
                  <c:v>-466.03</c:v>
                </c:pt>
                <c:pt idx="3">
                  <c:v>859</c:v>
                </c:pt>
                <c:pt idx="4">
                  <c:v>204.67</c:v>
                </c:pt>
                <c:pt idx="5">
                  <c:v>961.13</c:v>
                </c:pt>
                <c:pt idx="6">
                  <c:v>-616.01</c:v>
                </c:pt>
                <c:pt idx="7">
                  <c:v>1291.71</c:v>
                </c:pt>
                <c:pt idx="8">
                  <c:v>272.62</c:v>
                </c:pt>
                <c:pt idx="9">
                  <c:v>-336.15</c:v>
                </c:pt>
                <c:pt idx="10">
                  <c:v>489.1</c:v>
                </c:pt>
                <c:pt idx="11">
                  <c:v>238.8</c:v>
                </c:pt>
                <c:pt idx="12">
                  <c:v>-307.3</c:v>
                </c:pt>
                <c:pt idx="13">
                  <c:v>-143.72</c:v>
                </c:pt>
                <c:pt idx="14">
                  <c:v>991.48</c:v>
                </c:pt>
                <c:pt idx="15">
                  <c:v>-112.88</c:v>
                </c:pt>
                <c:pt idx="16">
                  <c:v>-255.88</c:v>
                </c:pt>
                <c:pt idx="17">
                  <c:v>-105.16</c:v>
                </c:pt>
                <c:pt idx="18">
                  <c:v>295.24</c:v>
                </c:pt>
                <c:pt idx="19">
                  <c:v>537.76</c:v>
                </c:pt>
                <c:pt idx="20">
                  <c:v>-8.64</c:v>
                </c:pt>
                <c:pt idx="21">
                  <c:v>544.76</c:v>
                </c:pt>
                <c:pt idx="22">
                  <c:v>980.32</c:v>
                </c:pt>
                <c:pt idx="23">
                  <c:v>-51.84</c:v>
                </c:pt>
                <c:pt idx="24">
                  <c:v>-493.8</c:v>
                </c:pt>
                <c:pt idx="25">
                  <c:v>74.41</c:v>
                </c:pt>
                <c:pt idx="26">
                  <c:v>91.97</c:v>
                </c:pt>
                <c:pt idx="27">
                  <c:v>-330.9</c:v>
                </c:pt>
                <c:pt idx="28">
                  <c:v>-377.36</c:v>
                </c:pt>
                <c:pt idx="29">
                  <c:v>182.22</c:v>
                </c:pt>
                <c:pt idx="30">
                  <c:v>-614.61</c:v>
                </c:pt>
                <c:pt idx="31">
                  <c:v>327.93</c:v>
                </c:pt>
                <c:pt idx="32">
                  <c:v>259.8</c:v>
                </c:pt>
                <c:pt idx="33">
                  <c:v>1437.39</c:v>
                </c:pt>
                <c:pt idx="34">
                  <c:v>-123.75</c:v>
                </c:pt>
                <c:pt idx="35">
                  <c:v>527.72</c:v>
                </c:pt>
                <c:pt idx="36">
                  <c:v>853.82</c:v>
                </c:pt>
                <c:pt idx="37">
                  <c:v>877.16</c:v>
                </c:pt>
                <c:pt idx="38">
                  <c:v>-63.36</c:v>
                </c:pt>
                <c:pt idx="39">
                  <c:v>888.24</c:v>
                </c:pt>
                <c:pt idx="40">
                  <c:v>358.43</c:v>
                </c:pt>
                <c:pt idx="41">
                  <c:v>-176.51</c:v>
                </c:pt>
                <c:pt idx="42">
                  <c:v>1095.87</c:v>
                </c:pt>
                <c:pt idx="43">
                  <c:v>568.61</c:v>
                </c:pt>
                <c:pt idx="44">
                  <c:v>116.68</c:v>
                </c:pt>
                <c:pt idx="45">
                  <c:v>1475.36</c:v>
                </c:pt>
                <c:pt idx="46">
                  <c:v>381.68</c:v>
                </c:pt>
                <c:pt idx="47">
                  <c:v>147.93</c:v>
                </c:pt>
                <c:pt idx="48">
                  <c:v>-796.92</c:v>
                </c:pt>
                <c:pt idx="49">
                  <c:v>539.34</c:v>
                </c:pt>
                <c:pt idx="50">
                  <c:v>309.81</c:v>
                </c:pt>
                <c:pt idx="51">
                  <c:v>55.18</c:v>
                </c:pt>
                <c:pt idx="52">
                  <c:v>778.86</c:v>
                </c:pt>
                <c:pt idx="53">
                  <c:v>674.41</c:v>
                </c:pt>
              </c:numCache>
            </c:numRef>
          </c:val>
        </c:ser>
        <c:gapWidth val="150"/>
        <c:overlap val="0"/>
        <c:axId val="81738270"/>
        <c:axId val="54844447"/>
      </c:barChart>
      <c:catAx>
        <c:axId val="817382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44447"/>
        <c:crosses val="autoZero"/>
        <c:auto val="1"/>
        <c:lblAlgn val="ctr"/>
        <c:lblOffset val="100"/>
        <c:noMultiLvlLbl val="0"/>
      </c:catAx>
      <c:valAx>
        <c:axId val="54844447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382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per week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Weekly!F1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3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4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5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6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6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6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6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7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8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8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9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0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1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1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1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1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1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1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2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3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4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4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5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6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6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6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7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7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8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8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8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8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8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9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9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19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02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0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06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07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0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09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1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1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15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18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20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21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23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Pt>
            <c:idx val="224"/>
            <c:invertIfNegative val="0"/>
            <c:spPr>
              <a:solidFill>
                <a:srgbClr val="eb6834"/>
              </a:solidFill>
              <a:ln w="0">
                <a:noFill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Weekly!$A$2:$A$235</c:f>
              <c:strCache>
                <c:ptCount val="234"/>
                <c:pt idx="0">
                  <c:v>2022-04-04</c:v>
                </c:pt>
                <c:pt idx="1">
                  <c:v>2022-04-11</c:v>
                </c:pt>
                <c:pt idx="2">
                  <c:v>2022-04-18</c:v>
                </c:pt>
                <c:pt idx="3">
                  <c:v>2022-04-25</c:v>
                </c:pt>
                <c:pt idx="4">
                  <c:v>2022-05-02</c:v>
                </c:pt>
                <c:pt idx="5">
                  <c:v>2022-05-09</c:v>
                </c:pt>
                <c:pt idx="6">
                  <c:v>2022-05-16</c:v>
                </c:pt>
                <c:pt idx="7">
                  <c:v>2022-05-23</c:v>
                </c:pt>
                <c:pt idx="8">
                  <c:v>2022-05-30</c:v>
                </c:pt>
                <c:pt idx="9">
                  <c:v>2022-06-06</c:v>
                </c:pt>
                <c:pt idx="10">
                  <c:v>2022-06-13</c:v>
                </c:pt>
                <c:pt idx="11">
                  <c:v>2022-06-20</c:v>
                </c:pt>
                <c:pt idx="12">
                  <c:v>2022-06-27</c:v>
                </c:pt>
                <c:pt idx="13">
                  <c:v>2022-07-04</c:v>
                </c:pt>
                <c:pt idx="14">
                  <c:v>2022-07-11</c:v>
                </c:pt>
                <c:pt idx="15">
                  <c:v>2022-07-18</c:v>
                </c:pt>
                <c:pt idx="16">
                  <c:v>2022-07-25</c:v>
                </c:pt>
                <c:pt idx="17">
                  <c:v>2022-08-01</c:v>
                </c:pt>
                <c:pt idx="18">
                  <c:v>2022-08-08</c:v>
                </c:pt>
                <c:pt idx="19">
                  <c:v>2022-08-15</c:v>
                </c:pt>
                <c:pt idx="20">
                  <c:v>2022-08-22</c:v>
                </c:pt>
                <c:pt idx="21">
                  <c:v>2022-08-29</c:v>
                </c:pt>
                <c:pt idx="22">
                  <c:v>2022-09-05</c:v>
                </c:pt>
                <c:pt idx="23">
                  <c:v>2022-09-12</c:v>
                </c:pt>
                <c:pt idx="24">
                  <c:v>2022-09-19</c:v>
                </c:pt>
                <c:pt idx="25">
                  <c:v>2022-09-26</c:v>
                </c:pt>
                <c:pt idx="26">
                  <c:v>2022-10-03</c:v>
                </c:pt>
                <c:pt idx="27">
                  <c:v>2022-10-10</c:v>
                </c:pt>
                <c:pt idx="28">
                  <c:v>2022-10-17</c:v>
                </c:pt>
                <c:pt idx="29">
                  <c:v>2022-10-24</c:v>
                </c:pt>
                <c:pt idx="30">
                  <c:v>2022-10-31</c:v>
                </c:pt>
                <c:pt idx="31">
                  <c:v>2022-11-07</c:v>
                </c:pt>
                <c:pt idx="32">
                  <c:v>2022-11-14</c:v>
                </c:pt>
                <c:pt idx="33">
                  <c:v>2022-11-21</c:v>
                </c:pt>
                <c:pt idx="34">
                  <c:v>2022-11-28</c:v>
                </c:pt>
                <c:pt idx="35">
                  <c:v>2022-12-05</c:v>
                </c:pt>
                <c:pt idx="36">
                  <c:v>2022-12-12</c:v>
                </c:pt>
                <c:pt idx="37">
                  <c:v>2022-12-19</c:v>
                </c:pt>
                <c:pt idx="38">
                  <c:v>2022-12-26</c:v>
                </c:pt>
                <c:pt idx="39">
                  <c:v>2023-01-02</c:v>
                </c:pt>
                <c:pt idx="40">
                  <c:v>2023-01-09</c:v>
                </c:pt>
                <c:pt idx="41">
                  <c:v>2023-01-16</c:v>
                </c:pt>
                <c:pt idx="42">
                  <c:v>2023-01-23</c:v>
                </c:pt>
                <c:pt idx="43">
                  <c:v>2023-01-30</c:v>
                </c:pt>
                <c:pt idx="44">
                  <c:v>2023-02-06</c:v>
                </c:pt>
                <c:pt idx="45">
                  <c:v>2023-02-13</c:v>
                </c:pt>
                <c:pt idx="46">
                  <c:v>2023-02-20</c:v>
                </c:pt>
                <c:pt idx="47">
                  <c:v>2023-02-27</c:v>
                </c:pt>
                <c:pt idx="48">
                  <c:v>2023-03-06</c:v>
                </c:pt>
                <c:pt idx="49">
                  <c:v>2023-03-13</c:v>
                </c:pt>
                <c:pt idx="50">
                  <c:v>2023-03-20</c:v>
                </c:pt>
                <c:pt idx="51">
                  <c:v>2023-03-27</c:v>
                </c:pt>
                <c:pt idx="52">
                  <c:v>2023-04-03</c:v>
                </c:pt>
                <c:pt idx="53">
                  <c:v>2023-04-10</c:v>
                </c:pt>
                <c:pt idx="54">
                  <c:v>2023-04-17</c:v>
                </c:pt>
                <c:pt idx="55">
                  <c:v>2023-04-24</c:v>
                </c:pt>
                <c:pt idx="56">
                  <c:v>2023-05-01</c:v>
                </c:pt>
                <c:pt idx="57">
                  <c:v>2023-05-08</c:v>
                </c:pt>
                <c:pt idx="58">
                  <c:v>2023-05-15</c:v>
                </c:pt>
                <c:pt idx="59">
                  <c:v>2023-05-22</c:v>
                </c:pt>
                <c:pt idx="60">
                  <c:v>2023-05-29</c:v>
                </c:pt>
                <c:pt idx="61">
                  <c:v>2023-06-05</c:v>
                </c:pt>
                <c:pt idx="62">
                  <c:v>2023-06-12</c:v>
                </c:pt>
                <c:pt idx="63">
                  <c:v>2023-06-19</c:v>
                </c:pt>
                <c:pt idx="64">
                  <c:v>2023-06-26</c:v>
                </c:pt>
                <c:pt idx="65">
                  <c:v>2023-07-03</c:v>
                </c:pt>
                <c:pt idx="66">
                  <c:v>2023-07-10</c:v>
                </c:pt>
                <c:pt idx="67">
                  <c:v>2023-07-17</c:v>
                </c:pt>
                <c:pt idx="68">
                  <c:v>2023-07-24</c:v>
                </c:pt>
                <c:pt idx="69">
                  <c:v>2023-07-31</c:v>
                </c:pt>
                <c:pt idx="70">
                  <c:v>2023-08-07</c:v>
                </c:pt>
                <c:pt idx="71">
                  <c:v>2023-08-14</c:v>
                </c:pt>
                <c:pt idx="72">
                  <c:v>2023-08-21</c:v>
                </c:pt>
                <c:pt idx="73">
                  <c:v>2023-08-28</c:v>
                </c:pt>
                <c:pt idx="74">
                  <c:v>2023-09-04</c:v>
                </c:pt>
                <c:pt idx="75">
                  <c:v>2023-09-11</c:v>
                </c:pt>
                <c:pt idx="76">
                  <c:v>2023-09-18</c:v>
                </c:pt>
                <c:pt idx="77">
                  <c:v>2023-09-25</c:v>
                </c:pt>
                <c:pt idx="78">
                  <c:v>2023-10-02</c:v>
                </c:pt>
                <c:pt idx="79">
                  <c:v>2023-10-09</c:v>
                </c:pt>
                <c:pt idx="80">
                  <c:v>2023-10-16</c:v>
                </c:pt>
                <c:pt idx="81">
                  <c:v>2023-10-23</c:v>
                </c:pt>
                <c:pt idx="82">
                  <c:v>2023-10-30</c:v>
                </c:pt>
                <c:pt idx="83">
                  <c:v>2023-11-06</c:v>
                </c:pt>
                <c:pt idx="84">
                  <c:v>2023-11-13</c:v>
                </c:pt>
                <c:pt idx="85">
                  <c:v>2023-11-20</c:v>
                </c:pt>
                <c:pt idx="86">
                  <c:v>2023-11-27</c:v>
                </c:pt>
                <c:pt idx="87">
                  <c:v>2023-12-04</c:v>
                </c:pt>
                <c:pt idx="88">
                  <c:v>2023-12-11</c:v>
                </c:pt>
                <c:pt idx="89">
                  <c:v>2023-12-18</c:v>
                </c:pt>
                <c:pt idx="90">
                  <c:v>2023-12-25</c:v>
                </c:pt>
                <c:pt idx="91">
                  <c:v>2024-01-01</c:v>
                </c:pt>
                <c:pt idx="92">
                  <c:v>2024-01-08</c:v>
                </c:pt>
                <c:pt idx="93">
                  <c:v>2024-01-15</c:v>
                </c:pt>
                <c:pt idx="94">
                  <c:v>2024-01-22</c:v>
                </c:pt>
                <c:pt idx="95">
                  <c:v>2024-01-29</c:v>
                </c:pt>
                <c:pt idx="96">
                  <c:v>2024-02-05</c:v>
                </c:pt>
                <c:pt idx="97">
                  <c:v>2024-02-12</c:v>
                </c:pt>
                <c:pt idx="98">
                  <c:v>2024-02-19</c:v>
                </c:pt>
                <c:pt idx="99">
                  <c:v>2024-02-26</c:v>
                </c:pt>
                <c:pt idx="100">
                  <c:v>2024-03-04</c:v>
                </c:pt>
                <c:pt idx="101">
                  <c:v>2024-03-11</c:v>
                </c:pt>
                <c:pt idx="102">
                  <c:v>2024-03-18</c:v>
                </c:pt>
                <c:pt idx="103">
                  <c:v>2024-03-25</c:v>
                </c:pt>
                <c:pt idx="104">
                  <c:v>2024-04-01</c:v>
                </c:pt>
                <c:pt idx="105">
                  <c:v>2024-04-08</c:v>
                </c:pt>
                <c:pt idx="106">
                  <c:v>2024-04-15</c:v>
                </c:pt>
                <c:pt idx="107">
                  <c:v>2024-04-22</c:v>
                </c:pt>
                <c:pt idx="108">
                  <c:v>2024-04-29</c:v>
                </c:pt>
                <c:pt idx="109">
                  <c:v>2024-05-06</c:v>
                </c:pt>
                <c:pt idx="110">
                  <c:v>2024-05-13</c:v>
                </c:pt>
                <c:pt idx="111">
                  <c:v>2024-05-20</c:v>
                </c:pt>
                <c:pt idx="112">
                  <c:v>2024-05-27</c:v>
                </c:pt>
                <c:pt idx="113">
                  <c:v>2024-06-03</c:v>
                </c:pt>
                <c:pt idx="114">
                  <c:v>2024-06-10</c:v>
                </c:pt>
                <c:pt idx="115">
                  <c:v>2024-06-17</c:v>
                </c:pt>
                <c:pt idx="116">
                  <c:v>2024-06-24</c:v>
                </c:pt>
                <c:pt idx="117">
                  <c:v>2024-07-01</c:v>
                </c:pt>
                <c:pt idx="118">
                  <c:v>2024-07-08</c:v>
                </c:pt>
                <c:pt idx="119">
                  <c:v>2024-07-15</c:v>
                </c:pt>
                <c:pt idx="120">
                  <c:v>2024-07-22</c:v>
                </c:pt>
                <c:pt idx="121">
                  <c:v>2024-07-29</c:v>
                </c:pt>
                <c:pt idx="122">
                  <c:v>2024-08-05</c:v>
                </c:pt>
                <c:pt idx="123">
                  <c:v>2024-08-12</c:v>
                </c:pt>
                <c:pt idx="124">
                  <c:v>2024-08-19</c:v>
                </c:pt>
                <c:pt idx="125">
                  <c:v>2024-08-26</c:v>
                </c:pt>
                <c:pt idx="126">
                  <c:v>2024-09-02</c:v>
                </c:pt>
                <c:pt idx="127">
                  <c:v>2024-09-09</c:v>
                </c:pt>
                <c:pt idx="128">
                  <c:v>2024-09-16</c:v>
                </c:pt>
                <c:pt idx="129">
                  <c:v>2024-09-23</c:v>
                </c:pt>
                <c:pt idx="130">
                  <c:v>2024-09-30</c:v>
                </c:pt>
                <c:pt idx="131">
                  <c:v>2024-10-07</c:v>
                </c:pt>
                <c:pt idx="132">
                  <c:v>2024-10-14</c:v>
                </c:pt>
                <c:pt idx="133">
                  <c:v>2024-10-21</c:v>
                </c:pt>
                <c:pt idx="134">
                  <c:v>2024-10-28</c:v>
                </c:pt>
                <c:pt idx="135">
                  <c:v>2024-11-04</c:v>
                </c:pt>
                <c:pt idx="136">
                  <c:v>2024-11-11</c:v>
                </c:pt>
                <c:pt idx="137">
                  <c:v>2024-11-18</c:v>
                </c:pt>
                <c:pt idx="138">
                  <c:v>2024-11-25</c:v>
                </c:pt>
                <c:pt idx="139">
                  <c:v>2024-12-02</c:v>
                </c:pt>
                <c:pt idx="140">
                  <c:v>2024-12-09</c:v>
                </c:pt>
                <c:pt idx="141">
                  <c:v>2024-12-16</c:v>
                </c:pt>
                <c:pt idx="142">
                  <c:v>2024-12-23</c:v>
                </c:pt>
                <c:pt idx="143">
                  <c:v>2024-12-30</c:v>
                </c:pt>
                <c:pt idx="144">
                  <c:v>2025-01-06</c:v>
                </c:pt>
                <c:pt idx="145">
                  <c:v>2025-01-13</c:v>
                </c:pt>
                <c:pt idx="146">
                  <c:v>2025-01-20</c:v>
                </c:pt>
                <c:pt idx="147">
                  <c:v>2025-01-27</c:v>
                </c:pt>
                <c:pt idx="148">
                  <c:v>2025-02-03</c:v>
                </c:pt>
                <c:pt idx="149">
                  <c:v>2025-02-10</c:v>
                </c:pt>
                <c:pt idx="150">
                  <c:v>2025-02-17</c:v>
                </c:pt>
                <c:pt idx="151">
                  <c:v>2025-02-24</c:v>
                </c:pt>
                <c:pt idx="152">
                  <c:v>2025-03-03</c:v>
                </c:pt>
                <c:pt idx="153">
                  <c:v>2025-03-10</c:v>
                </c:pt>
                <c:pt idx="154">
                  <c:v>2025-03-17</c:v>
                </c:pt>
                <c:pt idx="155">
                  <c:v>2025-03-24</c:v>
                </c:pt>
                <c:pt idx="156">
                  <c:v>2025-03-31</c:v>
                </c:pt>
                <c:pt idx="157">
                  <c:v>2025-04-07</c:v>
                </c:pt>
                <c:pt idx="158">
                  <c:v>2025-04-14</c:v>
                </c:pt>
                <c:pt idx="159">
                  <c:v>2025-04-21</c:v>
                </c:pt>
                <c:pt idx="160">
                  <c:v>2025-04-28</c:v>
                </c:pt>
                <c:pt idx="161">
                  <c:v>2025-05-05</c:v>
                </c:pt>
                <c:pt idx="162">
                  <c:v>2025-05-12</c:v>
                </c:pt>
                <c:pt idx="163">
                  <c:v>2025-05-19</c:v>
                </c:pt>
                <c:pt idx="164">
                  <c:v>2025-05-26</c:v>
                </c:pt>
                <c:pt idx="165">
                  <c:v>2025-06-02</c:v>
                </c:pt>
                <c:pt idx="166">
                  <c:v>2025-06-09</c:v>
                </c:pt>
                <c:pt idx="167">
                  <c:v>2025-06-16</c:v>
                </c:pt>
                <c:pt idx="168">
                  <c:v>2025-06-23</c:v>
                </c:pt>
                <c:pt idx="169">
                  <c:v>2025-06-30</c:v>
                </c:pt>
                <c:pt idx="170">
                  <c:v>2025-07-07</c:v>
                </c:pt>
                <c:pt idx="171">
                  <c:v>2025-07-14</c:v>
                </c:pt>
                <c:pt idx="172">
                  <c:v>2025-07-21</c:v>
                </c:pt>
                <c:pt idx="173">
                  <c:v>2025-07-28</c:v>
                </c:pt>
                <c:pt idx="174">
                  <c:v>2025-08-04</c:v>
                </c:pt>
                <c:pt idx="175">
                  <c:v>2025-08-11</c:v>
                </c:pt>
                <c:pt idx="176">
                  <c:v>2025-08-18</c:v>
                </c:pt>
                <c:pt idx="177">
                  <c:v>2025-08-25</c:v>
                </c:pt>
                <c:pt idx="178">
                  <c:v>2025-09-01</c:v>
                </c:pt>
                <c:pt idx="179">
                  <c:v>2025-09-08</c:v>
                </c:pt>
                <c:pt idx="180">
                  <c:v>2025-09-15</c:v>
                </c:pt>
                <c:pt idx="181">
                  <c:v>2025-09-22</c:v>
                </c:pt>
                <c:pt idx="182">
                  <c:v>2025-09-29</c:v>
                </c:pt>
                <c:pt idx="183">
                  <c:v>2025-10-06</c:v>
                </c:pt>
                <c:pt idx="184">
                  <c:v>2025-10-13</c:v>
                </c:pt>
                <c:pt idx="185">
                  <c:v>2025-10-20</c:v>
                </c:pt>
                <c:pt idx="186">
                  <c:v>2025-10-27</c:v>
                </c:pt>
                <c:pt idx="187">
                  <c:v>2025-11-03</c:v>
                </c:pt>
                <c:pt idx="188">
                  <c:v>2025-11-10</c:v>
                </c:pt>
                <c:pt idx="189">
                  <c:v>2025-11-17</c:v>
                </c:pt>
                <c:pt idx="190">
                  <c:v>2025-11-24</c:v>
                </c:pt>
                <c:pt idx="191">
                  <c:v>2025-12-01</c:v>
                </c:pt>
                <c:pt idx="192">
                  <c:v>2025-12-08</c:v>
                </c:pt>
                <c:pt idx="193">
                  <c:v>2025-12-15</c:v>
                </c:pt>
                <c:pt idx="194">
                  <c:v>2025-12-22</c:v>
                </c:pt>
                <c:pt idx="195">
                  <c:v>2025-12-29</c:v>
                </c:pt>
                <c:pt idx="196">
                  <c:v>2026-01-05</c:v>
                </c:pt>
                <c:pt idx="197">
                  <c:v>2026-01-12</c:v>
                </c:pt>
                <c:pt idx="198">
                  <c:v>2026-01-19</c:v>
                </c:pt>
                <c:pt idx="199">
                  <c:v>2026-01-26</c:v>
                </c:pt>
                <c:pt idx="200">
                  <c:v>2026-02-02</c:v>
                </c:pt>
                <c:pt idx="201">
                  <c:v>2026-02-09</c:v>
                </c:pt>
                <c:pt idx="202">
                  <c:v>2026-02-16</c:v>
                </c:pt>
                <c:pt idx="203">
                  <c:v>2026-02-23</c:v>
                </c:pt>
                <c:pt idx="204">
                  <c:v>2026-03-02</c:v>
                </c:pt>
                <c:pt idx="205">
                  <c:v>2026-03-09</c:v>
                </c:pt>
                <c:pt idx="206">
                  <c:v>2026-03-16</c:v>
                </c:pt>
                <c:pt idx="207">
                  <c:v>2026-03-23</c:v>
                </c:pt>
                <c:pt idx="208">
                  <c:v>2026-03-30</c:v>
                </c:pt>
                <c:pt idx="209">
                  <c:v>2026-04-06</c:v>
                </c:pt>
                <c:pt idx="210">
                  <c:v>2026-04-13</c:v>
                </c:pt>
                <c:pt idx="211">
                  <c:v>2026-04-20</c:v>
                </c:pt>
                <c:pt idx="212">
                  <c:v>2026-04-27</c:v>
                </c:pt>
                <c:pt idx="213">
                  <c:v>2026-05-04</c:v>
                </c:pt>
                <c:pt idx="214">
                  <c:v>2026-05-11</c:v>
                </c:pt>
                <c:pt idx="215">
                  <c:v>2026-05-18</c:v>
                </c:pt>
                <c:pt idx="216">
                  <c:v>2026-05-25</c:v>
                </c:pt>
                <c:pt idx="217">
                  <c:v>2026-06-01</c:v>
                </c:pt>
                <c:pt idx="218">
                  <c:v>2026-06-08</c:v>
                </c:pt>
                <c:pt idx="219">
                  <c:v>2026-06-15</c:v>
                </c:pt>
                <c:pt idx="220">
                  <c:v>2026-06-22</c:v>
                </c:pt>
                <c:pt idx="221">
                  <c:v>2026-06-29</c:v>
                </c:pt>
                <c:pt idx="222">
                  <c:v>2026-07-06</c:v>
                </c:pt>
                <c:pt idx="223">
                  <c:v>2026-07-13</c:v>
                </c:pt>
                <c:pt idx="224">
                  <c:v>2026-07-20</c:v>
                </c:pt>
                <c:pt idx="225">
                  <c:v>2026-07-27</c:v>
                </c:pt>
                <c:pt idx="226">
                  <c:v>2026-08-03</c:v>
                </c:pt>
                <c:pt idx="227">
                  <c:v>2026-08-10</c:v>
                </c:pt>
                <c:pt idx="228">
                  <c:v>2026-08-17</c:v>
                </c:pt>
                <c:pt idx="229">
                  <c:v>2026-08-24</c:v>
                </c:pt>
                <c:pt idx="230">
                  <c:v>2026-08-31</c:v>
                </c:pt>
                <c:pt idx="231">
                  <c:v>2026-09-07</c:v>
                </c:pt>
                <c:pt idx="232">
                  <c:v>2026-09-14</c:v>
                </c:pt>
                <c:pt idx="233">
                  <c:v>2026-09-21</c:v>
                </c:pt>
              </c:strCache>
            </c:strRef>
          </c:cat>
          <c:val>
            <c:numRef>
              <c:f>Weekly!$F$2:$F$235</c:f>
              <c:numCache>
                <c:formatCode>\$#,##0.00;[RED]"-$"#,##0.00;\-</c:formatCode>
                <c:ptCount val="234"/>
                <c:pt idx="0">
                  <c:v>81.42</c:v>
                </c:pt>
                <c:pt idx="1">
                  <c:v>-51.24</c:v>
                </c:pt>
                <c:pt idx="2">
                  <c:v>181.89</c:v>
                </c:pt>
                <c:pt idx="3">
                  <c:v>-180.63</c:v>
                </c:pt>
                <c:pt idx="4">
                  <c:v>175.5</c:v>
                </c:pt>
                <c:pt idx="5">
                  <c:v>-142.04</c:v>
                </c:pt>
                <c:pt idx="6">
                  <c:v>165</c:v>
                </c:pt>
                <c:pt idx="7">
                  <c:v>201.08</c:v>
                </c:pt>
                <c:pt idx="8">
                  <c:v>-239.14</c:v>
                </c:pt>
                <c:pt idx="9">
                  <c:v>-323.69</c:v>
                </c:pt>
                <c:pt idx="10">
                  <c:v>-179.68</c:v>
                </c:pt>
                <c:pt idx="11">
                  <c:v>307.28</c:v>
                </c:pt>
                <c:pt idx="12">
                  <c:v>-130.12</c:v>
                </c:pt>
                <c:pt idx="13">
                  <c:v>354.92</c:v>
                </c:pt>
                <c:pt idx="14">
                  <c:v>397.88</c:v>
                </c:pt>
                <c:pt idx="15">
                  <c:v>-22.48</c:v>
                </c:pt>
                <c:pt idx="16">
                  <c:v>128.68</c:v>
                </c:pt>
                <c:pt idx="17">
                  <c:v>36.07</c:v>
                </c:pt>
                <c:pt idx="18">
                  <c:v>-16.6</c:v>
                </c:pt>
                <c:pt idx="19">
                  <c:v>24.92</c:v>
                </c:pt>
                <c:pt idx="20">
                  <c:v>246</c:v>
                </c:pt>
                <c:pt idx="21">
                  <c:v>-49.92</c:v>
                </c:pt>
                <c:pt idx="22">
                  <c:v>28.16</c:v>
                </c:pt>
                <c:pt idx="23">
                  <c:v>1298.77</c:v>
                </c:pt>
                <c:pt idx="24">
                  <c:v>-199.6</c:v>
                </c:pt>
                <c:pt idx="25">
                  <c:v>-202</c:v>
                </c:pt>
                <c:pt idx="26">
                  <c:v>-220.7</c:v>
                </c:pt>
                <c:pt idx="27">
                  <c:v>-364.3</c:v>
                </c:pt>
                <c:pt idx="28">
                  <c:v>48.61</c:v>
                </c:pt>
                <c:pt idx="29">
                  <c:v>-79.62</c:v>
                </c:pt>
                <c:pt idx="30">
                  <c:v>-226.89</c:v>
                </c:pt>
                <c:pt idx="31">
                  <c:v>1281.2</c:v>
                </c:pt>
                <c:pt idx="32">
                  <c:v>56.65</c:v>
                </c:pt>
                <c:pt idx="33">
                  <c:v>102.95</c:v>
                </c:pt>
                <c:pt idx="34">
                  <c:v>18.35</c:v>
                </c:pt>
                <c:pt idx="35">
                  <c:v>154.55</c:v>
                </c:pt>
                <c:pt idx="36">
                  <c:v>-195.9</c:v>
                </c:pt>
                <c:pt idx="37">
                  <c:v>537.25</c:v>
                </c:pt>
                <c:pt idx="38">
                  <c:v>-163.83</c:v>
                </c:pt>
                <c:pt idx="39">
                  <c:v>-102.6</c:v>
                </c:pt>
                <c:pt idx="40">
                  <c:v>48.15</c:v>
                </c:pt>
                <c:pt idx="41">
                  <c:v>-81.45</c:v>
                </c:pt>
                <c:pt idx="42">
                  <c:v>-200.15</c:v>
                </c:pt>
                <c:pt idx="43">
                  <c:v>138.95</c:v>
                </c:pt>
                <c:pt idx="44">
                  <c:v>-38.85</c:v>
                </c:pt>
                <c:pt idx="45">
                  <c:v>38.55</c:v>
                </c:pt>
                <c:pt idx="46">
                  <c:v>350.35</c:v>
                </c:pt>
                <c:pt idx="47">
                  <c:v>-3.35</c:v>
                </c:pt>
                <c:pt idx="48">
                  <c:v>232.35</c:v>
                </c:pt>
                <c:pt idx="49">
                  <c:v>-208.65</c:v>
                </c:pt>
                <c:pt idx="50">
                  <c:v>242.25</c:v>
                </c:pt>
                <c:pt idx="51">
                  <c:v>-23.8</c:v>
                </c:pt>
                <c:pt idx="52">
                  <c:v>117</c:v>
                </c:pt>
                <c:pt idx="53">
                  <c:v>-316.51</c:v>
                </c:pt>
                <c:pt idx="54">
                  <c:v>-31.67</c:v>
                </c:pt>
                <c:pt idx="55">
                  <c:v>-76.12</c:v>
                </c:pt>
                <c:pt idx="56">
                  <c:v>-4.24000000000001</c:v>
                </c:pt>
                <c:pt idx="57">
                  <c:v>51.52</c:v>
                </c:pt>
                <c:pt idx="58">
                  <c:v>-3.32</c:v>
                </c:pt>
                <c:pt idx="59">
                  <c:v>-285.76</c:v>
                </c:pt>
                <c:pt idx="60">
                  <c:v>162.24</c:v>
                </c:pt>
                <c:pt idx="61">
                  <c:v>266.44</c:v>
                </c:pt>
                <c:pt idx="62">
                  <c:v>158.84</c:v>
                </c:pt>
                <c:pt idx="63">
                  <c:v>98.16</c:v>
                </c:pt>
                <c:pt idx="64">
                  <c:v>403.88</c:v>
                </c:pt>
                <c:pt idx="65">
                  <c:v>-51.6</c:v>
                </c:pt>
                <c:pt idx="66">
                  <c:v>-88.52</c:v>
                </c:pt>
                <c:pt idx="67">
                  <c:v>-30.28</c:v>
                </c:pt>
                <c:pt idx="68">
                  <c:v>3.64</c:v>
                </c:pt>
                <c:pt idx="69">
                  <c:v>-45.4</c:v>
                </c:pt>
                <c:pt idx="70">
                  <c:v>9.60000000000001</c:v>
                </c:pt>
                <c:pt idx="71">
                  <c:v>2.96</c:v>
                </c:pt>
                <c:pt idx="72">
                  <c:v>-197.6</c:v>
                </c:pt>
                <c:pt idx="73">
                  <c:v>-42.04</c:v>
                </c:pt>
                <c:pt idx="74">
                  <c:v>-39.84</c:v>
                </c:pt>
                <c:pt idx="75">
                  <c:v>-130.72</c:v>
                </c:pt>
                <c:pt idx="76">
                  <c:v>-101.4</c:v>
                </c:pt>
                <c:pt idx="77">
                  <c:v>237.28</c:v>
                </c:pt>
                <c:pt idx="78">
                  <c:v>-177.2</c:v>
                </c:pt>
                <c:pt idx="79">
                  <c:v>-117.08</c:v>
                </c:pt>
                <c:pt idx="80">
                  <c:v>101.72</c:v>
                </c:pt>
                <c:pt idx="81">
                  <c:v>327.6</c:v>
                </c:pt>
                <c:pt idx="82">
                  <c:v>174.36</c:v>
                </c:pt>
                <c:pt idx="83">
                  <c:v>67.12</c:v>
                </c:pt>
                <c:pt idx="84">
                  <c:v>34.08</c:v>
                </c:pt>
                <c:pt idx="85">
                  <c:v>276.08</c:v>
                </c:pt>
                <c:pt idx="86">
                  <c:v>146.32</c:v>
                </c:pt>
                <c:pt idx="87">
                  <c:v>-65.72</c:v>
                </c:pt>
                <c:pt idx="88">
                  <c:v>-12.48</c:v>
                </c:pt>
                <c:pt idx="89">
                  <c:v>134.28</c:v>
                </c:pt>
                <c:pt idx="90">
                  <c:v>-64.72</c:v>
                </c:pt>
                <c:pt idx="91">
                  <c:v>135.12</c:v>
                </c:pt>
                <c:pt idx="92">
                  <c:v>73.88</c:v>
                </c:pt>
                <c:pt idx="93">
                  <c:v>-48.88</c:v>
                </c:pt>
                <c:pt idx="94">
                  <c:v>22.36</c:v>
                </c:pt>
                <c:pt idx="95">
                  <c:v>734.36</c:v>
                </c:pt>
                <c:pt idx="96">
                  <c:v>-3.56</c:v>
                </c:pt>
                <c:pt idx="97">
                  <c:v>213.96</c:v>
                </c:pt>
                <c:pt idx="98">
                  <c:v>436.36</c:v>
                </c:pt>
                <c:pt idx="99">
                  <c:v>-40.12</c:v>
                </c:pt>
                <c:pt idx="100">
                  <c:v>-240.88</c:v>
                </c:pt>
                <c:pt idx="101">
                  <c:v>80.48</c:v>
                </c:pt>
                <c:pt idx="102">
                  <c:v>-30.92</c:v>
                </c:pt>
                <c:pt idx="103">
                  <c:v>141.08</c:v>
                </c:pt>
                <c:pt idx="104">
                  <c:v>-110.48</c:v>
                </c:pt>
                <c:pt idx="105">
                  <c:v>-335.08</c:v>
                </c:pt>
                <c:pt idx="106">
                  <c:v>133.44</c:v>
                </c:pt>
                <c:pt idx="107">
                  <c:v>-158.24</c:v>
                </c:pt>
                <c:pt idx="108">
                  <c:v>38.08</c:v>
                </c:pt>
                <c:pt idx="109">
                  <c:v>-28.44</c:v>
                </c:pt>
                <c:pt idx="110">
                  <c:v>-166.28</c:v>
                </c:pt>
                <c:pt idx="111">
                  <c:v>68.17</c:v>
                </c:pt>
                <c:pt idx="112">
                  <c:v>139.44</c:v>
                </c:pt>
                <c:pt idx="113">
                  <c:v>-124.21</c:v>
                </c:pt>
                <c:pt idx="114">
                  <c:v>197.91</c:v>
                </c:pt>
                <c:pt idx="115">
                  <c:v>-8.25000000000001</c:v>
                </c:pt>
                <c:pt idx="116">
                  <c:v>26.52</c:v>
                </c:pt>
                <c:pt idx="117">
                  <c:v>-81.39</c:v>
                </c:pt>
                <c:pt idx="118">
                  <c:v>-33.36</c:v>
                </c:pt>
                <c:pt idx="119">
                  <c:v>-17.22</c:v>
                </c:pt>
                <c:pt idx="120">
                  <c:v>-168.93</c:v>
                </c:pt>
                <c:pt idx="121">
                  <c:v>16.02</c:v>
                </c:pt>
                <c:pt idx="122">
                  <c:v>-460.1</c:v>
                </c:pt>
                <c:pt idx="123">
                  <c:v>-27.06</c:v>
                </c:pt>
                <c:pt idx="124">
                  <c:v>51.45</c:v>
                </c:pt>
                <c:pt idx="125">
                  <c:v>12.33</c:v>
                </c:pt>
                <c:pt idx="126">
                  <c:v>42.6</c:v>
                </c:pt>
                <c:pt idx="127">
                  <c:v>-101.37</c:v>
                </c:pt>
                <c:pt idx="128">
                  <c:v>74.64</c:v>
                </c:pt>
                <c:pt idx="129">
                  <c:v>186.75</c:v>
                </c:pt>
                <c:pt idx="130">
                  <c:v>-147.96</c:v>
                </c:pt>
                <c:pt idx="131">
                  <c:v>-231.75</c:v>
                </c:pt>
                <c:pt idx="132">
                  <c:v>-17.25</c:v>
                </c:pt>
                <c:pt idx="133">
                  <c:v>-158.04</c:v>
                </c:pt>
                <c:pt idx="134">
                  <c:v>-80.01</c:v>
                </c:pt>
                <c:pt idx="135">
                  <c:v>186.18</c:v>
                </c:pt>
                <c:pt idx="136">
                  <c:v>86.85</c:v>
                </c:pt>
                <c:pt idx="137">
                  <c:v>122.31</c:v>
                </c:pt>
                <c:pt idx="138">
                  <c:v>-67.41</c:v>
                </c:pt>
                <c:pt idx="139">
                  <c:v>206.97</c:v>
                </c:pt>
                <c:pt idx="140">
                  <c:v>-83.91</c:v>
                </c:pt>
                <c:pt idx="141">
                  <c:v>120.24</c:v>
                </c:pt>
                <c:pt idx="142">
                  <c:v>20.19</c:v>
                </c:pt>
                <c:pt idx="143">
                  <c:v>118.74</c:v>
                </c:pt>
                <c:pt idx="144">
                  <c:v>39.57</c:v>
                </c:pt>
                <c:pt idx="145">
                  <c:v>577.35</c:v>
                </c:pt>
                <c:pt idx="146">
                  <c:v>302.31</c:v>
                </c:pt>
                <c:pt idx="147">
                  <c:v>395.73</c:v>
                </c:pt>
                <c:pt idx="148">
                  <c:v>-529.65</c:v>
                </c:pt>
                <c:pt idx="149">
                  <c:v>50.52</c:v>
                </c:pt>
                <c:pt idx="150">
                  <c:v>17.97</c:v>
                </c:pt>
                <c:pt idx="151">
                  <c:v>337.41</c:v>
                </c:pt>
                <c:pt idx="152">
                  <c:v>-6.57</c:v>
                </c:pt>
                <c:pt idx="153">
                  <c:v>-443.09</c:v>
                </c:pt>
                <c:pt idx="154">
                  <c:v>57.15</c:v>
                </c:pt>
                <c:pt idx="155">
                  <c:v>632.19</c:v>
                </c:pt>
                <c:pt idx="156">
                  <c:v>-301.34</c:v>
                </c:pt>
                <c:pt idx="157">
                  <c:v>1155.24</c:v>
                </c:pt>
                <c:pt idx="158">
                  <c:v>485.8</c:v>
                </c:pt>
                <c:pt idx="159">
                  <c:v>-301.84</c:v>
                </c:pt>
                <c:pt idx="160">
                  <c:v>343.36</c:v>
                </c:pt>
                <c:pt idx="161">
                  <c:v>-182.2</c:v>
                </c:pt>
                <c:pt idx="162">
                  <c:v>405.96</c:v>
                </c:pt>
                <c:pt idx="163">
                  <c:v>298.24</c:v>
                </c:pt>
                <c:pt idx="164">
                  <c:v>115.8</c:v>
                </c:pt>
                <c:pt idx="165">
                  <c:v>-350.12</c:v>
                </c:pt>
                <c:pt idx="166">
                  <c:v>29.32</c:v>
                </c:pt>
                <c:pt idx="167">
                  <c:v>325.88</c:v>
                </c:pt>
                <c:pt idx="168">
                  <c:v>-30.04</c:v>
                </c:pt>
                <c:pt idx="169">
                  <c:v>61.28</c:v>
                </c:pt>
                <c:pt idx="170">
                  <c:v>252.2</c:v>
                </c:pt>
                <c:pt idx="171">
                  <c:v>98.56</c:v>
                </c:pt>
                <c:pt idx="172">
                  <c:v>7.75999999999998</c:v>
                </c:pt>
                <c:pt idx="173">
                  <c:v>401.72</c:v>
                </c:pt>
                <c:pt idx="174">
                  <c:v>-53.04</c:v>
                </c:pt>
                <c:pt idx="175">
                  <c:v>23.79</c:v>
                </c:pt>
                <c:pt idx="176">
                  <c:v>355.36</c:v>
                </c:pt>
                <c:pt idx="177">
                  <c:v>60.64</c:v>
                </c:pt>
                <c:pt idx="178">
                  <c:v>106.8</c:v>
                </c:pt>
                <c:pt idx="179">
                  <c:v>-128.84</c:v>
                </c:pt>
                <c:pt idx="180">
                  <c:v>-87.51</c:v>
                </c:pt>
                <c:pt idx="181">
                  <c:v>-66.24</c:v>
                </c:pt>
                <c:pt idx="182">
                  <c:v>186.72</c:v>
                </c:pt>
                <c:pt idx="183">
                  <c:v>452.19</c:v>
                </c:pt>
                <c:pt idx="184">
                  <c:v>-55.8</c:v>
                </c:pt>
                <c:pt idx="185">
                  <c:v>-155.25</c:v>
                </c:pt>
                <c:pt idx="186">
                  <c:v>667.29</c:v>
                </c:pt>
                <c:pt idx="187">
                  <c:v>52.15</c:v>
                </c:pt>
                <c:pt idx="188">
                  <c:v>-163.5</c:v>
                </c:pt>
                <c:pt idx="189">
                  <c:v>310.88</c:v>
                </c:pt>
                <c:pt idx="190">
                  <c:v>369.08</c:v>
                </c:pt>
                <c:pt idx="191">
                  <c:v>58.6</c:v>
                </c:pt>
                <c:pt idx="192">
                  <c:v>320.32</c:v>
                </c:pt>
                <c:pt idx="193">
                  <c:v>-48.44</c:v>
                </c:pt>
                <c:pt idx="194">
                  <c:v>-156.36</c:v>
                </c:pt>
                <c:pt idx="195">
                  <c:v>285.12</c:v>
                </c:pt>
                <c:pt idx="196">
                  <c:v>-100.72</c:v>
                </c:pt>
                <c:pt idx="197">
                  <c:v>54.6</c:v>
                </c:pt>
                <c:pt idx="198">
                  <c:v>1022.96</c:v>
                </c:pt>
                <c:pt idx="199">
                  <c:v>155.96</c:v>
                </c:pt>
                <c:pt idx="200">
                  <c:v>335.8</c:v>
                </c:pt>
                <c:pt idx="201">
                  <c:v>234.36</c:v>
                </c:pt>
                <c:pt idx="202">
                  <c:v>-407.08</c:v>
                </c:pt>
                <c:pt idx="203">
                  <c:v>218.6</c:v>
                </c:pt>
                <c:pt idx="204">
                  <c:v>-231.84</c:v>
                </c:pt>
                <c:pt idx="205">
                  <c:v>912.04</c:v>
                </c:pt>
                <c:pt idx="206">
                  <c:v>-39.24</c:v>
                </c:pt>
                <c:pt idx="207">
                  <c:v>-448.28</c:v>
                </c:pt>
                <c:pt idx="208">
                  <c:v>-161.31</c:v>
                </c:pt>
                <c:pt idx="209">
                  <c:v>-631.52</c:v>
                </c:pt>
                <c:pt idx="210">
                  <c:v>-345.8</c:v>
                </c:pt>
                <c:pt idx="211">
                  <c:v>20.12</c:v>
                </c:pt>
                <c:pt idx="212">
                  <c:v>207.84</c:v>
                </c:pt>
                <c:pt idx="213">
                  <c:v>403.17</c:v>
                </c:pt>
                <c:pt idx="214">
                  <c:v>-123.87</c:v>
                </c:pt>
                <c:pt idx="215">
                  <c:v>-213.09</c:v>
                </c:pt>
                <c:pt idx="216">
                  <c:v>542.13</c:v>
                </c:pt>
                <c:pt idx="217">
                  <c:v>14.79</c:v>
                </c:pt>
                <c:pt idx="218">
                  <c:v>-386.1</c:v>
                </c:pt>
                <c:pt idx="219">
                  <c:v>985.95</c:v>
                </c:pt>
                <c:pt idx="220">
                  <c:v>-193.26</c:v>
                </c:pt>
                <c:pt idx="221">
                  <c:v>-117.54</c:v>
                </c:pt>
                <c:pt idx="222">
                  <c:v>161.79</c:v>
                </c:pt>
                <c:pt idx="223">
                  <c:v>-135.7</c:v>
                </c:pt>
                <c:pt idx="224">
                  <c:v>-97.26</c:v>
                </c:pt>
                <c:pt idx="225">
                  <c:v>132.32</c:v>
                </c:pt>
                <c:pt idx="226">
                  <c:v>250.94</c:v>
                </c:pt>
                <c:pt idx="227">
                  <c:v>106.53</c:v>
                </c:pt>
                <c:pt idx="228">
                  <c:v>136.75</c:v>
                </c:pt>
                <c:pt idx="229">
                  <c:v>338.88</c:v>
                </c:pt>
                <c:pt idx="230">
                  <c:v>134.44</c:v>
                </c:pt>
                <c:pt idx="231">
                  <c:v>56.8</c:v>
                </c:pt>
                <c:pt idx="232">
                  <c:v>388.72</c:v>
                </c:pt>
                <c:pt idx="233">
                  <c:v>40.21</c:v>
                </c:pt>
              </c:numCache>
            </c:numRef>
          </c:val>
        </c:ser>
        <c:gapWidth val="150"/>
        <c:overlap val="0"/>
        <c:axId val="88027280"/>
        <c:axId val="62886347"/>
      </c:barChart>
      <c:catAx>
        <c:axId val="8802728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86347"/>
        <c:crosses val="autoZero"/>
        <c:auto val="1"/>
        <c:lblAlgn val="ctr"/>
        <c:lblOffset val="100"/>
        <c:noMultiLvlLbl val="0"/>
      </c:catAx>
      <c:valAx>
        <c:axId val="62886347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272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8</xdr:row>
      <xdr:rowOff>160920</xdr:rowOff>
    </xdr:from>
    <xdr:to>
      <xdr:col>22</xdr:col>
      <xdr:colOff>187200</xdr:colOff>
      <xdr:row>25</xdr:row>
      <xdr:rowOff>162000</xdr:rowOff>
    </xdr:to>
    <xdr:graphicFrame>
      <xdr:nvGraphicFramePr>
        <xdr:cNvPr id="0" name="Chart 1"/>
        <xdr:cNvGraphicFramePr/>
      </xdr:nvGraphicFramePr>
      <xdr:xfrm>
        <a:off x="12100680" y="1714680"/>
        <a:ext cx="93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28</xdr:row>
      <xdr:rowOff>160560</xdr:rowOff>
    </xdr:from>
    <xdr:to>
      <xdr:col>22</xdr:col>
      <xdr:colOff>187200</xdr:colOff>
      <xdr:row>42</xdr:row>
      <xdr:rowOff>13320</xdr:rowOff>
    </xdr:to>
    <xdr:graphicFrame>
      <xdr:nvGraphicFramePr>
        <xdr:cNvPr id="1" name="Chart 2"/>
        <xdr:cNvGraphicFramePr/>
      </xdr:nvGraphicFramePr>
      <xdr:xfrm>
        <a:off x="12100680" y="5524560"/>
        <a:ext cx="93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12</xdr:col>
      <xdr:colOff>604440</xdr:colOff>
      <xdr:row>25</xdr:row>
      <xdr:rowOff>22320</xdr:rowOff>
    </xdr:to>
    <xdr:graphicFrame>
      <xdr:nvGraphicFramePr>
        <xdr:cNvPr id="2" name="Chart 1"/>
        <xdr:cNvGraphicFramePr/>
      </xdr:nvGraphicFramePr>
      <xdr:xfrm>
        <a:off x="0" y="211464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59</xdr:row>
      <xdr:rowOff>0</xdr:rowOff>
    </xdr:from>
    <xdr:to>
      <xdr:col>12</xdr:col>
      <xdr:colOff>604440</xdr:colOff>
      <xdr:row>74</xdr:row>
      <xdr:rowOff>22320</xdr:rowOff>
    </xdr:to>
    <xdr:graphicFrame>
      <xdr:nvGraphicFramePr>
        <xdr:cNvPr id="3" name="Chart 1"/>
        <xdr:cNvGraphicFramePr/>
      </xdr:nvGraphicFramePr>
      <xdr:xfrm>
        <a:off x="0" y="114490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32</xdr:col>
      <xdr:colOff>78840</xdr:colOff>
      <xdr:row>16</xdr:row>
      <xdr:rowOff>21960</xdr:rowOff>
    </xdr:to>
    <xdr:graphicFrame>
      <xdr:nvGraphicFramePr>
        <xdr:cNvPr id="4" name="Chart 1"/>
        <xdr:cNvGraphicFramePr/>
      </xdr:nvGraphicFramePr>
      <xdr:xfrm>
        <a:off x="12805560" y="39996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deList" displayName="TradeList" ref="A1:AG1146" headerRowCount="1" totalsRowCount="0" totalsRowShown="0">
  <autoFilter ref="A1:AG1146"/>
  <tableColumns count="33">
    <tableColumn id="1" name="#"/>
    <tableColumn id="2" name="Entry time"/>
    <tableColumn id="3" name="Close time"/>
    <tableColumn id="4" name="Close date"/>
    <tableColumn id="5" name="Week (Mon)"/>
    <tableColumn id="6" name="Month"/>
    <tableColumn id="7" name="Year"/>
    <tableColumn id="8" name="Weekday"/>
    <tableColumn id="9" name="Entry hour"/>
    <tableColumn id="10" name="Side"/>
    <tableColumn id="11" name="Setup"/>
    <tableColumn id="12" name="Lots"/>
    <tableColumn id="13" name="Entry price"/>
    <tableColumn id="14" name="Initial SL"/>
    <tableColumn id="15" name="Take profit"/>
    <tableColumn id="16" name="SL distance (pts)"/>
    <tableColumn id="17" name="TP distance (pts)"/>
    <tableColumn id="18" name="Planned risk $"/>
    <tableColumn id="19" name="Exit price"/>
    <tableColumn id="20" name="Exit reason"/>
    <tableColumn id="21" name="Points made"/>
    <tableColumn id="22" name="Commission $"/>
    <tableColumn id="23" name="Swap $"/>
    <tableColumn id="24" name="Net profit $"/>
    <tableColumn id="25" name="R multiple"/>
    <tableColumn id="26" name="Result"/>
    <tableColumn id="27" name="Hold (min)"/>
    <tableColumn id="28" name="Hold bucket"/>
    <tableColumn id="29" name="SL bucket (pts)"/>
    <tableColumn id="30" name="Balance after"/>
    <tableColumn id="31" name="Peak balance"/>
    <tableColumn id="32" name="Drawdown $"/>
    <tableColumn id="33" name="Drawdown 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26.8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26.8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4" customFormat="false" ht="15" hidden="false" customHeight="false" outlineLevel="0" collapsed="false">
      <c r="A14" s="3" t="s">
        <v>21</v>
      </c>
      <c r="B14" s="4" t="s">
        <v>22</v>
      </c>
    </row>
    <row r="15" customFormat="false" ht="26.85" hidden="false" customHeight="false" outlineLevel="0" collapsed="false">
      <c r="A15" s="3" t="s">
        <v>23</v>
      </c>
      <c r="B15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2"/>
      <c r="B1" s="1" t="s">
        <v>25</v>
      </c>
      <c r="C1" s="2"/>
      <c r="D1" s="2"/>
      <c r="E1" s="2"/>
      <c r="F1" s="2"/>
    </row>
    <row r="2" customFormat="false" ht="15" hidden="false" customHeight="false" outlineLevel="0" collapsed="false">
      <c r="A2" s="2"/>
      <c r="B2" s="2" t="s">
        <v>26</v>
      </c>
      <c r="C2" s="2"/>
      <c r="D2" s="2"/>
      <c r="E2" s="2"/>
      <c r="F2" s="2"/>
    </row>
    <row r="3" customFormat="false" ht="15" hidden="false" customHeight="false" outlineLevel="0" collapsed="false">
      <c r="A3" s="2"/>
      <c r="B3" s="5" t="s">
        <v>27</v>
      </c>
      <c r="C3" s="2"/>
      <c r="D3" s="2"/>
      <c r="E3" s="2"/>
      <c r="F3" s="2"/>
    </row>
    <row r="4" customFormat="false" ht="15" hidden="false" customHeight="false" outlineLevel="0" collapsed="false">
      <c r="A4" s="2"/>
      <c r="B4" s="6" t="s">
        <v>28</v>
      </c>
      <c r="C4" s="2"/>
      <c r="D4" s="2"/>
      <c r="E4" s="2"/>
      <c r="F4" s="2"/>
    </row>
    <row r="5" customFormat="false" ht="15" hidden="false" customHeight="false" outlineLevel="0" collapsed="false">
      <c r="A5" s="2"/>
      <c r="B5" s="2" t="s">
        <v>29</v>
      </c>
      <c r="C5" s="7" t="n">
        <v>10000</v>
      </c>
      <c r="D5" s="2"/>
      <c r="E5" s="2"/>
      <c r="F5" s="5" t="s">
        <v>30</v>
      </c>
    </row>
    <row r="6" customFormat="false" ht="15" hidden="false" customHeight="false" outlineLevel="0" collapsed="false">
      <c r="A6" s="2"/>
      <c r="B6" s="2" t="s">
        <v>31</v>
      </c>
      <c r="C6" s="8" t="n">
        <v>100</v>
      </c>
      <c r="D6" s="2"/>
      <c r="E6" s="2"/>
      <c r="F6" s="5" t="s">
        <v>32</v>
      </c>
    </row>
    <row r="7" customFormat="false" ht="15" hidden="false" customHeight="false" outlineLevel="0" collapsed="false">
      <c r="A7" s="2"/>
      <c r="B7" s="2" t="s">
        <v>33</v>
      </c>
      <c r="C7" s="9" t="n">
        <v>0.025</v>
      </c>
      <c r="D7" s="2"/>
      <c r="E7" s="2"/>
      <c r="F7" s="5" t="s">
        <v>34</v>
      </c>
    </row>
    <row r="8" customFormat="false" ht="15" hidden="false" customHeight="false" outlineLevel="0" collapsed="false">
      <c r="A8" s="2"/>
      <c r="B8" s="2" t="s">
        <v>35</v>
      </c>
      <c r="C8" s="9" t="n">
        <v>0.1</v>
      </c>
      <c r="D8" s="2"/>
      <c r="E8" s="2"/>
      <c r="F8" s="5" t="s">
        <v>36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2"/>
      <c r="B10" s="10" t="s">
        <v>37</v>
      </c>
      <c r="C10" s="10" t="s">
        <v>38</v>
      </c>
      <c r="D10" s="10" t="s">
        <v>39</v>
      </c>
      <c r="E10" s="10" t="s">
        <v>40</v>
      </c>
      <c r="F10" s="10" t="s">
        <v>41</v>
      </c>
    </row>
    <row r="11" customFormat="false" ht="15" hidden="false" customHeight="false" outlineLevel="0" collapsed="false">
      <c r="A11" s="2"/>
      <c r="B11" s="11" t="s">
        <v>42</v>
      </c>
      <c r="C11" s="12"/>
      <c r="D11" s="12"/>
      <c r="E11" s="12"/>
      <c r="F11" s="12"/>
    </row>
    <row r="12" customFormat="false" ht="15" hidden="false" customHeight="false" outlineLevel="0" collapsed="false">
      <c r="A12" s="2"/>
      <c r="B12" s="13" t="s">
        <v>43</v>
      </c>
      <c r="C12" s="14" t="n">
        <f aca="false">SUM(Trades!$X$2:$X$1146)</f>
        <v>14640.25</v>
      </c>
      <c r="D12" s="15" t="n">
        <v>14640.25</v>
      </c>
      <c r="E12" s="16" t="str">
        <f aca="false">IF(C12&gt;0,"Profitable","Losing")</f>
        <v>Profitable</v>
      </c>
      <c r="F12" s="17" t="s">
        <v>44</v>
      </c>
    </row>
    <row r="13" customFormat="false" ht="15" hidden="false" customHeight="false" outlineLevel="0" collapsed="false">
      <c r="A13" s="2"/>
      <c r="B13" s="13" t="s">
        <v>45</v>
      </c>
      <c r="C13" s="14" t="n">
        <f aca="false">C5+C12</f>
        <v>24640.25</v>
      </c>
      <c r="D13" s="15"/>
      <c r="E13" s="16"/>
      <c r="F13" s="17"/>
    </row>
    <row r="14" customFormat="false" ht="15" hidden="false" customHeight="false" outlineLevel="0" collapsed="false">
      <c r="A14" s="2"/>
      <c r="B14" s="13" t="s">
        <v>46</v>
      </c>
      <c r="C14" s="18" t="n">
        <f aca="false">IFERROR(C12/C5,0)</f>
        <v>1.464025</v>
      </c>
      <c r="D14" s="15"/>
      <c r="E14" s="16"/>
      <c r="F14" s="17"/>
    </row>
    <row r="15" customFormat="false" ht="15" hidden="false" customHeight="false" outlineLevel="0" collapsed="false">
      <c r="A15" s="2"/>
      <c r="B15" s="13" t="s">
        <v>47</v>
      </c>
      <c r="C15" s="14" t="n">
        <f aca="false">SUMIF(Trades!$X$2:$X$1146,"&gt;0")</f>
        <v>47333.21</v>
      </c>
      <c r="D15" s="15" t="n">
        <v>47333.21</v>
      </c>
      <c r="E15" s="16"/>
      <c r="F15" s="17" t="s">
        <v>48</v>
      </c>
    </row>
    <row r="16" customFormat="false" ht="15" hidden="false" customHeight="false" outlineLevel="0" collapsed="false">
      <c r="A16" s="2"/>
      <c r="B16" s="13" t="s">
        <v>49</v>
      </c>
      <c r="C16" s="14" t="n">
        <f aca="false">SUMIF(Trades!$X$2:$X$1146,"&lt;0")</f>
        <v>-32692.96</v>
      </c>
      <c r="D16" s="15" t="n">
        <v>-32692.96</v>
      </c>
      <c r="E16" s="16"/>
      <c r="F16" s="17" t="s">
        <v>50</v>
      </c>
    </row>
    <row r="17" customFormat="false" ht="15" hidden="false" customHeight="false" outlineLevel="0" collapsed="false">
      <c r="A17" s="2"/>
      <c r="B17" s="13" t="s">
        <v>51</v>
      </c>
      <c r="C17" s="19" t="n">
        <f aca="false">IFERROR(C15/-C16,0)</f>
        <v>1.44781047662861</v>
      </c>
      <c r="D17" s="15" t="n">
        <v>1.44781</v>
      </c>
      <c r="E17" s="16" t="str">
        <f aca="false">IF(C17&gt;=1.5,"Strong",IF(C17&gt;=1.2,"Good",IF(C17&gt;=1,"Weak","Losing")))</f>
        <v>Good</v>
      </c>
      <c r="F17" s="17" t="s">
        <v>52</v>
      </c>
    </row>
    <row r="18" customFormat="false" ht="15" hidden="false" customHeight="false" outlineLevel="0" collapsed="false">
      <c r="A18" s="2"/>
      <c r="B18" s="13" t="s">
        <v>53</v>
      </c>
      <c r="C18" s="14" t="n">
        <f aca="false">IFERROR(C12/C20,0)</f>
        <v>12.7862445414847</v>
      </c>
      <c r="D18" s="15" t="n">
        <v>12.786245</v>
      </c>
      <c r="E18" s="16"/>
      <c r="F18" s="17" t="s">
        <v>54</v>
      </c>
    </row>
    <row r="19" customFormat="false" ht="15" hidden="false" customHeight="false" outlineLevel="0" collapsed="false">
      <c r="A19" s="2"/>
      <c r="B19" s="11" t="s">
        <v>55</v>
      </c>
      <c r="C19" s="12"/>
      <c r="D19" s="12"/>
      <c r="E19" s="12"/>
      <c r="F19" s="12"/>
    </row>
    <row r="20" customFormat="false" ht="15" hidden="false" customHeight="false" outlineLevel="0" collapsed="false">
      <c r="A20" s="2"/>
      <c r="B20" s="13" t="s">
        <v>56</v>
      </c>
      <c r="C20" s="20" t="n">
        <f aca="false">COUNT(Trades!$X$2:$X$1146)</f>
        <v>1145</v>
      </c>
      <c r="D20" s="15" t="n">
        <v>1145</v>
      </c>
      <c r="E20" s="16"/>
      <c r="F20" s="17"/>
    </row>
    <row r="21" customFormat="false" ht="15" hidden="false" customHeight="false" outlineLevel="0" collapsed="false">
      <c r="A21" s="2"/>
      <c r="B21" s="13" t="s">
        <v>57</v>
      </c>
      <c r="C21" s="20" t="n">
        <f aca="false">COUNTIF(Trades!$Z$2:$Z$1146,"Win")</f>
        <v>316</v>
      </c>
      <c r="D21" s="15" t="s">
        <v>58</v>
      </c>
      <c r="E21" s="16"/>
      <c r="F21" s="17"/>
    </row>
    <row r="22" customFormat="false" ht="15" hidden="false" customHeight="false" outlineLevel="0" collapsed="false">
      <c r="A22" s="2"/>
      <c r="B22" s="13" t="s">
        <v>59</v>
      </c>
      <c r="C22" s="20" t="n">
        <f aca="false">COUNTIF(Trades!$Z$2:$Z$1146,"Loss")</f>
        <v>818</v>
      </c>
      <c r="D22" s="15" t="s">
        <v>60</v>
      </c>
      <c r="E22" s="16"/>
      <c r="F22" s="17" t="s">
        <v>61</v>
      </c>
    </row>
    <row r="23" customFormat="false" ht="15" hidden="false" customHeight="false" outlineLevel="0" collapsed="false">
      <c r="A23" s="2"/>
      <c r="B23" s="13" t="s">
        <v>62</v>
      </c>
      <c r="C23" s="18" t="n">
        <f aca="false">IFERROR(C21/C20,0)</f>
        <v>0.275982532751092</v>
      </c>
      <c r="D23" s="15"/>
      <c r="E23" s="16"/>
      <c r="F23" s="17"/>
    </row>
    <row r="24" customFormat="false" ht="15" hidden="false" customHeight="false" outlineLevel="0" collapsed="false">
      <c r="A24" s="2"/>
      <c r="B24" s="13" t="s">
        <v>63</v>
      </c>
      <c r="C24" s="14" t="n">
        <f aca="false">IFERROR(AVERAGEIF(Trades!$X$2:$X$1146,"&gt;0"),0)</f>
        <v>149.788639240506</v>
      </c>
      <c r="D24" s="15" t="n">
        <v>144.749878</v>
      </c>
      <c r="E24" s="16"/>
      <c r="F24" s="17"/>
    </row>
    <row r="25" customFormat="false" ht="15" hidden="false" customHeight="false" outlineLevel="0" collapsed="false">
      <c r="A25" s="2"/>
      <c r="B25" s="13" t="s">
        <v>64</v>
      </c>
      <c r="C25" s="14" t="n">
        <f aca="false">IFERROR(AVERAGEIF(Trades!$X$2:$X$1146,"&lt;0"),0)</f>
        <v>-39.9669437652812</v>
      </c>
      <c r="D25" s="15" t="n">
        <v>-39.966944</v>
      </c>
      <c r="E25" s="16"/>
      <c r="F25" s="17"/>
    </row>
    <row r="26" customFormat="false" ht="15" hidden="false" customHeight="false" outlineLevel="0" collapsed="false">
      <c r="A26" s="2"/>
      <c r="B26" s="13" t="s">
        <v>65</v>
      </c>
      <c r="C26" s="19" t="n">
        <f aca="false">IFERROR(C24/-C25,0)</f>
        <v>3.74781319582975</v>
      </c>
      <c r="D26" s="15"/>
      <c r="E26" s="16"/>
      <c r="F26" s="17" t="s">
        <v>66</v>
      </c>
    </row>
    <row r="27" customFormat="false" ht="15" hidden="false" customHeight="false" outlineLevel="0" collapsed="false">
      <c r="A27" s="2"/>
      <c r="B27" s="13" t="s">
        <v>67</v>
      </c>
      <c r="C27" s="18" t="n">
        <f aca="false">IFERROR(-C25/(C24-C25),0)</f>
        <v>0.210623282499478</v>
      </c>
      <c r="D27" s="15"/>
      <c r="E27" s="16" t="str">
        <f aca="false">IF(C23&gt;C27,"Above break-even","Below break-even")</f>
        <v>Above break-even</v>
      </c>
      <c r="F27" s="17" t="s">
        <v>68</v>
      </c>
    </row>
    <row r="28" customFormat="false" ht="15" hidden="false" customHeight="false" outlineLevel="0" collapsed="false">
      <c r="A28" s="2"/>
      <c r="B28" s="13" t="s">
        <v>69</v>
      </c>
      <c r="C28" s="14" t="n">
        <f aca="false">MAX(Trades!$X$2:$X$1146)</f>
        <v>1500.76</v>
      </c>
      <c r="D28" s="15" t="n">
        <v>1500.76</v>
      </c>
      <c r="E28" s="16"/>
      <c r="F28" s="17"/>
    </row>
    <row r="29" customFormat="false" ht="15" hidden="false" customHeight="false" outlineLevel="0" collapsed="false">
      <c r="A29" s="2"/>
      <c r="B29" s="13" t="s">
        <v>70</v>
      </c>
      <c r="C29" s="14" t="n">
        <f aca="false">MIN(Trades!$X$2:$X$1146)</f>
        <v>-461.04</v>
      </c>
      <c r="D29" s="15" t="n">
        <v>-461.04</v>
      </c>
      <c r="E29" s="16"/>
      <c r="F29" s="17"/>
    </row>
    <row r="30" customFormat="false" ht="15" hidden="false" customHeight="false" outlineLevel="0" collapsed="false">
      <c r="A30" s="2"/>
      <c r="B30" s="13" t="s">
        <v>71</v>
      </c>
      <c r="C30" s="20" t="n">
        <f aca="false">COUNTIF(Trades!$J$2:$J$1146,"BUY")</f>
        <v>641</v>
      </c>
      <c r="D30" s="15" t="s">
        <v>72</v>
      </c>
      <c r="E30" s="21" t="n">
        <f aca="false">SUMIF(Trades!$J$2:$J$1146,"BUY",Trades!$X$2:$X$1146)</f>
        <v>9077.54</v>
      </c>
      <c r="F30" s="17" t="s">
        <v>73</v>
      </c>
    </row>
    <row r="31" customFormat="false" ht="15" hidden="false" customHeight="false" outlineLevel="0" collapsed="false">
      <c r="A31" s="2"/>
      <c r="B31" s="13" t="s">
        <v>74</v>
      </c>
      <c r="C31" s="20" t="n">
        <f aca="false">COUNTIF(Trades!$J$2:$J$1146,"SELL")</f>
        <v>504</v>
      </c>
      <c r="D31" s="15" t="s">
        <v>75</v>
      </c>
      <c r="E31" s="21" t="n">
        <f aca="false">SUMIF(Trades!$J$2:$J$1146,"SELL",Trades!$X$2:$X$1146)</f>
        <v>5562.71</v>
      </c>
      <c r="F31" s="17" t="s">
        <v>76</v>
      </c>
    </row>
    <row r="32" customFormat="false" ht="15" hidden="false" customHeight="false" outlineLevel="0" collapsed="false">
      <c r="A32" s="2"/>
      <c r="B32" s="11" t="s">
        <v>77</v>
      </c>
      <c r="C32" s="12"/>
      <c r="D32" s="12"/>
      <c r="E32" s="12"/>
      <c r="F32" s="12"/>
    </row>
    <row r="33" customFormat="false" ht="15" hidden="false" customHeight="false" outlineLevel="0" collapsed="false">
      <c r="A33" s="2"/>
      <c r="B33" s="13" t="s">
        <v>78</v>
      </c>
      <c r="C33" s="14" t="n">
        <f aca="false">AVERAGE(Trades!$R$2:$R$1146)</f>
        <v>58.5424017467247</v>
      </c>
      <c r="D33" s="15"/>
      <c r="E33" s="16"/>
      <c r="F33" s="17" t="s">
        <v>79</v>
      </c>
    </row>
    <row r="34" customFormat="false" ht="15" hidden="false" customHeight="false" outlineLevel="0" collapsed="false">
      <c r="A34" s="2"/>
      <c r="B34" s="13" t="s">
        <v>80</v>
      </c>
      <c r="C34" s="18" t="n">
        <f aca="false">IFERROR(AVERAGE(Trades!$R$2:$R$1146)/AVERAGE(Trades!$AD$2:$AD$1146),0)</f>
        <v>0.00367354319523728</v>
      </c>
      <c r="D34" s="15"/>
      <c r="E34" s="16"/>
      <c r="F34" s="17" t="s">
        <v>81</v>
      </c>
    </row>
    <row r="35" customFormat="false" ht="15" hidden="false" customHeight="false" outlineLevel="0" collapsed="false">
      <c r="A35" s="2"/>
      <c r="B35" s="13" t="s">
        <v>82</v>
      </c>
      <c r="C35" s="22" t="n">
        <f aca="false">AVERAGE(Trades!$P$2:$P$1146)</f>
        <v>15.6346986899563</v>
      </c>
      <c r="D35" s="15"/>
      <c r="E35" s="16"/>
      <c r="F35" s="17"/>
    </row>
    <row r="36" customFormat="false" ht="15" hidden="false" customHeight="false" outlineLevel="0" collapsed="false">
      <c r="A36" s="2"/>
      <c r="B36" s="13" t="s">
        <v>83</v>
      </c>
      <c r="C36" s="23" t="n">
        <f aca="false">AVERAGE(Trades!$Y$2:$Y$1146)</f>
        <v>0.207897368928449</v>
      </c>
      <c r="D36" s="15"/>
      <c r="E36" s="16" t="str">
        <f aca="false">IF(C36&gt;0,"Positive edge","No edge")</f>
        <v>Positive edge</v>
      </c>
      <c r="F36" s="17" t="s">
        <v>84</v>
      </c>
    </row>
    <row r="37" customFormat="false" ht="15" hidden="false" customHeight="false" outlineLevel="0" collapsed="false">
      <c r="A37" s="2"/>
      <c r="B37" s="13" t="s">
        <v>85</v>
      </c>
      <c r="C37" s="23" t="n">
        <f aca="false">SUM(Trades!$Y$2:$Y$1146)</f>
        <v>238.042487423074</v>
      </c>
      <c r="D37" s="15"/>
      <c r="E37" s="16"/>
      <c r="F37" s="17"/>
    </row>
    <row r="38" customFormat="false" ht="15" hidden="false" customHeight="false" outlineLevel="0" collapsed="false">
      <c r="A38" s="2"/>
      <c r="B38" s="13" t="s">
        <v>86</v>
      </c>
      <c r="C38" s="23" t="n">
        <f aca="false">IFERROR(AVERAGEIF(Trades!$T$2:$T$1146,"Initial stop loss",Trades!$Y$2:$Y$1146),0)</f>
        <v>-1.04274724320533</v>
      </c>
      <c r="D38" s="15"/>
      <c r="E38" s="16" t="str">
        <f aca="false">IF(C38&lt;-1.05,"Losses overshoot","OK")</f>
        <v>OK</v>
      </c>
      <c r="F38" s="17" t="s">
        <v>87</v>
      </c>
    </row>
    <row r="39" customFormat="false" ht="15" hidden="false" customHeight="false" outlineLevel="0" collapsed="false">
      <c r="A39" s="2"/>
      <c r="B39" s="13" t="s">
        <v>88</v>
      </c>
      <c r="C39" s="23" t="n">
        <f aca="false">IFERROR(AVERAGEIF(Trades!$T$2:$T$1146,"Take profit",Trades!$Y$2:$Y$1146),0)</f>
        <v>2.54001141152947</v>
      </c>
      <c r="D39" s="15"/>
      <c r="E39" s="16"/>
      <c r="F39" s="17"/>
    </row>
    <row r="40" customFormat="false" ht="15" hidden="false" customHeight="false" outlineLevel="0" collapsed="false">
      <c r="A40" s="2"/>
      <c r="B40" s="11" t="s">
        <v>89</v>
      </c>
      <c r="C40" s="12"/>
      <c r="D40" s="12"/>
      <c r="E40" s="12"/>
      <c r="F40" s="12"/>
    </row>
    <row r="41" customFormat="false" ht="15" hidden="false" customHeight="false" outlineLevel="0" collapsed="false">
      <c r="A41" s="2"/>
      <c r="B41" s="13" t="s">
        <v>90</v>
      </c>
      <c r="C41" s="14" t="n">
        <f aca="false">MAX(Trades!$AF$2:$AF$1146)</f>
        <v>1669.23</v>
      </c>
      <c r="D41" s="15" t="s">
        <v>91</v>
      </c>
      <c r="E41" s="16"/>
      <c r="F41" s="17" t="s">
        <v>92</v>
      </c>
    </row>
    <row r="42" customFormat="false" ht="15" hidden="false" customHeight="false" outlineLevel="0" collapsed="false">
      <c r="A42" s="2"/>
      <c r="B42" s="13" t="s">
        <v>93</v>
      </c>
      <c r="C42" s="18" t="n">
        <f aca="false">MAX(Trades!$AG$2:$AG$1146)</f>
        <v>0.103452893510292</v>
      </c>
      <c r="D42" s="15" t="s">
        <v>94</v>
      </c>
      <c r="E42" s="16" t="str">
        <f aca="false">IF(C42&lt;=C8/2,"Safe",IF(C42&lt;=C8,"Close to limit","Breach"))</f>
        <v>Breach</v>
      </c>
      <c r="F42" s="17" t="s">
        <v>95</v>
      </c>
    </row>
    <row r="43" customFormat="false" ht="15" hidden="false" customHeight="false" outlineLevel="0" collapsed="false">
      <c r="A43" s="2"/>
      <c r="B43" s="13" t="s">
        <v>96</v>
      </c>
      <c r="C43" s="14" t="n">
        <f aca="false">MIN(Daily!F2:F1007)</f>
        <v>-596.56</v>
      </c>
      <c r="D43" s="15"/>
      <c r="E43" s="16"/>
      <c r="F43" s="17" t="s">
        <v>97</v>
      </c>
    </row>
    <row r="44" customFormat="false" ht="15" hidden="false" customHeight="false" outlineLevel="0" collapsed="false">
      <c r="A44" s="2"/>
      <c r="B44" s="13" t="s">
        <v>98</v>
      </c>
      <c r="C44" s="18" t="n">
        <f aca="false">MIN(Daily!N2:N1007)</f>
        <v>-0.0270607657194448</v>
      </c>
      <c r="D44" s="15"/>
      <c r="E44" s="16" t="str">
        <f aca="false">IF(-C44&gt;=C7,"Breach","OK")</f>
        <v>Breach</v>
      </c>
      <c r="F44" s="17" t="s">
        <v>99</v>
      </c>
    </row>
    <row r="45" customFormat="false" ht="15" hidden="false" customHeight="false" outlineLevel="0" collapsed="false">
      <c r="A45" s="2"/>
      <c r="B45" s="13" t="s">
        <v>100</v>
      </c>
      <c r="C45" s="20" t="n">
        <f aca="false">COUNTIF(Daily!O2:O1007,"BREACH")</f>
        <v>6</v>
      </c>
      <c r="D45" s="15"/>
      <c r="E45" s="16"/>
      <c r="F45" s="17"/>
    </row>
    <row r="46" customFormat="false" ht="15" hidden="false" customHeight="false" outlineLevel="0" collapsed="false">
      <c r="A46" s="2"/>
      <c r="B46" s="13" t="s">
        <v>101</v>
      </c>
      <c r="C46" s="14" t="n">
        <f aca="false">MIN(Weekly!F2:F235)</f>
        <v>-631.52</v>
      </c>
      <c r="D46" s="15"/>
      <c r="E46" s="16"/>
      <c r="F46" s="17"/>
    </row>
    <row r="47" customFormat="false" ht="15" hidden="false" customHeight="false" outlineLevel="0" collapsed="false">
      <c r="A47" s="2"/>
      <c r="B47" s="13" t="s">
        <v>102</v>
      </c>
      <c r="C47" s="14" t="n">
        <f aca="false">MIN(Monthly!F2:F55)</f>
        <v>-796.92</v>
      </c>
      <c r="D47" s="15"/>
      <c r="E47" s="16"/>
      <c r="F47" s="17"/>
    </row>
    <row r="48" customFormat="false" ht="15" hidden="false" customHeight="false" outlineLevel="0" collapsed="false">
      <c r="A48" s="2"/>
      <c r="B48" s="13" t="s">
        <v>103</v>
      </c>
      <c r="C48" s="19" t="n">
        <f aca="false">IFERROR(C12/C41,0)</f>
        <v>8.77066072380679</v>
      </c>
      <c r="D48" s="15" t="n">
        <v>7.859313</v>
      </c>
      <c r="E48" s="16"/>
      <c r="F48" s="17" t="s">
        <v>104</v>
      </c>
    </row>
    <row r="49" customFormat="false" ht="15" hidden="false" customHeight="false" outlineLevel="0" collapsed="false">
      <c r="A49" s="2"/>
      <c r="B49" s="11" t="s">
        <v>105</v>
      </c>
      <c r="C49" s="12"/>
      <c r="D49" s="12"/>
      <c r="E49" s="12"/>
      <c r="F49" s="12"/>
    </row>
    <row r="50" customFormat="false" ht="15" hidden="false" customHeight="false" outlineLevel="0" collapsed="false">
      <c r="A50" s="2"/>
      <c r="B50" s="13" t="s">
        <v>106</v>
      </c>
      <c r="C50" s="20" t="n">
        <f aca="false">COUNT(Daily!A2:A1007)</f>
        <v>1006</v>
      </c>
      <c r="D50" s="15"/>
      <c r="E50" s="16"/>
      <c r="F50" s="17" t="s">
        <v>107</v>
      </c>
    </row>
    <row r="51" customFormat="false" ht="15" hidden="false" customHeight="false" outlineLevel="0" collapsed="false">
      <c r="A51" s="2"/>
      <c r="B51" s="13" t="s">
        <v>108</v>
      </c>
      <c r="C51" s="18" t="n">
        <f aca="false">IFERROR(COUNTIF(Daily!F2:F1007,"&gt;0")/C50,0)</f>
        <v>0.295228628230616</v>
      </c>
      <c r="D51" s="15"/>
      <c r="E51" s="16"/>
      <c r="F51" s="17"/>
    </row>
    <row r="52" customFormat="false" ht="15" hidden="false" customHeight="false" outlineLevel="0" collapsed="false">
      <c r="A52" s="2"/>
      <c r="B52" s="13" t="s">
        <v>109</v>
      </c>
      <c r="C52" s="14" t="n">
        <f aca="false">IFERROR(C12/C50,0)</f>
        <v>14.5529324055666</v>
      </c>
      <c r="D52" s="15"/>
      <c r="E52" s="16"/>
      <c r="F52" s="17"/>
    </row>
    <row r="53" customFormat="false" ht="15" hidden="false" customHeight="false" outlineLevel="0" collapsed="false">
      <c r="A53" s="2"/>
      <c r="B53" s="13" t="s">
        <v>110</v>
      </c>
      <c r="C53" s="24" t="str">
        <f aca="false">COUNTIF(Monthly!F2:F55,"&gt;0")&amp;" of "&amp;COUNT(Monthly!F2:F55)</f>
        <v>36 of 54</v>
      </c>
      <c r="D53" s="15"/>
      <c r="E53" s="16"/>
      <c r="F53" s="17"/>
    </row>
    <row r="54" customFormat="false" ht="15" hidden="false" customHeight="false" outlineLevel="0" collapsed="false">
      <c r="A54" s="2"/>
      <c r="B54" s="13" t="s">
        <v>111</v>
      </c>
      <c r="C54" s="14" t="n">
        <f aca="false">AVERAGE(Monthly!F2:F55)</f>
        <v>271.115740740741</v>
      </c>
      <c r="D54" s="15"/>
      <c r="E54" s="16"/>
      <c r="F54" s="17"/>
    </row>
    <row r="55" customFormat="false" ht="15" hidden="false" customHeight="false" outlineLevel="0" collapsed="false">
      <c r="A55" s="2"/>
      <c r="B55" s="13" t="s">
        <v>112</v>
      </c>
      <c r="C55" s="18" t="n">
        <f aca="false">IFERROR(MAX(Daily!F2:F1007)/C12,0)</f>
        <v>0.111828691449941</v>
      </c>
      <c r="D55" s="15"/>
      <c r="E55" s="16" t="str">
        <f aca="false">IF(C55&gt;0.3,"Too concentrated","OK")</f>
        <v>OK</v>
      </c>
      <c r="F55" s="17" t="s">
        <v>113</v>
      </c>
    </row>
    <row r="56" customFormat="false" ht="15" hidden="false" customHeight="false" outlineLevel="0" collapsed="false">
      <c r="A56" s="2"/>
      <c r="B56" s="13" t="s">
        <v>114</v>
      </c>
      <c r="C56" s="25" t="n">
        <f aca="false">MEDIAN(Trades!$AA$2:$AA$1146)</f>
        <v>3.7</v>
      </c>
      <c r="D56" s="15" t="s">
        <v>115</v>
      </c>
      <c r="E56" s="16"/>
      <c r="F56" s="17" t="s">
        <v>116</v>
      </c>
    </row>
    <row r="57" customFormat="false" ht="15" hidden="false" customHeight="false" outlineLevel="0" collapsed="false">
      <c r="A57" s="2"/>
      <c r="B57" s="13" t="s">
        <v>117</v>
      </c>
      <c r="C57" s="13"/>
      <c r="D57" s="15" t="n">
        <v>15.127772</v>
      </c>
      <c r="E57" s="16"/>
      <c r="F57" s="17" t="s">
        <v>118</v>
      </c>
    </row>
    <row r="58" customFormat="false" ht="15" hidden="false" customHeight="false" outlineLevel="0" collapsed="false">
      <c r="A58" s="2"/>
      <c r="B58" s="13" t="s">
        <v>119</v>
      </c>
      <c r="C58" s="13"/>
      <c r="D58" s="15" t="s">
        <v>120</v>
      </c>
      <c r="E58" s="16"/>
      <c r="F58" s="17" t="s">
        <v>121</v>
      </c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</row>
    <row r="60" customFormat="false" ht="17.35" hidden="false" customHeight="false" outlineLevel="0" collapsed="false">
      <c r="A60" s="2"/>
      <c r="B60" s="1" t="s">
        <v>122</v>
      </c>
      <c r="C60" s="2"/>
      <c r="D60" s="2"/>
      <c r="E60" s="2"/>
      <c r="F60" s="2"/>
    </row>
    <row r="61" customFormat="false" ht="45" hidden="false" customHeight="true" outlineLevel="0" collapsed="false">
      <c r="A61" s="2"/>
      <c r="B61" s="26" t="s">
        <v>123</v>
      </c>
      <c r="C61" s="26"/>
      <c r="D61" s="26"/>
      <c r="E61" s="26"/>
      <c r="F61" s="26"/>
    </row>
    <row r="62" customFormat="false" ht="45" hidden="false" customHeight="true" outlineLevel="0" collapsed="false">
      <c r="A62" s="2"/>
      <c r="B62" s="26" t="s">
        <v>124</v>
      </c>
      <c r="C62" s="26"/>
      <c r="D62" s="26"/>
      <c r="E62" s="26"/>
      <c r="F62" s="26"/>
    </row>
    <row r="63" customFormat="false" ht="45" hidden="false" customHeight="true" outlineLevel="0" collapsed="false">
      <c r="A63" s="2"/>
      <c r="B63" s="26" t="s">
        <v>125</v>
      </c>
      <c r="C63" s="26"/>
      <c r="D63" s="26"/>
      <c r="E63" s="26"/>
      <c r="F63" s="26"/>
    </row>
    <row r="64" customFormat="false" ht="45" hidden="false" customHeight="true" outlineLevel="0" collapsed="false">
      <c r="A64" s="2"/>
      <c r="B64" s="26" t="s">
        <v>126</v>
      </c>
      <c r="C64" s="26"/>
      <c r="D64" s="26"/>
      <c r="E64" s="26"/>
      <c r="F64" s="26"/>
    </row>
    <row r="65" customFormat="false" ht="45" hidden="false" customHeight="true" outlineLevel="0" collapsed="false">
      <c r="A65" s="2"/>
      <c r="B65" s="26" t="s">
        <v>127</v>
      </c>
      <c r="C65" s="26"/>
      <c r="D65" s="26"/>
      <c r="E65" s="26"/>
      <c r="F65" s="26"/>
    </row>
    <row r="66" customFormat="false" ht="45" hidden="false" customHeight="true" outlineLevel="0" collapsed="false">
      <c r="A66" s="2"/>
      <c r="B66" s="26" t="s">
        <v>128</v>
      </c>
      <c r="C66" s="26"/>
      <c r="D66" s="26"/>
      <c r="E66" s="26"/>
      <c r="F66" s="26"/>
    </row>
    <row r="67" customFormat="false" ht="45" hidden="false" customHeight="true" outlineLevel="0" collapsed="false">
      <c r="A67" s="2"/>
      <c r="B67" s="26" t="s">
        <v>129</v>
      </c>
      <c r="C67" s="26"/>
      <c r="D67" s="26"/>
      <c r="E67" s="26"/>
      <c r="F67" s="26"/>
    </row>
    <row r="68" customFormat="false" ht="45" hidden="false" customHeight="true" outlineLevel="0" collapsed="false">
      <c r="A68" s="2"/>
      <c r="B68" s="26" t="s">
        <v>130</v>
      </c>
      <c r="C68" s="26"/>
      <c r="D68" s="26"/>
      <c r="E68" s="26"/>
      <c r="F68" s="26"/>
    </row>
    <row r="69" customFormat="false" ht="45" hidden="false" customHeight="true" outlineLevel="0" collapsed="false">
      <c r="A69" s="2"/>
      <c r="B69" s="26" t="s">
        <v>131</v>
      </c>
      <c r="C69" s="26"/>
      <c r="D69" s="26"/>
      <c r="E69" s="26"/>
      <c r="F69" s="26"/>
    </row>
    <row r="70" customFormat="false" ht="45" hidden="false" customHeight="true" outlineLevel="0" collapsed="false">
      <c r="A70" s="2"/>
      <c r="B70" s="26" t="s">
        <v>132</v>
      </c>
      <c r="C70" s="26"/>
      <c r="D70" s="26"/>
      <c r="E70" s="26"/>
      <c r="F70" s="26"/>
    </row>
  </sheetData>
  <mergeCells count="10"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13"/>
  </cols>
  <sheetData>
    <row r="1" customFormat="false" ht="31.5" hidden="false" customHeight="true" outlineLevel="0" collapsed="false">
      <c r="A1" s="27" t="s">
        <v>133</v>
      </c>
      <c r="B1" s="27" t="s">
        <v>7</v>
      </c>
      <c r="C1" s="27" t="s">
        <v>57</v>
      </c>
      <c r="D1" s="27" t="s">
        <v>59</v>
      </c>
      <c r="E1" s="27" t="s">
        <v>62</v>
      </c>
      <c r="F1" s="27" t="s">
        <v>43</v>
      </c>
      <c r="G1" s="27" t="s">
        <v>47</v>
      </c>
      <c r="H1" s="27" t="s">
        <v>49</v>
      </c>
      <c r="I1" s="27" t="s">
        <v>51</v>
      </c>
      <c r="J1" s="27" t="s">
        <v>134</v>
      </c>
      <c r="K1" s="27" t="s">
        <v>135</v>
      </c>
      <c r="L1" s="27" t="s">
        <v>85</v>
      </c>
      <c r="M1" s="27" t="s">
        <v>136</v>
      </c>
      <c r="N1" s="27" t="s">
        <v>137</v>
      </c>
      <c r="O1" s="27" t="s">
        <v>138</v>
      </c>
      <c r="P1" s="27" t="s">
        <v>139</v>
      </c>
      <c r="Q1" s="27" t="s">
        <v>140</v>
      </c>
    </row>
    <row r="2" customFormat="false" ht="15" hidden="false" customHeight="false" outlineLevel="0" collapsed="false">
      <c r="A2" s="28" t="n">
        <v>2022</v>
      </c>
      <c r="B2" s="29" t="n">
        <f aca="false">COUNTIFS(Trades!$G$2:$G$1146,$A2)</f>
        <v>197</v>
      </c>
      <c r="C2" s="29" t="n">
        <f aca="false">COUNTIFS(Trades!$G$2:$G$1146,$A2,Trades!$Z$2:$Z$1146,"Win")</f>
        <v>51</v>
      </c>
      <c r="D2" s="29" t="n">
        <f aca="false">COUNTIFS(Trades!$G$2:$G$1146,$A2,Trades!$Z$2:$Z$1146,"Loss")</f>
        <v>144</v>
      </c>
      <c r="E2" s="30" t="n">
        <f aca="false">IFERROR(C2/B2,0)</f>
        <v>0.258883248730964</v>
      </c>
      <c r="F2" s="31" t="n">
        <f aca="false">SUMIFS(Trades!$X$2:$X$1146,Trades!$G$2:$G$1146,$A2)</f>
        <v>2838.75</v>
      </c>
      <c r="G2" s="31" t="n">
        <f aca="false">SUMIFS(Trades!$X$2:$X$1146,Trades!$G$2:$G$1146,$A2,Trades!$X$2:$X$1146,"&gt;0")</f>
        <v>8513.71</v>
      </c>
      <c r="H2" s="31" t="n">
        <f aca="false">SUMIFS(Trades!$X$2:$X$1146,Trades!$G$2:$G$1146,$A2,Trades!$X$2:$X$1146,"&lt;0")</f>
        <v>-5674.96</v>
      </c>
      <c r="I2" s="32" t="n">
        <f aca="false">IFERROR(G2/-H2,"no loss")</f>
        <v>1.50022379012363</v>
      </c>
      <c r="J2" s="31" t="n">
        <f aca="false">_xlfn.MAXIFS(Trades!$X$2:$X$1146,Trades!$G$2:$G$1146,$A2)</f>
        <v>1073</v>
      </c>
      <c r="K2" s="31" t="n">
        <f aca="false">_xlfn.MINIFS(Trades!$X$2:$X$1146,Trades!$G$2:$G$1146,$A2)</f>
        <v>-332.1</v>
      </c>
      <c r="L2" s="33" t="n">
        <f aca="false">SUMIFS(Trades!$Y$2:$Y$1146,Trades!$G$2:$G$1146,$A2)</f>
        <v>34.2172893791362</v>
      </c>
      <c r="M2" s="31" t="n">
        <f aca="false">Summary!$C$5</f>
        <v>10000</v>
      </c>
      <c r="N2" s="30" t="n">
        <f aca="false">IFERROR(F2/M2,0)</f>
        <v>0.283875</v>
      </c>
      <c r="O2" s="29" t="str">
        <f aca="false">IF(F2&gt;0,"up","down")</f>
        <v>up</v>
      </c>
      <c r="P2" s="31" t="n">
        <f aca="false">M2+F2</f>
        <v>12838.75</v>
      </c>
      <c r="Q2" s="31" t="n">
        <f aca="false">P2-Summary!$C$5</f>
        <v>2838.75</v>
      </c>
    </row>
    <row r="3" customFormat="false" ht="15" hidden="false" customHeight="false" outlineLevel="0" collapsed="false">
      <c r="A3" s="28" t="n">
        <v>2023</v>
      </c>
      <c r="B3" s="29" t="n">
        <f aca="false">COUNTIFS(Trades!$G$2:$G$1146,$A3)</f>
        <v>257</v>
      </c>
      <c r="C3" s="29" t="n">
        <f aca="false">COUNTIFS(Trades!$G$2:$G$1146,$A3,Trades!$Z$2:$Z$1146,"Win")</f>
        <v>73</v>
      </c>
      <c r="D3" s="29" t="n">
        <f aca="false">COUNTIFS(Trades!$G$2:$G$1146,$A3,Trades!$Z$2:$Z$1146,"Loss")</f>
        <v>181</v>
      </c>
      <c r="E3" s="30" t="n">
        <f aca="false">IFERROR(C3/B3,0)</f>
        <v>0.284046692607004</v>
      </c>
      <c r="F3" s="31" t="n">
        <f aca="false">SUMIFS(Trades!$X$2:$X$1146,Trades!$G$2:$G$1146,$A3)</f>
        <v>1282.65</v>
      </c>
      <c r="G3" s="31" t="n">
        <f aca="false">SUMIFS(Trades!$X$2:$X$1146,Trades!$G$2:$G$1146,$A3,Trades!$X$2:$X$1146,"&gt;0")</f>
        <v>6591.75</v>
      </c>
      <c r="H3" s="31" t="n">
        <f aca="false">SUMIFS(Trades!$X$2:$X$1146,Trades!$G$2:$G$1146,$A3,Trades!$X$2:$X$1146,"&lt;0")</f>
        <v>-5309.1</v>
      </c>
      <c r="I3" s="32" t="n">
        <f aca="false">IFERROR(G3/-H3,"no loss")</f>
        <v>1.24159462055716</v>
      </c>
      <c r="J3" s="31" t="n">
        <f aca="false">_xlfn.MAXIFS(Trades!$X$2:$X$1146,Trades!$G$2:$G$1146,$A3)</f>
        <v>275.25</v>
      </c>
      <c r="K3" s="31" t="n">
        <f aca="false">_xlfn.MINIFS(Trades!$X$2:$X$1146,Trades!$G$2:$G$1146,$A3)</f>
        <v>-245.48</v>
      </c>
      <c r="L3" s="33" t="n">
        <f aca="false">SUMIFS(Trades!$Y$2:$Y$1146,Trades!$G$2:$G$1146,$A3)</f>
        <v>56.2839388837829</v>
      </c>
      <c r="M3" s="31" t="n">
        <f aca="false">P2</f>
        <v>12838.75</v>
      </c>
      <c r="N3" s="30" t="n">
        <f aca="false">IFERROR(F3/M3,0)</f>
        <v>0.0999045857268036</v>
      </c>
      <c r="O3" s="29" t="str">
        <f aca="false">IF(F3&gt;0,"up","down")</f>
        <v>up</v>
      </c>
      <c r="P3" s="31" t="n">
        <f aca="false">M3+F3</f>
        <v>14121.4</v>
      </c>
      <c r="Q3" s="31" t="n">
        <f aca="false">P3-Summary!$C$5</f>
        <v>4121.4</v>
      </c>
    </row>
    <row r="4" customFormat="false" ht="15" hidden="false" customHeight="false" outlineLevel="0" collapsed="false">
      <c r="A4" s="28" t="n">
        <v>2024</v>
      </c>
      <c r="B4" s="29" t="n">
        <f aca="false">COUNTIFS(Trades!$G$2:$G$1146,$A4)</f>
        <v>245</v>
      </c>
      <c r="C4" s="29" t="n">
        <f aca="false">COUNTIFS(Trades!$G$2:$G$1146,$A4,Trades!$Z$2:$Z$1146,"Win")</f>
        <v>57</v>
      </c>
      <c r="D4" s="29" t="n">
        <f aca="false">COUNTIFS(Trades!$G$2:$G$1146,$A4,Trades!$Z$2:$Z$1146,"Loss")</f>
        <v>186</v>
      </c>
      <c r="E4" s="30" t="n">
        <f aca="false">IFERROR(C4/B4,0)</f>
        <v>0.23265306122449</v>
      </c>
      <c r="F4" s="31" t="n">
        <f aca="false">SUMIFS(Trades!$X$2:$X$1146,Trades!$G$2:$G$1146,$A4)</f>
        <v>592.9</v>
      </c>
      <c r="G4" s="31" t="n">
        <f aca="false">SUMIFS(Trades!$X$2:$X$1146,Trades!$G$2:$G$1146,$A4,Trades!$X$2:$X$1146,"&gt;0")</f>
        <v>6061.14</v>
      </c>
      <c r="H4" s="31" t="n">
        <f aca="false">SUMIFS(Trades!$X$2:$X$1146,Trades!$G$2:$G$1146,$A4,Trades!$X$2:$X$1146,"&lt;0")</f>
        <v>-5468.24</v>
      </c>
      <c r="I4" s="32" t="n">
        <f aca="false">IFERROR(G4/-H4,"no loss")</f>
        <v>1.10842611150937</v>
      </c>
      <c r="J4" s="31" t="n">
        <f aca="false">_xlfn.MAXIFS(Trades!$X$2:$X$1146,Trades!$G$2:$G$1146,$A4)</f>
        <v>420.76</v>
      </c>
      <c r="K4" s="31" t="n">
        <f aca="false">_xlfn.MINIFS(Trades!$X$2:$X$1146,Trades!$G$2:$G$1146,$A4)</f>
        <v>-334.76</v>
      </c>
      <c r="L4" s="33" t="n">
        <f aca="false">SUMIFS(Trades!$Y$2:$Y$1146,Trades!$G$2:$G$1146,$A4)</f>
        <v>23.7372365136737</v>
      </c>
      <c r="M4" s="31" t="n">
        <f aca="false">P3</f>
        <v>14121.4</v>
      </c>
      <c r="N4" s="30" t="n">
        <f aca="false">IFERROR(F4/M4,0)</f>
        <v>0.0419859220757149</v>
      </c>
      <c r="O4" s="29" t="str">
        <f aca="false">IF(F4&gt;0,"up","down")</f>
        <v>up</v>
      </c>
      <c r="P4" s="31" t="n">
        <f aca="false">M4+F4</f>
        <v>14714.3</v>
      </c>
      <c r="Q4" s="31" t="n">
        <f aca="false">P4-Summary!$C$5</f>
        <v>4714.3</v>
      </c>
    </row>
    <row r="5" customFormat="false" ht="15" hidden="false" customHeight="false" outlineLevel="0" collapsed="false">
      <c r="A5" s="28" t="n">
        <v>2025</v>
      </c>
      <c r="B5" s="29" t="n">
        <f aca="false">COUNTIFS(Trades!$G$2:$G$1146,$A5)</f>
        <v>258</v>
      </c>
      <c r="C5" s="29" t="n">
        <f aca="false">COUNTIFS(Trades!$G$2:$G$1146,$A5,Trades!$Z$2:$Z$1146,"Win")</f>
        <v>82</v>
      </c>
      <c r="D5" s="29" t="n">
        <f aca="false">COUNTIFS(Trades!$G$2:$G$1146,$A5,Trades!$Z$2:$Z$1146,"Loss")</f>
        <v>175</v>
      </c>
      <c r="E5" s="30" t="n">
        <f aca="false">IFERROR(C5/B5,0)</f>
        <v>0.317829457364341</v>
      </c>
      <c r="F5" s="31" t="n">
        <f aca="false">SUMIFS(Trades!$X$2:$X$1146,Trades!$G$2:$G$1146,$A5)</f>
        <v>6360.3</v>
      </c>
      <c r="G5" s="31" t="n">
        <f aca="false">SUMIFS(Trades!$X$2:$X$1146,Trades!$G$2:$G$1146,$A5,Trades!$X$2:$X$1146,"&gt;0")</f>
        <v>15016.52</v>
      </c>
      <c r="H5" s="31" t="n">
        <f aca="false">SUMIFS(Trades!$X$2:$X$1146,Trades!$G$2:$G$1146,$A5,Trades!$X$2:$X$1146,"&lt;0")</f>
        <v>-8656.22</v>
      </c>
      <c r="I5" s="32" t="n">
        <f aca="false">IFERROR(G5/-H5,"no loss")</f>
        <v>1.73476644539996</v>
      </c>
      <c r="J5" s="31" t="n">
        <f aca="false">_xlfn.MAXIFS(Trades!$X$2:$X$1146,Trades!$G$2:$G$1146,$A5)</f>
        <v>1500.76</v>
      </c>
      <c r="K5" s="31" t="n">
        <f aca="false">_xlfn.MINIFS(Trades!$X$2:$X$1146,Trades!$G$2:$G$1146,$A5)</f>
        <v>-425.64</v>
      </c>
      <c r="L5" s="33" t="n">
        <f aca="false">SUMIFS(Trades!$Y$2:$Y$1146,Trades!$G$2:$G$1146,$A5)</f>
        <v>79.0422665739885</v>
      </c>
      <c r="M5" s="31" t="n">
        <f aca="false">P4</f>
        <v>14714.3</v>
      </c>
      <c r="N5" s="30" t="n">
        <f aca="false">IFERROR(F5/M5,0)</f>
        <v>0.432252978395167</v>
      </c>
      <c r="O5" s="29" t="str">
        <f aca="false">IF(F5&gt;0,"up","down")</f>
        <v>up</v>
      </c>
      <c r="P5" s="31" t="n">
        <f aca="false">M5+F5</f>
        <v>21074.6</v>
      </c>
      <c r="Q5" s="31" t="n">
        <f aca="false">P5-Summary!$C$5</f>
        <v>11074.6</v>
      </c>
    </row>
    <row r="6" customFormat="false" ht="15" hidden="false" customHeight="false" outlineLevel="0" collapsed="false">
      <c r="A6" s="28" t="n">
        <v>2026</v>
      </c>
      <c r="B6" s="29" t="n">
        <f aca="false">COUNTIFS(Trades!$G$2:$G$1146,$A6)</f>
        <v>188</v>
      </c>
      <c r="C6" s="29" t="n">
        <f aca="false">COUNTIFS(Trades!$G$2:$G$1146,$A6,Trades!$Z$2:$Z$1146,"Win")</f>
        <v>53</v>
      </c>
      <c r="D6" s="29" t="n">
        <f aca="false">COUNTIFS(Trades!$G$2:$G$1146,$A6,Trades!$Z$2:$Z$1146,"Loss")</f>
        <v>132</v>
      </c>
      <c r="E6" s="30" t="n">
        <f aca="false">IFERROR(C6/B6,0)</f>
        <v>0.281914893617021</v>
      </c>
      <c r="F6" s="31" t="n">
        <f aca="false">SUMIFS(Trades!$X$2:$X$1146,Trades!$G$2:$G$1146,$A6)</f>
        <v>3565.65</v>
      </c>
      <c r="G6" s="31" t="n">
        <f aca="false">SUMIFS(Trades!$X$2:$X$1146,Trades!$G$2:$G$1146,$A6,Trades!$X$2:$X$1146,"&gt;0")</f>
        <v>11150.09</v>
      </c>
      <c r="H6" s="31" t="n">
        <f aca="false">SUMIFS(Trades!$X$2:$X$1146,Trades!$G$2:$G$1146,$A6,Trades!$X$2:$X$1146,"&lt;0")</f>
        <v>-7584.44</v>
      </c>
      <c r="I6" s="32" t="n">
        <f aca="false">IFERROR(G6/-H6,"no loss")</f>
        <v>1.47012699685145</v>
      </c>
      <c r="J6" s="31" t="n">
        <f aca="false">_xlfn.MAXIFS(Trades!$X$2:$X$1146,Trades!$G$2:$G$1146,$A6)</f>
        <v>734.68</v>
      </c>
      <c r="K6" s="31" t="n">
        <f aca="false">_xlfn.MINIFS(Trades!$X$2:$X$1146,Trades!$G$2:$G$1146,$A6)</f>
        <v>-461.04</v>
      </c>
      <c r="L6" s="33" t="n">
        <f aca="false">SUMIFS(Trades!$Y$2:$Y$1146,Trades!$G$2:$G$1146,$A6)</f>
        <v>44.761756072493</v>
      </c>
      <c r="M6" s="31" t="n">
        <f aca="false">P5</f>
        <v>21074.6</v>
      </c>
      <c r="N6" s="30" t="n">
        <f aca="false">IFERROR(F6/M6,0)</f>
        <v>0.169191823332353</v>
      </c>
      <c r="O6" s="29" t="str">
        <f aca="false">IF(F6&gt;0,"up","down")</f>
        <v>up</v>
      </c>
      <c r="P6" s="31" t="n">
        <f aca="false">M6+F6</f>
        <v>24640.25</v>
      </c>
      <c r="Q6" s="31" t="n">
        <f aca="false">P6-Summary!$C$5</f>
        <v>14640.25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34" t="s">
        <v>141</v>
      </c>
      <c r="B8" s="34" t="n">
        <f aca="false">SUM(B2:B6)</f>
        <v>1145</v>
      </c>
      <c r="C8" s="34" t="n">
        <f aca="false">SUM(C2:C6)</f>
        <v>316</v>
      </c>
      <c r="D8" s="34" t="n">
        <f aca="false">SUM(D2:D6)</f>
        <v>818</v>
      </c>
      <c r="E8" s="35" t="n">
        <f aca="false">IFERROR(C8/B8,0)</f>
        <v>0.275982532751092</v>
      </c>
      <c r="F8" s="36" t="n">
        <f aca="false">SUM(F2:F6)</f>
        <v>14640.25</v>
      </c>
      <c r="G8" s="36" t="n">
        <f aca="false">SUM(G2:G6)</f>
        <v>47333.21</v>
      </c>
      <c r="H8" s="36" t="n">
        <f aca="false">SUM(H2:H6)</f>
        <v>-32692.96</v>
      </c>
      <c r="I8" s="37" t="n">
        <f aca="false">IFERROR(G8/-H8,0)</f>
        <v>1.44781047662861</v>
      </c>
      <c r="J8" s="38"/>
      <c r="K8" s="38"/>
      <c r="L8" s="39" t="n">
        <f aca="false">SUM(L2:L6)</f>
        <v>238.042487423074</v>
      </c>
      <c r="M8" s="38"/>
      <c r="N8" s="35" t="n">
        <f aca="false">IFERROR(F8/M2,0)</f>
        <v>1.464025</v>
      </c>
      <c r="O8" s="38" t="str">
        <f aca="false">COUNTIF(F2:F6,"&gt;0")&amp;" up / "&amp;COUNTIF(F2:F6,"&lt;0")&amp;" down"</f>
        <v>5 up / 0 down</v>
      </c>
      <c r="P8" s="38"/>
      <c r="Q8" s="38"/>
    </row>
    <row r="9" customFormat="false" ht="15" hidden="false" customHeight="false" outlineLevel="0" collapsed="false">
      <c r="A9" s="5" t="s">
        <v>142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</sheetData>
  <conditionalFormatting sqref="F2:F6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13"/>
  </cols>
  <sheetData>
    <row r="1" customFormat="false" ht="31.5" hidden="false" customHeight="true" outlineLevel="0" collapsed="false">
      <c r="A1" s="27" t="s">
        <v>143</v>
      </c>
      <c r="B1" s="27" t="s">
        <v>7</v>
      </c>
      <c r="C1" s="27" t="s">
        <v>57</v>
      </c>
      <c r="D1" s="27" t="s">
        <v>59</v>
      </c>
      <c r="E1" s="27" t="s">
        <v>62</v>
      </c>
      <c r="F1" s="27" t="s">
        <v>43</v>
      </c>
      <c r="G1" s="27" t="s">
        <v>47</v>
      </c>
      <c r="H1" s="27" t="s">
        <v>49</v>
      </c>
      <c r="I1" s="27" t="s">
        <v>51</v>
      </c>
      <c r="J1" s="27" t="s">
        <v>134</v>
      </c>
      <c r="K1" s="27" t="s">
        <v>135</v>
      </c>
      <c r="L1" s="27" t="s">
        <v>85</v>
      </c>
      <c r="M1" s="27" t="s">
        <v>136</v>
      </c>
      <c r="N1" s="27" t="s">
        <v>137</v>
      </c>
      <c r="O1" s="27" t="s">
        <v>138</v>
      </c>
      <c r="P1" s="27" t="s">
        <v>139</v>
      </c>
      <c r="Q1" s="27" t="s">
        <v>140</v>
      </c>
    </row>
    <row r="2" customFormat="false" ht="15" hidden="false" customHeight="false" outlineLevel="0" collapsed="false">
      <c r="A2" s="29" t="s">
        <v>144</v>
      </c>
      <c r="B2" s="29" t="n">
        <f aca="false">COUNTIFS(Trades!$F$2:$F$1146,$A2)</f>
        <v>21</v>
      </c>
      <c r="C2" s="29" t="n">
        <f aca="false">COUNTIFS(Trades!$F$2:$F$1146,$A2,Trades!$Z$2:$Z$1146,"Win")</f>
        <v>5</v>
      </c>
      <c r="D2" s="29" t="n">
        <f aca="false">COUNTIFS(Trades!$F$2:$F$1146,$A2,Trades!$Z$2:$Z$1146,"Loss")</f>
        <v>16</v>
      </c>
      <c r="E2" s="30" t="n">
        <f aca="false">IFERROR(C2/B2,0)</f>
        <v>0.238095238095238</v>
      </c>
      <c r="F2" s="31" t="n">
        <f aca="false">SUMIFS(Trades!$X$2:$X$1146,Trades!$F$2:$F$1146,$A2)</f>
        <v>31.44</v>
      </c>
      <c r="G2" s="31" t="n">
        <f aca="false">SUMIFS(Trades!$X$2:$X$1146,Trades!$F$2:$F$1146,$A2,Trades!$X$2:$X$1146,"&gt;0")</f>
        <v>500.25</v>
      </c>
      <c r="H2" s="31" t="n">
        <f aca="false">SUMIFS(Trades!$X$2:$X$1146,Trades!$F$2:$F$1146,$A2,Trades!$X$2:$X$1146,"&lt;0")</f>
        <v>-468.81</v>
      </c>
      <c r="I2" s="32" t="n">
        <f aca="false">IFERROR(G2/-H2,"no loss")</f>
        <v>1.06706341588277</v>
      </c>
      <c r="J2" s="31" t="n">
        <f aca="false">_xlfn.MAXIFS(Trades!$X$2:$X$1146,Trades!$F$2:$F$1146,$A2)</f>
        <v>151.71</v>
      </c>
      <c r="K2" s="31" t="n">
        <f aca="false">_xlfn.MINIFS(Trades!$X$2:$X$1146,Trades!$F$2:$F$1146,$A2)</f>
        <v>-75.09</v>
      </c>
      <c r="L2" s="33" t="n">
        <f aca="false">SUMIFS(Trades!$Y$2:$Y$1146,Trades!$F$2:$F$1146,$A2)</f>
        <v>-0.666365362355948</v>
      </c>
      <c r="M2" s="31" t="n">
        <f aca="false">Summary!$C$5</f>
        <v>10000</v>
      </c>
      <c r="N2" s="30" t="n">
        <f aca="false">IFERROR(F2/M2,0)</f>
        <v>0.003144</v>
      </c>
      <c r="O2" s="29" t="str">
        <f aca="false">IF(F2&gt;0,"up","down")</f>
        <v>up</v>
      </c>
      <c r="P2" s="31" t="n">
        <f aca="false">M2+F2</f>
        <v>10031.44</v>
      </c>
      <c r="Q2" s="31" t="n">
        <f aca="false">P2-Summary!$C$5</f>
        <v>31.4400000000005</v>
      </c>
    </row>
    <row r="3" customFormat="false" ht="15" hidden="false" customHeight="false" outlineLevel="0" collapsed="false">
      <c r="A3" s="29" t="s">
        <v>145</v>
      </c>
      <c r="B3" s="29" t="n">
        <f aca="false">COUNTIFS(Trades!$F$2:$F$1146,$A3)</f>
        <v>24</v>
      </c>
      <c r="C3" s="29" t="n">
        <f aca="false">COUNTIFS(Trades!$F$2:$F$1146,$A3,Trades!$Z$2:$Z$1146,"Win")</f>
        <v>5</v>
      </c>
      <c r="D3" s="29" t="n">
        <f aca="false">COUNTIFS(Trades!$F$2:$F$1146,$A3,Trades!$Z$2:$Z$1146,"Loss")</f>
        <v>19</v>
      </c>
      <c r="E3" s="30" t="n">
        <f aca="false">IFERROR(C3/B3,0)</f>
        <v>0.208333333333333</v>
      </c>
      <c r="F3" s="31" t="n">
        <f aca="false">SUMIFS(Trades!$X$2:$X$1146,Trades!$F$2:$F$1146,$A3)</f>
        <v>300.22</v>
      </c>
      <c r="G3" s="31" t="n">
        <f aca="false">SUMIFS(Trades!$X$2:$X$1146,Trades!$F$2:$F$1146,$A3,Trades!$X$2:$X$1146,"&gt;0")</f>
        <v>909.95</v>
      </c>
      <c r="H3" s="31" t="n">
        <f aca="false">SUMIFS(Trades!$X$2:$X$1146,Trades!$F$2:$F$1146,$A3,Trades!$X$2:$X$1146,"&lt;0")</f>
        <v>-609.73</v>
      </c>
      <c r="I3" s="32" t="n">
        <f aca="false">IFERROR(G3/-H3,"no loss")</f>
        <v>1.4923818739442</v>
      </c>
      <c r="J3" s="31" t="n">
        <f aca="false">_xlfn.MAXIFS(Trades!$X$2:$X$1146,Trades!$F$2:$F$1146,$A3)</f>
        <v>316.59</v>
      </c>
      <c r="K3" s="31" t="n">
        <f aca="false">_xlfn.MINIFS(Trades!$X$2:$X$1146,Trades!$F$2:$F$1146,$A3)</f>
        <v>-144.18</v>
      </c>
      <c r="L3" s="33" t="n">
        <f aca="false">SUMIFS(Trades!$Y$2:$Y$1146,Trades!$F$2:$F$1146,$A3)</f>
        <v>2.39145801627325</v>
      </c>
      <c r="M3" s="31" t="n">
        <f aca="false">P2</f>
        <v>10031.44</v>
      </c>
      <c r="N3" s="30" t="n">
        <f aca="false">IFERROR(F3/M3,0)</f>
        <v>0.0299279066614564</v>
      </c>
      <c r="O3" s="29" t="str">
        <f aca="false">IF(F3&gt;0,"up","down")</f>
        <v>up</v>
      </c>
      <c r="P3" s="31" t="n">
        <f aca="false">M3+F3</f>
        <v>10331.66</v>
      </c>
      <c r="Q3" s="31" t="n">
        <f aca="false">P3-Summary!$C$5</f>
        <v>331.66</v>
      </c>
    </row>
    <row r="4" customFormat="false" ht="15" hidden="false" customHeight="false" outlineLevel="0" collapsed="false">
      <c r="A4" s="29" t="s">
        <v>146</v>
      </c>
      <c r="B4" s="29" t="n">
        <f aca="false">COUNTIFS(Trades!$F$2:$F$1146,$A4)</f>
        <v>22</v>
      </c>
      <c r="C4" s="29" t="n">
        <f aca="false">COUNTIFS(Trades!$F$2:$F$1146,$A4,Trades!$Z$2:$Z$1146,"Win")</f>
        <v>4</v>
      </c>
      <c r="D4" s="29" t="n">
        <f aca="false">COUNTIFS(Trades!$F$2:$F$1146,$A4,Trades!$Z$2:$Z$1146,"Loss")</f>
        <v>18</v>
      </c>
      <c r="E4" s="30" t="n">
        <f aca="false">IFERROR(C4/B4,0)</f>
        <v>0.181818181818182</v>
      </c>
      <c r="F4" s="31" t="n">
        <f aca="false">SUMIFS(Trades!$X$2:$X$1146,Trades!$F$2:$F$1146,$A4)</f>
        <v>-466.03</v>
      </c>
      <c r="G4" s="31" t="n">
        <f aca="false">SUMIFS(Trades!$X$2:$X$1146,Trades!$F$2:$F$1146,$A4,Trades!$X$2:$X$1146,"&gt;0")</f>
        <v>431.2</v>
      </c>
      <c r="H4" s="31" t="n">
        <f aca="false">SUMIFS(Trades!$X$2:$X$1146,Trades!$F$2:$F$1146,$A4,Trades!$X$2:$X$1146,"&lt;0")</f>
        <v>-897.23</v>
      </c>
      <c r="I4" s="32" t="n">
        <f aca="false">IFERROR(G4/-H4,"no loss")</f>
        <v>0.480590261137055</v>
      </c>
      <c r="J4" s="31" t="n">
        <f aca="false">_xlfn.MAXIFS(Trades!$X$2:$X$1146,Trades!$F$2:$F$1146,$A4)</f>
        <v>163.48</v>
      </c>
      <c r="K4" s="31" t="n">
        <f aca="false">_xlfn.MINIFS(Trades!$X$2:$X$1146,Trades!$F$2:$F$1146,$A4)</f>
        <v>-207.36</v>
      </c>
      <c r="L4" s="33" t="n">
        <f aca="false">SUMIFS(Trades!$Y$2:$Y$1146,Trades!$F$2:$F$1146,$A4)</f>
        <v>-2.90402501764491</v>
      </c>
      <c r="M4" s="31" t="n">
        <f aca="false">P3</f>
        <v>10331.66</v>
      </c>
      <c r="N4" s="30" t="n">
        <f aca="false">IFERROR(F4/M4,0)</f>
        <v>-0.0451069818402851</v>
      </c>
      <c r="O4" s="29" t="str">
        <f aca="false">IF(F4&gt;0,"up","down")</f>
        <v>down</v>
      </c>
      <c r="P4" s="31" t="n">
        <f aca="false">M4+F4</f>
        <v>9865.63</v>
      </c>
      <c r="Q4" s="31" t="n">
        <f aca="false">P4-Summary!$C$5</f>
        <v>-134.370000000001</v>
      </c>
    </row>
    <row r="5" customFormat="false" ht="15" hidden="false" customHeight="false" outlineLevel="0" collapsed="false">
      <c r="A5" s="29" t="s">
        <v>147</v>
      </c>
      <c r="B5" s="29" t="n">
        <f aca="false">COUNTIFS(Trades!$F$2:$F$1146,$A5)</f>
        <v>20</v>
      </c>
      <c r="C5" s="29" t="n">
        <f aca="false">COUNTIFS(Trades!$F$2:$F$1146,$A5,Trades!$Z$2:$Z$1146,"Win")</f>
        <v>6</v>
      </c>
      <c r="D5" s="29" t="n">
        <f aca="false">COUNTIFS(Trades!$F$2:$F$1146,$A5,Trades!$Z$2:$Z$1146,"Loss")</f>
        <v>13</v>
      </c>
      <c r="E5" s="30" t="n">
        <f aca="false">IFERROR(C5/B5,0)</f>
        <v>0.3</v>
      </c>
      <c r="F5" s="31" t="n">
        <f aca="false">SUMIFS(Trades!$X$2:$X$1146,Trades!$F$2:$F$1146,$A5)</f>
        <v>859</v>
      </c>
      <c r="G5" s="31" t="n">
        <f aca="false">SUMIFS(Trades!$X$2:$X$1146,Trades!$F$2:$F$1146,$A5,Trades!$X$2:$X$1146,"&gt;0")</f>
        <v>1093</v>
      </c>
      <c r="H5" s="31" t="n">
        <f aca="false">SUMIFS(Trades!$X$2:$X$1146,Trades!$F$2:$F$1146,$A5,Trades!$X$2:$X$1146,"&lt;0")</f>
        <v>-234</v>
      </c>
      <c r="I5" s="32" t="n">
        <f aca="false">IFERROR(G5/-H5,"no loss")</f>
        <v>4.67094017094017</v>
      </c>
      <c r="J5" s="31" t="n">
        <f aca="false">_xlfn.MAXIFS(Trades!$X$2:$X$1146,Trades!$F$2:$F$1146,$A5)</f>
        <v>312.52</v>
      </c>
      <c r="K5" s="31" t="n">
        <f aca="false">_xlfn.MINIFS(Trades!$X$2:$X$1146,Trades!$F$2:$F$1146,$A5)</f>
        <v>-50</v>
      </c>
      <c r="L5" s="33" t="n">
        <f aca="false">SUMIFS(Trades!$Y$2:$Y$1146,Trades!$F$2:$F$1146,$A5)</f>
        <v>8.53293394496418</v>
      </c>
      <c r="M5" s="31" t="n">
        <f aca="false">P4</f>
        <v>9865.63</v>
      </c>
      <c r="N5" s="30" t="n">
        <f aca="false">IFERROR(F5/M5,0)</f>
        <v>0.0870699590396153</v>
      </c>
      <c r="O5" s="29" t="str">
        <f aca="false">IF(F5&gt;0,"up","down")</f>
        <v>up</v>
      </c>
      <c r="P5" s="31" t="n">
        <f aca="false">M5+F5</f>
        <v>10724.63</v>
      </c>
      <c r="Q5" s="31" t="n">
        <f aca="false">P5-Summary!$C$5</f>
        <v>724.629999999999</v>
      </c>
    </row>
    <row r="6" customFormat="false" ht="15" hidden="false" customHeight="false" outlineLevel="0" collapsed="false">
      <c r="A6" s="29" t="s">
        <v>148</v>
      </c>
      <c r="B6" s="29" t="n">
        <f aca="false">COUNTIFS(Trades!$F$2:$F$1146,$A6)</f>
        <v>23</v>
      </c>
      <c r="C6" s="29" t="n">
        <f aca="false">COUNTIFS(Trades!$F$2:$F$1146,$A6,Trades!$Z$2:$Z$1146,"Win")</f>
        <v>5</v>
      </c>
      <c r="D6" s="29" t="n">
        <f aca="false">COUNTIFS(Trades!$F$2:$F$1146,$A6,Trades!$Z$2:$Z$1146,"Loss")</f>
        <v>17</v>
      </c>
      <c r="E6" s="30" t="n">
        <f aca="false">IFERROR(C6/B6,0)</f>
        <v>0.217391304347826</v>
      </c>
      <c r="F6" s="31" t="n">
        <f aca="false">SUMIFS(Trades!$X$2:$X$1146,Trades!$F$2:$F$1146,$A6)</f>
        <v>204.67</v>
      </c>
      <c r="G6" s="31" t="n">
        <f aca="false">SUMIFS(Trades!$X$2:$X$1146,Trades!$F$2:$F$1146,$A6,Trades!$X$2:$X$1146,"&gt;0")</f>
        <v>616.34</v>
      </c>
      <c r="H6" s="31" t="n">
        <f aca="false">SUMIFS(Trades!$X$2:$X$1146,Trades!$F$2:$F$1146,$A6,Trades!$X$2:$X$1146,"&lt;0")</f>
        <v>-411.67</v>
      </c>
      <c r="I6" s="32" t="n">
        <f aca="false">IFERROR(G6/-H6,"no loss")</f>
        <v>1.4971700634003</v>
      </c>
      <c r="J6" s="31" t="n">
        <f aca="false">_xlfn.MAXIFS(Trades!$X$2:$X$1146,Trades!$F$2:$F$1146,$A6)</f>
        <v>190.8</v>
      </c>
      <c r="K6" s="31" t="n">
        <f aca="false">_xlfn.MINIFS(Trades!$X$2:$X$1146,Trades!$F$2:$F$1146,$A6)</f>
        <v>-86.92</v>
      </c>
      <c r="L6" s="33" t="n">
        <f aca="false">SUMIFS(Trades!$Y$2:$Y$1146,Trades!$F$2:$F$1146,$A6)</f>
        <v>2.6654606543764</v>
      </c>
      <c r="M6" s="31" t="n">
        <f aca="false">P5</f>
        <v>10724.63</v>
      </c>
      <c r="N6" s="30" t="n">
        <f aca="false">IFERROR(F6/M6,0)</f>
        <v>0.0190841082629424</v>
      </c>
      <c r="O6" s="29" t="str">
        <f aca="false">IF(F6&gt;0,"up","down")</f>
        <v>up</v>
      </c>
      <c r="P6" s="31" t="n">
        <f aca="false">M6+F6</f>
        <v>10929.3</v>
      </c>
      <c r="Q6" s="31" t="n">
        <f aca="false">P6-Summary!$C$5</f>
        <v>929.299999999999</v>
      </c>
    </row>
    <row r="7" customFormat="false" ht="15" hidden="false" customHeight="false" outlineLevel="0" collapsed="false">
      <c r="A7" s="29" t="s">
        <v>149</v>
      </c>
      <c r="B7" s="29" t="n">
        <f aca="false">COUNTIFS(Trades!$F$2:$F$1146,$A7)</f>
        <v>25</v>
      </c>
      <c r="C7" s="29" t="n">
        <f aca="false">COUNTIFS(Trades!$F$2:$F$1146,$A7,Trades!$Z$2:$Z$1146,"Win")</f>
        <v>8</v>
      </c>
      <c r="D7" s="29" t="n">
        <f aca="false">COUNTIFS(Trades!$F$2:$F$1146,$A7,Trades!$Z$2:$Z$1146,"Loss")</f>
        <v>17</v>
      </c>
      <c r="E7" s="30" t="n">
        <f aca="false">IFERROR(C7/B7,0)</f>
        <v>0.32</v>
      </c>
      <c r="F7" s="31" t="n">
        <f aca="false">SUMIFS(Trades!$X$2:$X$1146,Trades!$F$2:$F$1146,$A7)</f>
        <v>961.13</v>
      </c>
      <c r="G7" s="31" t="n">
        <f aca="false">SUMIFS(Trades!$X$2:$X$1146,Trades!$F$2:$F$1146,$A7,Trades!$X$2:$X$1146,"&gt;0")</f>
        <v>1600.46</v>
      </c>
      <c r="H7" s="31" t="n">
        <f aca="false">SUMIFS(Trades!$X$2:$X$1146,Trades!$F$2:$F$1146,$A7,Trades!$X$2:$X$1146,"&lt;0")</f>
        <v>-639.33</v>
      </c>
      <c r="I7" s="32" t="n">
        <f aca="false">IFERROR(G7/-H7,"no loss")</f>
        <v>2.50333943346941</v>
      </c>
      <c r="J7" s="31" t="n">
        <f aca="false">_xlfn.MAXIFS(Trades!$X$2:$X$1146,Trades!$F$2:$F$1146,$A7)</f>
        <v>708.84</v>
      </c>
      <c r="K7" s="31" t="n">
        <f aca="false">_xlfn.MINIFS(Trades!$X$2:$X$1146,Trades!$F$2:$F$1146,$A7)</f>
        <v>-332.1</v>
      </c>
      <c r="L7" s="33" t="n">
        <f aca="false">SUMIFS(Trades!$Y$2:$Y$1146,Trades!$F$2:$F$1146,$A7)</f>
        <v>11.3217561724423</v>
      </c>
      <c r="M7" s="31" t="n">
        <f aca="false">P6</f>
        <v>10929.3</v>
      </c>
      <c r="N7" s="30" t="n">
        <f aca="false">IFERROR(F7/M7,0)</f>
        <v>0.0879406732361634</v>
      </c>
      <c r="O7" s="29" t="str">
        <f aca="false">IF(F7&gt;0,"up","down")</f>
        <v>up</v>
      </c>
      <c r="P7" s="31" t="n">
        <f aca="false">M7+F7</f>
        <v>11890.43</v>
      </c>
      <c r="Q7" s="31" t="n">
        <f aca="false">P7-Summary!$C$5</f>
        <v>1890.43</v>
      </c>
    </row>
    <row r="8" customFormat="false" ht="15" hidden="false" customHeight="false" outlineLevel="0" collapsed="false">
      <c r="A8" s="29" t="s">
        <v>150</v>
      </c>
      <c r="B8" s="29" t="n">
        <f aca="false">COUNTIFS(Trades!$F$2:$F$1146,$A8)</f>
        <v>20</v>
      </c>
      <c r="C8" s="29" t="n">
        <f aca="false">COUNTIFS(Trades!$F$2:$F$1146,$A8,Trades!$Z$2:$Z$1146,"Win")</f>
        <v>4</v>
      </c>
      <c r="D8" s="29" t="n">
        <f aca="false">COUNTIFS(Trades!$F$2:$F$1146,$A8,Trades!$Z$2:$Z$1146,"Loss")</f>
        <v>16</v>
      </c>
      <c r="E8" s="30" t="n">
        <f aca="false">IFERROR(C8/B8,0)</f>
        <v>0.2</v>
      </c>
      <c r="F8" s="31" t="n">
        <f aca="false">SUMIFS(Trades!$X$2:$X$1146,Trades!$F$2:$F$1146,$A8)</f>
        <v>-616.01</v>
      </c>
      <c r="G8" s="31" t="n">
        <f aca="false">SUMIFS(Trades!$X$2:$X$1146,Trades!$F$2:$F$1146,$A8,Trades!$X$2:$X$1146,"&gt;0")</f>
        <v>535.06</v>
      </c>
      <c r="H8" s="31" t="n">
        <f aca="false">SUMIFS(Trades!$X$2:$X$1146,Trades!$F$2:$F$1146,$A8,Trades!$X$2:$X$1146,"&lt;0")</f>
        <v>-1151.07</v>
      </c>
      <c r="I8" s="32" t="n">
        <f aca="false">IFERROR(G8/-H8,"no loss")</f>
        <v>0.464837064644201</v>
      </c>
      <c r="J8" s="31" t="n">
        <f aca="false">_xlfn.MAXIFS(Trades!$X$2:$X$1146,Trades!$F$2:$F$1146,$A8)</f>
        <v>226.4</v>
      </c>
      <c r="K8" s="31" t="n">
        <f aca="false">_xlfn.MINIFS(Trades!$X$2:$X$1146,Trades!$F$2:$F$1146,$A8)</f>
        <v>-291.9</v>
      </c>
      <c r="L8" s="33" t="n">
        <f aca="false">SUMIFS(Trades!$Y$2:$Y$1146,Trades!$F$2:$F$1146,$A8)</f>
        <v>-0.997150486287383</v>
      </c>
      <c r="M8" s="31" t="n">
        <f aca="false">P7</f>
        <v>11890.43</v>
      </c>
      <c r="N8" s="30" t="n">
        <f aca="false">IFERROR(F8/M8,0)</f>
        <v>-0.0518072096635698</v>
      </c>
      <c r="O8" s="29" t="str">
        <f aca="false">IF(F8&gt;0,"up","down")</f>
        <v>down</v>
      </c>
      <c r="P8" s="31" t="n">
        <f aca="false">M8+F8</f>
        <v>11274.42</v>
      </c>
      <c r="Q8" s="31" t="n">
        <f aca="false">P8-Summary!$C$5</f>
        <v>1274.42</v>
      </c>
    </row>
    <row r="9" customFormat="false" ht="15" hidden="false" customHeight="false" outlineLevel="0" collapsed="false">
      <c r="A9" s="29" t="s">
        <v>151</v>
      </c>
      <c r="B9" s="29" t="n">
        <f aca="false">COUNTIFS(Trades!$F$2:$F$1146,$A9)</f>
        <v>24</v>
      </c>
      <c r="C9" s="29" t="n">
        <f aca="false">COUNTIFS(Trades!$F$2:$F$1146,$A9,Trades!$Z$2:$Z$1146,"Win")</f>
        <v>8</v>
      </c>
      <c r="D9" s="29" t="n">
        <f aca="false">COUNTIFS(Trades!$F$2:$F$1146,$A9,Trades!$Z$2:$Z$1146,"Loss")</f>
        <v>16</v>
      </c>
      <c r="E9" s="30" t="n">
        <f aca="false">IFERROR(C9/B9,0)</f>
        <v>0.333333333333333</v>
      </c>
      <c r="F9" s="31" t="n">
        <f aca="false">SUMIFS(Trades!$X$2:$X$1146,Trades!$F$2:$F$1146,$A9)</f>
        <v>1291.71</v>
      </c>
      <c r="G9" s="31" t="n">
        <f aca="false">SUMIFS(Trades!$X$2:$X$1146,Trades!$F$2:$F$1146,$A9,Trades!$X$2:$X$1146,"&gt;0")</f>
        <v>1926.6</v>
      </c>
      <c r="H9" s="31" t="n">
        <f aca="false">SUMIFS(Trades!$X$2:$X$1146,Trades!$F$2:$F$1146,$A9,Trades!$X$2:$X$1146,"&lt;0")</f>
        <v>-634.89</v>
      </c>
      <c r="I9" s="32" t="n">
        <f aca="false">IFERROR(G9/-H9,"no loss")</f>
        <v>3.03454141662335</v>
      </c>
      <c r="J9" s="31" t="n">
        <f aca="false">_xlfn.MAXIFS(Trades!$X$2:$X$1146,Trades!$F$2:$F$1146,$A9)</f>
        <v>1073</v>
      </c>
      <c r="K9" s="31" t="n">
        <f aca="false">_xlfn.MINIFS(Trades!$X$2:$X$1146,Trades!$F$2:$F$1146,$A9)</f>
        <v>-128.15</v>
      </c>
      <c r="L9" s="33" t="n">
        <f aca="false">SUMIFS(Trades!$Y$2:$Y$1146,Trades!$F$2:$F$1146,$A9)</f>
        <v>7.74868348486024</v>
      </c>
      <c r="M9" s="31" t="n">
        <f aca="false">P8</f>
        <v>11274.42</v>
      </c>
      <c r="N9" s="30" t="n">
        <f aca="false">IFERROR(F9/M9,0)</f>
        <v>0.11456997344431</v>
      </c>
      <c r="O9" s="29" t="str">
        <f aca="false">IF(F9&gt;0,"up","down")</f>
        <v>up</v>
      </c>
      <c r="P9" s="31" t="n">
        <f aca="false">M9+F9</f>
        <v>12566.13</v>
      </c>
      <c r="Q9" s="31" t="n">
        <f aca="false">P9-Summary!$C$5</f>
        <v>2566.13</v>
      </c>
    </row>
    <row r="10" customFormat="false" ht="15" hidden="false" customHeight="false" outlineLevel="0" collapsed="false">
      <c r="A10" s="29" t="s">
        <v>152</v>
      </c>
      <c r="B10" s="29" t="n">
        <f aca="false">COUNTIFS(Trades!$F$2:$F$1146,$A10)</f>
        <v>18</v>
      </c>
      <c r="C10" s="29" t="n">
        <f aca="false">COUNTIFS(Trades!$F$2:$F$1146,$A10,Trades!$Z$2:$Z$1146,"Win")</f>
        <v>6</v>
      </c>
      <c r="D10" s="29" t="n">
        <f aca="false">COUNTIFS(Trades!$F$2:$F$1146,$A10,Trades!$Z$2:$Z$1146,"Loss")</f>
        <v>12</v>
      </c>
      <c r="E10" s="30" t="n">
        <f aca="false">IFERROR(C10/B10,0)</f>
        <v>0.333333333333333</v>
      </c>
      <c r="F10" s="31" t="n">
        <f aca="false">SUMIFS(Trades!$X$2:$X$1146,Trades!$F$2:$F$1146,$A10)</f>
        <v>272.62</v>
      </c>
      <c r="G10" s="31" t="n">
        <f aca="false">SUMIFS(Trades!$X$2:$X$1146,Trades!$F$2:$F$1146,$A10,Trades!$X$2:$X$1146,"&gt;0")</f>
        <v>900.85</v>
      </c>
      <c r="H10" s="31" t="n">
        <f aca="false">SUMIFS(Trades!$X$2:$X$1146,Trades!$F$2:$F$1146,$A10,Trades!$X$2:$X$1146,"&lt;0")</f>
        <v>-628.23</v>
      </c>
      <c r="I10" s="32" t="n">
        <f aca="false">IFERROR(G10/-H10,"no loss")</f>
        <v>1.43394934976044</v>
      </c>
      <c r="J10" s="31" t="n">
        <f aca="false">_xlfn.MAXIFS(Trades!$X$2:$X$1146,Trades!$F$2:$F$1146,$A10)</f>
        <v>214.1</v>
      </c>
      <c r="K10" s="31" t="n">
        <f aca="false">_xlfn.MINIFS(Trades!$X$2:$X$1146,Trades!$F$2:$F$1146,$A10)</f>
        <v>-232.75</v>
      </c>
      <c r="L10" s="33" t="n">
        <f aca="false">SUMIFS(Trades!$Y$2:$Y$1146,Trades!$F$2:$F$1146,$A10)</f>
        <v>6.12453797250802</v>
      </c>
      <c r="M10" s="31" t="n">
        <f aca="false">P9</f>
        <v>12566.13</v>
      </c>
      <c r="N10" s="30" t="n">
        <f aca="false">IFERROR(F10/M10,0)</f>
        <v>0.0216948256941477</v>
      </c>
      <c r="O10" s="29" t="str">
        <f aca="false">IF(F10&gt;0,"up","down")</f>
        <v>up</v>
      </c>
      <c r="P10" s="31" t="n">
        <f aca="false">M10+F10</f>
        <v>12838.75</v>
      </c>
      <c r="Q10" s="31" t="n">
        <f aca="false">P10-Summary!$C$5</f>
        <v>2838.75</v>
      </c>
    </row>
    <row r="11" customFormat="false" ht="15" hidden="false" customHeight="false" outlineLevel="0" collapsed="false">
      <c r="A11" s="29" t="s">
        <v>153</v>
      </c>
      <c r="B11" s="29" t="n">
        <f aca="false">COUNTIFS(Trades!$F$2:$F$1146,$A11)</f>
        <v>22</v>
      </c>
      <c r="C11" s="29" t="n">
        <f aca="false">COUNTIFS(Trades!$F$2:$F$1146,$A11,Trades!$Z$2:$Z$1146,"Win")</f>
        <v>5</v>
      </c>
      <c r="D11" s="29" t="n">
        <f aca="false">COUNTIFS(Trades!$F$2:$F$1146,$A11,Trades!$Z$2:$Z$1146,"Loss")</f>
        <v>15</v>
      </c>
      <c r="E11" s="30" t="n">
        <f aca="false">IFERROR(C11/B11,0)</f>
        <v>0.227272727272727</v>
      </c>
      <c r="F11" s="31" t="n">
        <f aca="false">SUMIFS(Trades!$X$2:$X$1146,Trades!$F$2:$F$1146,$A11)</f>
        <v>-336.15</v>
      </c>
      <c r="G11" s="31" t="n">
        <f aca="false">SUMIFS(Trades!$X$2:$X$1146,Trades!$F$2:$F$1146,$A11,Trades!$X$2:$X$1146,"&gt;0")</f>
        <v>405.45</v>
      </c>
      <c r="H11" s="31" t="n">
        <f aca="false">SUMIFS(Trades!$X$2:$X$1146,Trades!$F$2:$F$1146,$A11,Trades!$X$2:$X$1146,"&lt;0")</f>
        <v>-741.6</v>
      </c>
      <c r="I11" s="32" t="n">
        <f aca="false">IFERROR(G11/-H11,"no loss")</f>
        <v>0.546723300970874</v>
      </c>
      <c r="J11" s="31" t="n">
        <f aca="false">_xlfn.MAXIFS(Trades!$X$2:$X$1146,Trades!$F$2:$F$1146,$A11)</f>
        <v>175.85</v>
      </c>
      <c r="K11" s="31" t="n">
        <f aca="false">_xlfn.MINIFS(Trades!$X$2:$X$1146,Trades!$F$2:$F$1146,$A11)</f>
        <v>-166.35</v>
      </c>
      <c r="L11" s="33" t="n">
        <f aca="false">SUMIFS(Trades!$Y$2:$Y$1146,Trades!$F$2:$F$1146,$A11)</f>
        <v>1.90213438109797</v>
      </c>
      <c r="M11" s="31" t="n">
        <f aca="false">P10</f>
        <v>12838.75</v>
      </c>
      <c r="N11" s="30" t="n">
        <f aca="false">IFERROR(F11/M11,0)</f>
        <v>-0.0261824554571123</v>
      </c>
      <c r="O11" s="29" t="str">
        <f aca="false">IF(F11&gt;0,"up","down")</f>
        <v>down</v>
      </c>
      <c r="P11" s="31" t="n">
        <f aca="false">M11+F11</f>
        <v>12502.6</v>
      </c>
      <c r="Q11" s="31" t="n">
        <f aca="false">P11-Summary!$C$5</f>
        <v>2502.6</v>
      </c>
    </row>
    <row r="12" customFormat="false" ht="15" hidden="false" customHeight="false" outlineLevel="0" collapsed="false">
      <c r="A12" s="29" t="s">
        <v>154</v>
      </c>
      <c r="B12" s="29" t="n">
        <f aca="false">COUNTIFS(Trades!$F$2:$F$1146,$A12)</f>
        <v>17</v>
      </c>
      <c r="C12" s="29" t="n">
        <f aca="false">COUNTIFS(Trades!$F$2:$F$1146,$A12,Trades!$Z$2:$Z$1146,"Win")</f>
        <v>8</v>
      </c>
      <c r="D12" s="29" t="n">
        <f aca="false">COUNTIFS(Trades!$F$2:$F$1146,$A12,Trades!$Z$2:$Z$1146,"Loss")</f>
        <v>9</v>
      </c>
      <c r="E12" s="30" t="n">
        <f aca="false">IFERROR(C12/B12,0)</f>
        <v>0.470588235294118</v>
      </c>
      <c r="F12" s="31" t="n">
        <f aca="false">SUMIFS(Trades!$X$2:$X$1146,Trades!$F$2:$F$1146,$A12)</f>
        <v>489.1</v>
      </c>
      <c r="G12" s="31" t="n">
        <f aca="false">SUMIFS(Trades!$X$2:$X$1146,Trades!$F$2:$F$1146,$A12,Trades!$X$2:$X$1146,"&gt;0")</f>
        <v>858.25</v>
      </c>
      <c r="H12" s="31" t="n">
        <f aca="false">SUMIFS(Trades!$X$2:$X$1146,Trades!$F$2:$F$1146,$A12,Trades!$X$2:$X$1146,"&lt;0")</f>
        <v>-369.15</v>
      </c>
      <c r="I12" s="32" t="n">
        <f aca="false">IFERROR(G12/-H12,"no loss")</f>
        <v>2.32493566300962</v>
      </c>
      <c r="J12" s="31" t="n">
        <f aca="false">_xlfn.MAXIFS(Trades!$X$2:$X$1146,Trades!$F$2:$F$1146,$A12)</f>
        <v>215.8</v>
      </c>
      <c r="K12" s="31" t="n">
        <f aca="false">_xlfn.MINIFS(Trades!$X$2:$X$1146,Trades!$F$2:$F$1146,$A12)</f>
        <v>-88.8</v>
      </c>
      <c r="L12" s="33" t="n">
        <f aca="false">SUMIFS(Trades!$Y$2:$Y$1146,Trades!$F$2:$F$1146,$A12)</f>
        <v>11.837877204981</v>
      </c>
      <c r="M12" s="31" t="n">
        <f aca="false">P11</f>
        <v>12502.6</v>
      </c>
      <c r="N12" s="30" t="n">
        <f aca="false">IFERROR(F12/M12,0)</f>
        <v>0.0391198630684818</v>
      </c>
      <c r="O12" s="29" t="str">
        <f aca="false">IF(F12&gt;0,"up","down")</f>
        <v>up</v>
      </c>
      <c r="P12" s="31" t="n">
        <f aca="false">M12+F12</f>
        <v>12991.7</v>
      </c>
      <c r="Q12" s="31" t="n">
        <f aca="false">P12-Summary!$C$5</f>
        <v>2991.7</v>
      </c>
    </row>
    <row r="13" customFormat="false" ht="15" hidden="false" customHeight="false" outlineLevel="0" collapsed="false">
      <c r="A13" s="29" t="s">
        <v>155</v>
      </c>
      <c r="B13" s="29" t="n">
        <f aca="false">COUNTIFS(Trades!$F$2:$F$1146,$A13)</f>
        <v>22</v>
      </c>
      <c r="C13" s="29" t="n">
        <f aca="false">COUNTIFS(Trades!$F$2:$F$1146,$A13,Trades!$Z$2:$Z$1146,"Win")</f>
        <v>5</v>
      </c>
      <c r="D13" s="29" t="n">
        <f aca="false">COUNTIFS(Trades!$F$2:$F$1146,$A13,Trades!$Z$2:$Z$1146,"Loss")</f>
        <v>16</v>
      </c>
      <c r="E13" s="30" t="n">
        <f aca="false">IFERROR(C13/B13,0)</f>
        <v>0.227272727272727</v>
      </c>
      <c r="F13" s="31" t="n">
        <f aca="false">SUMIFS(Trades!$X$2:$X$1146,Trades!$F$2:$F$1146,$A13)</f>
        <v>238.8</v>
      </c>
      <c r="G13" s="31" t="n">
        <f aca="false">SUMIFS(Trades!$X$2:$X$1146,Trades!$F$2:$F$1146,$A13,Trades!$X$2:$X$1146,"&gt;0")</f>
        <v>686.8</v>
      </c>
      <c r="H13" s="31" t="n">
        <f aca="false">SUMIFS(Trades!$X$2:$X$1146,Trades!$F$2:$F$1146,$A13,Trades!$X$2:$X$1146,"&lt;0")</f>
        <v>-448</v>
      </c>
      <c r="I13" s="32" t="n">
        <f aca="false">IFERROR(G13/-H13,"no loss")</f>
        <v>1.53303571428571</v>
      </c>
      <c r="J13" s="31" t="n">
        <f aca="false">_xlfn.MAXIFS(Trades!$X$2:$X$1146,Trades!$F$2:$F$1146,$A13)</f>
        <v>275.25</v>
      </c>
      <c r="K13" s="31" t="n">
        <f aca="false">_xlfn.MINIFS(Trades!$X$2:$X$1146,Trades!$F$2:$F$1146,$A13)</f>
        <v>-88.7</v>
      </c>
      <c r="L13" s="33" t="n">
        <f aca="false">SUMIFS(Trades!$Y$2:$Y$1146,Trades!$F$2:$F$1146,$A13)</f>
        <v>1.49071469420231</v>
      </c>
      <c r="M13" s="31" t="n">
        <f aca="false">P12</f>
        <v>12991.7</v>
      </c>
      <c r="N13" s="30" t="n">
        <f aca="false">IFERROR(F13/M13,0)</f>
        <v>0.018380966309259</v>
      </c>
      <c r="O13" s="29" t="str">
        <f aca="false">IF(F13&gt;0,"up","down")</f>
        <v>up</v>
      </c>
      <c r="P13" s="31" t="n">
        <f aca="false">M13+F13</f>
        <v>13230.5</v>
      </c>
      <c r="Q13" s="31" t="n">
        <f aca="false">P13-Summary!$C$5</f>
        <v>3230.5</v>
      </c>
    </row>
    <row r="14" customFormat="false" ht="15" hidden="false" customHeight="false" outlineLevel="0" collapsed="false">
      <c r="A14" s="29" t="s">
        <v>156</v>
      </c>
      <c r="B14" s="29" t="n">
        <f aca="false">COUNTIFS(Trades!$F$2:$F$1146,$A14)</f>
        <v>19</v>
      </c>
      <c r="C14" s="29" t="n">
        <f aca="false">COUNTIFS(Trades!$F$2:$F$1146,$A14,Trades!$Z$2:$Z$1146,"Win")</f>
        <v>4</v>
      </c>
      <c r="D14" s="29" t="n">
        <f aca="false">COUNTIFS(Trades!$F$2:$F$1146,$A14,Trades!$Z$2:$Z$1146,"Loss")</f>
        <v>15</v>
      </c>
      <c r="E14" s="30" t="n">
        <f aca="false">IFERROR(C14/B14,0)</f>
        <v>0.210526315789474</v>
      </c>
      <c r="F14" s="31" t="n">
        <f aca="false">SUMIFS(Trades!$X$2:$X$1146,Trades!$F$2:$F$1146,$A14)</f>
        <v>-307.3</v>
      </c>
      <c r="G14" s="31" t="n">
        <f aca="false">SUMIFS(Trades!$X$2:$X$1146,Trades!$F$2:$F$1146,$A14,Trades!$X$2:$X$1146,"&gt;0")</f>
        <v>238.61</v>
      </c>
      <c r="H14" s="31" t="n">
        <f aca="false">SUMIFS(Trades!$X$2:$X$1146,Trades!$F$2:$F$1146,$A14,Trades!$X$2:$X$1146,"&lt;0")</f>
        <v>-545.91</v>
      </c>
      <c r="I14" s="32" t="n">
        <f aca="false">IFERROR(G14/-H14,"no loss")</f>
        <v>0.437086699272774</v>
      </c>
      <c r="J14" s="31" t="n">
        <f aca="false">_xlfn.MAXIFS(Trades!$X$2:$X$1146,Trades!$F$2:$F$1146,$A14)</f>
        <v>83.3</v>
      </c>
      <c r="K14" s="31" t="n">
        <f aca="false">_xlfn.MINIFS(Trades!$X$2:$X$1146,Trades!$F$2:$F$1146,$A14)</f>
        <v>-224.5</v>
      </c>
      <c r="L14" s="33" t="n">
        <f aca="false">SUMIFS(Trades!$Y$2:$Y$1146,Trades!$F$2:$F$1146,$A14)</f>
        <v>-1.90155481378982</v>
      </c>
      <c r="M14" s="31" t="n">
        <f aca="false">P13</f>
        <v>13230.5</v>
      </c>
      <c r="N14" s="30" t="n">
        <f aca="false">IFERROR(F14/M14,0)</f>
        <v>-0.0232266354257209</v>
      </c>
      <c r="O14" s="29" t="str">
        <f aca="false">IF(F14&gt;0,"up","down")</f>
        <v>down</v>
      </c>
      <c r="P14" s="31" t="n">
        <f aca="false">M14+F14</f>
        <v>12923.2</v>
      </c>
      <c r="Q14" s="31" t="n">
        <f aca="false">P14-Summary!$C$5</f>
        <v>2923.2</v>
      </c>
    </row>
    <row r="15" customFormat="false" ht="15" hidden="false" customHeight="false" outlineLevel="0" collapsed="false">
      <c r="A15" s="29" t="s">
        <v>157</v>
      </c>
      <c r="B15" s="29" t="n">
        <f aca="false">COUNTIFS(Trades!$F$2:$F$1146,$A15)</f>
        <v>25</v>
      </c>
      <c r="C15" s="29" t="n">
        <f aca="false">COUNTIFS(Trades!$F$2:$F$1146,$A15,Trades!$Z$2:$Z$1146,"Win")</f>
        <v>5</v>
      </c>
      <c r="D15" s="29" t="n">
        <f aca="false">COUNTIFS(Trades!$F$2:$F$1146,$A15,Trades!$Z$2:$Z$1146,"Loss")</f>
        <v>20</v>
      </c>
      <c r="E15" s="30" t="n">
        <f aca="false">IFERROR(C15/B15,0)</f>
        <v>0.2</v>
      </c>
      <c r="F15" s="31" t="n">
        <f aca="false">SUMIFS(Trades!$X$2:$X$1146,Trades!$F$2:$F$1146,$A15)</f>
        <v>-143.72</v>
      </c>
      <c r="G15" s="31" t="n">
        <f aca="false">SUMIFS(Trades!$X$2:$X$1146,Trades!$F$2:$F$1146,$A15,Trades!$X$2:$X$1146,"&gt;0")</f>
        <v>459.92</v>
      </c>
      <c r="H15" s="31" t="n">
        <f aca="false">SUMIFS(Trades!$X$2:$X$1146,Trades!$F$2:$F$1146,$A15,Trades!$X$2:$X$1146,"&lt;0")</f>
        <v>-603.64</v>
      </c>
      <c r="I15" s="32" t="n">
        <f aca="false">IFERROR(G15/-H15,"no loss")</f>
        <v>0.761911072824863</v>
      </c>
      <c r="J15" s="31" t="n">
        <f aca="false">_xlfn.MAXIFS(Trades!$X$2:$X$1146,Trades!$F$2:$F$1146,$A15)</f>
        <v>141.48</v>
      </c>
      <c r="K15" s="31" t="n">
        <f aca="false">_xlfn.MINIFS(Trades!$X$2:$X$1146,Trades!$F$2:$F$1146,$A15)</f>
        <v>-203.04</v>
      </c>
      <c r="L15" s="33" t="n">
        <f aca="false">SUMIFS(Trades!$Y$2:$Y$1146,Trades!$F$2:$F$1146,$A15)</f>
        <v>-1.93039868554673</v>
      </c>
      <c r="M15" s="31" t="n">
        <f aca="false">P14</f>
        <v>12923.2</v>
      </c>
      <c r="N15" s="30" t="n">
        <f aca="false">IFERROR(F15/M15,0)</f>
        <v>-0.0111210845610994</v>
      </c>
      <c r="O15" s="29" t="str">
        <f aca="false">IF(F15&gt;0,"up","down")</f>
        <v>down</v>
      </c>
      <c r="P15" s="31" t="n">
        <f aca="false">M15+F15</f>
        <v>12779.48</v>
      </c>
      <c r="Q15" s="31" t="n">
        <f aca="false">P15-Summary!$C$5</f>
        <v>2779.48</v>
      </c>
    </row>
    <row r="16" customFormat="false" ht="15" hidden="false" customHeight="false" outlineLevel="0" collapsed="false">
      <c r="A16" s="29" t="s">
        <v>158</v>
      </c>
      <c r="B16" s="29" t="n">
        <f aca="false">COUNTIFS(Trades!$F$2:$F$1146,$A16)</f>
        <v>21</v>
      </c>
      <c r="C16" s="29" t="n">
        <f aca="false">COUNTIFS(Trades!$F$2:$F$1146,$A16,Trades!$Z$2:$Z$1146,"Win")</f>
        <v>13</v>
      </c>
      <c r="D16" s="29" t="n">
        <f aca="false">COUNTIFS(Trades!$F$2:$F$1146,$A16,Trades!$Z$2:$Z$1146,"Loss")</f>
        <v>8</v>
      </c>
      <c r="E16" s="30" t="n">
        <f aca="false">IFERROR(C16/B16,0)</f>
        <v>0.619047619047619</v>
      </c>
      <c r="F16" s="31" t="n">
        <f aca="false">SUMIFS(Trades!$X$2:$X$1146,Trades!$F$2:$F$1146,$A16)</f>
        <v>991.48</v>
      </c>
      <c r="G16" s="31" t="n">
        <f aca="false">SUMIFS(Trades!$X$2:$X$1146,Trades!$F$2:$F$1146,$A16,Trades!$X$2:$X$1146,"&gt;0")</f>
        <v>1129.6</v>
      </c>
      <c r="H16" s="31" t="n">
        <f aca="false">SUMIFS(Trades!$X$2:$X$1146,Trades!$F$2:$F$1146,$A16,Trades!$X$2:$X$1146,"&lt;0")</f>
        <v>-138.12</v>
      </c>
      <c r="I16" s="32" t="n">
        <f aca="false">IFERROR(G16/-H16,"no loss")</f>
        <v>8.1783955980307</v>
      </c>
      <c r="J16" s="31" t="n">
        <f aca="false">_xlfn.MAXIFS(Trades!$X$2:$X$1146,Trades!$F$2:$F$1146,$A16)</f>
        <v>164</v>
      </c>
      <c r="K16" s="31" t="n">
        <f aca="false">_xlfn.MINIFS(Trades!$X$2:$X$1146,Trades!$F$2:$F$1146,$A16)</f>
        <v>-35.92</v>
      </c>
      <c r="L16" s="33" t="n">
        <f aca="false">SUMIFS(Trades!$Y$2:$Y$1146,Trades!$F$2:$F$1146,$A16)</f>
        <v>26.5570367471362</v>
      </c>
      <c r="M16" s="31" t="n">
        <f aca="false">P15</f>
        <v>12779.48</v>
      </c>
      <c r="N16" s="30" t="n">
        <f aca="false">IFERROR(F16/M16,0)</f>
        <v>0.0775837514515458</v>
      </c>
      <c r="O16" s="29" t="str">
        <f aca="false">IF(F16&gt;0,"up","down")</f>
        <v>up</v>
      </c>
      <c r="P16" s="31" t="n">
        <f aca="false">M16+F16</f>
        <v>13770.96</v>
      </c>
      <c r="Q16" s="31" t="n">
        <f aca="false">P16-Summary!$C$5</f>
        <v>3770.96</v>
      </c>
    </row>
    <row r="17" customFormat="false" ht="15" hidden="false" customHeight="false" outlineLevel="0" collapsed="false">
      <c r="A17" s="29" t="s">
        <v>159</v>
      </c>
      <c r="B17" s="29" t="n">
        <f aca="false">COUNTIFS(Trades!$F$2:$F$1146,$A17)</f>
        <v>22</v>
      </c>
      <c r="C17" s="29" t="n">
        <f aca="false">COUNTIFS(Trades!$F$2:$F$1146,$A17,Trades!$Z$2:$Z$1146,"Win")</f>
        <v>5</v>
      </c>
      <c r="D17" s="29" t="n">
        <f aca="false">COUNTIFS(Trades!$F$2:$F$1146,$A17,Trades!$Z$2:$Z$1146,"Loss")</f>
        <v>17</v>
      </c>
      <c r="E17" s="30" t="n">
        <f aca="false">IFERROR(C17/B17,0)</f>
        <v>0.227272727272727</v>
      </c>
      <c r="F17" s="31" t="n">
        <f aca="false">SUMIFS(Trades!$X$2:$X$1146,Trades!$F$2:$F$1146,$A17)</f>
        <v>-112.88</v>
      </c>
      <c r="G17" s="31" t="n">
        <f aca="false">SUMIFS(Trades!$X$2:$X$1146,Trades!$F$2:$F$1146,$A17,Trades!$X$2:$X$1146,"&gt;0")</f>
        <v>258.56</v>
      </c>
      <c r="H17" s="31" t="n">
        <f aca="false">SUMIFS(Trades!$X$2:$X$1146,Trades!$F$2:$F$1146,$A17,Trades!$X$2:$X$1146,"&lt;0")</f>
        <v>-371.44</v>
      </c>
      <c r="I17" s="32" t="n">
        <f aca="false">IFERROR(G17/-H17,"no loss")</f>
        <v>0.69610165841051</v>
      </c>
      <c r="J17" s="31" t="n">
        <f aca="false">_xlfn.MAXIFS(Trades!$X$2:$X$1146,Trades!$F$2:$F$1146,$A17)</f>
        <v>73.76</v>
      </c>
      <c r="K17" s="31" t="n">
        <f aca="false">_xlfn.MINIFS(Trades!$X$2:$X$1146,Trades!$F$2:$F$1146,$A17)</f>
        <v>-57.56</v>
      </c>
      <c r="L17" s="33" t="n">
        <f aca="false">SUMIFS(Trades!$Y$2:$Y$1146,Trades!$F$2:$F$1146,$A17)</f>
        <v>1.4086898225868</v>
      </c>
      <c r="M17" s="31" t="n">
        <f aca="false">P16</f>
        <v>13770.96</v>
      </c>
      <c r="N17" s="30" t="n">
        <f aca="false">IFERROR(F17/M17,0)</f>
        <v>-0.00819695939861854</v>
      </c>
      <c r="O17" s="29" t="str">
        <f aca="false">IF(F17&gt;0,"up","down")</f>
        <v>down</v>
      </c>
      <c r="P17" s="31" t="n">
        <f aca="false">M17+F17</f>
        <v>13658.08</v>
      </c>
      <c r="Q17" s="31" t="n">
        <f aca="false">P17-Summary!$C$5</f>
        <v>3658.08</v>
      </c>
    </row>
    <row r="18" customFormat="false" ht="15" hidden="false" customHeight="false" outlineLevel="0" collapsed="false">
      <c r="A18" s="29" t="s">
        <v>160</v>
      </c>
      <c r="B18" s="29" t="n">
        <f aca="false">COUNTIFS(Trades!$F$2:$F$1146,$A18)</f>
        <v>26</v>
      </c>
      <c r="C18" s="29" t="n">
        <f aca="false">COUNTIFS(Trades!$F$2:$F$1146,$A18,Trades!$Z$2:$Z$1146,"Win")</f>
        <v>5</v>
      </c>
      <c r="D18" s="29" t="n">
        <f aca="false">COUNTIFS(Trades!$F$2:$F$1146,$A18,Trades!$Z$2:$Z$1146,"Loss")</f>
        <v>21</v>
      </c>
      <c r="E18" s="30" t="n">
        <f aca="false">IFERROR(C18/B18,0)</f>
        <v>0.192307692307692</v>
      </c>
      <c r="F18" s="31" t="n">
        <f aca="false">SUMIFS(Trades!$X$2:$X$1146,Trades!$F$2:$F$1146,$A18)</f>
        <v>-255.88</v>
      </c>
      <c r="G18" s="31" t="n">
        <f aca="false">SUMIFS(Trades!$X$2:$X$1146,Trades!$F$2:$F$1146,$A18,Trades!$X$2:$X$1146,"&gt;0")</f>
        <v>402.4</v>
      </c>
      <c r="H18" s="31" t="n">
        <f aca="false">SUMIFS(Trades!$X$2:$X$1146,Trades!$F$2:$F$1146,$A18,Trades!$X$2:$X$1146,"&lt;0")</f>
        <v>-658.28</v>
      </c>
      <c r="I18" s="32" t="n">
        <f aca="false">IFERROR(G18/-H18,"no loss")</f>
        <v>0.611290028559276</v>
      </c>
      <c r="J18" s="31" t="n">
        <f aca="false">_xlfn.MAXIFS(Trades!$X$2:$X$1146,Trades!$F$2:$F$1146,$A18)</f>
        <v>182.8</v>
      </c>
      <c r="K18" s="31" t="n">
        <f aca="false">_xlfn.MINIFS(Trades!$X$2:$X$1146,Trades!$F$2:$F$1146,$A18)</f>
        <v>-116</v>
      </c>
      <c r="L18" s="33" t="n">
        <f aca="false">SUMIFS(Trades!$Y$2:$Y$1146,Trades!$F$2:$F$1146,$A18)</f>
        <v>-3.19891454038956</v>
      </c>
      <c r="M18" s="31" t="n">
        <f aca="false">P17</f>
        <v>13658.08</v>
      </c>
      <c r="N18" s="30" t="n">
        <f aca="false">IFERROR(F18/M18,0)</f>
        <v>-0.0187346977027518</v>
      </c>
      <c r="O18" s="29" t="str">
        <f aca="false">IF(F18&gt;0,"up","down")</f>
        <v>down</v>
      </c>
      <c r="P18" s="31" t="n">
        <f aca="false">M18+F18</f>
        <v>13402.2</v>
      </c>
      <c r="Q18" s="31" t="n">
        <f aca="false">P18-Summary!$C$5</f>
        <v>3402.2</v>
      </c>
    </row>
    <row r="19" customFormat="false" ht="15" hidden="false" customHeight="false" outlineLevel="0" collapsed="false">
      <c r="A19" s="29" t="s">
        <v>161</v>
      </c>
      <c r="B19" s="29" t="n">
        <f aca="false">COUNTIFS(Trades!$F$2:$F$1146,$A19)</f>
        <v>21</v>
      </c>
      <c r="C19" s="29" t="n">
        <f aca="false">COUNTIFS(Trades!$F$2:$F$1146,$A19,Trades!$Z$2:$Z$1146,"Win")</f>
        <v>3</v>
      </c>
      <c r="D19" s="29" t="n">
        <f aca="false">COUNTIFS(Trades!$F$2:$F$1146,$A19,Trades!$Z$2:$Z$1146,"Loss")</f>
        <v>18</v>
      </c>
      <c r="E19" s="30" t="n">
        <f aca="false">IFERROR(C19/B19,0)</f>
        <v>0.142857142857143</v>
      </c>
      <c r="F19" s="31" t="n">
        <f aca="false">SUMIFS(Trades!$X$2:$X$1146,Trades!$F$2:$F$1146,$A19)</f>
        <v>-105.16</v>
      </c>
      <c r="G19" s="31" t="n">
        <f aca="false">SUMIFS(Trades!$X$2:$X$1146,Trades!$F$2:$F$1146,$A19,Trades!$X$2:$X$1146,"&gt;0")</f>
        <v>317.04</v>
      </c>
      <c r="H19" s="31" t="n">
        <f aca="false">SUMIFS(Trades!$X$2:$X$1146,Trades!$F$2:$F$1146,$A19,Trades!$X$2:$X$1146,"&lt;0")</f>
        <v>-422.2</v>
      </c>
      <c r="I19" s="32" t="n">
        <f aca="false">IFERROR(G19/-H19,"no loss")</f>
        <v>0.750923732828044</v>
      </c>
      <c r="J19" s="31" t="n">
        <f aca="false">_xlfn.MAXIFS(Trades!$X$2:$X$1146,Trades!$F$2:$F$1146,$A19)</f>
        <v>151.36</v>
      </c>
      <c r="K19" s="31" t="n">
        <f aca="false">_xlfn.MINIFS(Trades!$X$2:$X$1146,Trades!$F$2:$F$1146,$A19)</f>
        <v>-70.48</v>
      </c>
      <c r="L19" s="33" t="n">
        <f aca="false">SUMIFS(Trades!$Y$2:$Y$1146,Trades!$F$2:$F$1146,$A19)</f>
        <v>-5.18105075972401</v>
      </c>
      <c r="M19" s="31" t="n">
        <f aca="false">P18</f>
        <v>13402.2</v>
      </c>
      <c r="N19" s="30" t="n">
        <f aca="false">IFERROR(F19/M19,0)</f>
        <v>-0.0078464729671248</v>
      </c>
      <c r="O19" s="29" t="str">
        <f aca="false">IF(F19&gt;0,"up","down")</f>
        <v>down</v>
      </c>
      <c r="P19" s="31" t="n">
        <f aca="false">M19+F19</f>
        <v>13297.04</v>
      </c>
      <c r="Q19" s="31" t="n">
        <f aca="false">P19-Summary!$C$5</f>
        <v>3297.04</v>
      </c>
    </row>
    <row r="20" customFormat="false" ht="15" hidden="false" customHeight="false" outlineLevel="0" collapsed="false">
      <c r="A20" s="29" t="s">
        <v>162</v>
      </c>
      <c r="B20" s="29" t="n">
        <f aca="false">COUNTIFS(Trades!$F$2:$F$1146,$A20)</f>
        <v>21</v>
      </c>
      <c r="C20" s="29" t="n">
        <f aca="false">COUNTIFS(Trades!$F$2:$F$1146,$A20,Trades!$Z$2:$Z$1146,"Win")</f>
        <v>5</v>
      </c>
      <c r="D20" s="29" t="n">
        <f aca="false">COUNTIFS(Trades!$F$2:$F$1146,$A20,Trades!$Z$2:$Z$1146,"Loss")</f>
        <v>16</v>
      </c>
      <c r="E20" s="30" t="n">
        <f aca="false">IFERROR(C20/B20,0)</f>
        <v>0.238095238095238</v>
      </c>
      <c r="F20" s="31" t="n">
        <f aca="false">SUMIFS(Trades!$X$2:$X$1146,Trades!$F$2:$F$1146,$A20)</f>
        <v>295.24</v>
      </c>
      <c r="G20" s="31" t="n">
        <f aca="false">SUMIFS(Trades!$X$2:$X$1146,Trades!$F$2:$F$1146,$A20,Trades!$X$2:$X$1146,"&gt;0")</f>
        <v>783.6</v>
      </c>
      <c r="H20" s="31" t="n">
        <f aca="false">SUMIFS(Trades!$X$2:$X$1146,Trades!$F$2:$F$1146,$A20,Trades!$X$2:$X$1146,"&lt;0")</f>
        <v>-488.36</v>
      </c>
      <c r="I20" s="32" t="n">
        <f aca="false">IFERROR(G20/-H20,"no loss")</f>
        <v>1.60455401752805</v>
      </c>
      <c r="J20" s="31" t="n">
        <f aca="false">_xlfn.MAXIFS(Trades!$X$2:$X$1146,Trades!$F$2:$F$1146,$A20)</f>
        <v>185.4</v>
      </c>
      <c r="K20" s="31" t="n">
        <f aca="false">_xlfn.MINIFS(Trades!$X$2:$X$1146,Trades!$F$2:$F$1146,$A20)</f>
        <v>-245.48</v>
      </c>
      <c r="L20" s="33" t="n">
        <f aca="false">SUMIFS(Trades!$Y$2:$Y$1146,Trades!$F$2:$F$1146,$A20)</f>
        <v>3.7457449911166</v>
      </c>
      <c r="M20" s="31" t="n">
        <f aca="false">P19</f>
        <v>13297.04</v>
      </c>
      <c r="N20" s="30" t="n">
        <f aca="false">IFERROR(F20/M20,0)</f>
        <v>0.0222034377575761</v>
      </c>
      <c r="O20" s="29" t="str">
        <f aca="false">IF(F20&gt;0,"up","down")</f>
        <v>up</v>
      </c>
      <c r="P20" s="31" t="n">
        <f aca="false">M20+F20</f>
        <v>13592.28</v>
      </c>
      <c r="Q20" s="31" t="n">
        <f aca="false">P20-Summary!$C$5</f>
        <v>3592.28</v>
      </c>
    </row>
    <row r="21" customFormat="false" ht="15" hidden="false" customHeight="false" outlineLevel="0" collapsed="false">
      <c r="A21" s="29" t="s">
        <v>163</v>
      </c>
      <c r="B21" s="29" t="n">
        <f aca="false">COUNTIFS(Trades!$F$2:$F$1146,$A21)</f>
        <v>22</v>
      </c>
      <c r="C21" s="29" t="n">
        <f aca="false">COUNTIFS(Trades!$F$2:$F$1146,$A21,Trades!$Z$2:$Z$1146,"Win")</f>
        <v>9</v>
      </c>
      <c r="D21" s="29" t="n">
        <f aca="false">COUNTIFS(Trades!$F$2:$F$1146,$A21,Trades!$Z$2:$Z$1146,"Loss")</f>
        <v>13</v>
      </c>
      <c r="E21" s="30" t="n">
        <f aca="false">IFERROR(C21/B21,0)</f>
        <v>0.409090909090909</v>
      </c>
      <c r="F21" s="31" t="n">
        <f aca="false">SUMIFS(Trades!$X$2:$X$1146,Trades!$F$2:$F$1146,$A21)</f>
        <v>537.76</v>
      </c>
      <c r="G21" s="31" t="n">
        <f aca="false">SUMIFS(Trades!$X$2:$X$1146,Trades!$F$2:$F$1146,$A21,Trades!$X$2:$X$1146,"&gt;0")</f>
        <v>783</v>
      </c>
      <c r="H21" s="31" t="n">
        <f aca="false">SUMIFS(Trades!$X$2:$X$1146,Trades!$F$2:$F$1146,$A21,Trades!$X$2:$X$1146,"&lt;0")</f>
        <v>-245.24</v>
      </c>
      <c r="I21" s="32" t="n">
        <f aca="false">IFERROR(G21/-H21,"no loss")</f>
        <v>3.19279073560594</v>
      </c>
      <c r="J21" s="31" t="n">
        <f aca="false">_xlfn.MAXIFS(Trades!$X$2:$X$1146,Trades!$F$2:$F$1146,$A21)</f>
        <v>176.04</v>
      </c>
      <c r="K21" s="31" t="n">
        <f aca="false">_xlfn.MINIFS(Trades!$X$2:$X$1146,Trades!$F$2:$F$1146,$A21)</f>
        <v>-59.8</v>
      </c>
      <c r="L21" s="33" t="n">
        <f aca="false">SUMIFS(Trades!$Y$2:$Y$1146,Trades!$F$2:$F$1146,$A21)</f>
        <v>14.2128138553463</v>
      </c>
      <c r="M21" s="31" t="n">
        <f aca="false">P20</f>
        <v>13592.28</v>
      </c>
      <c r="N21" s="30" t="n">
        <f aca="false">IFERROR(F21/M21,0)</f>
        <v>0.0395636346514345</v>
      </c>
      <c r="O21" s="29" t="str">
        <f aca="false">IF(F21&gt;0,"up","down")</f>
        <v>up</v>
      </c>
      <c r="P21" s="31" t="n">
        <f aca="false">M21+F21</f>
        <v>14130.04</v>
      </c>
      <c r="Q21" s="31" t="n">
        <f aca="false">P21-Summary!$C$5</f>
        <v>4130.04</v>
      </c>
    </row>
    <row r="22" customFormat="false" ht="15" hidden="false" customHeight="false" outlineLevel="0" collapsed="false">
      <c r="A22" s="29" t="s">
        <v>164</v>
      </c>
      <c r="B22" s="29" t="n">
        <f aca="false">COUNTIFS(Trades!$F$2:$F$1146,$A22)</f>
        <v>19</v>
      </c>
      <c r="C22" s="29" t="n">
        <f aca="false">COUNTIFS(Trades!$F$2:$F$1146,$A22,Trades!$Z$2:$Z$1146,"Win")</f>
        <v>6</v>
      </c>
      <c r="D22" s="29" t="n">
        <f aca="false">COUNTIFS(Trades!$F$2:$F$1146,$A22,Trades!$Z$2:$Z$1146,"Loss")</f>
        <v>13</v>
      </c>
      <c r="E22" s="30" t="n">
        <f aca="false">IFERROR(C22/B22,0)</f>
        <v>0.315789473684211</v>
      </c>
      <c r="F22" s="31" t="n">
        <f aca="false">SUMIFS(Trades!$X$2:$X$1146,Trades!$F$2:$F$1146,$A22)</f>
        <v>-8.64</v>
      </c>
      <c r="G22" s="31" t="n">
        <f aca="false">SUMIFS(Trades!$X$2:$X$1146,Trades!$F$2:$F$1146,$A22,Trades!$X$2:$X$1146,"&gt;0")</f>
        <v>268.52</v>
      </c>
      <c r="H22" s="31" t="n">
        <f aca="false">SUMIFS(Trades!$X$2:$X$1146,Trades!$F$2:$F$1146,$A22,Trades!$X$2:$X$1146,"&lt;0")</f>
        <v>-277.16</v>
      </c>
      <c r="I22" s="32" t="n">
        <f aca="false">IFERROR(G22/-H22,"no loss")</f>
        <v>0.968826670515226</v>
      </c>
      <c r="J22" s="31" t="n">
        <f aca="false">_xlfn.MAXIFS(Trades!$X$2:$X$1146,Trades!$F$2:$F$1146,$A22)</f>
        <v>133.2</v>
      </c>
      <c r="K22" s="31" t="n">
        <f aca="false">_xlfn.MINIFS(Trades!$X$2:$X$1146,Trades!$F$2:$F$1146,$A22)</f>
        <v>-87.32</v>
      </c>
      <c r="L22" s="33" t="n">
        <f aca="false">SUMIFS(Trades!$Y$2:$Y$1146,Trades!$F$2:$F$1146,$A22)</f>
        <v>7.34084598676577</v>
      </c>
      <c r="M22" s="31" t="n">
        <f aca="false">P21</f>
        <v>14130.04</v>
      </c>
      <c r="N22" s="30" t="n">
        <f aca="false">IFERROR(F22/M22,0)</f>
        <v>-0.000611463237188289</v>
      </c>
      <c r="O22" s="29" t="str">
        <f aca="false">IF(F22&gt;0,"up","down")</f>
        <v>down</v>
      </c>
      <c r="P22" s="31" t="n">
        <f aca="false">M22+F22</f>
        <v>14121.4</v>
      </c>
      <c r="Q22" s="31" t="n">
        <f aca="false">P22-Summary!$C$5</f>
        <v>4121.4</v>
      </c>
    </row>
    <row r="23" customFormat="false" ht="15" hidden="false" customHeight="false" outlineLevel="0" collapsed="false">
      <c r="A23" s="29" t="s">
        <v>165</v>
      </c>
      <c r="B23" s="29" t="n">
        <f aca="false">COUNTIFS(Trades!$F$2:$F$1146,$A23)</f>
        <v>22</v>
      </c>
      <c r="C23" s="29" t="n">
        <f aca="false">COUNTIFS(Trades!$F$2:$F$1146,$A23,Trades!$Z$2:$Z$1146,"Win")</f>
        <v>7</v>
      </c>
      <c r="D23" s="29" t="n">
        <f aca="false">COUNTIFS(Trades!$F$2:$F$1146,$A23,Trades!$Z$2:$Z$1146,"Loss")</f>
        <v>15</v>
      </c>
      <c r="E23" s="30" t="n">
        <f aca="false">IFERROR(C23/B23,0)</f>
        <v>0.318181818181818</v>
      </c>
      <c r="F23" s="31" t="n">
        <f aca="false">SUMIFS(Trades!$X$2:$X$1146,Trades!$F$2:$F$1146,$A23)</f>
        <v>544.76</v>
      </c>
      <c r="G23" s="31" t="n">
        <f aca="false">SUMIFS(Trades!$X$2:$X$1146,Trades!$F$2:$F$1146,$A23,Trades!$X$2:$X$1146,"&gt;0")</f>
        <v>785.36</v>
      </c>
      <c r="H23" s="31" t="n">
        <f aca="false">SUMIFS(Trades!$X$2:$X$1146,Trades!$F$2:$F$1146,$A23,Trades!$X$2:$X$1146,"&lt;0")</f>
        <v>-240.6</v>
      </c>
      <c r="I23" s="32" t="n">
        <f aca="false">IFERROR(G23/-H23,"no loss")</f>
        <v>3.26417290108063</v>
      </c>
      <c r="J23" s="31" t="n">
        <f aca="false">_xlfn.MAXIFS(Trades!$X$2:$X$1146,Trades!$F$2:$F$1146,$A23)</f>
        <v>378.24</v>
      </c>
      <c r="K23" s="31" t="n">
        <f aca="false">_xlfn.MINIFS(Trades!$X$2:$X$1146,Trades!$F$2:$F$1146,$A23)</f>
        <v>-74.76</v>
      </c>
      <c r="L23" s="33" t="n">
        <f aca="false">SUMIFS(Trades!$Y$2:$Y$1146,Trades!$F$2:$F$1146,$A23)</f>
        <v>10.1642003594109</v>
      </c>
      <c r="M23" s="31" t="n">
        <f aca="false">P22</f>
        <v>14121.4</v>
      </c>
      <c r="N23" s="30" t="n">
        <f aca="false">IFERROR(F23/M23,0)</f>
        <v>0.0385769116376563</v>
      </c>
      <c r="O23" s="29" t="str">
        <f aca="false">IF(F23&gt;0,"up","down")</f>
        <v>up</v>
      </c>
      <c r="P23" s="31" t="n">
        <f aca="false">M23+F23</f>
        <v>14666.16</v>
      </c>
      <c r="Q23" s="31" t="n">
        <f aca="false">P23-Summary!$C$5</f>
        <v>4666.16</v>
      </c>
    </row>
    <row r="24" customFormat="false" ht="15" hidden="false" customHeight="false" outlineLevel="0" collapsed="false">
      <c r="A24" s="29" t="s">
        <v>166</v>
      </c>
      <c r="B24" s="29" t="n">
        <f aca="false">COUNTIFS(Trades!$F$2:$F$1146,$A24)</f>
        <v>19</v>
      </c>
      <c r="C24" s="29" t="n">
        <f aca="false">COUNTIFS(Trades!$F$2:$F$1146,$A24,Trades!$Z$2:$Z$1146,"Win")</f>
        <v>4</v>
      </c>
      <c r="D24" s="29" t="n">
        <f aca="false">COUNTIFS(Trades!$F$2:$F$1146,$A24,Trades!$Z$2:$Z$1146,"Loss")</f>
        <v>14</v>
      </c>
      <c r="E24" s="30" t="n">
        <f aca="false">IFERROR(C24/B24,0)</f>
        <v>0.210526315789474</v>
      </c>
      <c r="F24" s="31" t="n">
        <f aca="false">SUMIFS(Trades!$X$2:$X$1146,Trades!$F$2:$F$1146,$A24)</f>
        <v>980.32</v>
      </c>
      <c r="G24" s="31" t="n">
        <f aca="false">SUMIFS(Trades!$X$2:$X$1146,Trades!$F$2:$F$1146,$A24,Trades!$X$2:$X$1146,"&gt;0")</f>
        <v>1086.04</v>
      </c>
      <c r="H24" s="31" t="n">
        <f aca="false">SUMIFS(Trades!$X$2:$X$1146,Trades!$F$2:$F$1146,$A24,Trades!$X$2:$X$1146,"&lt;0")</f>
        <v>-105.72</v>
      </c>
      <c r="I24" s="32" t="n">
        <f aca="false">IFERROR(G24/-H24,"no loss")</f>
        <v>10.2727960650776</v>
      </c>
      <c r="J24" s="31" t="n">
        <f aca="false">_xlfn.MAXIFS(Trades!$X$2:$X$1146,Trades!$F$2:$F$1146,$A24)</f>
        <v>420.76</v>
      </c>
      <c r="K24" s="31" t="n">
        <f aca="false">_xlfn.MINIFS(Trades!$X$2:$X$1146,Trades!$F$2:$F$1146,$A24)</f>
        <v>-48.32</v>
      </c>
      <c r="L24" s="33" t="n">
        <f aca="false">SUMIFS(Trades!$Y$2:$Y$1146,Trades!$F$2:$F$1146,$A24)</f>
        <v>7.71198755078294</v>
      </c>
      <c r="M24" s="31" t="n">
        <f aca="false">P23</f>
        <v>14666.16</v>
      </c>
      <c r="N24" s="30" t="n">
        <f aca="false">IFERROR(F24/M24,0)</f>
        <v>0.0668423090979507</v>
      </c>
      <c r="O24" s="29" t="str">
        <f aca="false">IF(F24&gt;0,"up","down")</f>
        <v>up</v>
      </c>
      <c r="P24" s="31" t="n">
        <f aca="false">M24+F24</f>
        <v>15646.48</v>
      </c>
      <c r="Q24" s="31" t="n">
        <f aca="false">P24-Summary!$C$5</f>
        <v>5646.48</v>
      </c>
    </row>
    <row r="25" customFormat="false" ht="15" hidden="false" customHeight="false" outlineLevel="0" collapsed="false">
      <c r="A25" s="29" t="s">
        <v>167</v>
      </c>
      <c r="B25" s="29" t="n">
        <f aca="false">COUNTIFS(Trades!$F$2:$F$1146,$A25)</f>
        <v>19</v>
      </c>
      <c r="C25" s="29" t="n">
        <f aca="false">COUNTIFS(Trades!$F$2:$F$1146,$A25,Trades!$Z$2:$Z$1146,"Win")</f>
        <v>3</v>
      </c>
      <c r="D25" s="29" t="n">
        <f aca="false">COUNTIFS(Trades!$F$2:$F$1146,$A25,Trades!$Z$2:$Z$1146,"Loss")</f>
        <v>16</v>
      </c>
      <c r="E25" s="30" t="n">
        <f aca="false">IFERROR(C25/B25,0)</f>
        <v>0.157894736842105</v>
      </c>
      <c r="F25" s="31" t="n">
        <f aca="false">SUMIFS(Trades!$X$2:$X$1146,Trades!$F$2:$F$1146,$A25)</f>
        <v>-51.84</v>
      </c>
      <c r="G25" s="31" t="n">
        <f aca="false">SUMIFS(Trades!$X$2:$X$1146,Trades!$F$2:$F$1146,$A25,Trades!$X$2:$X$1146,"&gt;0")</f>
        <v>492.12</v>
      </c>
      <c r="H25" s="31" t="n">
        <f aca="false">SUMIFS(Trades!$X$2:$X$1146,Trades!$F$2:$F$1146,$A25,Trades!$X$2:$X$1146,"&lt;0")</f>
        <v>-543.96</v>
      </c>
      <c r="I25" s="32" t="n">
        <f aca="false">IFERROR(G25/-H25,"no loss")</f>
        <v>0.904698874917273</v>
      </c>
      <c r="J25" s="31" t="n">
        <f aca="false">_xlfn.MAXIFS(Trades!$X$2:$X$1146,Trades!$F$2:$F$1146,$A25)</f>
        <v>258.44</v>
      </c>
      <c r="K25" s="31" t="n">
        <f aca="false">_xlfn.MINIFS(Trades!$X$2:$X$1146,Trades!$F$2:$F$1146,$A25)</f>
        <v>-157.64</v>
      </c>
      <c r="L25" s="33" t="n">
        <f aca="false">SUMIFS(Trades!$Y$2:$Y$1146,Trades!$F$2:$F$1146,$A25)</f>
        <v>-4.32809546093991</v>
      </c>
      <c r="M25" s="31" t="n">
        <f aca="false">P24</f>
        <v>15646.48</v>
      </c>
      <c r="N25" s="30" t="n">
        <f aca="false">IFERROR(F25/M25,0)</f>
        <v>-0.00331320527045061</v>
      </c>
      <c r="O25" s="29" t="str">
        <f aca="false">IF(F25&gt;0,"up","down")</f>
        <v>down</v>
      </c>
      <c r="P25" s="31" t="n">
        <f aca="false">M25+F25</f>
        <v>15594.64</v>
      </c>
      <c r="Q25" s="31" t="n">
        <f aca="false">P25-Summary!$C$5</f>
        <v>5594.64</v>
      </c>
    </row>
    <row r="26" customFormat="false" ht="15" hidden="false" customHeight="false" outlineLevel="0" collapsed="false">
      <c r="A26" s="29" t="s">
        <v>168</v>
      </c>
      <c r="B26" s="29" t="n">
        <f aca="false">COUNTIFS(Trades!$F$2:$F$1146,$A26)</f>
        <v>23</v>
      </c>
      <c r="C26" s="29" t="n">
        <f aca="false">COUNTIFS(Trades!$F$2:$F$1146,$A26,Trades!$Z$2:$Z$1146,"Win")</f>
        <v>5</v>
      </c>
      <c r="D26" s="29" t="n">
        <f aca="false">COUNTIFS(Trades!$F$2:$F$1146,$A26,Trades!$Z$2:$Z$1146,"Loss")</f>
        <v>18</v>
      </c>
      <c r="E26" s="30" t="n">
        <f aca="false">IFERROR(C26/B26,0)</f>
        <v>0.217391304347826</v>
      </c>
      <c r="F26" s="31" t="n">
        <f aca="false">SUMIFS(Trades!$X$2:$X$1146,Trades!$F$2:$F$1146,$A26)</f>
        <v>-493.8</v>
      </c>
      <c r="G26" s="31" t="n">
        <f aca="false">SUMIFS(Trades!$X$2:$X$1146,Trades!$F$2:$F$1146,$A26,Trades!$X$2:$X$1146,"&gt;0")</f>
        <v>662.28</v>
      </c>
      <c r="H26" s="31" t="n">
        <f aca="false">SUMIFS(Trades!$X$2:$X$1146,Trades!$F$2:$F$1146,$A26,Trades!$X$2:$X$1146,"&lt;0")</f>
        <v>-1156.08</v>
      </c>
      <c r="I26" s="32" t="n">
        <f aca="false">IFERROR(G26/-H26,"no loss")</f>
        <v>0.572866929624248</v>
      </c>
      <c r="J26" s="31" t="n">
        <f aca="false">_xlfn.MAXIFS(Trades!$X$2:$X$1146,Trades!$F$2:$F$1146,$A26)</f>
        <v>220.72</v>
      </c>
      <c r="K26" s="31" t="n">
        <f aca="false">_xlfn.MINIFS(Trades!$X$2:$X$1146,Trades!$F$2:$F$1146,$A26)</f>
        <v>-334.76</v>
      </c>
      <c r="L26" s="33" t="n">
        <f aca="false">SUMIFS(Trades!$Y$2:$Y$1146,Trades!$F$2:$F$1146,$A26)</f>
        <v>-0.855854316913606</v>
      </c>
      <c r="M26" s="31" t="n">
        <f aca="false">P25</f>
        <v>15594.64</v>
      </c>
      <c r="N26" s="30" t="n">
        <f aca="false">IFERROR(F26/M26,0)</f>
        <v>-0.0316647258288745</v>
      </c>
      <c r="O26" s="29" t="str">
        <f aca="false">IF(F26&gt;0,"up","down")</f>
        <v>down</v>
      </c>
      <c r="P26" s="31" t="n">
        <f aca="false">M26+F26</f>
        <v>15100.84</v>
      </c>
      <c r="Q26" s="31" t="n">
        <f aca="false">P26-Summary!$C$5</f>
        <v>5100.84</v>
      </c>
    </row>
    <row r="27" customFormat="false" ht="15" hidden="false" customHeight="false" outlineLevel="0" collapsed="false">
      <c r="A27" s="29" t="s">
        <v>169</v>
      </c>
      <c r="B27" s="29" t="n">
        <f aca="false">COUNTIFS(Trades!$F$2:$F$1146,$A27)</f>
        <v>22</v>
      </c>
      <c r="C27" s="29" t="n">
        <f aca="false">COUNTIFS(Trades!$F$2:$F$1146,$A27,Trades!$Z$2:$Z$1146,"Win")</f>
        <v>5</v>
      </c>
      <c r="D27" s="29" t="n">
        <f aca="false">COUNTIFS(Trades!$F$2:$F$1146,$A27,Trades!$Z$2:$Z$1146,"Loss")</f>
        <v>17</v>
      </c>
      <c r="E27" s="30" t="n">
        <f aca="false">IFERROR(C27/B27,0)</f>
        <v>0.227272727272727</v>
      </c>
      <c r="F27" s="31" t="n">
        <f aca="false">SUMIFS(Trades!$X$2:$X$1146,Trades!$F$2:$F$1146,$A27)</f>
        <v>74.41</v>
      </c>
      <c r="G27" s="31" t="n">
        <f aca="false">SUMIFS(Trades!$X$2:$X$1146,Trades!$F$2:$F$1146,$A27,Trades!$X$2:$X$1146,"&gt;0")</f>
        <v>573.53</v>
      </c>
      <c r="H27" s="31" t="n">
        <f aca="false">SUMIFS(Trades!$X$2:$X$1146,Trades!$F$2:$F$1146,$A27,Trades!$X$2:$X$1146,"&lt;0")</f>
        <v>-499.12</v>
      </c>
      <c r="I27" s="32" t="n">
        <f aca="false">IFERROR(G27/-H27,"no loss")</f>
        <v>1.1490823849976</v>
      </c>
      <c r="J27" s="31" t="n">
        <f aca="false">_xlfn.MAXIFS(Trades!$X$2:$X$1146,Trades!$F$2:$F$1146,$A27)</f>
        <v>187.56</v>
      </c>
      <c r="K27" s="31" t="n">
        <f aca="false">_xlfn.MINIFS(Trades!$X$2:$X$1146,Trades!$F$2:$F$1146,$A27)</f>
        <v>-126.04</v>
      </c>
      <c r="L27" s="33" t="n">
        <f aca="false">SUMIFS(Trades!$Y$2:$Y$1146,Trades!$F$2:$F$1146,$A27)</f>
        <v>-0.16094120495419</v>
      </c>
      <c r="M27" s="31" t="n">
        <f aca="false">P26</f>
        <v>15100.84</v>
      </c>
      <c r="N27" s="30" t="n">
        <f aca="false">IFERROR(F27/M27,0)</f>
        <v>0.00492754045470318</v>
      </c>
      <c r="O27" s="29" t="str">
        <f aca="false">IF(F27&gt;0,"up","down")</f>
        <v>up</v>
      </c>
      <c r="P27" s="31" t="n">
        <f aca="false">M27+F27</f>
        <v>15175.25</v>
      </c>
      <c r="Q27" s="31" t="n">
        <f aca="false">P27-Summary!$C$5</f>
        <v>5175.25</v>
      </c>
    </row>
    <row r="28" customFormat="false" ht="15" hidden="false" customHeight="false" outlineLevel="0" collapsed="false">
      <c r="A28" s="29" t="s">
        <v>170</v>
      </c>
      <c r="B28" s="29" t="n">
        <f aca="false">COUNTIFS(Trades!$F$2:$F$1146,$A28)</f>
        <v>17</v>
      </c>
      <c r="C28" s="29" t="n">
        <f aca="false">COUNTIFS(Trades!$F$2:$F$1146,$A28,Trades!$Z$2:$Z$1146,"Win")</f>
        <v>4</v>
      </c>
      <c r="D28" s="29" t="n">
        <f aca="false">COUNTIFS(Trades!$F$2:$F$1146,$A28,Trades!$Z$2:$Z$1146,"Loss")</f>
        <v>13</v>
      </c>
      <c r="E28" s="30" t="n">
        <f aca="false">IFERROR(C28/B28,0)</f>
        <v>0.235294117647059</v>
      </c>
      <c r="F28" s="31" t="n">
        <f aca="false">SUMIFS(Trades!$X$2:$X$1146,Trades!$F$2:$F$1146,$A28)</f>
        <v>91.97</v>
      </c>
      <c r="G28" s="31" t="n">
        <f aca="false">SUMIFS(Trades!$X$2:$X$1146,Trades!$F$2:$F$1146,$A28,Trades!$X$2:$X$1146,"&gt;0")</f>
        <v>345.13</v>
      </c>
      <c r="H28" s="31" t="n">
        <f aca="false">SUMIFS(Trades!$X$2:$X$1146,Trades!$F$2:$F$1146,$A28,Trades!$X$2:$X$1146,"&lt;0")</f>
        <v>-253.16</v>
      </c>
      <c r="I28" s="32" t="n">
        <f aca="false">IFERROR(G28/-H28,"no loss")</f>
        <v>1.36328803918471</v>
      </c>
      <c r="J28" s="31" t="n">
        <f aca="false">_xlfn.MAXIFS(Trades!$X$2:$X$1146,Trades!$F$2:$F$1146,$A28)</f>
        <v>204.84</v>
      </c>
      <c r="K28" s="31" t="n">
        <f aca="false">_xlfn.MINIFS(Trades!$X$2:$X$1146,Trades!$F$2:$F$1146,$A28)</f>
        <v>-96.81</v>
      </c>
      <c r="L28" s="33" t="n">
        <f aca="false">SUMIFS(Trades!$Y$2:$Y$1146,Trades!$F$2:$F$1146,$A28)</f>
        <v>2.66354672756845</v>
      </c>
      <c r="M28" s="31" t="n">
        <f aca="false">P27</f>
        <v>15175.25</v>
      </c>
      <c r="N28" s="30" t="n">
        <f aca="false">IFERROR(F28/M28,0)</f>
        <v>0.00606052618573005</v>
      </c>
      <c r="O28" s="29" t="str">
        <f aca="false">IF(F28&gt;0,"up","down")</f>
        <v>up</v>
      </c>
      <c r="P28" s="31" t="n">
        <f aca="false">M28+F28</f>
        <v>15267.22</v>
      </c>
      <c r="Q28" s="31" t="n">
        <f aca="false">P28-Summary!$C$5</f>
        <v>5267.22</v>
      </c>
    </row>
    <row r="29" customFormat="false" ht="15" hidden="false" customHeight="false" outlineLevel="0" collapsed="false">
      <c r="A29" s="29" t="s">
        <v>171</v>
      </c>
      <c r="B29" s="29" t="n">
        <f aca="false">COUNTIFS(Trades!$F$2:$F$1146,$A29)</f>
        <v>21</v>
      </c>
      <c r="C29" s="29" t="n">
        <f aca="false">COUNTIFS(Trades!$F$2:$F$1146,$A29,Trades!$Z$2:$Z$1146,"Win")</f>
        <v>3</v>
      </c>
      <c r="D29" s="29" t="n">
        <f aca="false">COUNTIFS(Trades!$F$2:$F$1146,$A29,Trades!$Z$2:$Z$1146,"Loss")</f>
        <v>17</v>
      </c>
      <c r="E29" s="30" t="n">
        <f aca="false">IFERROR(C29/B29,0)</f>
        <v>0.142857142857143</v>
      </c>
      <c r="F29" s="31" t="n">
        <f aca="false">SUMIFS(Trades!$X$2:$X$1146,Trades!$F$2:$F$1146,$A29)</f>
        <v>-330.9</v>
      </c>
      <c r="G29" s="31" t="n">
        <f aca="false">SUMIFS(Trades!$X$2:$X$1146,Trades!$F$2:$F$1146,$A29,Trades!$X$2:$X$1146,"&gt;0")</f>
        <v>139.83</v>
      </c>
      <c r="H29" s="31" t="n">
        <f aca="false">SUMIFS(Trades!$X$2:$X$1146,Trades!$F$2:$F$1146,$A29,Trades!$X$2:$X$1146,"&lt;0")</f>
        <v>-470.73</v>
      </c>
      <c r="I29" s="32" t="n">
        <f aca="false">IFERROR(G29/-H29,"no loss")</f>
        <v>0.297049263909247</v>
      </c>
      <c r="J29" s="31" t="n">
        <f aca="false">_xlfn.MAXIFS(Trades!$X$2:$X$1146,Trades!$F$2:$F$1146,$A29)</f>
        <v>67.41</v>
      </c>
      <c r="K29" s="31" t="n">
        <f aca="false">_xlfn.MINIFS(Trades!$X$2:$X$1146,Trades!$F$2:$F$1146,$A29)</f>
        <v>-76.14</v>
      </c>
      <c r="L29" s="33" t="n">
        <f aca="false">SUMIFS(Trades!$Y$2:$Y$1146,Trades!$F$2:$F$1146,$A29)</f>
        <v>-4.01654793579742</v>
      </c>
      <c r="M29" s="31" t="n">
        <f aca="false">P28</f>
        <v>15267.22</v>
      </c>
      <c r="N29" s="30" t="n">
        <f aca="false">IFERROR(F29/M29,0)</f>
        <v>-0.021673886928989</v>
      </c>
      <c r="O29" s="29" t="str">
        <f aca="false">IF(F29&gt;0,"up","down")</f>
        <v>down</v>
      </c>
      <c r="P29" s="31" t="n">
        <f aca="false">M29+F29</f>
        <v>14936.32</v>
      </c>
      <c r="Q29" s="31" t="n">
        <f aca="false">P29-Summary!$C$5</f>
        <v>4936.32</v>
      </c>
    </row>
    <row r="30" customFormat="false" ht="15" hidden="false" customHeight="false" outlineLevel="0" collapsed="false">
      <c r="A30" s="29" t="s">
        <v>172</v>
      </c>
      <c r="B30" s="29" t="n">
        <f aca="false">COUNTIFS(Trades!$F$2:$F$1146,$A30)</f>
        <v>23</v>
      </c>
      <c r="C30" s="29" t="n">
        <f aca="false">COUNTIFS(Trades!$F$2:$F$1146,$A30,Trades!$Z$2:$Z$1146,"Win")</f>
        <v>5</v>
      </c>
      <c r="D30" s="29" t="n">
        <f aca="false">COUNTIFS(Trades!$F$2:$F$1146,$A30,Trades!$Z$2:$Z$1146,"Loss")</f>
        <v>18</v>
      </c>
      <c r="E30" s="30" t="n">
        <f aca="false">IFERROR(C30/B30,0)</f>
        <v>0.217391304347826</v>
      </c>
      <c r="F30" s="31" t="n">
        <f aca="false">SUMIFS(Trades!$X$2:$X$1146,Trades!$F$2:$F$1146,$A30)</f>
        <v>-377.36</v>
      </c>
      <c r="G30" s="31" t="n">
        <f aca="false">SUMIFS(Trades!$X$2:$X$1146,Trades!$F$2:$F$1146,$A30,Trades!$X$2:$X$1146,"&gt;0")</f>
        <v>437.82</v>
      </c>
      <c r="H30" s="31" t="n">
        <f aca="false">SUMIFS(Trades!$X$2:$X$1146,Trades!$F$2:$F$1146,$A30,Trades!$X$2:$X$1146,"&lt;0")</f>
        <v>-815.18</v>
      </c>
      <c r="I30" s="32" t="n">
        <f aca="false">IFERROR(G30/-H30,"no loss")</f>
        <v>0.537083834245197</v>
      </c>
      <c r="J30" s="31" t="n">
        <f aca="false">_xlfn.MAXIFS(Trades!$X$2:$X$1146,Trades!$F$2:$F$1146,$A30)</f>
        <v>145.17</v>
      </c>
      <c r="K30" s="31" t="n">
        <f aca="false">_xlfn.MINIFS(Trades!$X$2:$X$1146,Trades!$F$2:$F$1146,$A30)</f>
        <v>-253.8</v>
      </c>
      <c r="L30" s="33" t="n">
        <f aca="false">SUMIFS(Trades!$Y$2:$Y$1146,Trades!$F$2:$F$1146,$A30)</f>
        <v>-2.16241429075767</v>
      </c>
      <c r="M30" s="31" t="n">
        <f aca="false">P29</f>
        <v>14936.32</v>
      </c>
      <c r="N30" s="30" t="n">
        <f aca="false">IFERROR(F30/M30,0)</f>
        <v>-0.025264589939155</v>
      </c>
      <c r="O30" s="29" t="str">
        <f aca="false">IF(F30&gt;0,"up","down")</f>
        <v>down</v>
      </c>
      <c r="P30" s="31" t="n">
        <f aca="false">M30+F30</f>
        <v>14558.96</v>
      </c>
      <c r="Q30" s="31" t="n">
        <f aca="false">P30-Summary!$C$5</f>
        <v>4558.96</v>
      </c>
    </row>
    <row r="31" customFormat="false" ht="15" hidden="false" customHeight="false" outlineLevel="0" collapsed="false">
      <c r="A31" s="29" t="s">
        <v>173</v>
      </c>
      <c r="B31" s="29" t="n">
        <f aca="false">COUNTIFS(Trades!$F$2:$F$1146,$A31)</f>
        <v>21</v>
      </c>
      <c r="C31" s="29" t="n">
        <f aca="false">COUNTIFS(Trades!$F$2:$F$1146,$A31,Trades!$Z$2:$Z$1146,"Win")</f>
        <v>7</v>
      </c>
      <c r="D31" s="29" t="n">
        <f aca="false">COUNTIFS(Trades!$F$2:$F$1146,$A31,Trades!$Z$2:$Z$1146,"Loss")</f>
        <v>14</v>
      </c>
      <c r="E31" s="30" t="n">
        <f aca="false">IFERROR(C31/B31,0)</f>
        <v>0.333333333333333</v>
      </c>
      <c r="F31" s="31" t="n">
        <f aca="false">SUMIFS(Trades!$X$2:$X$1146,Trades!$F$2:$F$1146,$A31)</f>
        <v>182.22</v>
      </c>
      <c r="G31" s="31" t="n">
        <f aca="false">SUMIFS(Trades!$X$2:$X$1146,Trades!$F$2:$F$1146,$A31,Trades!$X$2:$X$1146,"&gt;0")</f>
        <v>499.26</v>
      </c>
      <c r="H31" s="31" t="n">
        <f aca="false">SUMIFS(Trades!$X$2:$X$1146,Trades!$F$2:$F$1146,$A31,Trades!$X$2:$X$1146,"&lt;0")</f>
        <v>-317.04</v>
      </c>
      <c r="I31" s="32" t="n">
        <f aca="false">IFERROR(G31/-H31,"no loss")</f>
        <v>1.57475397426192</v>
      </c>
      <c r="J31" s="31" t="n">
        <f aca="false">_xlfn.MAXIFS(Trades!$X$2:$X$1146,Trades!$F$2:$F$1146,$A31)</f>
        <v>143.07</v>
      </c>
      <c r="K31" s="31" t="n">
        <f aca="false">_xlfn.MINIFS(Trades!$X$2:$X$1146,Trades!$F$2:$F$1146,$A31)</f>
        <v>-70.38</v>
      </c>
      <c r="L31" s="33" t="n">
        <f aca="false">SUMIFS(Trades!$Y$2:$Y$1146,Trades!$F$2:$F$1146,$A31)</f>
        <v>9.65808480360181</v>
      </c>
      <c r="M31" s="31" t="n">
        <f aca="false">P30</f>
        <v>14558.96</v>
      </c>
      <c r="N31" s="30" t="n">
        <f aca="false">IFERROR(F31/M31,0)</f>
        <v>0.0125160038903878</v>
      </c>
      <c r="O31" s="29" t="str">
        <f aca="false">IF(F31&gt;0,"up","down")</f>
        <v>up</v>
      </c>
      <c r="P31" s="31" t="n">
        <f aca="false">M31+F31</f>
        <v>14741.18</v>
      </c>
      <c r="Q31" s="31" t="n">
        <f aca="false">P31-Summary!$C$5</f>
        <v>4741.18</v>
      </c>
    </row>
    <row r="32" customFormat="false" ht="15" hidden="false" customHeight="false" outlineLevel="0" collapsed="false">
      <c r="A32" s="29" t="s">
        <v>174</v>
      </c>
      <c r="B32" s="29" t="n">
        <f aca="false">COUNTIFS(Trades!$F$2:$F$1146,$A32)</f>
        <v>21</v>
      </c>
      <c r="C32" s="29" t="n">
        <f aca="false">COUNTIFS(Trades!$F$2:$F$1146,$A32,Trades!$Z$2:$Z$1146,"Win")</f>
        <v>1</v>
      </c>
      <c r="D32" s="29" t="n">
        <f aca="false">COUNTIFS(Trades!$F$2:$F$1146,$A32,Trades!$Z$2:$Z$1146,"Loss")</f>
        <v>20</v>
      </c>
      <c r="E32" s="30" t="n">
        <f aca="false">IFERROR(C32/B32,0)</f>
        <v>0.0476190476190476</v>
      </c>
      <c r="F32" s="31" t="n">
        <f aca="false">SUMIFS(Trades!$X$2:$X$1146,Trades!$F$2:$F$1146,$A32)</f>
        <v>-614.61</v>
      </c>
      <c r="G32" s="31" t="n">
        <f aca="false">SUMIFS(Trades!$X$2:$X$1146,Trades!$F$2:$F$1146,$A32,Trades!$X$2:$X$1146,"&gt;0")</f>
        <v>41.97</v>
      </c>
      <c r="H32" s="31" t="n">
        <f aca="false">SUMIFS(Trades!$X$2:$X$1146,Trades!$F$2:$F$1146,$A32,Trades!$X$2:$X$1146,"&lt;0")</f>
        <v>-656.58</v>
      </c>
      <c r="I32" s="32" t="n">
        <f aca="false">IFERROR(G32/-H32,"no loss")</f>
        <v>0.06392214200859</v>
      </c>
      <c r="J32" s="31" t="n">
        <f aca="false">_xlfn.MAXIFS(Trades!$X$2:$X$1146,Trades!$F$2:$F$1146,$A32)</f>
        <v>41.97</v>
      </c>
      <c r="K32" s="31" t="n">
        <f aca="false">_xlfn.MINIFS(Trades!$X$2:$X$1146,Trades!$F$2:$F$1146,$A32)</f>
        <v>-110.97</v>
      </c>
      <c r="L32" s="33" t="n">
        <f aca="false">SUMIFS(Trades!$Y$2:$Y$1146,Trades!$F$2:$F$1146,$A32)</f>
        <v>-12.5904793943275</v>
      </c>
      <c r="M32" s="31" t="n">
        <f aca="false">P31</f>
        <v>14741.18</v>
      </c>
      <c r="N32" s="30" t="n">
        <f aca="false">IFERROR(F32/M32,0)</f>
        <v>-0.0416934058196155</v>
      </c>
      <c r="O32" s="29" t="str">
        <f aca="false">IF(F32&gt;0,"up","down")</f>
        <v>down</v>
      </c>
      <c r="P32" s="31" t="n">
        <f aca="false">M32+F32</f>
        <v>14126.57</v>
      </c>
      <c r="Q32" s="31" t="n">
        <f aca="false">P32-Summary!$C$5</f>
        <v>4126.57</v>
      </c>
    </row>
    <row r="33" customFormat="false" ht="15" hidden="false" customHeight="false" outlineLevel="0" collapsed="false">
      <c r="A33" s="29" t="s">
        <v>175</v>
      </c>
      <c r="B33" s="29" t="n">
        <f aca="false">COUNTIFS(Trades!$F$2:$F$1146,$A33)</f>
        <v>18</v>
      </c>
      <c r="C33" s="29" t="n">
        <f aca="false">COUNTIFS(Trades!$F$2:$F$1146,$A33,Trades!$Z$2:$Z$1146,"Win")</f>
        <v>7</v>
      </c>
      <c r="D33" s="29" t="n">
        <f aca="false">COUNTIFS(Trades!$F$2:$F$1146,$A33,Trades!$Z$2:$Z$1146,"Loss")</f>
        <v>11</v>
      </c>
      <c r="E33" s="30" t="n">
        <f aca="false">IFERROR(C33/B33,0)</f>
        <v>0.388888888888889</v>
      </c>
      <c r="F33" s="31" t="n">
        <f aca="false">SUMIFS(Trades!$X$2:$X$1146,Trades!$F$2:$F$1146,$A33)</f>
        <v>327.93</v>
      </c>
      <c r="G33" s="31" t="n">
        <f aca="false">SUMIFS(Trades!$X$2:$X$1146,Trades!$F$2:$F$1146,$A33,Trades!$X$2:$X$1146,"&gt;0")</f>
        <v>566.31</v>
      </c>
      <c r="H33" s="31" t="n">
        <f aca="false">SUMIFS(Trades!$X$2:$X$1146,Trades!$F$2:$F$1146,$A33,Trades!$X$2:$X$1146,"&lt;0")</f>
        <v>-238.38</v>
      </c>
      <c r="I33" s="32" t="n">
        <f aca="false">IFERROR(G33/-H33,"no loss")</f>
        <v>2.37566070979109</v>
      </c>
      <c r="J33" s="31" t="n">
        <f aca="false">_xlfn.MAXIFS(Trades!$X$2:$X$1146,Trades!$F$2:$F$1146,$A33)</f>
        <v>134.91</v>
      </c>
      <c r="K33" s="31" t="n">
        <f aca="false">_xlfn.MINIFS(Trades!$X$2:$X$1146,Trades!$F$2:$F$1146,$A33)</f>
        <v>-56.97</v>
      </c>
      <c r="L33" s="33" t="n">
        <f aca="false">SUMIFS(Trades!$Y$2:$Y$1146,Trades!$F$2:$F$1146,$A33)</f>
        <v>10.2093333648217</v>
      </c>
      <c r="M33" s="31" t="n">
        <f aca="false">P32</f>
        <v>14126.57</v>
      </c>
      <c r="N33" s="30" t="n">
        <f aca="false">IFERROR(F33/M33,0)</f>
        <v>0.0232137029724838</v>
      </c>
      <c r="O33" s="29" t="str">
        <f aca="false">IF(F33&gt;0,"up","down")</f>
        <v>up</v>
      </c>
      <c r="P33" s="31" t="n">
        <f aca="false">M33+F33</f>
        <v>14454.5</v>
      </c>
      <c r="Q33" s="31" t="n">
        <f aca="false">P33-Summary!$C$5</f>
        <v>4454.5</v>
      </c>
    </row>
    <row r="34" customFormat="false" ht="15" hidden="false" customHeight="false" outlineLevel="0" collapsed="false">
      <c r="A34" s="29" t="s">
        <v>176</v>
      </c>
      <c r="B34" s="29" t="n">
        <f aca="false">COUNTIFS(Trades!$F$2:$F$1146,$A34)</f>
        <v>19</v>
      </c>
      <c r="C34" s="29" t="n">
        <f aca="false">COUNTIFS(Trades!$F$2:$F$1146,$A34,Trades!$Z$2:$Z$1146,"Win")</f>
        <v>6</v>
      </c>
      <c r="D34" s="29" t="n">
        <f aca="false">COUNTIFS(Trades!$F$2:$F$1146,$A34,Trades!$Z$2:$Z$1146,"Loss")</f>
        <v>13</v>
      </c>
      <c r="E34" s="30" t="n">
        <f aca="false">IFERROR(C34/B34,0)</f>
        <v>0.315789473684211</v>
      </c>
      <c r="F34" s="31" t="n">
        <f aca="false">SUMIFS(Trades!$X$2:$X$1146,Trades!$F$2:$F$1146,$A34)</f>
        <v>259.8</v>
      </c>
      <c r="G34" s="31" t="n">
        <f aca="false">SUMIFS(Trades!$X$2:$X$1146,Trades!$F$2:$F$1146,$A34,Trades!$X$2:$X$1146,"&gt;0")</f>
        <v>431.49</v>
      </c>
      <c r="H34" s="31" t="n">
        <f aca="false">SUMIFS(Trades!$X$2:$X$1146,Trades!$F$2:$F$1146,$A34,Trades!$X$2:$X$1146,"&lt;0")</f>
        <v>-171.69</v>
      </c>
      <c r="I34" s="32" t="n">
        <f aca="false">IFERROR(G34/-H34,"no loss")</f>
        <v>2.51319238161803</v>
      </c>
      <c r="J34" s="31" t="n">
        <f aca="false">_xlfn.MAXIFS(Trades!$X$2:$X$1146,Trades!$F$2:$F$1146,$A34)</f>
        <v>141.21</v>
      </c>
      <c r="K34" s="31" t="n">
        <f aca="false">_xlfn.MINIFS(Trades!$X$2:$X$1146,Trades!$F$2:$F$1146,$A34)</f>
        <v>-50.64</v>
      </c>
      <c r="L34" s="33" t="n">
        <f aca="false">SUMIFS(Trades!$Y$2:$Y$1146,Trades!$F$2:$F$1146,$A34)</f>
        <v>7.44441631117811</v>
      </c>
      <c r="M34" s="31" t="n">
        <f aca="false">P33</f>
        <v>14454.5</v>
      </c>
      <c r="N34" s="30" t="n">
        <f aca="false">IFERROR(F34/M34,0)</f>
        <v>0.0179736414265454</v>
      </c>
      <c r="O34" s="29" t="str">
        <f aca="false">IF(F34&gt;0,"up","down")</f>
        <v>up</v>
      </c>
      <c r="P34" s="31" t="n">
        <f aca="false">M34+F34</f>
        <v>14714.3</v>
      </c>
      <c r="Q34" s="31" t="n">
        <f aca="false">P34-Summary!$C$5</f>
        <v>4714.3</v>
      </c>
    </row>
    <row r="35" customFormat="false" ht="15" hidden="false" customHeight="false" outlineLevel="0" collapsed="false">
      <c r="A35" s="29" t="s">
        <v>177</v>
      </c>
      <c r="B35" s="29" t="n">
        <f aca="false">COUNTIFS(Trades!$F$2:$F$1146,$A35)</f>
        <v>20</v>
      </c>
      <c r="C35" s="29" t="n">
        <f aca="false">COUNTIFS(Trades!$F$2:$F$1146,$A35,Trades!$Z$2:$Z$1146,"Win")</f>
        <v>9</v>
      </c>
      <c r="D35" s="29" t="n">
        <f aca="false">COUNTIFS(Trades!$F$2:$F$1146,$A35,Trades!$Z$2:$Z$1146,"Loss")</f>
        <v>11</v>
      </c>
      <c r="E35" s="30" t="n">
        <f aca="false">IFERROR(C35/B35,0)</f>
        <v>0.45</v>
      </c>
      <c r="F35" s="31" t="n">
        <f aca="false">SUMIFS(Trades!$X$2:$X$1146,Trades!$F$2:$F$1146,$A35)</f>
        <v>1437.39</v>
      </c>
      <c r="G35" s="31" t="n">
        <f aca="false">SUMIFS(Trades!$X$2:$X$1146,Trades!$F$2:$F$1146,$A35,Trades!$X$2:$X$1146,"&gt;0")</f>
        <v>1532.25</v>
      </c>
      <c r="H35" s="31" t="n">
        <f aca="false">SUMIFS(Trades!$X$2:$X$1146,Trades!$F$2:$F$1146,$A35,Trades!$X$2:$X$1146,"&lt;0")</f>
        <v>-94.86</v>
      </c>
      <c r="I35" s="32" t="n">
        <f aca="false">IFERROR(G35/-H35,"no loss")</f>
        <v>16.1527514231499</v>
      </c>
      <c r="J35" s="31" t="n">
        <f aca="false">_xlfn.MAXIFS(Trades!$X$2:$X$1146,Trades!$F$2:$F$1146,$A35)</f>
        <v>389.67</v>
      </c>
      <c r="K35" s="31" t="n">
        <f aca="false">_xlfn.MINIFS(Trades!$X$2:$X$1146,Trades!$F$2:$F$1146,$A35)</f>
        <v>-52.74</v>
      </c>
      <c r="L35" s="33" t="n">
        <f aca="false">SUMIFS(Trades!$Y$2:$Y$1146,Trades!$F$2:$F$1146,$A35)</f>
        <v>20.2743691587103</v>
      </c>
      <c r="M35" s="31" t="n">
        <f aca="false">P34</f>
        <v>14714.3</v>
      </c>
      <c r="N35" s="30" t="n">
        <f aca="false">IFERROR(F35/M35,0)</f>
        <v>0.0976866041877629</v>
      </c>
      <c r="O35" s="29" t="str">
        <f aca="false">IF(F35&gt;0,"up","down")</f>
        <v>up</v>
      </c>
      <c r="P35" s="31" t="n">
        <f aca="false">M35+F35</f>
        <v>16151.69</v>
      </c>
      <c r="Q35" s="31" t="n">
        <f aca="false">P35-Summary!$C$5</f>
        <v>6151.69</v>
      </c>
    </row>
    <row r="36" customFormat="false" ht="15" hidden="false" customHeight="false" outlineLevel="0" collapsed="false">
      <c r="A36" s="29" t="s">
        <v>178</v>
      </c>
      <c r="B36" s="29" t="n">
        <f aca="false">COUNTIFS(Trades!$F$2:$F$1146,$A36)</f>
        <v>20</v>
      </c>
      <c r="C36" s="29" t="n">
        <f aca="false">COUNTIFS(Trades!$F$2:$F$1146,$A36,Trades!$Z$2:$Z$1146,"Win")</f>
        <v>8</v>
      </c>
      <c r="D36" s="29" t="n">
        <f aca="false">COUNTIFS(Trades!$F$2:$F$1146,$A36,Trades!$Z$2:$Z$1146,"Loss")</f>
        <v>12</v>
      </c>
      <c r="E36" s="30" t="n">
        <f aca="false">IFERROR(C36/B36,0)</f>
        <v>0.4</v>
      </c>
      <c r="F36" s="31" t="n">
        <f aca="false">SUMIFS(Trades!$X$2:$X$1146,Trades!$F$2:$F$1146,$A36)</f>
        <v>-123.75</v>
      </c>
      <c r="G36" s="31" t="n">
        <f aca="false">SUMIFS(Trades!$X$2:$X$1146,Trades!$F$2:$F$1146,$A36,Trades!$X$2:$X$1146,"&gt;0")</f>
        <v>901.32</v>
      </c>
      <c r="H36" s="31" t="n">
        <f aca="false">SUMIFS(Trades!$X$2:$X$1146,Trades!$F$2:$F$1146,$A36,Trades!$X$2:$X$1146,"&lt;0")</f>
        <v>-1025.07</v>
      </c>
      <c r="I36" s="32" t="n">
        <f aca="false">IFERROR(G36/-H36,"no loss")</f>
        <v>0.879276537212093</v>
      </c>
      <c r="J36" s="31" t="n">
        <f aca="false">_xlfn.MAXIFS(Trades!$X$2:$X$1146,Trades!$F$2:$F$1146,$A36)</f>
        <v>264.21</v>
      </c>
      <c r="K36" s="31" t="n">
        <f aca="false">_xlfn.MINIFS(Trades!$X$2:$X$1146,Trades!$F$2:$F$1146,$A36)</f>
        <v>-406.26</v>
      </c>
      <c r="L36" s="33" t="n">
        <f aca="false">SUMIFS(Trades!$Y$2:$Y$1146,Trades!$F$2:$F$1146,$A36)</f>
        <v>9.81430828370565</v>
      </c>
      <c r="M36" s="31" t="n">
        <f aca="false">P35</f>
        <v>16151.69</v>
      </c>
      <c r="N36" s="30" t="n">
        <f aca="false">IFERROR(F36/M36,0)</f>
        <v>-0.00766173694517416</v>
      </c>
      <c r="O36" s="29" t="str">
        <f aca="false">IF(F36&gt;0,"up","down")</f>
        <v>down</v>
      </c>
      <c r="P36" s="31" t="n">
        <f aca="false">M36+F36</f>
        <v>16027.94</v>
      </c>
      <c r="Q36" s="31" t="n">
        <f aca="false">P36-Summary!$C$5</f>
        <v>6027.94</v>
      </c>
    </row>
    <row r="37" customFormat="false" ht="15" hidden="false" customHeight="false" outlineLevel="0" collapsed="false">
      <c r="A37" s="29" t="s">
        <v>179</v>
      </c>
      <c r="B37" s="29" t="n">
        <f aca="false">COUNTIFS(Trades!$F$2:$F$1146,$A37)</f>
        <v>21</v>
      </c>
      <c r="C37" s="29" t="n">
        <f aca="false">COUNTIFS(Trades!$F$2:$F$1146,$A37,Trades!$Z$2:$Z$1146,"Win")</f>
        <v>7</v>
      </c>
      <c r="D37" s="29" t="n">
        <f aca="false">COUNTIFS(Trades!$F$2:$F$1146,$A37,Trades!$Z$2:$Z$1146,"Loss")</f>
        <v>14</v>
      </c>
      <c r="E37" s="30" t="n">
        <f aca="false">IFERROR(C37/B37,0)</f>
        <v>0.333333333333333</v>
      </c>
      <c r="F37" s="31" t="n">
        <f aca="false">SUMIFS(Trades!$X$2:$X$1146,Trades!$F$2:$F$1146,$A37)</f>
        <v>527.72</v>
      </c>
      <c r="G37" s="31" t="n">
        <f aca="false">SUMIFS(Trades!$X$2:$X$1146,Trades!$F$2:$F$1146,$A37,Trades!$X$2:$X$1146,"&gt;0")</f>
        <v>1351.87</v>
      </c>
      <c r="H37" s="31" t="n">
        <f aca="false">SUMIFS(Trades!$X$2:$X$1146,Trades!$F$2:$F$1146,$A37,Trades!$X$2:$X$1146,"&lt;0")</f>
        <v>-824.15</v>
      </c>
      <c r="I37" s="32" t="n">
        <f aca="false">IFERROR(G37/-H37,"no loss")</f>
        <v>1.64032033003701</v>
      </c>
      <c r="J37" s="31" t="n">
        <f aca="false">_xlfn.MAXIFS(Trades!$X$2:$X$1146,Trades!$F$2:$F$1146,$A37)</f>
        <v>288.04</v>
      </c>
      <c r="K37" s="31" t="n">
        <f aca="false">_xlfn.MINIFS(Trades!$X$2:$X$1146,Trades!$F$2:$F$1146,$A37)</f>
        <v>-150.24</v>
      </c>
      <c r="L37" s="33" t="n">
        <f aca="false">SUMIFS(Trades!$Y$2:$Y$1146,Trades!$F$2:$F$1146,$A37)</f>
        <v>8.87695043274043</v>
      </c>
      <c r="M37" s="31" t="n">
        <f aca="false">P36</f>
        <v>16027.94</v>
      </c>
      <c r="N37" s="30" t="n">
        <f aca="false">IFERROR(F37/M37,0)</f>
        <v>0.0329250047105243</v>
      </c>
      <c r="O37" s="29" t="str">
        <f aca="false">IF(F37&gt;0,"up","down")</f>
        <v>up</v>
      </c>
      <c r="P37" s="31" t="n">
        <f aca="false">M37+F37</f>
        <v>16555.66</v>
      </c>
      <c r="Q37" s="31" t="n">
        <f aca="false">P37-Summary!$C$5</f>
        <v>6555.66</v>
      </c>
    </row>
    <row r="38" customFormat="false" ht="15" hidden="false" customHeight="false" outlineLevel="0" collapsed="false">
      <c r="A38" s="29" t="s">
        <v>180</v>
      </c>
      <c r="B38" s="29" t="n">
        <f aca="false">COUNTIFS(Trades!$F$2:$F$1146,$A38)</f>
        <v>20</v>
      </c>
      <c r="C38" s="29" t="n">
        <f aca="false">COUNTIFS(Trades!$F$2:$F$1146,$A38,Trades!$Z$2:$Z$1146,"Win")</f>
        <v>4</v>
      </c>
      <c r="D38" s="29" t="n">
        <f aca="false">COUNTIFS(Trades!$F$2:$F$1146,$A38,Trades!$Z$2:$Z$1146,"Loss")</f>
        <v>16</v>
      </c>
      <c r="E38" s="30" t="n">
        <f aca="false">IFERROR(C38/B38,0)</f>
        <v>0.2</v>
      </c>
      <c r="F38" s="31" t="n">
        <f aca="false">SUMIFS(Trades!$X$2:$X$1146,Trades!$F$2:$F$1146,$A38)</f>
        <v>853.82</v>
      </c>
      <c r="G38" s="31" t="n">
        <f aca="false">SUMIFS(Trades!$X$2:$X$1146,Trades!$F$2:$F$1146,$A38,Trades!$X$2:$X$1146,"&gt;0")</f>
        <v>2425.64</v>
      </c>
      <c r="H38" s="31" t="n">
        <f aca="false">SUMIFS(Trades!$X$2:$X$1146,Trades!$F$2:$F$1146,$A38,Trades!$X$2:$X$1146,"&lt;0")</f>
        <v>-1571.82</v>
      </c>
      <c r="I38" s="32" t="n">
        <f aca="false">IFERROR(G38/-H38,"no loss")</f>
        <v>1.54320469264929</v>
      </c>
      <c r="J38" s="31" t="n">
        <f aca="false">_xlfn.MAXIFS(Trades!$X$2:$X$1146,Trades!$F$2:$F$1146,$A38)</f>
        <v>1500.76</v>
      </c>
      <c r="K38" s="31" t="n">
        <f aca="false">_xlfn.MINIFS(Trades!$X$2:$X$1146,Trades!$F$2:$F$1146,$A38)</f>
        <v>-425.64</v>
      </c>
      <c r="L38" s="33" t="n">
        <f aca="false">SUMIFS(Trades!$Y$2:$Y$1146,Trades!$F$2:$F$1146,$A38)</f>
        <v>-3.57079242430697</v>
      </c>
      <c r="M38" s="31" t="n">
        <f aca="false">P37</f>
        <v>16555.66</v>
      </c>
      <c r="N38" s="30" t="n">
        <f aca="false">IFERROR(F38/M38,0)</f>
        <v>0.051572694776288</v>
      </c>
      <c r="O38" s="29" t="str">
        <f aca="false">IF(F38&gt;0,"up","down")</f>
        <v>up</v>
      </c>
      <c r="P38" s="31" t="n">
        <f aca="false">M38+F38</f>
        <v>17409.48</v>
      </c>
      <c r="Q38" s="31" t="n">
        <f aca="false">P38-Summary!$C$5</f>
        <v>7409.48</v>
      </c>
    </row>
    <row r="39" customFormat="false" ht="15" hidden="false" customHeight="false" outlineLevel="0" collapsed="false">
      <c r="A39" s="29" t="s">
        <v>181</v>
      </c>
      <c r="B39" s="29" t="n">
        <f aca="false">COUNTIFS(Trades!$F$2:$F$1146,$A39)</f>
        <v>24</v>
      </c>
      <c r="C39" s="29" t="n">
        <f aca="false">COUNTIFS(Trades!$F$2:$F$1146,$A39,Trades!$Z$2:$Z$1146,"Win")</f>
        <v>9</v>
      </c>
      <c r="D39" s="29" t="n">
        <f aca="false">COUNTIFS(Trades!$F$2:$F$1146,$A39,Trades!$Z$2:$Z$1146,"Loss")</f>
        <v>15</v>
      </c>
      <c r="E39" s="30" t="n">
        <f aca="false">IFERROR(C39/B39,0)</f>
        <v>0.375</v>
      </c>
      <c r="F39" s="31" t="n">
        <f aca="false">SUMIFS(Trades!$X$2:$X$1146,Trades!$F$2:$F$1146,$A39)</f>
        <v>877.16</v>
      </c>
      <c r="G39" s="31" t="n">
        <f aca="false">SUMIFS(Trades!$X$2:$X$1146,Trades!$F$2:$F$1146,$A39,Trades!$X$2:$X$1146,"&gt;0")</f>
        <v>1636.4</v>
      </c>
      <c r="H39" s="31" t="n">
        <f aca="false">SUMIFS(Trades!$X$2:$X$1146,Trades!$F$2:$F$1146,$A39,Trades!$X$2:$X$1146,"&lt;0")</f>
        <v>-759.24</v>
      </c>
      <c r="I39" s="32" t="n">
        <f aca="false">IFERROR(G39/-H39,"no loss")</f>
        <v>2.15531320794479</v>
      </c>
      <c r="J39" s="31" t="n">
        <f aca="false">_xlfn.MAXIFS(Trades!$X$2:$X$1146,Trades!$F$2:$F$1146,$A39)</f>
        <v>591.64</v>
      </c>
      <c r="K39" s="31" t="n">
        <f aca="false">_xlfn.MINIFS(Trades!$X$2:$X$1146,Trades!$F$2:$F$1146,$A39)</f>
        <v>-201.08</v>
      </c>
      <c r="L39" s="33" t="n">
        <f aca="false">SUMIFS(Trades!$Y$2:$Y$1146,Trades!$F$2:$F$1146,$A39)</f>
        <v>12.6361845386913</v>
      </c>
      <c r="M39" s="31" t="n">
        <f aca="false">P38</f>
        <v>17409.48</v>
      </c>
      <c r="N39" s="30" t="n">
        <f aca="false">IFERROR(F39/M39,0)</f>
        <v>0.050384043635996</v>
      </c>
      <c r="O39" s="29" t="str">
        <f aca="false">IF(F39&gt;0,"up","down")</f>
        <v>up</v>
      </c>
      <c r="P39" s="31" t="n">
        <f aca="false">M39+F39</f>
        <v>18286.64</v>
      </c>
      <c r="Q39" s="31" t="n">
        <f aca="false">P39-Summary!$C$5</f>
        <v>8286.64</v>
      </c>
    </row>
    <row r="40" customFormat="false" ht="15" hidden="false" customHeight="false" outlineLevel="0" collapsed="false">
      <c r="A40" s="29" t="s">
        <v>182</v>
      </c>
      <c r="B40" s="29" t="n">
        <f aca="false">COUNTIFS(Trades!$F$2:$F$1146,$A40)</f>
        <v>21</v>
      </c>
      <c r="C40" s="29" t="n">
        <f aca="false">COUNTIFS(Trades!$F$2:$F$1146,$A40,Trades!$Z$2:$Z$1146,"Win")</f>
        <v>6</v>
      </c>
      <c r="D40" s="29" t="n">
        <f aca="false">COUNTIFS(Trades!$F$2:$F$1146,$A40,Trades!$Z$2:$Z$1146,"Loss")</f>
        <v>15</v>
      </c>
      <c r="E40" s="30" t="n">
        <f aca="false">IFERROR(C40/B40,0)</f>
        <v>0.285714285714286</v>
      </c>
      <c r="F40" s="31" t="n">
        <f aca="false">SUMIFS(Trades!$X$2:$X$1146,Trades!$F$2:$F$1146,$A40)</f>
        <v>-63.36</v>
      </c>
      <c r="G40" s="31" t="n">
        <f aca="false">SUMIFS(Trades!$X$2:$X$1146,Trades!$F$2:$F$1146,$A40,Trades!$X$2:$X$1146,"&gt;0")</f>
        <v>699.32</v>
      </c>
      <c r="H40" s="31" t="n">
        <f aca="false">SUMIFS(Trades!$X$2:$X$1146,Trades!$F$2:$F$1146,$A40,Trades!$X$2:$X$1146,"&lt;0")</f>
        <v>-762.68</v>
      </c>
      <c r="I40" s="32" t="n">
        <f aca="false">IFERROR(G40/-H40,"no loss")</f>
        <v>0.916924529291446</v>
      </c>
      <c r="J40" s="31" t="n">
        <f aca="false">_xlfn.MAXIFS(Trades!$X$2:$X$1146,Trades!$F$2:$F$1146,$A40)</f>
        <v>236.12</v>
      </c>
      <c r="K40" s="31" t="n">
        <f aca="false">_xlfn.MINIFS(Trades!$X$2:$X$1146,Trades!$F$2:$F$1146,$A40)</f>
        <v>-134.72</v>
      </c>
      <c r="L40" s="33" t="n">
        <f aca="false">SUMIFS(Trades!$Y$2:$Y$1146,Trades!$F$2:$F$1146,$A40)</f>
        <v>4.29913350899078</v>
      </c>
      <c r="M40" s="31" t="n">
        <f aca="false">P39</f>
        <v>18286.64</v>
      </c>
      <c r="N40" s="30" t="n">
        <f aca="false">IFERROR(F40/M40,0)</f>
        <v>-0.00346482459325497</v>
      </c>
      <c r="O40" s="29" t="str">
        <f aca="false">IF(F40&gt;0,"up","down")</f>
        <v>down</v>
      </c>
      <c r="P40" s="31" t="n">
        <f aca="false">M40+F40</f>
        <v>18223.28</v>
      </c>
      <c r="Q40" s="31" t="n">
        <f aca="false">P40-Summary!$C$5</f>
        <v>8223.28</v>
      </c>
    </row>
    <row r="41" customFormat="false" ht="15" hidden="false" customHeight="false" outlineLevel="0" collapsed="false">
      <c r="A41" s="29" t="s">
        <v>183</v>
      </c>
      <c r="B41" s="29" t="n">
        <f aca="false">COUNTIFS(Trades!$F$2:$F$1146,$A41)</f>
        <v>23</v>
      </c>
      <c r="C41" s="29" t="n">
        <f aca="false">COUNTIFS(Trades!$F$2:$F$1146,$A41,Trades!$Z$2:$Z$1146,"Win")</f>
        <v>9</v>
      </c>
      <c r="D41" s="29" t="n">
        <f aca="false">COUNTIFS(Trades!$F$2:$F$1146,$A41,Trades!$Z$2:$Z$1146,"Loss")</f>
        <v>13</v>
      </c>
      <c r="E41" s="30" t="n">
        <f aca="false">IFERROR(C41/B41,0)</f>
        <v>0.391304347826087</v>
      </c>
      <c r="F41" s="31" t="n">
        <f aca="false">SUMIFS(Trades!$X$2:$X$1146,Trades!$F$2:$F$1146,$A41)</f>
        <v>888.24</v>
      </c>
      <c r="G41" s="31" t="n">
        <f aca="false">SUMIFS(Trades!$X$2:$X$1146,Trades!$F$2:$F$1146,$A41,Trades!$X$2:$X$1146,"&gt;0")</f>
        <v>1287.24</v>
      </c>
      <c r="H41" s="31" t="n">
        <f aca="false">SUMIFS(Trades!$X$2:$X$1146,Trades!$F$2:$F$1146,$A41,Trades!$X$2:$X$1146,"&lt;0")</f>
        <v>-399</v>
      </c>
      <c r="I41" s="32" t="n">
        <f aca="false">IFERROR(G41/-H41,"no loss")</f>
        <v>3.22616541353383</v>
      </c>
      <c r="J41" s="31" t="n">
        <f aca="false">_xlfn.MAXIFS(Trades!$X$2:$X$1146,Trades!$F$2:$F$1146,$A41)</f>
        <v>262.68</v>
      </c>
      <c r="K41" s="31" t="n">
        <f aca="false">_xlfn.MINIFS(Trades!$X$2:$X$1146,Trades!$F$2:$F$1146,$A41)</f>
        <v>-116.68</v>
      </c>
      <c r="L41" s="33" t="n">
        <f aca="false">SUMIFS(Trades!$Y$2:$Y$1146,Trades!$F$2:$F$1146,$A41)</f>
        <v>12.6704200836592</v>
      </c>
      <c r="M41" s="31" t="n">
        <f aca="false">P40</f>
        <v>18223.28</v>
      </c>
      <c r="N41" s="30" t="n">
        <f aca="false">IFERROR(F41/M41,0)</f>
        <v>0.0487420486322989</v>
      </c>
      <c r="O41" s="29" t="str">
        <f aca="false">IF(F41&gt;0,"up","down")</f>
        <v>up</v>
      </c>
      <c r="P41" s="31" t="n">
        <f aca="false">M41+F41</f>
        <v>19111.52</v>
      </c>
      <c r="Q41" s="31" t="n">
        <f aca="false">P41-Summary!$C$5</f>
        <v>9111.52</v>
      </c>
    </row>
    <row r="42" customFormat="false" ht="15" hidden="false" customHeight="false" outlineLevel="0" collapsed="false">
      <c r="A42" s="29" t="s">
        <v>184</v>
      </c>
      <c r="B42" s="29" t="n">
        <f aca="false">COUNTIFS(Trades!$F$2:$F$1146,$A42)</f>
        <v>21</v>
      </c>
      <c r="C42" s="29" t="n">
        <f aca="false">COUNTIFS(Trades!$F$2:$F$1146,$A42,Trades!$Z$2:$Z$1146,"Win")</f>
        <v>4</v>
      </c>
      <c r="D42" s="29" t="n">
        <f aca="false">COUNTIFS(Trades!$F$2:$F$1146,$A42,Trades!$Z$2:$Z$1146,"Loss")</f>
        <v>17</v>
      </c>
      <c r="E42" s="30" t="n">
        <f aca="false">IFERROR(C42/B42,0)</f>
        <v>0.19047619047619</v>
      </c>
      <c r="F42" s="31" t="n">
        <f aca="false">SUMIFS(Trades!$X$2:$X$1146,Trades!$F$2:$F$1146,$A42)</f>
        <v>358.43</v>
      </c>
      <c r="G42" s="31" t="n">
        <f aca="false">SUMIFS(Trades!$X$2:$X$1146,Trades!$F$2:$F$1146,$A42,Trades!$X$2:$X$1146,"&gt;0")</f>
        <v>919.08</v>
      </c>
      <c r="H42" s="31" t="n">
        <f aca="false">SUMIFS(Trades!$X$2:$X$1146,Trades!$F$2:$F$1146,$A42,Trades!$X$2:$X$1146,"&lt;0")</f>
        <v>-560.65</v>
      </c>
      <c r="I42" s="32" t="n">
        <f aca="false">IFERROR(G42/-H42,"no loss")</f>
        <v>1.63931151342192</v>
      </c>
      <c r="J42" s="31" t="n">
        <f aca="false">_xlfn.MAXIFS(Trades!$X$2:$X$1146,Trades!$F$2:$F$1146,$A42)</f>
        <v>443.8</v>
      </c>
      <c r="K42" s="31" t="n">
        <f aca="false">_xlfn.MINIFS(Trades!$X$2:$X$1146,Trades!$F$2:$F$1146,$A42)</f>
        <v>-102.84</v>
      </c>
      <c r="L42" s="33" t="n">
        <f aca="false">SUMIFS(Trades!$Y$2:$Y$1146,Trades!$F$2:$F$1146,$A42)</f>
        <v>-2.61524008153931</v>
      </c>
      <c r="M42" s="31" t="n">
        <f aca="false">P41</f>
        <v>19111.52</v>
      </c>
      <c r="N42" s="30" t="n">
        <f aca="false">IFERROR(F42/M42,0)</f>
        <v>0.0187546568771087</v>
      </c>
      <c r="O42" s="29" t="str">
        <f aca="false">IF(F42&gt;0,"up","down")</f>
        <v>up</v>
      </c>
      <c r="P42" s="31" t="n">
        <f aca="false">M42+F42</f>
        <v>19469.95</v>
      </c>
      <c r="Q42" s="31" t="n">
        <f aca="false">P42-Summary!$C$5</f>
        <v>9469.95</v>
      </c>
    </row>
    <row r="43" customFormat="false" ht="15" hidden="false" customHeight="false" outlineLevel="0" collapsed="false">
      <c r="A43" s="29" t="s">
        <v>185</v>
      </c>
      <c r="B43" s="29" t="n">
        <f aca="false">COUNTIFS(Trades!$F$2:$F$1146,$A43)</f>
        <v>19</v>
      </c>
      <c r="C43" s="29" t="n">
        <f aca="false">COUNTIFS(Trades!$F$2:$F$1146,$A43,Trades!$Z$2:$Z$1146,"Win")</f>
        <v>3</v>
      </c>
      <c r="D43" s="29" t="n">
        <f aca="false">COUNTIFS(Trades!$F$2:$F$1146,$A43,Trades!$Z$2:$Z$1146,"Loss")</f>
        <v>16</v>
      </c>
      <c r="E43" s="30" t="n">
        <f aca="false">IFERROR(C43/B43,0)</f>
        <v>0.157894736842105</v>
      </c>
      <c r="F43" s="31" t="n">
        <f aca="false">SUMIFS(Trades!$X$2:$X$1146,Trades!$F$2:$F$1146,$A43)</f>
        <v>-176.51</v>
      </c>
      <c r="G43" s="31" t="n">
        <f aca="false">SUMIFS(Trades!$X$2:$X$1146,Trades!$F$2:$F$1146,$A43,Trades!$X$2:$X$1146,"&gt;0")</f>
        <v>210.71</v>
      </c>
      <c r="H43" s="31" t="n">
        <f aca="false">SUMIFS(Trades!$X$2:$X$1146,Trades!$F$2:$F$1146,$A43,Trades!$X$2:$X$1146,"&lt;0")</f>
        <v>-387.22</v>
      </c>
      <c r="I43" s="32" t="n">
        <f aca="false">IFERROR(G43/-H43,"no loss")</f>
        <v>0.544160942100098</v>
      </c>
      <c r="J43" s="31" t="n">
        <f aca="false">_xlfn.MAXIFS(Trades!$X$2:$X$1146,Trades!$F$2:$F$1146,$A43)</f>
        <v>91.8</v>
      </c>
      <c r="K43" s="31" t="n">
        <f aca="false">_xlfn.MINIFS(Trades!$X$2:$X$1146,Trades!$F$2:$F$1146,$A43)</f>
        <v>-55.32</v>
      </c>
      <c r="L43" s="33" t="n">
        <f aca="false">SUMIFS(Trades!$Y$2:$Y$1146,Trades!$F$2:$F$1146,$A43)</f>
        <v>-5.03906983943798</v>
      </c>
      <c r="M43" s="31" t="n">
        <f aca="false">P42</f>
        <v>19469.95</v>
      </c>
      <c r="N43" s="30" t="n">
        <f aca="false">IFERROR(F43/M43,0)</f>
        <v>-0.00906576544880701</v>
      </c>
      <c r="O43" s="29" t="str">
        <f aca="false">IF(F43&gt;0,"up","down")</f>
        <v>down</v>
      </c>
      <c r="P43" s="31" t="n">
        <f aca="false">M43+F43</f>
        <v>19293.44</v>
      </c>
      <c r="Q43" s="31" t="n">
        <f aca="false">P43-Summary!$C$5</f>
        <v>9293.44</v>
      </c>
    </row>
    <row r="44" customFormat="false" ht="15" hidden="false" customHeight="false" outlineLevel="0" collapsed="false">
      <c r="A44" s="29" t="s">
        <v>186</v>
      </c>
      <c r="B44" s="29" t="n">
        <f aca="false">COUNTIFS(Trades!$F$2:$F$1146,$A44)</f>
        <v>27</v>
      </c>
      <c r="C44" s="29" t="n">
        <f aca="false">COUNTIFS(Trades!$F$2:$F$1146,$A44,Trades!$Z$2:$Z$1146,"Win")</f>
        <v>10</v>
      </c>
      <c r="D44" s="29" t="n">
        <f aca="false">COUNTIFS(Trades!$F$2:$F$1146,$A44,Trades!$Z$2:$Z$1146,"Loss")</f>
        <v>17</v>
      </c>
      <c r="E44" s="30" t="n">
        <f aca="false">IFERROR(C44/B44,0)</f>
        <v>0.37037037037037</v>
      </c>
      <c r="F44" s="31" t="n">
        <f aca="false">SUMIFS(Trades!$X$2:$X$1146,Trades!$F$2:$F$1146,$A44)</f>
        <v>1095.87</v>
      </c>
      <c r="G44" s="31" t="n">
        <f aca="false">SUMIFS(Trades!$X$2:$X$1146,Trades!$F$2:$F$1146,$A44,Trades!$X$2:$X$1146,"&gt;0")</f>
        <v>1718.89</v>
      </c>
      <c r="H44" s="31" t="n">
        <f aca="false">SUMIFS(Trades!$X$2:$X$1146,Trades!$F$2:$F$1146,$A44,Trades!$X$2:$X$1146,"&lt;0")</f>
        <v>-623.02</v>
      </c>
      <c r="I44" s="32" t="n">
        <f aca="false">IFERROR(G44/-H44,"no loss")</f>
        <v>2.75896439921672</v>
      </c>
      <c r="J44" s="31" t="n">
        <f aca="false">_xlfn.MAXIFS(Trades!$X$2:$X$1146,Trades!$F$2:$F$1146,$A44)</f>
        <v>462.75</v>
      </c>
      <c r="K44" s="31" t="n">
        <f aca="false">_xlfn.MINIFS(Trades!$X$2:$X$1146,Trades!$F$2:$F$1146,$A44)</f>
        <v>-106.48</v>
      </c>
      <c r="L44" s="33" t="n">
        <f aca="false">SUMIFS(Trades!$Y$2:$Y$1146,Trades!$F$2:$F$1146,$A44)</f>
        <v>11.9946491604255</v>
      </c>
      <c r="M44" s="31" t="n">
        <f aca="false">P43</f>
        <v>19293.44</v>
      </c>
      <c r="N44" s="30" t="n">
        <f aca="false">IFERROR(F44/M44,0)</f>
        <v>0.0568001351754793</v>
      </c>
      <c r="O44" s="29" t="str">
        <f aca="false">IF(F44&gt;0,"up","down")</f>
        <v>up</v>
      </c>
      <c r="P44" s="31" t="n">
        <f aca="false">M44+F44</f>
        <v>20389.31</v>
      </c>
      <c r="Q44" s="31" t="n">
        <f aca="false">P44-Summary!$C$5</f>
        <v>10389.31</v>
      </c>
    </row>
    <row r="45" customFormat="false" ht="15" hidden="false" customHeight="false" outlineLevel="0" collapsed="false">
      <c r="A45" s="29" t="s">
        <v>187</v>
      </c>
      <c r="B45" s="29" t="n">
        <f aca="false">COUNTIFS(Trades!$F$2:$F$1146,$A45)</f>
        <v>19</v>
      </c>
      <c r="C45" s="29" t="n">
        <f aca="false">COUNTIFS(Trades!$F$2:$F$1146,$A45,Trades!$Z$2:$Z$1146,"Win")</f>
        <v>8</v>
      </c>
      <c r="D45" s="29" t="n">
        <f aca="false">COUNTIFS(Trades!$F$2:$F$1146,$A45,Trades!$Z$2:$Z$1146,"Loss")</f>
        <v>11</v>
      </c>
      <c r="E45" s="30" t="n">
        <f aca="false">IFERROR(C45/B45,0)</f>
        <v>0.421052631578947</v>
      </c>
      <c r="F45" s="31" t="n">
        <f aca="false">SUMIFS(Trades!$X$2:$X$1146,Trades!$F$2:$F$1146,$A45)</f>
        <v>568.61</v>
      </c>
      <c r="G45" s="31" t="n">
        <f aca="false">SUMIFS(Trades!$X$2:$X$1146,Trades!$F$2:$F$1146,$A45,Trades!$X$2:$X$1146,"&gt;0")</f>
        <v>1486.24</v>
      </c>
      <c r="H45" s="31" t="n">
        <f aca="false">SUMIFS(Trades!$X$2:$X$1146,Trades!$F$2:$F$1146,$A45,Trades!$X$2:$X$1146,"&lt;0")</f>
        <v>-917.63</v>
      </c>
      <c r="I45" s="32" t="n">
        <f aca="false">IFERROR(G45/-H45,"no loss")</f>
        <v>1.61965062171028</v>
      </c>
      <c r="J45" s="31" t="n">
        <f aca="false">_xlfn.MAXIFS(Trades!$X$2:$X$1146,Trades!$F$2:$F$1146,$A45)</f>
        <v>680.84</v>
      </c>
      <c r="K45" s="31" t="n">
        <f aca="false">_xlfn.MINIFS(Trades!$X$2:$X$1146,Trades!$F$2:$F$1146,$A45)</f>
        <v>-195.96</v>
      </c>
      <c r="L45" s="33" t="n">
        <f aca="false">SUMIFS(Trades!$Y$2:$Y$1146,Trades!$F$2:$F$1146,$A45)</f>
        <v>9.36098763107247</v>
      </c>
      <c r="M45" s="31" t="n">
        <f aca="false">P44</f>
        <v>20389.31</v>
      </c>
      <c r="N45" s="30" t="n">
        <f aca="false">IFERROR(F45/M45,0)</f>
        <v>0.0278876528926187</v>
      </c>
      <c r="O45" s="29" t="str">
        <f aca="false">IF(F45&gt;0,"up","down")</f>
        <v>up</v>
      </c>
      <c r="P45" s="31" t="n">
        <f aca="false">M45+F45</f>
        <v>20957.92</v>
      </c>
      <c r="Q45" s="31" t="n">
        <f aca="false">P45-Summary!$C$5</f>
        <v>10957.92</v>
      </c>
    </row>
    <row r="46" customFormat="false" ht="15" hidden="false" customHeight="false" outlineLevel="0" collapsed="false">
      <c r="A46" s="29" t="s">
        <v>188</v>
      </c>
      <c r="B46" s="29" t="n">
        <f aca="false">COUNTIFS(Trades!$F$2:$F$1146,$A46)</f>
        <v>23</v>
      </c>
      <c r="C46" s="29" t="n">
        <f aca="false">COUNTIFS(Trades!$F$2:$F$1146,$A46,Trades!$Z$2:$Z$1146,"Win")</f>
        <v>5</v>
      </c>
      <c r="D46" s="29" t="n">
        <f aca="false">COUNTIFS(Trades!$F$2:$F$1146,$A46,Trades!$Z$2:$Z$1146,"Loss")</f>
        <v>18</v>
      </c>
      <c r="E46" s="30" t="n">
        <f aca="false">IFERROR(C46/B46,0)</f>
        <v>0.217391304347826</v>
      </c>
      <c r="F46" s="31" t="n">
        <f aca="false">SUMIFS(Trades!$X$2:$X$1146,Trades!$F$2:$F$1146,$A46)</f>
        <v>116.68</v>
      </c>
      <c r="G46" s="31" t="n">
        <f aca="false">SUMIFS(Trades!$X$2:$X$1146,Trades!$F$2:$F$1146,$A46,Trades!$X$2:$X$1146,"&gt;0")</f>
        <v>847.56</v>
      </c>
      <c r="H46" s="31" t="n">
        <f aca="false">SUMIFS(Trades!$X$2:$X$1146,Trades!$F$2:$F$1146,$A46,Trades!$X$2:$X$1146,"&lt;0")</f>
        <v>-730.88</v>
      </c>
      <c r="I46" s="32" t="n">
        <f aca="false">IFERROR(G46/-H46,"no loss")</f>
        <v>1.15964316987741</v>
      </c>
      <c r="J46" s="31" t="n">
        <f aca="false">_xlfn.MAXIFS(Trades!$X$2:$X$1146,Trades!$F$2:$F$1146,$A46)</f>
        <v>274.48</v>
      </c>
      <c r="K46" s="31" t="n">
        <f aca="false">_xlfn.MINIFS(Trades!$X$2:$X$1146,Trades!$F$2:$F$1146,$A46)</f>
        <v>-124.96</v>
      </c>
      <c r="L46" s="33" t="n">
        <f aca="false">SUMIFS(Trades!$Y$2:$Y$1146,Trades!$F$2:$F$1146,$A46)</f>
        <v>0.340366121277067</v>
      </c>
      <c r="M46" s="31" t="n">
        <f aca="false">P45</f>
        <v>20957.92</v>
      </c>
      <c r="N46" s="30" t="n">
        <f aca="false">IFERROR(F46/M46,0)</f>
        <v>0.00556734637788483</v>
      </c>
      <c r="O46" s="29" t="str">
        <f aca="false">IF(F46&gt;0,"up","down")</f>
        <v>up</v>
      </c>
      <c r="P46" s="31" t="n">
        <f aca="false">M46+F46</f>
        <v>21074.6</v>
      </c>
      <c r="Q46" s="31" t="n">
        <f aca="false">P46-Summary!$C$5</f>
        <v>11074.6</v>
      </c>
    </row>
    <row r="47" customFormat="false" ht="15" hidden="false" customHeight="false" outlineLevel="0" collapsed="false">
      <c r="A47" s="29" t="s">
        <v>189</v>
      </c>
      <c r="B47" s="29" t="n">
        <f aca="false">COUNTIFS(Trades!$F$2:$F$1146,$A47)</f>
        <v>21</v>
      </c>
      <c r="C47" s="29" t="n">
        <f aca="false">COUNTIFS(Trades!$F$2:$F$1146,$A47,Trades!$Z$2:$Z$1146,"Win")</f>
        <v>11</v>
      </c>
      <c r="D47" s="29" t="n">
        <f aca="false">COUNTIFS(Trades!$F$2:$F$1146,$A47,Trades!$Z$2:$Z$1146,"Loss")</f>
        <v>10</v>
      </c>
      <c r="E47" s="30" t="n">
        <f aca="false">IFERROR(C47/B47,0)</f>
        <v>0.523809523809524</v>
      </c>
      <c r="F47" s="31" t="n">
        <f aca="false">SUMIFS(Trades!$X$2:$X$1146,Trades!$F$2:$F$1146,$A47)</f>
        <v>1475.36</v>
      </c>
      <c r="G47" s="31" t="n">
        <f aca="false">SUMIFS(Trades!$X$2:$X$1146,Trades!$F$2:$F$1146,$A47,Trades!$X$2:$X$1146,"&gt;0")</f>
        <v>2263.64</v>
      </c>
      <c r="H47" s="31" t="n">
        <f aca="false">SUMIFS(Trades!$X$2:$X$1146,Trades!$F$2:$F$1146,$A47,Trades!$X$2:$X$1146,"&lt;0")</f>
        <v>-788.28</v>
      </c>
      <c r="I47" s="32" t="n">
        <f aca="false">IFERROR(G47/-H47,"no loss")</f>
        <v>2.87161922159639</v>
      </c>
      <c r="J47" s="31" t="n">
        <f aca="false">_xlfn.MAXIFS(Trades!$X$2:$X$1146,Trades!$F$2:$F$1146,$A47)</f>
        <v>594.4</v>
      </c>
      <c r="K47" s="31" t="n">
        <f aca="false">_xlfn.MINIFS(Trades!$X$2:$X$1146,Trades!$F$2:$F$1146,$A47)</f>
        <v>-248.08</v>
      </c>
      <c r="L47" s="33" t="n">
        <f aca="false">SUMIFS(Trades!$Y$2:$Y$1146,Trades!$F$2:$F$1146,$A47)</f>
        <v>19.8054076447926</v>
      </c>
      <c r="M47" s="31" t="n">
        <f aca="false">P46</f>
        <v>21074.6</v>
      </c>
      <c r="N47" s="30" t="n">
        <f aca="false">IFERROR(F47/M47,0)</f>
        <v>0.0700065481669877</v>
      </c>
      <c r="O47" s="29" t="str">
        <f aca="false">IF(F47&gt;0,"up","down")</f>
        <v>up</v>
      </c>
      <c r="P47" s="31" t="n">
        <f aca="false">M47+F47</f>
        <v>22549.96</v>
      </c>
      <c r="Q47" s="31" t="n">
        <f aca="false">P47-Summary!$C$5</f>
        <v>12549.96</v>
      </c>
    </row>
    <row r="48" customFormat="false" ht="15" hidden="false" customHeight="false" outlineLevel="0" collapsed="false">
      <c r="A48" s="29" t="s">
        <v>190</v>
      </c>
      <c r="B48" s="29" t="n">
        <f aca="false">COUNTIFS(Trades!$F$2:$F$1146,$A48)</f>
        <v>22</v>
      </c>
      <c r="C48" s="29" t="n">
        <f aca="false">COUNTIFS(Trades!$F$2:$F$1146,$A48,Trades!$Z$2:$Z$1146,"Win")</f>
        <v>5</v>
      </c>
      <c r="D48" s="29" t="n">
        <f aca="false">COUNTIFS(Trades!$F$2:$F$1146,$A48,Trades!$Z$2:$Z$1146,"Loss")</f>
        <v>17</v>
      </c>
      <c r="E48" s="30" t="n">
        <f aca="false">IFERROR(C48/B48,0)</f>
        <v>0.227272727272727</v>
      </c>
      <c r="F48" s="31" t="n">
        <f aca="false">SUMIFS(Trades!$X$2:$X$1146,Trades!$F$2:$F$1146,$A48)</f>
        <v>381.68</v>
      </c>
      <c r="G48" s="31" t="n">
        <f aca="false">SUMIFS(Trades!$X$2:$X$1146,Trades!$F$2:$F$1146,$A48,Trades!$X$2:$X$1146,"&gt;0")</f>
        <v>1233.08</v>
      </c>
      <c r="H48" s="31" t="n">
        <f aca="false">SUMIFS(Trades!$X$2:$X$1146,Trades!$F$2:$F$1146,$A48,Trades!$X$2:$X$1146,"&lt;0")</f>
        <v>-851.4</v>
      </c>
      <c r="I48" s="32" t="n">
        <f aca="false">IFERROR(G48/-H48,"no loss")</f>
        <v>1.44829692271553</v>
      </c>
      <c r="J48" s="31" t="n">
        <f aca="false">_xlfn.MAXIFS(Trades!$X$2:$X$1146,Trades!$F$2:$F$1146,$A48)</f>
        <v>365.04</v>
      </c>
      <c r="K48" s="31" t="n">
        <f aca="false">_xlfn.MINIFS(Trades!$X$2:$X$1146,Trades!$F$2:$F$1146,$A48)</f>
        <v>-245</v>
      </c>
      <c r="L48" s="33" t="n">
        <f aca="false">SUMIFS(Trades!$Y$2:$Y$1146,Trades!$F$2:$F$1146,$A48)</f>
        <v>2.21775403575193</v>
      </c>
      <c r="M48" s="31" t="n">
        <f aca="false">P47</f>
        <v>22549.96</v>
      </c>
      <c r="N48" s="30" t="n">
        <f aca="false">IFERROR(F48/M48,0)</f>
        <v>0.0169259723742304</v>
      </c>
      <c r="O48" s="29" t="str">
        <f aca="false">IF(F48&gt;0,"up","down")</f>
        <v>up</v>
      </c>
      <c r="P48" s="31" t="n">
        <f aca="false">M48+F48</f>
        <v>22931.64</v>
      </c>
      <c r="Q48" s="31" t="n">
        <f aca="false">P48-Summary!$C$5</f>
        <v>12931.64</v>
      </c>
    </row>
    <row r="49" customFormat="false" ht="15" hidden="false" customHeight="false" outlineLevel="0" collapsed="false">
      <c r="A49" s="29" t="s">
        <v>191</v>
      </c>
      <c r="B49" s="29" t="n">
        <f aca="false">COUNTIFS(Trades!$F$2:$F$1146,$A49)</f>
        <v>23</v>
      </c>
      <c r="C49" s="29" t="n">
        <f aca="false">COUNTIFS(Trades!$F$2:$F$1146,$A49,Trades!$Z$2:$Z$1146,"Win")</f>
        <v>6</v>
      </c>
      <c r="D49" s="29" t="n">
        <f aca="false">COUNTIFS(Trades!$F$2:$F$1146,$A49,Trades!$Z$2:$Z$1146,"Loss")</f>
        <v>16</v>
      </c>
      <c r="E49" s="30" t="n">
        <f aca="false">IFERROR(C49/B49,0)</f>
        <v>0.260869565217391</v>
      </c>
      <c r="F49" s="31" t="n">
        <f aca="false">SUMIFS(Trades!$X$2:$X$1146,Trades!$F$2:$F$1146,$A49)</f>
        <v>147.93</v>
      </c>
      <c r="G49" s="31" t="n">
        <f aca="false">SUMIFS(Trades!$X$2:$X$1146,Trades!$F$2:$F$1146,$A49,Trades!$X$2:$X$1146,"&gt;0")</f>
        <v>1564.85</v>
      </c>
      <c r="H49" s="31" t="n">
        <f aca="false">SUMIFS(Trades!$X$2:$X$1146,Trades!$F$2:$F$1146,$A49,Trades!$X$2:$X$1146,"&lt;0")</f>
        <v>-1416.92</v>
      </c>
      <c r="I49" s="32" t="n">
        <f aca="false">IFERROR(G49/-H49,"no loss")</f>
        <v>1.10440250684583</v>
      </c>
      <c r="J49" s="31" t="n">
        <f aca="false">_xlfn.MAXIFS(Trades!$X$2:$X$1146,Trades!$F$2:$F$1146,$A49)</f>
        <v>734.68</v>
      </c>
      <c r="K49" s="31" t="n">
        <f aca="false">_xlfn.MINIFS(Trades!$X$2:$X$1146,Trades!$F$2:$F$1146,$A49)</f>
        <v>-377.32</v>
      </c>
      <c r="L49" s="33" t="n">
        <f aca="false">SUMIFS(Trades!$Y$2:$Y$1146,Trades!$F$2:$F$1146,$A49)</f>
        <v>6.91234390647317</v>
      </c>
      <c r="M49" s="31" t="n">
        <f aca="false">P48</f>
        <v>22931.64</v>
      </c>
      <c r="N49" s="30" t="n">
        <f aca="false">IFERROR(F49/M49,0)</f>
        <v>0.00645091236387803</v>
      </c>
      <c r="O49" s="29" t="str">
        <f aca="false">IF(F49&gt;0,"up","down")</f>
        <v>up</v>
      </c>
      <c r="P49" s="31" t="n">
        <f aca="false">M49+F49</f>
        <v>23079.57</v>
      </c>
      <c r="Q49" s="31" t="n">
        <f aca="false">P49-Summary!$C$5</f>
        <v>13079.57</v>
      </c>
    </row>
    <row r="50" customFormat="false" ht="15" hidden="false" customHeight="false" outlineLevel="0" collapsed="false">
      <c r="A50" s="29" t="s">
        <v>192</v>
      </c>
      <c r="B50" s="29" t="n">
        <f aca="false">COUNTIFS(Trades!$F$2:$F$1146,$A50)</f>
        <v>21</v>
      </c>
      <c r="C50" s="29" t="n">
        <f aca="false">COUNTIFS(Trades!$F$2:$F$1146,$A50,Trades!$Z$2:$Z$1146,"Win")</f>
        <v>4</v>
      </c>
      <c r="D50" s="29" t="n">
        <f aca="false">COUNTIFS(Trades!$F$2:$F$1146,$A50,Trades!$Z$2:$Z$1146,"Loss")</f>
        <v>16</v>
      </c>
      <c r="E50" s="30" t="n">
        <f aca="false">IFERROR(C50/B50,0)</f>
        <v>0.19047619047619</v>
      </c>
      <c r="F50" s="31" t="n">
        <f aca="false">SUMIFS(Trades!$X$2:$X$1146,Trades!$F$2:$F$1146,$A50)</f>
        <v>-796.92</v>
      </c>
      <c r="G50" s="31" t="n">
        <f aca="false">SUMIFS(Trades!$X$2:$X$1146,Trades!$F$2:$F$1146,$A50,Trades!$X$2:$X$1146,"&gt;0")</f>
        <v>592.92</v>
      </c>
      <c r="H50" s="31" t="n">
        <f aca="false">SUMIFS(Trades!$X$2:$X$1146,Trades!$F$2:$F$1146,$A50,Trades!$X$2:$X$1146,"&lt;0")</f>
        <v>-1389.84</v>
      </c>
      <c r="I50" s="32" t="n">
        <f aca="false">IFERROR(G50/-H50,"no loss")</f>
        <v>0.426610257295804</v>
      </c>
      <c r="J50" s="31" t="n">
        <f aca="false">_xlfn.MAXIFS(Trades!$X$2:$X$1146,Trades!$F$2:$F$1146,$A50)</f>
        <v>231.12</v>
      </c>
      <c r="K50" s="31" t="n">
        <f aca="false">_xlfn.MINIFS(Trades!$X$2:$X$1146,Trades!$F$2:$F$1146,$A50)</f>
        <v>-461.04</v>
      </c>
      <c r="L50" s="33" t="n">
        <f aca="false">SUMIFS(Trades!$Y$2:$Y$1146,Trades!$F$2:$F$1146,$A50)</f>
        <v>-2.67131939302803</v>
      </c>
      <c r="M50" s="31" t="n">
        <f aca="false">P49</f>
        <v>23079.57</v>
      </c>
      <c r="N50" s="30" t="n">
        <f aca="false">IFERROR(F50/M50,0)</f>
        <v>-0.0345292394962298</v>
      </c>
      <c r="O50" s="29" t="str">
        <f aca="false">IF(F50&gt;0,"up","down")</f>
        <v>down</v>
      </c>
      <c r="P50" s="31" t="n">
        <f aca="false">M50+F50</f>
        <v>22282.65</v>
      </c>
      <c r="Q50" s="31" t="n">
        <f aca="false">P50-Summary!$C$5</f>
        <v>12282.65</v>
      </c>
    </row>
    <row r="51" customFormat="false" ht="15" hidden="false" customHeight="false" outlineLevel="0" collapsed="false">
      <c r="A51" s="29" t="s">
        <v>193</v>
      </c>
      <c r="B51" s="29" t="n">
        <f aca="false">COUNTIFS(Trades!$F$2:$F$1146,$A51)</f>
        <v>21</v>
      </c>
      <c r="C51" s="29" t="n">
        <f aca="false">COUNTIFS(Trades!$F$2:$F$1146,$A51,Trades!$Z$2:$Z$1146,"Win")</f>
        <v>5</v>
      </c>
      <c r="D51" s="29" t="n">
        <f aca="false">COUNTIFS(Trades!$F$2:$F$1146,$A51,Trades!$Z$2:$Z$1146,"Loss")</f>
        <v>16</v>
      </c>
      <c r="E51" s="30" t="n">
        <f aca="false">IFERROR(C51/B51,0)</f>
        <v>0.238095238095238</v>
      </c>
      <c r="F51" s="31" t="n">
        <f aca="false">SUMIFS(Trades!$X$2:$X$1146,Trades!$F$2:$F$1146,$A51)</f>
        <v>539.34</v>
      </c>
      <c r="G51" s="31" t="n">
        <f aca="false">SUMIFS(Trades!$X$2:$X$1146,Trades!$F$2:$F$1146,$A51,Trades!$X$2:$X$1146,"&gt;0")</f>
        <v>1112.25</v>
      </c>
      <c r="H51" s="31" t="n">
        <f aca="false">SUMIFS(Trades!$X$2:$X$1146,Trades!$F$2:$F$1146,$A51,Trades!$X$2:$X$1146,"&lt;0")</f>
        <v>-572.91</v>
      </c>
      <c r="I51" s="32" t="n">
        <f aca="false">IFERROR(G51/-H51,"no loss")</f>
        <v>1.94140440906949</v>
      </c>
      <c r="J51" s="31" t="n">
        <f aca="false">_xlfn.MAXIFS(Trades!$X$2:$X$1146,Trades!$F$2:$F$1146,$A51)</f>
        <v>406.05</v>
      </c>
      <c r="K51" s="31" t="n">
        <f aca="false">_xlfn.MINIFS(Trades!$X$2:$X$1146,Trades!$F$2:$F$1146,$A51)</f>
        <v>-137.01</v>
      </c>
      <c r="L51" s="33" t="n">
        <f aca="false">SUMIFS(Trades!$Y$2:$Y$1146,Trades!$F$2:$F$1146,$A51)</f>
        <v>3.77276154941453</v>
      </c>
      <c r="M51" s="31" t="n">
        <f aca="false">P50</f>
        <v>22282.65</v>
      </c>
      <c r="N51" s="30" t="n">
        <f aca="false">IFERROR(F51/M51,0)</f>
        <v>0.0242044819624237</v>
      </c>
      <c r="O51" s="29" t="str">
        <f aca="false">IF(F51&gt;0,"up","down")</f>
        <v>up</v>
      </c>
      <c r="P51" s="31" t="n">
        <f aca="false">M51+F51</f>
        <v>22821.99</v>
      </c>
      <c r="Q51" s="31" t="n">
        <f aca="false">P51-Summary!$C$5</f>
        <v>12821.99</v>
      </c>
    </row>
    <row r="52" customFormat="false" ht="15" hidden="false" customHeight="false" outlineLevel="0" collapsed="false">
      <c r="A52" s="29" t="s">
        <v>194</v>
      </c>
      <c r="B52" s="29" t="n">
        <f aca="false">COUNTIFS(Trades!$F$2:$F$1146,$A52)</f>
        <v>22</v>
      </c>
      <c r="C52" s="29" t="n">
        <f aca="false">COUNTIFS(Trades!$F$2:$F$1146,$A52,Trades!$Z$2:$Z$1146,"Win")</f>
        <v>5</v>
      </c>
      <c r="D52" s="29" t="n">
        <f aca="false">COUNTIFS(Trades!$F$2:$F$1146,$A52,Trades!$Z$2:$Z$1146,"Loss")</f>
        <v>17</v>
      </c>
      <c r="E52" s="30" t="n">
        <f aca="false">IFERROR(C52/B52,0)</f>
        <v>0.227272727272727</v>
      </c>
      <c r="F52" s="31" t="n">
        <f aca="false">SUMIFS(Trades!$X$2:$X$1146,Trades!$F$2:$F$1146,$A52)</f>
        <v>309.81</v>
      </c>
      <c r="G52" s="31" t="n">
        <f aca="false">SUMIFS(Trades!$X$2:$X$1146,Trades!$F$2:$F$1146,$A52,Trades!$X$2:$X$1146,"&gt;0")</f>
        <v>1372.62</v>
      </c>
      <c r="H52" s="31" t="n">
        <f aca="false">SUMIFS(Trades!$X$2:$X$1146,Trades!$F$2:$F$1146,$A52,Trades!$X$2:$X$1146,"&lt;0")</f>
        <v>-1062.81</v>
      </c>
      <c r="I52" s="32" t="n">
        <f aca="false">IFERROR(G52/-H52,"no loss")</f>
        <v>1.29150083269822</v>
      </c>
      <c r="J52" s="31" t="n">
        <f aca="false">_xlfn.MAXIFS(Trades!$X$2:$X$1146,Trades!$F$2:$F$1146,$A52)</f>
        <v>564.9</v>
      </c>
      <c r="K52" s="31" t="n">
        <f aca="false">_xlfn.MINIFS(Trades!$X$2:$X$1146,Trades!$F$2:$F$1146,$A52)</f>
        <v>-254.76</v>
      </c>
      <c r="L52" s="33" t="n">
        <f aca="false">SUMIFS(Trades!$Y$2:$Y$1146,Trades!$F$2:$F$1146,$A52)</f>
        <v>0.600264888984179</v>
      </c>
      <c r="M52" s="31" t="n">
        <f aca="false">P51</f>
        <v>22821.99</v>
      </c>
      <c r="N52" s="30" t="n">
        <f aca="false">IFERROR(F52/M52,0)</f>
        <v>0.0135750651016848</v>
      </c>
      <c r="O52" s="29" t="str">
        <f aca="false">IF(F52&gt;0,"up","down")</f>
        <v>up</v>
      </c>
      <c r="P52" s="31" t="n">
        <f aca="false">M52+F52</f>
        <v>23131.8</v>
      </c>
      <c r="Q52" s="31" t="n">
        <f aca="false">P52-Summary!$C$5</f>
        <v>13131.8</v>
      </c>
    </row>
    <row r="53" customFormat="false" ht="15" hidden="false" customHeight="false" outlineLevel="0" collapsed="false">
      <c r="A53" s="29" t="s">
        <v>195</v>
      </c>
      <c r="B53" s="29" t="n">
        <f aca="false">COUNTIFS(Trades!$F$2:$F$1146,$A53)</f>
        <v>20</v>
      </c>
      <c r="C53" s="29" t="n">
        <f aca="false">COUNTIFS(Trades!$F$2:$F$1146,$A53,Trades!$Z$2:$Z$1146,"Win")</f>
        <v>3</v>
      </c>
      <c r="D53" s="29" t="n">
        <f aca="false">COUNTIFS(Trades!$F$2:$F$1146,$A53,Trades!$Z$2:$Z$1146,"Loss")</f>
        <v>17</v>
      </c>
      <c r="E53" s="30" t="n">
        <f aca="false">IFERROR(C53/B53,0)</f>
        <v>0.15</v>
      </c>
      <c r="F53" s="31" t="n">
        <f aca="false">SUMIFS(Trades!$X$2:$X$1146,Trades!$F$2:$F$1146,$A53)</f>
        <v>55.18</v>
      </c>
      <c r="G53" s="31" t="n">
        <f aca="false">SUMIFS(Trades!$X$2:$X$1146,Trades!$F$2:$F$1146,$A53,Trades!$X$2:$X$1146,"&gt;0")</f>
        <v>767.8</v>
      </c>
      <c r="H53" s="31" t="n">
        <f aca="false">SUMIFS(Trades!$X$2:$X$1146,Trades!$F$2:$F$1146,$A53,Trades!$X$2:$X$1146,"&lt;0")</f>
        <v>-712.62</v>
      </c>
      <c r="I53" s="32" t="n">
        <f aca="false">IFERROR(G53/-H53,"no loss")</f>
        <v>1.07743257275968</v>
      </c>
      <c r="J53" s="31" t="n">
        <f aca="false">_xlfn.MAXIFS(Trades!$X$2:$X$1146,Trades!$F$2:$F$1146,$A53)</f>
        <v>420.52</v>
      </c>
      <c r="K53" s="31" t="n">
        <f aca="false">_xlfn.MINIFS(Trades!$X$2:$X$1146,Trades!$F$2:$F$1146,$A53)</f>
        <v>-128.04</v>
      </c>
      <c r="L53" s="33" t="n">
        <f aca="false">SUMIFS(Trades!$Y$2:$Y$1146,Trades!$F$2:$F$1146,$A53)</f>
        <v>-3.56098676481632</v>
      </c>
      <c r="M53" s="31" t="n">
        <f aca="false">P52</f>
        <v>23131.8</v>
      </c>
      <c r="N53" s="30" t="n">
        <f aca="false">IFERROR(F53/M53,0)</f>
        <v>0.00238546070777025</v>
      </c>
      <c r="O53" s="29" t="str">
        <f aca="false">IF(F53&gt;0,"up","down")</f>
        <v>up</v>
      </c>
      <c r="P53" s="31" t="n">
        <f aca="false">M53+F53</f>
        <v>23186.98</v>
      </c>
      <c r="Q53" s="31" t="n">
        <f aca="false">P53-Summary!$C$5</f>
        <v>13186.98</v>
      </c>
    </row>
    <row r="54" customFormat="false" ht="15" hidden="false" customHeight="false" outlineLevel="0" collapsed="false">
      <c r="A54" s="29" t="s">
        <v>196</v>
      </c>
      <c r="B54" s="29" t="n">
        <f aca="false">COUNTIFS(Trades!$F$2:$F$1146,$A54)</f>
        <v>18</v>
      </c>
      <c r="C54" s="29" t="n">
        <f aca="false">COUNTIFS(Trades!$F$2:$F$1146,$A54,Trades!$Z$2:$Z$1146,"Win")</f>
        <v>6</v>
      </c>
      <c r="D54" s="29" t="n">
        <f aca="false">COUNTIFS(Trades!$F$2:$F$1146,$A54,Trades!$Z$2:$Z$1146,"Loss")</f>
        <v>12</v>
      </c>
      <c r="E54" s="30" t="n">
        <f aca="false">IFERROR(C54/B54,0)</f>
        <v>0.333333333333333</v>
      </c>
      <c r="F54" s="31" t="n">
        <f aca="false">SUMIFS(Trades!$X$2:$X$1146,Trades!$F$2:$F$1146,$A54)</f>
        <v>778.86</v>
      </c>
      <c r="G54" s="31" t="n">
        <f aca="false">SUMIFS(Trades!$X$2:$X$1146,Trades!$F$2:$F$1146,$A54,Trades!$X$2:$X$1146,"&gt;0")</f>
        <v>1248.69</v>
      </c>
      <c r="H54" s="31" t="n">
        <f aca="false">SUMIFS(Trades!$X$2:$X$1146,Trades!$F$2:$F$1146,$A54,Trades!$X$2:$X$1146,"&lt;0")</f>
        <v>-469.83</v>
      </c>
      <c r="I54" s="32" t="n">
        <f aca="false">IFERROR(G54/-H54,"no loss")</f>
        <v>2.65774854734691</v>
      </c>
      <c r="J54" s="31" t="n">
        <f aca="false">_xlfn.MAXIFS(Trades!$X$2:$X$1146,Trades!$F$2:$F$1146,$A54)</f>
        <v>415.48</v>
      </c>
      <c r="K54" s="31" t="n">
        <f aca="false">_xlfn.MINIFS(Trades!$X$2:$X$1146,Trades!$F$2:$F$1146,$A54)</f>
        <v>-80.79</v>
      </c>
      <c r="L54" s="33" t="n">
        <f aca="false">SUMIFS(Trades!$Y$2:$Y$1146,Trades!$F$2:$F$1146,$A54)</f>
        <v>3.79944528402009</v>
      </c>
      <c r="M54" s="31" t="n">
        <f aca="false">P53</f>
        <v>23186.98</v>
      </c>
      <c r="N54" s="30" t="n">
        <f aca="false">IFERROR(F54/M54,0)</f>
        <v>0.0335904028898977</v>
      </c>
      <c r="O54" s="29" t="str">
        <f aca="false">IF(F54&gt;0,"up","down")</f>
        <v>up</v>
      </c>
      <c r="P54" s="31" t="n">
        <f aca="false">M54+F54</f>
        <v>23965.84</v>
      </c>
      <c r="Q54" s="31" t="n">
        <f aca="false">P54-Summary!$C$5</f>
        <v>13965.84</v>
      </c>
    </row>
    <row r="55" customFormat="false" ht="15" hidden="false" customHeight="false" outlineLevel="0" collapsed="false">
      <c r="A55" s="29" t="s">
        <v>197</v>
      </c>
      <c r="B55" s="29" t="n">
        <f aca="false">COUNTIFS(Trades!$F$2:$F$1146,$A55)</f>
        <v>20</v>
      </c>
      <c r="C55" s="29" t="n">
        <f aca="false">COUNTIFS(Trades!$F$2:$F$1146,$A55,Trades!$Z$2:$Z$1146,"Win")</f>
        <v>8</v>
      </c>
      <c r="D55" s="29" t="n">
        <f aca="false">COUNTIFS(Trades!$F$2:$F$1146,$A55,Trades!$Z$2:$Z$1146,"Loss")</f>
        <v>11</v>
      </c>
      <c r="E55" s="30" t="n">
        <f aca="false">IFERROR(C55/B55,0)</f>
        <v>0.4</v>
      </c>
      <c r="F55" s="31" t="n">
        <f aca="false">SUMIFS(Trades!$X$2:$X$1146,Trades!$F$2:$F$1146,$A55)</f>
        <v>674.41</v>
      </c>
      <c r="G55" s="31" t="n">
        <f aca="false">SUMIFS(Trades!$X$2:$X$1146,Trades!$F$2:$F$1146,$A55,Trades!$X$2:$X$1146,"&gt;0")</f>
        <v>994.24</v>
      </c>
      <c r="H55" s="31" t="n">
        <f aca="false">SUMIFS(Trades!$X$2:$X$1146,Trades!$F$2:$F$1146,$A55,Trades!$X$2:$X$1146,"&lt;0")</f>
        <v>-319.83</v>
      </c>
      <c r="I55" s="32" t="n">
        <f aca="false">IFERROR(G55/-H55,"no loss")</f>
        <v>3.10865147109402</v>
      </c>
      <c r="J55" s="31" t="n">
        <f aca="false">_xlfn.MAXIFS(Trades!$X$2:$X$1146,Trades!$F$2:$F$1146,$A55)</f>
        <v>351.52</v>
      </c>
      <c r="K55" s="31" t="n">
        <f aca="false">_xlfn.MINIFS(Trades!$X$2:$X$1146,Trades!$F$2:$F$1146,$A55)</f>
        <v>-104.88</v>
      </c>
      <c r="L55" s="33" t="n">
        <f aca="false">SUMIFS(Trades!$Y$2:$Y$1146,Trades!$F$2:$F$1146,$A55)</f>
        <v>13.8860849209009</v>
      </c>
      <c r="M55" s="31" t="n">
        <f aca="false">P54</f>
        <v>23965.84</v>
      </c>
      <c r="N55" s="30" t="n">
        <f aca="false">IFERROR(F55/M55,0)</f>
        <v>0.0281404699355416</v>
      </c>
      <c r="O55" s="29" t="str">
        <f aca="false">IF(F55&gt;0,"up","down")</f>
        <v>up</v>
      </c>
      <c r="P55" s="31" t="n">
        <f aca="false">M55+F55</f>
        <v>24640.25</v>
      </c>
      <c r="Q55" s="31" t="n">
        <f aca="false">P55-Summary!$C$5</f>
        <v>14640.25</v>
      </c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customFormat="false" ht="15" hidden="false" customHeight="false" outlineLevel="0" collapsed="false">
      <c r="A57" s="34" t="s">
        <v>141</v>
      </c>
      <c r="B57" s="34" t="n">
        <f aca="false">SUM(B2:B55)</f>
        <v>1145</v>
      </c>
      <c r="C57" s="34" t="n">
        <f aca="false">SUM(C2:C55)</f>
        <v>316</v>
      </c>
      <c r="D57" s="34" t="n">
        <f aca="false">SUM(D2:D55)</f>
        <v>818</v>
      </c>
      <c r="E57" s="35" t="n">
        <f aca="false">IFERROR(C57/B57,0)</f>
        <v>0.275982532751092</v>
      </c>
      <c r="F57" s="36" t="n">
        <f aca="false">SUM(F2:F55)</f>
        <v>14640.25</v>
      </c>
      <c r="G57" s="36" t="n">
        <f aca="false">SUM(G2:G55)</f>
        <v>47333.21</v>
      </c>
      <c r="H57" s="36" t="n">
        <f aca="false">SUM(H2:H55)</f>
        <v>-32692.96</v>
      </c>
      <c r="I57" s="37" t="n">
        <f aca="false">IFERROR(G57/-H57,0)</f>
        <v>1.44781047662861</v>
      </c>
      <c r="J57" s="38"/>
      <c r="K57" s="38"/>
      <c r="L57" s="39" t="n">
        <f aca="false">SUM(L2:L55)</f>
        <v>238.042487423074</v>
      </c>
      <c r="M57" s="38"/>
      <c r="N57" s="35" t="n">
        <f aca="false">IFERROR(F57/M2,0)</f>
        <v>1.464025</v>
      </c>
      <c r="O57" s="38" t="str">
        <f aca="false">COUNTIF(F2:F55,"&gt;0")&amp;" up / "&amp;COUNTIF(F2:F55,"&lt;0")&amp;" down"</f>
        <v>36 up / 18 down</v>
      </c>
      <c r="P57" s="38"/>
      <c r="Q57" s="38"/>
    </row>
  </sheetData>
  <conditionalFormatting sqref="F2:F55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1"/>
    <col collapsed="false" customWidth="true" hidden="false" outlineLevel="0" max="14" min="14" style="0" width="13"/>
    <col collapsed="false" customWidth="true" hidden="false" outlineLevel="0" max="15" min="15" style="0" width="10"/>
  </cols>
  <sheetData>
    <row r="1" customFormat="false" ht="17.35" hidden="false" customHeight="false" outlineLevel="0" collapsed="false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1.5" hidden="false" customHeight="true" outlineLevel="0" collapsed="false">
      <c r="A3" s="27" t="s">
        <v>133</v>
      </c>
      <c r="B3" s="27" t="s">
        <v>199</v>
      </c>
      <c r="C3" s="27" t="s">
        <v>200</v>
      </c>
      <c r="D3" s="27" t="s">
        <v>201</v>
      </c>
      <c r="E3" s="27" t="s">
        <v>202</v>
      </c>
      <c r="F3" s="27" t="s">
        <v>203</v>
      </c>
      <c r="G3" s="27" t="s">
        <v>204</v>
      </c>
      <c r="H3" s="27" t="s">
        <v>205</v>
      </c>
      <c r="I3" s="27" t="s">
        <v>206</v>
      </c>
      <c r="J3" s="27" t="s">
        <v>207</v>
      </c>
      <c r="K3" s="27" t="s">
        <v>208</v>
      </c>
      <c r="L3" s="27" t="s">
        <v>209</v>
      </c>
      <c r="M3" s="27" t="s">
        <v>210</v>
      </c>
      <c r="N3" s="27" t="s">
        <v>211</v>
      </c>
      <c r="O3" s="27" t="s">
        <v>137</v>
      </c>
    </row>
    <row r="4" customFormat="false" ht="15" hidden="false" customHeight="false" outlineLevel="0" collapsed="false">
      <c r="A4" s="3" t="n">
        <v>2022</v>
      </c>
      <c r="B4" s="40" t="n">
        <f aca="false">SUMIFS(Trades!$X$2:$X$1146,Trades!$F$2:$F$1146,"2022-01")</f>
        <v>0</v>
      </c>
      <c r="C4" s="40" t="n">
        <f aca="false">SUMIFS(Trades!$X$2:$X$1146,Trades!$F$2:$F$1146,"2022-02")</f>
        <v>0</v>
      </c>
      <c r="D4" s="40" t="n">
        <f aca="false">SUMIFS(Trades!$X$2:$X$1146,Trades!$F$2:$F$1146,"2022-03")</f>
        <v>0</v>
      </c>
      <c r="E4" s="40" t="n">
        <f aca="false">SUMIFS(Trades!$X$2:$X$1146,Trades!$F$2:$F$1146,"2022-04")</f>
        <v>31.44</v>
      </c>
      <c r="F4" s="40" t="n">
        <f aca="false">SUMIFS(Trades!$X$2:$X$1146,Trades!$F$2:$F$1146,"2022-05")</f>
        <v>300.22</v>
      </c>
      <c r="G4" s="40" t="n">
        <f aca="false">SUMIFS(Trades!$X$2:$X$1146,Trades!$F$2:$F$1146,"2022-06")</f>
        <v>-466.03</v>
      </c>
      <c r="H4" s="40" t="n">
        <f aca="false">SUMIFS(Trades!$X$2:$X$1146,Trades!$F$2:$F$1146,"2022-07")</f>
        <v>859</v>
      </c>
      <c r="I4" s="40" t="n">
        <f aca="false">SUMIFS(Trades!$X$2:$X$1146,Trades!$F$2:$F$1146,"2022-08")</f>
        <v>204.67</v>
      </c>
      <c r="J4" s="40" t="n">
        <f aca="false">SUMIFS(Trades!$X$2:$X$1146,Trades!$F$2:$F$1146,"2022-09")</f>
        <v>961.13</v>
      </c>
      <c r="K4" s="40" t="n">
        <f aca="false">SUMIFS(Trades!$X$2:$X$1146,Trades!$F$2:$F$1146,"2022-10")</f>
        <v>-616.01</v>
      </c>
      <c r="L4" s="40" t="n">
        <f aca="false">SUMIFS(Trades!$X$2:$X$1146,Trades!$F$2:$F$1146,"2022-11")</f>
        <v>1291.71</v>
      </c>
      <c r="M4" s="40" t="n">
        <f aca="false">SUMIFS(Trades!$X$2:$X$1146,Trades!$F$2:$F$1146,"2022-12")</f>
        <v>272.62</v>
      </c>
      <c r="N4" s="40" t="n">
        <f aca="false">SUM(B4:M4)</f>
        <v>2838.75</v>
      </c>
      <c r="O4" s="41" t="n">
        <f aca="false">IFERROR(N4/Summary!$C$5,0)</f>
        <v>0.283875</v>
      </c>
    </row>
    <row r="5" customFormat="false" ht="15" hidden="false" customHeight="false" outlineLevel="0" collapsed="false">
      <c r="A5" s="3" t="n">
        <v>2023</v>
      </c>
      <c r="B5" s="40" t="n">
        <f aca="false">SUMIFS(Trades!$X$2:$X$1146,Trades!$F$2:$F$1146,"2023-01")</f>
        <v>-336.15</v>
      </c>
      <c r="C5" s="40" t="n">
        <f aca="false">SUMIFS(Trades!$X$2:$X$1146,Trades!$F$2:$F$1146,"2023-02")</f>
        <v>489.1</v>
      </c>
      <c r="D5" s="40" t="n">
        <f aca="false">SUMIFS(Trades!$X$2:$X$1146,Trades!$F$2:$F$1146,"2023-03")</f>
        <v>238.8</v>
      </c>
      <c r="E5" s="40" t="n">
        <f aca="false">SUMIFS(Trades!$X$2:$X$1146,Trades!$F$2:$F$1146,"2023-04")</f>
        <v>-307.3</v>
      </c>
      <c r="F5" s="40" t="n">
        <f aca="false">SUMIFS(Trades!$X$2:$X$1146,Trades!$F$2:$F$1146,"2023-05")</f>
        <v>-143.72</v>
      </c>
      <c r="G5" s="40" t="n">
        <f aca="false">SUMIFS(Trades!$X$2:$X$1146,Trades!$F$2:$F$1146,"2023-06")</f>
        <v>991.48</v>
      </c>
      <c r="H5" s="40" t="n">
        <f aca="false">SUMIFS(Trades!$X$2:$X$1146,Trades!$F$2:$F$1146,"2023-07")</f>
        <v>-112.88</v>
      </c>
      <c r="I5" s="40" t="n">
        <f aca="false">SUMIFS(Trades!$X$2:$X$1146,Trades!$F$2:$F$1146,"2023-08")</f>
        <v>-255.88</v>
      </c>
      <c r="J5" s="40" t="n">
        <f aca="false">SUMIFS(Trades!$X$2:$X$1146,Trades!$F$2:$F$1146,"2023-09")</f>
        <v>-105.16</v>
      </c>
      <c r="K5" s="40" t="n">
        <f aca="false">SUMIFS(Trades!$X$2:$X$1146,Trades!$F$2:$F$1146,"2023-10")</f>
        <v>295.24</v>
      </c>
      <c r="L5" s="40" t="n">
        <f aca="false">SUMIFS(Trades!$X$2:$X$1146,Trades!$F$2:$F$1146,"2023-11")</f>
        <v>537.76</v>
      </c>
      <c r="M5" s="40" t="n">
        <f aca="false">SUMIFS(Trades!$X$2:$X$1146,Trades!$F$2:$F$1146,"2023-12")</f>
        <v>-8.64</v>
      </c>
      <c r="N5" s="40" t="n">
        <f aca="false">SUM(B5:M5)</f>
        <v>1282.65</v>
      </c>
      <c r="O5" s="41" t="n">
        <f aca="false">IFERROR(N5/Summary!$C$5,0)</f>
        <v>0.128265</v>
      </c>
    </row>
    <row r="6" customFormat="false" ht="15" hidden="false" customHeight="false" outlineLevel="0" collapsed="false">
      <c r="A6" s="3" t="n">
        <v>2024</v>
      </c>
      <c r="B6" s="40" t="n">
        <f aca="false">SUMIFS(Trades!$X$2:$X$1146,Trades!$F$2:$F$1146,"2024-01")</f>
        <v>544.76</v>
      </c>
      <c r="C6" s="40" t="n">
        <f aca="false">SUMIFS(Trades!$X$2:$X$1146,Trades!$F$2:$F$1146,"2024-02")</f>
        <v>980.32</v>
      </c>
      <c r="D6" s="40" t="n">
        <f aca="false">SUMIFS(Trades!$X$2:$X$1146,Trades!$F$2:$F$1146,"2024-03")</f>
        <v>-51.84</v>
      </c>
      <c r="E6" s="40" t="n">
        <f aca="false">SUMIFS(Trades!$X$2:$X$1146,Trades!$F$2:$F$1146,"2024-04")</f>
        <v>-493.8</v>
      </c>
      <c r="F6" s="40" t="n">
        <f aca="false">SUMIFS(Trades!$X$2:$X$1146,Trades!$F$2:$F$1146,"2024-05")</f>
        <v>74.41</v>
      </c>
      <c r="G6" s="40" t="n">
        <f aca="false">SUMIFS(Trades!$X$2:$X$1146,Trades!$F$2:$F$1146,"2024-06")</f>
        <v>91.97</v>
      </c>
      <c r="H6" s="40" t="n">
        <f aca="false">SUMIFS(Trades!$X$2:$X$1146,Trades!$F$2:$F$1146,"2024-07")</f>
        <v>-330.9</v>
      </c>
      <c r="I6" s="40" t="n">
        <f aca="false">SUMIFS(Trades!$X$2:$X$1146,Trades!$F$2:$F$1146,"2024-08")</f>
        <v>-377.36</v>
      </c>
      <c r="J6" s="40" t="n">
        <f aca="false">SUMIFS(Trades!$X$2:$X$1146,Trades!$F$2:$F$1146,"2024-09")</f>
        <v>182.22</v>
      </c>
      <c r="K6" s="40" t="n">
        <f aca="false">SUMIFS(Trades!$X$2:$X$1146,Trades!$F$2:$F$1146,"2024-10")</f>
        <v>-614.61</v>
      </c>
      <c r="L6" s="40" t="n">
        <f aca="false">SUMIFS(Trades!$X$2:$X$1146,Trades!$F$2:$F$1146,"2024-11")</f>
        <v>327.93</v>
      </c>
      <c r="M6" s="40" t="n">
        <f aca="false">SUMIFS(Trades!$X$2:$X$1146,Trades!$F$2:$F$1146,"2024-12")</f>
        <v>259.8</v>
      </c>
      <c r="N6" s="40" t="n">
        <f aca="false">SUM(B6:M6)</f>
        <v>592.9</v>
      </c>
      <c r="O6" s="41" t="n">
        <f aca="false">IFERROR(N6/Summary!$C$5,0)</f>
        <v>0.05929</v>
      </c>
    </row>
    <row r="7" customFormat="false" ht="15" hidden="false" customHeight="false" outlineLevel="0" collapsed="false">
      <c r="A7" s="3" t="n">
        <v>2025</v>
      </c>
      <c r="B7" s="40" t="n">
        <f aca="false">SUMIFS(Trades!$X$2:$X$1146,Trades!$F$2:$F$1146,"2025-01")</f>
        <v>1437.39</v>
      </c>
      <c r="C7" s="40" t="n">
        <f aca="false">SUMIFS(Trades!$X$2:$X$1146,Trades!$F$2:$F$1146,"2025-02")</f>
        <v>-123.75</v>
      </c>
      <c r="D7" s="40" t="n">
        <f aca="false">SUMIFS(Trades!$X$2:$X$1146,Trades!$F$2:$F$1146,"2025-03")</f>
        <v>527.72</v>
      </c>
      <c r="E7" s="40" t="n">
        <f aca="false">SUMIFS(Trades!$X$2:$X$1146,Trades!$F$2:$F$1146,"2025-04")</f>
        <v>853.82</v>
      </c>
      <c r="F7" s="40" t="n">
        <f aca="false">SUMIFS(Trades!$X$2:$X$1146,Trades!$F$2:$F$1146,"2025-05")</f>
        <v>877.16</v>
      </c>
      <c r="G7" s="40" t="n">
        <f aca="false">SUMIFS(Trades!$X$2:$X$1146,Trades!$F$2:$F$1146,"2025-06")</f>
        <v>-63.36</v>
      </c>
      <c r="H7" s="40" t="n">
        <f aca="false">SUMIFS(Trades!$X$2:$X$1146,Trades!$F$2:$F$1146,"2025-07")</f>
        <v>888.24</v>
      </c>
      <c r="I7" s="40" t="n">
        <f aca="false">SUMIFS(Trades!$X$2:$X$1146,Trades!$F$2:$F$1146,"2025-08")</f>
        <v>358.43</v>
      </c>
      <c r="J7" s="40" t="n">
        <f aca="false">SUMIFS(Trades!$X$2:$X$1146,Trades!$F$2:$F$1146,"2025-09")</f>
        <v>-176.51</v>
      </c>
      <c r="K7" s="40" t="n">
        <f aca="false">SUMIFS(Trades!$X$2:$X$1146,Trades!$F$2:$F$1146,"2025-10")</f>
        <v>1095.87</v>
      </c>
      <c r="L7" s="40" t="n">
        <f aca="false">SUMIFS(Trades!$X$2:$X$1146,Trades!$F$2:$F$1146,"2025-11")</f>
        <v>568.61</v>
      </c>
      <c r="M7" s="40" t="n">
        <f aca="false">SUMIFS(Trades!$X$2:$X$1146,Trades!$F$2:$F$1146,"2025-12")</f>
        <v>116.68</v>
      </c>
      <c r="N7" s="40" t="n">
        <f aca="false">SUM(B7:M7)</f>
        <v>6360.3</v>
      </c>
      <c r="O7" s="41" t="n">
        <f aca="false">IFERROR(N7/Summary!$C$5,0)</f>
        <v>0.63603</v>
      </c>
    </row>
    <row r="8" customFormat="false" ht="15" hidden="false" customHeight="false" outlineLevel="0" collapsed="false">
      <c r="A8" s="3" t="n">
        <v>2026</v>
      </c>
      <c r="B8" s="40" t="n">
        <f aca="false">SUMIFS(Trades!$X$2:$X$1146,Trades!$F$2:$F$1146,"2026-01")</f>
        <v>1475.36</v>
      </c>
      <c r="C8" s="40" t="n">
        <f aca="false">SUMIFS(Trades!$X$2:$X$1146,Trades!$F$2:$F$1146,"2026-02")</f>
        <v>381.68</v>
      </c>
      <c r="D8" s="40" t="n">
        <f aca="false">SUMIFS(Trades!$X$2:$X$1146,Trades!$F$2:$F$1146,"2026-03")</f>
        <v>147.93</v>
      </c>
      <c r="E8" s="40" t="n">
        <f aca="false">SUMIFS(Trades!$X$2:$X$1146,Trades!$F$2:$F$1146,"2026-04")</f>
        <v>-796.92</v>
      </c>
      <c r="F8" s="40" t="n">
        <f aca="false">SUMIFS(Trades!$X$2:$X$1146,Trades!$F$2:$F$1146,"2026-05")</f>
        <v>539.34</v>
      </c>
      <c r="G8" s="40" t="n">
        <f aca="false">SUMIFS(Trades!$X$2:$X$1146,Trades!$F$2:$F$1146,"2026-06")</f>
        <v>309.81</v>
      </c>
      <c r="H8" s="40" t="n">
        <f aca="false">SUMIFS(Trades!$X$2:$X$1146,Trades!$F$2:$F$1146,"2026-07")</f>
        <v>55.18</v>
      </c>
      <c r="I8" s="40" t="n">
        <f aca="false">SUMIFS(Trades!$X$2:$X$1146,Trades!$F$2:$F$1146,"2026-08")</f>
        <v>778.86</v>
      </c>
      <c r="J8" s="40" t="n">
        <f aca="false">SUMIFS(Trades!$X$2:$X$1146,Trades!$F$2:$F$1146,"2026-09")</f>
        <v>674.41</v>
      </c>
      <c r="K8" s="40" t="n">
        <f aca="false">SUMIFS(Trades!$X$2:$X$1146,Trades!$F$2:$F$1146,"2026-10")</f>
        <v>0</v>
      </c>
      <c r="L8" s="40" t="n">
        <f aca="false">SUMIFS(Trades!$X$2:$X$1146,Trades!$F$2:$F$1146,"2026-11")</f>
        <v>0</v>
      </c>
      <c r="M8" s="40" t="n">
        <f aca="false">SUMIFS(Trades!$X$2:$X$1146,Trades!$F$2:$F$1146,"2026-12")</f>
        <v>0</v>
      </c>
      <c r="N8" s="40" t="n">
        <f aca="false">SUM(B8:M8)</f>
        <v>3565.65</v>
      </c>
      <c r="O8" s="41" t="n">
        <f aca="false">IFERROR(N8/Summary!$C$5,0)</f>
        <v>0.356565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5" hidden="false" customHeight="false" outlineLevel="0" collapsed="false">
      <c r="A10" s="3" t="s">
        <v>212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31.5" hidden="false" customHeight="true" outlineLevel="0" collapsed="false">
      <c r="A11" s="27" t="s">
        <v>133</v>
      </c>
      <c r="B11" s="27" t="s">
        <v>199</v>
      </c>
      <c r="C11" s="27" t="s">
        <v>200</v>
      </c>
      <c r="D11" s="27" t="s">
        <v>201</v>
      </c>
      <c r="E11" s="27" t="s">
        <v>202</v>
      </c>
      <c r="F11" s="27" t="s">
        <v>203</v>
      </c>
      <c r="G11" s="27" t="s">
        <v>204</v>
      </c>
      <c r="H11" s="27" t="s">
        <v>205</v>
      </c>
      <c r="I11" s="27" t="s">
        <v>206</v>
      </c>
      <c r="J11" s="27" t="s">
        <v>207</v>
      </c>
      <c r="K11" s="27" t="s">
        <v>208</v>
      </c>
      <c r="L11" s="27" t="s">
        <v>209</v>
      </c>
      <c r="M11" s="27" t="s">
        <v>210</v>
      </c>
      <c r="N11" s="27" t="s">
        <v>211</v>
      </c>
      <c r="O11" s="2"/>
    </row>
    <row r="12" customFormat="false" ht="15" hidden="false" customHeight="false" outlineLevel="0" collapsed="false">
      <c r="A12" s="3" t="n">
        <v>2022</v>
      </c>
      <c r="B12" s="2" t="n">
        <f aca="false">COUNTIFS(Trades!$F$2:$F$1146,"2022-01")</f>
        <v>0</v>
      </c>
      <c r="C12" s="2" t="n">
        <f aca="false">COUNTIFS(Trades!$F$2:$F$1146,"2022-02")</f>
        <v>0</v>
      </c>
      <c r="D12" s="2" t="n">
        <f aca="false">COUNTIFS(Trades!$F$2:$F$1146,"2022-03")</f>
        <v>0</v>
      </c>
      <c r="E12" s="2" t="n">
        <f aca="false">COUNTIFS(Trades!$F$2:$F$1146,"2022-04")</f>
        <v>21</v>
      </c>
      <c r="F12" s="2" t="n">
        <f aca="false">COUNTIFS(Trades!$F$2:$F$1146,"2022-05")</f>
        <v>24</v>
      </c>
      <c r="G12" s="2" t="n">
        <f aca="false">COUNTIFS(Trades!$F$2:$F$1146,"2022-06")</f>
        <v>22</v>
      </c>
      <c r="H12" s="2" t="n">
        <f aca="false">COUNTIFS(Trades!$F$2:$F$1146,"2022-07")</f>
        <v>20</v>
      </c>
      <c r="I12" s="2" t="n">
        <f aca="false">COUNTIFS(Trades!$F$2:$F$1146,"2022-08")</f>
        <v>23</v>
      </c>
      <c r="J12" s="2" t="n">
        <f aca="false">COUNTIFS(Trades!$F$2:$F$1146,"2022-09")</f>
        <v>25</v>
      </c>
      <c r="K12" s="2" t="n">
        <f aca="false">COUNTIFS(Trades!$F$2:$F$1146,"2022-10")</f>
        <v>20</v>
      </c>
      <c r="L12" s="2" t="n">
        <f aca="false">COUNTIFS(Trades!$F$2:$F$1146,"2022-11")</f>
        <v>24</v>
      </c>
      <c r="M12" s="2" t="n">
        <f aca="false">COUNTIFS(Trades!$F$2:$F$1146,"2022-12")</f>
        <v>18</v>
      </c>
      <c r="N12" s="2" t="n">
        <f aca="false">SUM(B12:M12)</f>
        <v>197</v>
      </c>
      <c r="O12" s="2"/>
    </row>
    <row r="13" customFormat="false" ht="15" hidden="false" customHeight="false" outlineLevel="0" collapsed="false">
      <c r="A13" s="3" t="n">
        <v>2023</v>
      </c>
      <c r="B13" s="2" t="n">
        <f aca="false">COUNTIFS(Trades!$F$2:$F$1146,"2023-01")</f>
        <v>22</v>
      </c>
      <c r="C13" s="2" t="n">
        <f aca="false">COUNTIFS(Trades!$F$2:$F$1146,"2023-02")</f>
        <v>17</v>
      </c>
      <c r="D13" s="2" t="n">
        <f aca="false">COUNTIFS(Trades!$F$2:$F$1146,"2023-03")</f>
        <v>22</v>
      </c>
      <c r="E13" s="2" t="n">
        <f aca="false">COUNTIFS(Trades!$F$2:$F$1146,"2023-04")</f>
        <v>19</v>
      </c>
      <c r="F13" s="2" t="n">
        <f aca="false">COUNTIFS(Trades!$F$2:$F$1146,"2023-05")</f>
        <v>25</v>
      </c>
      <c r="G13" s="2" t="n">
        <f aca="false">COUNTIFS(Trades!$F$2:$F$1146,"2023-06")</f>
        <v>21</v>
      </c>
      <c r="H13" s="2" t="n">
        <f aca="false">COUNTIFS(Trades!$F$2:$F$1146,"2023-07")</f>
        <v>22</v>
      </c>
      <c r="I13" s="2" t="n">
        <f aca="false">COUNTIFS(Trades!$F$2:$F$1146,"2023-08")</f>
        <v>26</v>
      </c>
      <c r="J13" s="2" t="n">
        <f aca="false">COUNTIFS(Trades!$F$2:$F$1146,"2023-09")</f>
        <v>21</v>
      </c>
      <c r="K13" s="2" t="n">
        <f aca="false">COUNTIFS(Trades!$F$2:$F$1146,"2023-10")</f>
        <v>21</v>
      </c>
      <c r="L13" s="2" t="n">
        <f aca="false">COUNTIFS(Trades!$F$2:$F$1146,"2023-11")</f>
        <v>22</v>
      </c>
      <c r="M13" s="2" t="n">
        <f aca="false">COUNTIFS(Trades!$F$2:$F$1146,"2023-12")</f>
        <v>19</v>
      </c>
      <c r="N13" s="2" t="n">
        <f aca="false">SUM(B13:M13)</f>
        <v>257</v>
      </c>
      <c r="O13" s="2"/>
    </row>
    <row r="14" customFormat="false" ht="15" hidden="false" customHeight="false" outlineLevel="0" collapsed="false">
      <c r="A14" s="3" t="n">
        <v>2024</v>
      </c>
      <c r="B14" s="2" t="n">
        <f aca="false">COUNTIFS(Trades!$F$2:$F$1146,"2024-01")</f>
        <v>22</v>
      </c>
      <c r="C14" s="2" t="n">
        <f aca="false">COUNTIFS(Trades!$F$2:$F$1146,"2024-02")</f>
        <v>19</v>
      </c>
      <c r="D14" s="2" t="n">
        <f aca="false">COUNTIFS(Trades!$F$2:$F$1146,"2024-03")</f>
        <v>19</v>
      </c>
      <c r="E14" s="2" t="n">
        <f aca="false">COUNTIFS(Trades!$F$2:$F$1146,"2024-04")</f>
        <v>23</v>
      </c>
      <c r="F14" s="2" t="n">
        <f aca="false">COUNTIFS(Trades!$F$2:$F$1146,"2024-05")</f>
        <v>22</v>
      </c>
      <c r="G14" s="2" t="n">
        <f aca="false">COUNTIFS(Trades!$F$2:$F$1146,"2024-06")</f>
        <v>17</v>
      </c>
      <c r="H14" s="2" t="n">
        <f aca="false">COUNTIFS(Trades!$F$2:$F$1146,"2024-07")</f>
        <v>21</v>
      </c>
      <c r="I14" s="2" t="n">
        <f aca="false">COUNTIFS(Trades!$F$2:$F$1146,"2024-08")</f>
        <v>23</v>
      </c>
      <c r="J14" s="2" t="n">
        <f aca="false">COUNTIFS(Trades!$F$2:$F$1146,"2024-09")</f>
        <v>21</v>
      </c>
      <c r="K14" s="2" t="n">
        <f aca="false">COUNTIFS(Trades!$F$2:$F$1146,"2024-10")</f>
        <v>21</v>
      </c>
      <c r="L14" s="2" t="n">
        <f aca="false">COUNTIFS(Trades!$F$2:$F$1146,"2024-11")</f>
        <v>18</v>
      </c>
      <c r="M14" s="2" t="n">
        <f aca="false">COUNTIFS(Trades!$F$2:$F$1146,"2024-12")</f>
        <v>19</v>
      </c>
      <c r="N14" s="2" t="n">
        <f aca="false">SUM(B14:M14)</f>
        <v>245</v>
      </c>
      <c r="O14" s="2"/>
    </row>
    <row r="15" customFormat="false" ht="15" hidden="false" customHeight="false" outlineLevel="0" collapsed="false">
      <c r="A15" s="3" t="n">
        <v>2025</v>
      </c>
      <c r="B15" s="2" t="n">
        <f aca="false">COUNTIFS(Trades!$F$2:$F$1146,"2025-01")</f>
        <v>20</v>
      </c>
      <c r="C15" s="2" t="n">
        <f aca="false">COUNTIFS(Trades!$F$2:$F$1146,"2025-02")</f>
        <v>20</v>
      </c>
      <c r="D15" s="2" t="n">
        <f aca="false">COUNTIFS(Trades!$F$2:$F$1146,"2025-03")</f>
        <v>21</v>
      </c>
      <c r="E15" s="2" t="n">
        <f aca="false">COUNTIFS(Trades!$F$2:$F$1146,"2025-04")</f>
        <v>20</v>
      </c>
      <c r="F15" s="2" t="n">
        <f aca="false">COUNTIFS(Trades!$F$2:$F$1146,"2025-05")</f>
        <v>24</v>
      </c>
      <c r="G15" s="2" t="n">
        <f aca="false">COUNTIFS(Trades!$F$2:$F$1146,"2025-06")</f>
        <v>21</v>
      </c>
      <c r="H15" s="2" t="n">
        <f aca="false">COUNTIFS(Trades!$F$2:$F$1146,"2025-07")</f>
        <v>23</v>
      </c>
      <c r="I15" s="2" t="n">
        <f aca="false">COUNTIFS(Trades!$F$2:$F$1146,"2025-08")</f>
        <v>21</v>
      </c>
      <c r="J15" s="2" t="n">
        <f aca="false">COUNTIFS(Trades!$F$2:$F$1146,"2025-09")</f>
        <v>19</v>
      </c>
      <c r="K15" s="2" t="n">
        <f aca="false">COUNTIFS(Trades!$F$2:$F$1146,"2025-10")</f>
        <v>27</v>
      </c>
      <c r="L15" s="2" t="n">
        <f aca="false">COUNTIFS(Trades!$F$2:$F$1146,"2025-11")</f>
        <v>19</v>
      </c>
      <c r="M15" s="2" t="n">
        <f aca="false">COUNTIFS(Trades!$F$2:$F$1146,"2025-12")</f>
        <v>23</v>
      </c>
      <c r="N15" s="2" t="n">
        <f aca="false">SUM(B15:M15)</f>
        <v>258</v>
      </c>
      <c r="O15" s="2"/>
    </row>
    <row r="16" customFormat="false" ht="15" hidden="false" customHeight="false" outlineLevel="0" collapsed="false">
      <c r="A16" s="3" t="n">
        <v>2026</v>
      </c>
      <c r="B16" s="2" t="n">
        <f aca="false">COUNTIFS(Trades!$F$2:$F$1146,"2026-01")</f>
        <v>21</v>
      </c>
      <c r="C16" s="2" t="n">
        <f aca="false">COUNTIFS(Trades!$F$2:$F$1146,"2026-02")</f>
        <v>22</v>
      </c>
      <c r="D16" s="2" t="n">
        <f aca="false">COUNTIFS(Trades!$F$2:$F$1146,"2026-03")</f>
        <v>23</v>
      </c>
      <c r="E16" s="2" t="n">
        <f aca="false">COUNTIFS(Trades!$F$2:$F$1146,"2026-04")</f>
        <v>21</v>
      </c>
      <c r="F16" s="2" t="n">
        <f aca="false">COUNTIFS(Trades!$F$2:$F$1146,"2026-05")</f>
        <v>21</v>
      </c>
      <c r="G16" s="2" t="n">
        <f aca="false">COUNTIFS(Trades!$F$2:$F$1146,"2026-06")</f>
        <v>22</v>
      </c>
      <c r="H16" s="2" t="n">
        <f aca="false">COUNTIFS(Trades!$F$2:$F$1146,"2026-07")</f>
        <v>20</v>
      </c>
      <c r="I16" s="2" t="n">
        <f aca="false">COUNTIFS(Trades!$F$2:$F$1146,"2026-08")</f>
        <v>18</v>
      </c>
      <c r="J16" s="2" t="n">
        <f aca="false">COUNTIFS(Trades!$F$2:$F$1146,"2026-09")</f>
        <v>20</v>
      </c>
      <c r="K16" s="2" t="n">
        <f aca="false">COUNTIFS(Trades!$F$2:$F$1146,"2026-10")</f>
        <v>0</v>
      </c>
      <c r="L16" s="2" t="n">
        <f aca="false">COUNTIFS(Trades!$F$2:$F$1146,"2026-11")</f>
        <v>0</v>
      </c>
      <c r="M16" s="2" t="n">
        <f aca="false">COUNTIFS(Trades!$F$2:$F$1146,"2026-12")</f>
        <v>0</v>
      </c>
      <c r="N16" s="2" t="n">
        <f aca="false">SUM(B16:M16)</f>
        <v>188</v>
      </c>
      <c r="O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3" t="s">
        <v>213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31.5" hidden="false" customHeight="true" outlineLevel="0" collapsed="false">
      <c r="A19" s="27" t="s">
        <v>133</v>
      </c>
      <c r="B19" s="27" t="s">
        <v>199</v>
      </c>
      <c r="C19" s="27" t="s">
        <v>200</v>
      </c>
      <c r="D19" s="27" t="s">
        <v>201</v>
      </c>
      <c r="E19" s="27" t="s">
        <v>202</v>
      </c>
      <c r="F19" s="27" t="s">
        <v>203</v>
      </c>
      <c r="G19" s="27" t="s">
        <v>204</v>
      </c>
      <c r="H19" s="27" t="s">
        <v>205</v>
      </c>
      <c r="I19" s="27" t="s">
        <v>206</v>
      </c>
      <c r="J19" s="27" t="s">
        <v>207</v>
      </c>
      <c r="K19" s="27" t="s">
        <v>208</v>
      </c>
      <c r="L19" s="27" t="s">
        <v>209</v>
      </c>
      <c r="M19" s="27" t="s">
        <v>210</v>
      </c>
      <c r="N19" s="2"/>
      <c r="O19" s="2"/>
    </row>
    <row r="20" customFormat="false" ht="15" hidden="false" customHeight="false" outlineLevel="0" collapsed="false">
      <c r="A20" s="3" t="n">
        <v>2022</v>
      </c>
      <c r="B20" s="42" t="str">
        <f aca="false">IFERROR(COUNTIFS(Trades!$F$2:$F$1146,"2022-01",Trades!$Z$2:$Z$1146,"Win")/COUNTIFS(Trades!$F$2:$F$1146,"2022-01"),"")</f>
        <v/>
      </c>
      <c r="C20" s="42" t="str">
        <f aca="false">IFERROR(COUNTIFS(Trades!$F$2:$F$1146,"2022-02",Trades!$Z$2:$Z$1146,"Win")/COUNTIFS(Trades!$F$2:$F$1146,"2022-02"),"")</f>
        <v/>
      </c>
      <c r="D20" s="42" t="str">
        <f aca="false">IFERROR(COUNTIFS(Trades!$F$2:$F$1146,"2022-03",Trades!$Z$2:$Z$1146,"Win")/COUNTIFS(Trades!$F$2:$F$1146,"2022-03"),"")</f>
        <v/>
      </c>
      <c r="E20" s="42" t="n">
        <f aca="false">IFERROR(COUNTIFS(Trades!$F$2:$F$1146,"2022-04",Trades!$Z$2:$Z$1146,"Win")/COUNTIFS(Trades!$F$2:$F$1146,"2022-04"),"")</f>
        <v>0.238095238095238</v>
      </c>
      <c r="F20" s="42" t="n">
        <f aca="false">IFERROR(COUNTIFS(Trades!$F$2:$F$1146,"2022-05",Trades!$Z$2:$Z$1146,"Win")/COUNTIFS(Trades!$F$2:$F$1146,"2022-05"),"")</f>
        <v>0.208333333333333</v>
      </c>
      <c r="G20" s="42" t="n">
        <f aca="false">IFERROR(COUNTIFS(Trades!$F$2:$F$1146,"2022-06",Trades!$Z$2:$Z$1146,"Win")/COUNTIFS(Trades!$F$2:$F$1146,"2022-06"),"")</f>
        <v>0.181818181818182</v>
      </c>
      <c r="H20" s="42" t="n">
        <f aca="false">IFERROR(COUNTIFS(Trades!$F$2:$F$1146,"2022-07",Trades!$Z$2:$Z$1146,"Win")/COUNTIFS(Trades!$F$2:$F$1146,"2022-07"),"")</f>
        <v>0.3</v>
      </c>
      <c r="I20" s="42" t="n">
        <f aca="false">IFERROR(COUNTIFS(Trades!$F$2:$F$1146,"2022-08",Trades!$Z$2:$Z$1146,"Win")/COUNTIFS(Trades!$F$2:$F$1146,"2022-08"),"")</f>
        <v>0.217391304347826</v>
      </c>
      <c r="J20" s="42" t="n">
        <f aca="false">IFERROR(COUNTIFS(Trades!$F$2:$F$1146,"2022-09",Trades!$Z$2:$Z$1146,"Win")/COUNTIFS(Trades!$F$2:$F$1146,"2022-09"),"")</f>
        <v>0.32</v>
      </c>
      <c r="K20" s="42" t="n">
        <f aca="false">IFERROR(COUNTIFS(Trades!$F$2:$F$1146,"2022-10",Trades!$Z$2:$Z$1146,"Win")/COUNTIFS(Trades!$F$2:$F$1146,"2022-10"),"")</f>
        <v>0.2</v>
      </c>
      <c r="L20" s="42" t="n">
        <f aca="false">IFERROR(COUNTIFS(Trades!$F$2:$F$1146,"2022-11",Trades!$Z$2:$Z$1146,"Win")/COUNTIFS(Trades!$F$2:$F$1146,"2022-11"),"")</f>
        <v>0.333333333333333</v>
      </c>
      <c r="M20" s="42" t="n">
        <f aca="false">IFERROR(COUNTIFS(Trades!$F$2:$F$1146,"2022-12",Trades!$Z$2:$Z$1146,"Win")/COUNTIFS(Trades!$F$2:$F$1146,"2022-12"),"")</f>
        <v>0.333333333333333</v>
      </c>
      <c r="N20" s="2"/>
      <c r="O20" s="2"/>
    </row>
    <row r="21" customFormat="false" ht="15" hidden="false" customHeight="false" outlineLevel="0" collapsed="false">
      <c r="A21" s="3" t="n">
        <v>2023</v>
      </c>
      <c r="B21" s="42" t="n">
        <f aca="false">IFERROR(COUNTIFS(Trades!$F$2:$F$1146,"2023-01",Trades!$Z$2:$Z$1146,"Win")/COUNTIFS(Trades!$F$2:$F$1146,"2023-01"),"")</f>
        <v>0.227272727272727</v>
      </c>
      <c r="C21" s="42" t="n">
        <f aca="false">IFERROR(COUNTIFS(Trades!$F$2:$F$1146,"2023-02",Trades!$Z$2:$Z$1146,"Win")/COUNTIFS(Trades!$F$2:$F$1146,"2023-02"),"")</f>
        <v>0.470588235294118</v>
      </c>
      <c r="D21" s="42" t="n">
        <f aca="false">IFERROR(COUNTIFS(Trades!$F$2:$F$1146,"2023-03",Trades!$Z$2:$Z$1146,"Win")/COUNTIFS(Trades!$F$2:$F$1146,"2023-03"),"")</f>
        <v>0.227272727272727</v>
      </c>
      <c r="E21" s="42" t="n">
        <f aca="false">IFERROR(COUNTIFS(Trades!$F$2:$F$1146,"2023-04",Trades!$Z$2:$Z$1146,"Win")/COUNTIFS(Trades!$F$2:$F$1146,"2023-04"),"")</f>
        <v>0.210526315789474</v>
      </c>
      <c r="F21" s="42" t="n">
        <f aca="false">IFERROR(COUNTIFS(Trades!$F$2:$F$1146,"2023-05",Trades!$Z$2:$Z$1146,"Win")/COUNTIFS(Trades!$F$2:$F$1146,"2023-05"),"")</f>
        <v>0.2</v>
      </c>
      <c r="G21" s="42" t="n">
        <f aca="false">IFERROR(COUNTIFS(Trades!$F$2:$F$1146,"2023-06",Trades!$Z$2:$Z$1146,"Win")/COUNTIFS(Trades!$F$2:$F$1146,"2023-06"),"")</f>
        <v>0.619047619047619</v>
      </c>
      <c r="H21" s="42" t="n">
        <f aca="false">IFERROR(COUNTIFS(Trades!$F$2:$F$1146,"2023-07",Trades!$Z$2:$Z$1146,"Win")/COUNTIFS(Trades!$F$2:$F$1146,"2023-07"),"")</f>
        <v>0.227272727272727</v>
      </c>
      <c r="I21" s="42" t="n">
        <f aca="false">IFERROR(COUNTIFS(Trades!$F$2:$F$1146,"2023-08",Trades!$Z$2:$Z$1146,"Win")/COUNTIFS(Trades!$F$2:$F$1146,"2023-08"),"")</f>
        <v>0.192307692307692</v>
      </c>
      <c r="J21" s="42" t="n">
        <f aca="false">IFERROR(COUNTIFS(Trades!$F$2:$F$1146,"2023-09",Trades!$Z$2:$Z$1146,"Win")/COUNTIFS(Trades!$F$2:$F$1146,"2023-09"),"")</f>
        <v>0.142857142857143</v>
      </c>
      <c r="K21" s="42" t="n">
        <f aca="false">IFERROR(COUNTIFS(Trades!$F$2:$F$1146,"2023-10",Trades!$Z$2:$Z$1146,"Win")/COUNTIFS(Trades!$F$2:$F$1146,"2023-10"),"")</f>
        <v>0.238095238095238</v>
      </c>
      <c r="L21" s="42" t="n">
        <f aca="false">IFERROR(COUNTIFS(Trades!$F$2:$F$1146,"2023-11",Trades!$Z$2:$Z$1146,"Win")/COUNTIFS(Trades!$F$2:$F$1146,"2023-11"),"")</f>
        <v>0.409090909090909</v>
      </c>
      <c r="M21" s="42" t="n">
        <f aca="false">IFERROR(COUNTIFS(Trades!$F$2:$F$1146,"2023-12",Trades!$Z$2:$Z$1146,"Win")/COUNTIFS(Trades!$F$2:$F$1146,"2023-12"),"")</f>
        <v>0.315789473684211</v>
      </c>
      <c r="N21" s="2"/>
      <c r="O21" s="2"/>
    </row>
    <row r="22" customFormat="false" ht="15" hidden="false" customHeight="false" outlineLevel="0" collapsed="false">
      <c r="A22" s="3" t="n">
        <v>2024</v>
      </c>
      <c r="B22" s="42" t="n">
        <f aca="false">IFERROR(COUNTIFS(Trades!$F$2:$F$1146,"2024-01",Trades!$Z$2:$Z$1146,"Win")/COUNTIFS(Trades!$F$2:$F$1146,"2024-01"),"")</f>
        <v>0.318181818181818</v>
      </c>
      <c r="C22" s="42" t="n">
        <f aca="false">IFERROR(COUNTIFS(Trades!$F$2:$F$1146,"2024-02",Trades!$Z$2:$Z$1146,"Win")/COUNTIFS(Trades!$F$2:$F$1146,"2024-02"),"")</f>
        <v>0.210526315789474</v>
      </c>
      <c r="D22" s="42" t="n">
        <f aca="false">IFERROR(COUNTIFS(Trades!$F$2:$F$1146,"2024-03",Trades!$Z$2:$Z$1146,"Win")/COUNTIFS(Trades!$F$2:$F$1146,"2024-03"),"")</f>
        <v>0.157894736842105</v>
      </c>
      <c r="E22" s="42" t="n">
        <f aca="false">IFERROR(COUNTIFS(Trades!$F$2:$F$1146,"2024-04",Trades!$Z$2:$Z$1146,"Win")/COUNTIFS(Trades!$F$2:$F$1146,"2024-04"),"")</f>
        <v>0.217391304347826</v>
      </c>
      <c r="F22" s="42" t="n">
        <f aca="false">IFERROR(COUNTIFS(Trades!$F$2:$F$1146,"2024-05",Trades!$Z$2:$Z$1146,"Win")/COUNTIFS(Trades!$F$2:$F$1146,"2024-05"),"")</f>
        <v>0.227272727272727</v>
      </c>
      <c r="G22" s="42" t="n">
        <f aca="false">IFERROR(COUNTIFS(Trades!$F$2:$F$1146,"2024-06",Trades!$Z$2:$Z$1146,"Win")/COUNTIFS(Trades!$F$2:$F$1146,"2024-06"),"")</f>
        <v>0.235294117647059</v>
      </c>
      <c r="H22" s="42" t="n">
        <f aca="false">IFERROR(COUNTIFS(Trades!$F$2:$F$1146,"2024-07",Trades!$Z$2:$Z$1146,"Win")/COUNTIFS(Trades!$F$2:$F$1146,"2024-07"),"")</f>
        <v>0.142857142857143</v>
      </c>
      <c r="I22" s="42" t="n">
        <f aca="false">IFERROR(COUNTIFS(Trades!$F$2:$F$1146,"2024-08",Trades!$Z$2:$Z$1146,"Win")/COUNTIFS(Trades!$F$2:$F$1146,"2024-08"),"")</f>
        <v>0.217391304347826</v>
      </c>
      <c r="J22" s="42" t="n">
        <f aca="false">IFERROR(COUNTIFS(Trades!$F$2:$F$1146,"2024-09",Trades!$Z$2:$Z$1146,"Win")/COUNTIFS(Trades!$F$2:$F$1146,"2024-09"),"")</f>
        <v>0.333333333333333</v>
      </c>
      <c r="K22" s="42" t="n">
        <f aca="false">IFERROR(COUNTIFS(Trades!$F$2:$F$1146,"2024-10",Trades!$Z$2:$Z$1146,"Win")/COUNTIFS(Trades!$F$2:$F$1146,"2024-10"),"")</f>
        <v>0.0476190476190476</v>
      </c>
      <c r="L22" s="42" t="n">
        <f aca="false">IFERROR(COUNTIFS(Trades!$F$2:$F$1146,"2024-11",Trades!$Z$2:$Z$1146,"Win")/COUNTIFS(Trades!$F$2:$F$1146,"2024-11"),"")</f>
        <v>0.388888888888889</v>
      </c>
      <c r="M22" s="42" t="n">
        <f aca="false">IFERROR(COUNTIFS(Trades!$F$2:$F$1146,"2024-12",Trades!$Z$2:$Z$1146,"Win")/COUNTIFS(Trades!$F$2:$F$1146,"2024-12"),"")</f>
        <v>0.315789473684211</v>
      </c>
      <c r="N22" s="2"/>
      <c r="O22" s="2"/>
    </row>
    <row r="23" customFormat="false" ht="15" hidden="false" customHeight="false" outlineLevel="0" collapsed="false">
      <c r="A23" s="3" t="n">
        <v>2025</v>
      </c>
      <c r="B23" s="42" t="n">
        <f aca="false">IFERROR(COUNTIFS(Trades!$F$2:$F$1146,"2025-01",Trades!$Z$2:$Z$1146,"Win")/COUNTIFS(Trades!$F$2:$F$1146,"2025-01"),"")</f>
        <v>0.45</v>
      </c>
      <c r="C23" s="42" t="n">
        <f aca="false">IFERROR(COUNTIFS(Trades!$F$2:$F$1146,"2025-02",Trades!$Z$2:$Z$1146,"Win")/COUNTIFS(Trades!$F$2:$F$1146,"2025-02"),"")</f>
        <v>0.4</v>
      </c>
      <c r="D23" s="42" t="n">
        <f aca="false">IFERROR(COUNTIFS(Trades!$F$2:$F$1146,"2025-03",Trades!$Z$2:$Z$1146,"Win")/COUNTIFS(Trades!$F$2:$F$1146,"2025-03"),"")</f>
        <v>0.333333333333333</v>
      </c>
      <c r="E23" s="42" t="n">
        <f aca="false">IFERROR(COUNTIFS(Trades!$F$2:$F$1146,"2025-04",Trades!$Z$2:$Z$1146,"Win")/COUNTIFS(Trades!$F$2:$F$1146,"2025-04"),"")</f>
        <v>0.2</v>
      </c>
      <c r="F23" s="42" t="n">
        <f aca="false">IFERROR(COUNTIFS(Trades!$F$2:$F$1146,"2025-05",Trades!$Z$2:$Z$1146,"Win")/COUNTIFS(Trades!$F$2:$F$1146,"2025-05"),"")</f>
        <v>0.375</v>
      </c>
      <c r="G23" s="42" t="n">
        <f aca="false">IFERROR(COUNTIFS(Trades!$F$2:$F$1146,"2025-06",Trades!$Z$2:$Z$1146,"Win")/COUNTIFS(Trades!$F$2:$F$1146,"2025-06"),"")</f>
        <v>0.285714285714286</v>
      </c>
      <c r="H23" s="42" t="n">
        <f aca="false">IFERROR(COUNTIFS(Trades!$F$2:$F$1146,"2025-07",Trades!$Z$2:$Z$1146,"Win")/COUNTIFS(Trades!$F$2:$F$1146,"2025-07"),"")</f>
        <v>0.391304347826087</v>
      </c>
      <c r="I23" s="42" t="n">
        <f aca="false">IFERROR(COUNTIFS(Trades!$F$2:$F$1146,"2025-08",Trades!$Z$2:$Z$1146,"Win")/COUNTIFS(Trades!$F$2:$F$1146,"2025-08"),"")</f>
        <v>0.19047619047619</v>
      </c>
      <c r="J23" s="42" t="n">
        <f aca="false">IFERROR(COUNTIFS(Trades!$F$2:$F$1146,"2025-09",Trades!$Z$2:$Z$1146,"Win")/COUNTIFS(Trades!$F$2:$F$1146,"2025-09"),"")</f>
        <v>0.157894736842105</v>
      </c>
      <c r="K23" s="42" t="n">
        <f aca="false">IFERROR(COUNTIFS(Trades!$F$2:$F$1146,"2025-10",Trades!$Z$2:$Z$1146,"Win")/COUNTIFS(Trades!$F$2:$F$1146,"2025-10"),"")</f>
        <v>0.37037037037037</v>
      </c>
      <c r="L23" s="42" t="n">
        <f aca="false">IFERROR(COUNTIFS(Trades!$F$2:$F$1146,"2025-11",Trades!$Z$2:$Z$1146,"Win")/COUNTIFS(Trades!$F$2:$F$1146,"2025-11"),"")</f>
        <v>0.421052631578947</v>
      </c>
      <c r="M23" s="42" t="n">
        <f aca="false">IFERROR(COUNTIFS(Trades!$F$2:$F$1146,"2025-12",Trades!$Z$2:$Z$1146,"Win")/COUNTIFS(Trades!$F$2:$F$1146,"2025-12"),"")</f>
        <v>0.217391304347826</v>
      </c>
      <c r="N23" s="2"/>
      <c r="O23" s="2"/>
    </row>
    <row r="24" customFormat="false" ht="15" hidden="false" customHeight="false" outlineLevel="0" collapsed="false">
      <c r="A24" s="3" t="n">
        <v>2026</v>
      </c>
      <c r="B24" s="42" t="n">
        <f aca="false">IFERROR(COUNTIFS(Trades!$F$2:$F$1146,"2026-01",Trades!$Z$2:$Z$1146,"Win")/COUNTIFS(Trades!$F$2:$F$1146,"2026-01"),"")</f>
        <v>0.523809523809524</v>
      </c>
      <c r="C24" s="42" t="n">
        <f aca="false">IFERROR(COUNTIFS(Trades!$F$2:$F$1146,"2026-02",Trades!$Z$2:$Z$1146,"Win")/COUNTIFS(Trades!$F$2:$F$1146,"2026-02"),"")</f>
        <v>0.227272727272727</v>
      </c>
      <c r="D24" s="42" t="n">
        <f aca="false">IFERROR(COUNTIFS(Trades!$F$2:$F$1146,"2026-03",Trades!$Z$2:$Z$1146,"Win")/COUNTIFS(Trades!$F$2:$F$1146,"2026-03"),"")</f>
        <v>0.260869565217391</v>
      </c>
      <c r="E24" s="42" t="n">
        <f aca="false">IFERROR(COUNTIFS(Trades!$F$2:$F$1146,"2026-04",Trades!$Z$2:$Z$1146,"Win")/COUNTIFS(Trades!$F$2:$F$1146,"2026-04"),"")</f>
        <v>0.19047619047619</v>
      </c>
      <c r="F24" s="42" t="n">
        <f aca="false">IFERROR(COUNTIFS(Trades!$F$2:$F$1146,"2026-05",Trades!$Z$2:$Z$1146,"Win")/COUNTIFS(Trades!$F$2:$F$1146,"2026-05"),"")</f>
        <v>0.238095238095238</v>
      </c>
      <c r="G24" s="42" t="n">
        <f aca="false">IFERROR(COUNTIFS(Trades!$F$2:$F$1146,"2026-06",Trades!$Z$2:$Z$1146,"Win")/COUNTIFS(Trades!$F$2:$F$1146,"2026-06"),"")</f>
        <v>0.227272727272727</v>
      </c>
      <c r="H24" s="42" t="n">
        <f aca="false">IFERROR(COUNTIFS(Trades!$F$2:$F$1146,"2026-07",Trades!$Z$2:$Z$1146,"Win")/COUNTIFS(Trades!$F$2:$F$1146,"2026-07"),"")</f>
        <v>0.15</v>
      </c>
      <c r="I24" s="42" t="n">
        <f aca="false">IFERROR(COUNTIFS(Trades!$F$2:$F$1146,"2026-08",Trades!$Z$2:$Z$1146,"Win")/COUNTIFS(Trades!$F$2:$F$1146,"2026-08"),"")</f>
        <v>0.333333333333333</v>
      </c>
      <c r="J24" s="42" t="n">
        <f aca="false">IFERROR(COUNTIFS(Trades!$F$2:$F$1146,"2026-09",Trades!$Z$2:$Z$1146,"Win")/COUNTIFS(Trades!$F$2:$F$1146,"2026-09"),"")</f>
        <v>0.4</v>
      </c>
      <c r="K24" s="42" t="str">
        <f aca="false">IFERROR(COUNTIFS(Trades!$F$2:$F$1146,"2026-10",Trades!$Z$2:$Z$1146,"Win")/COUNTIFS(Trades!$F$2:$F$1146,"2026-10"),"")</f>
        <v/>
      </c>
      <c r="L24" s="42" t="str">
        <f aca="false">IFERROR(COUNTIFS(Trades!$F$2:$F$1146,"2026-11",Trades!$Z$2:$Z$1146,"Win")/COUNTIFS(Trades!$F$2:$F$1146,"2026-11"),"")</f>
        <v/>
      </c>
      <c r="M24" s="42" t="str">
        <f aca="false">IFERROR(COUNTIFS(Trades!$F$2:$F$1146,"2026-12",Trades!$Z$2:$Z$1146,"Win")/COUNTIFS(Trades!$F$2:$F$1146,"2026-12"),"")</f>
        <v/>
      </c>
      <c r="N24" s="2"/>
      <c r="O24" s="2"/>
    </row>
  </sheetData>
  <conditionalFormatting sqref="B4:M8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13"/>
  </cols>
  <sheetData>
    <row r="1" customFormat="false" ht="31.5" hidden="false" customHeight="true" outlineLevel="0" collapsed="false">
      <c r="A1" s="27" t="s">
        <v>214</v>
      </c>
      <c r="B1" s="27" t="s">
        <v>7</v>
      </c>
      <c r="C1" s="27" t="s">
        <v>57</v>
      </c>
      <c r="D1" s="27" t="s">
        <v>59</v>
      </c>
      <c r="E1" s="27" t="s">
        <v>62</v>
      </c>
      <c r="F1" s="27" t="s">
        <v>43</v>
      </c>
      <c r="G1" s="27" t="s">
        <v>47</v>
      </c>
      <c r="H1" s="27" t="s">
        <v>49</v>
      </c>
      <c r="I1" s="27" t="s">
        <v>51</v>
      </c>
      <c r="J1" s="27" t="s">
        <v>134</v>
      </c>
      <c r="K1" s="27" t="s">
        <v>135</v>
      </c>
      <c r="L1" s="27" t="s">
        <v>85</v>
      </c>
      <c r="M1" s="27" t="s">
        <v>136</v>
      </c>
      <c r="N1" s="27" t="s">
        <v>137</v>
      </c>
      <c r="O1" s="27" t="s">
        <v>138</v>
      </c>
      <c r="P1" s="27" t="s">
        <v>139</v>
      </c>
      <c r="Q1" s="27" t="s">
        <v>140</v>
      </c>
    </row>
    <row r="2" customFormat="false" ht="15" hidden="false" customHeight="false" outlineLevel="0" collapsed="false">
      <c r="A2" s="43" t="n">
        <v>44655</v>
      </c>
      <c r="B2" s="29" t="n">
        <f aca="false">COUNTIFS(Trades!$E$2:$E$1146,$A2)</f>
        <v>7</v>
      </c>
      <c r="C2" s="29" t="n">
        <f aca="false">COUNTIFS(Trades!$E$2:$E$1146,$A2,Trades!$Z$2:$Z$1146,"Win")</f>
        <v>2</v>
      </c>
      <c r="D2" s="29" t="n">
        <f aca="false">COUNTIFS(Trades!$E$2:$E$1146,$A2,Trades!$Z$2:$Z$1146,"Loss")</f>
        <v>5</v>
      </c>
      <c r="E2" s="30" t="n">
        <f aca="false">IFERROR(C2/B2,0)</f>
        <v>0.285714285714286</v>
      </c>
      <c r="F2" s="31" t="n">
        <f aca="false">SUMIFS(Trades!$X$2:$X$1146,Trades!$E$2:$E$1146,$A2)</f>
        <v>81.42</v>
      </c>
      <c r="G2" s="31" t="n">
        <f aca="false">SUMIFS(Trades!$X$2:$X$1146,Trades!$E$2:$E$1146,$A2,Trades!$X$2:$X$1146,"&gt;0")</f>
        <v>252.93</v>
      </c>
      <c r="H2" s="31" t="n">
        <f aca="false">SUMIFS(Trades!$X$2:$X$1146,Trades!$E$2:$E$1146,$A2,Trades!$X$2:$X$1146,"&lt;0")</f>
        <v>-171.51</v>
      </c>
      <c r="I2" s="32" t="n">
        <f aca="false">IFERROR(G2/-H2,"no loss")</f>
        <v>1.47472450585972</v>
      </c>
      <c r="J2" s="31" t="n">
        <f aca="false">_xlfn.MAXIFS(Trades!$X$2:$X$1146,Trades!$E$2:$E$1146,$A2)</f>
        <v>151.71</v>
      </c>
      <c r="K2" s="31" t="n">
        <f aca="false">_xlfn.MINIFS(Trades!$X$2:$X$1146,Trades!$E$2:$E$1146,$A2)</f>
        <v>-53.43</v>
      </c>
      <c r="L2" s="33" t="n">
        <f aca="false">SUMIFS(Trades!$Y$2:$Y$1146,Trades!$E$2:$E$1146,$A2)</f>
        <v>-0.446729564754157</v>
      </c>
      <c r="M2" s="31" t="n">
        <f aca="false">Summary!$C$5</f>
        <v>10000</v>
      </c>
      <c r="N2" s="30" t="n">
        <f aca="false">IFERROR(F2/M2,0)</f>
        <v>0.008142</v>
      </c>
      <c r="O2" s="29" t="str">
        <f aca="false">IF(F2&lt;0,"down week","")</f>
        <v/>
      </c>
      <c r="P2" s="31" t="n">
        <f aca="false">M2+F2</f>
        <v>10081.42</v>
      </c>
      <c r="Q2" s="31" t="n">
        <f aca="false">P2-Summary!$C$5</f>
        <v>81.4200000000001</v>
      </c>
    </row>
    <row r="3" customFormat="false" ht="15" hidden="false" customHeight="false" outlineLevel="0" collapsed="false">
      <c r="A3" s="43" t="n">
        <v>44662</v>
      </c>
      <c r="B3" s="29" t="n">
        <f aca="false">COUNTIFS(Trades!$E$2:$E$1146,$A3)</f>
        <v>4</v>
      </c>
      <c r="C3" s="29" t="n">
        <f aca="false">COUNTIFS(Trades!$E$2:$E$1146,$A3,Trades!$Z$2:$Z$1146,"Win")</f>
        <v>0</v>
      </c>
      <c r="D3" s="29" t="n">
        <f aca="false">COUNTIFS(Trades!$E$2:$E$1146,$A3,Trades!$Z$2:$Z$1146,"Loss")</f>
        <v>4</v>
      </c>
      <c r="E3" s="30" t="n">
        <f aca="false">IFERROR(C3/B3,0)</f>
        <v>0</v>
      </c>
      <c r="F3" s="31" t="n">
        <f aca="false">SUMIFS(Trades!$X$2:$X$1146,Trades!$E$2:$E$1146,$A3)</f>
        <v>-51.24</v>
      </c>
      <c r="G3" s="31" t="n">
        <f aca="false">SUMIFS(Trades!$X$2:$X$1146,Trades!$E$2:$E$1146,$A3,Trades!$X$2:$X$1146,"&gt;0")</f>
        <v>0</v>
      </c>
      <c r="H3" s="31" t="n">
        <f aca="false">SUMIFS(Trades!$X$2:$X$1146,Trades!$E$2:$E$1146,$A3,Trades!$X$2:$X$1146,"&lt;0")</f>
        <v>-51.24</v>
      </c>
      <c r="I3" s="32" t="n">
        <f aca="false">IFERROR(G3/-H3,"no loss")</f>
        <v>0</v>
      </c>
      <c r="J3" s="31" t="n">
        <f aca="false">_xlfn.MAXIFS(Trades!$X$2:$X$1146,Trades!$E$2:$E$1146,$A3)</f>
        <v>-0.06</v>
      </c>
      <c r="K3" s="31" t="n">
        <f aca="false">_xlfn.MINIFS(Trades!$X$2:$X$1146,Trades!$E$2:$E$1146,$A3)</f>
        <v>-32.25</v>
      </c>
      <c r="L3" s="33" t="n">
        <f aca="false">SUMIFS(Trades!$Y$2:$Y$1146,Trades!$E$2:$E$1146,$A3)</f>
        <v>-2.17311372040251</v>
      </c>
      <c r="M3" s="31" t="n">
        <f aca="false">P2</f>
        <v>10081.42</v>
      </c>
      <c r="N3" s="30" t="n">
        <f aca="false">IFERROR(F3/M3,0)</f>
        <v>-0.00508261732970157</v>
      </c>
      <c r="O3" s="29" t="str">
        <f aca="false">IF(F3&lt;0,"down week","")</f>
        <v>down week</v>
      </c>
      <c r="P3" s="31" t="n">
        <f aca="false">M3+F3</f>
        <v>10030.18</v>
      </c>
      <c r="Q3" s="31" t="n">
        <f aca="false">P3-Summary!$C$5</f>
        <v>30.1800000000003</v>
      </c>
    </row>
    <row r="4" customFormat="false" ht="15" hidden="false" customHeight="false" outlineLevel="0" collapsed="false">
      <c r="A4" s="43" t="n">
        <v>44669</v>
      </c>
      <c r="B4" s="29" t="n">
        <f aca="false">COUNTIFS(Trades!$E$2:$E$1146,$A4)</f>
        <v>5</v>
      </c>
      <c r="C4" s="29" t="n">
        <f aca="false">COUNTIFS(Trades!$E$2:$E$1146,$A4,Trades!$Z$2:$Z$1146,"Win")</f>
        <v>3</v>
      </c>
      <c r="D4" s="29" t="n">
        <f aca="false">COUNTIFS(Trades!$E$2:$E$1146,$A4,Trades!$Z$2:$Z$1146,"Loss")</f>
        <v>2</v>
      </c>
      <c r="E4" s="30" t="n">
        <f aca="false">IFERROR(C4/B4,0)</f>
        <v>0.6</v>
      </c>
      <c r="F4" s="31" t="n">
        <f aca="false">SUMIFS(Trades!$X$2:$X$1146,Trades!$E$2:$E$1146,$A4)</f>
        <v>181.89</v>
      </c>
      <c r="G4" s="31" t="n">
        <f aca="false">SUMIFS(Trades!$X$2:$X$1146,Trades!$E$2:$E$1146,$A4,Trades!$X$2:$X$1146,"&gt;0")</f>
        <v>247.32</v>
      </c>
      <c r="H4" s="31" t="n">
        <f aca="false">SUMIFS(Trades!$X$2:$X$1146,Trades!$E$2:$E$1146,$A4,Trades!$X$2:$X$1146,"&lt;0")</f>
        <v>-65.43</v>
      </c>
      <c r="I4" s="32" t="n">
        <f aca="false">IFERROR(G4/-H4,"no loss")</f>
        <v>3.77991746905089</v>
      </c>
      <c r="J4" s="31" t="n">
        <f aca="false">_xlfn.MAXIFS(Trades!$X$2:$X$1146,Trades!$E$2:$E$1146,$A4)</f>
        <v>109.68</v>
      </c>
      <c r="K4" s="31" t="n">
        <f aca="false">_xlfn.MINIFS(Trades!$X$2:$X$1146,Trades!$E$2:$E$1146,$A4)</f>
        <v>-44.79</v>
      </c>
      <c r="L4" s="33" t="n">
        <f aca="false">SUMIFS(Trades!$Y$2:$Y$1146,Trades!$E$2:$E$1146,$A4)</f>
        <v>5.98806367526782</v>
      </c>
      <c r="M4" s="31" t="n">
        <f aca="false">P3</f>
        <v>10030.18</v>
      </c>
      <c r="N4" s="30" t="n">
        <f aca="false">IFERROR(F4/M4,0)</f>
        <v>0.0181342707708137</v>
      </c>
      <c r="O4" s="29" t="str">
        <f aca="false">IF(F4&lt;0,"down week","")</f>
        <v/>
      </c>
      <c r="P4" s="31" t="n">
        <f aca="false">M4+F4</f>
        <v>10212.07</v>
      </c>
      <c r="Q4" s="31" t="n">
        <f aca="false">P4-Summary!$C$5</f>
        <v>212.07</v>
      </c>
    </row>
    <row r="5" customFormat="false" ht="15" hidden="false" customHeight="false" outlineLevel="0" collapsed="false">
      <c r="A5" s="43" t="n">
        <v>44676</v>
      </c>
      <c r="B5" s="29" t="n">
        <f aca="false">COUNTIFS(Trades!$E$2:$E$1146,$A5)</f>
        <v>5</v>
      </c>
      <c r="C5" s="29" t="n">
        <f aca="false">COUNTIFS(Trades!$E$2:$E$1146,$A5,Trades!$Z$2:$Z$1146,"Win")</f>
        <v>0</v>
      </c>
      <c r="D5" s="29" t="n">
        <f aca="false">COUNTIFS(Trades!$E$2:$E$1146,$A5,Trades!$Z$2:$Z$1146,"Loss")</f>
        <v>5</v>
      </c>
      <c r="E5" s="30" t="n">
        <f aca="false">IFERROR(C5/B5,0)</f>
        <v>0</v>
      </c>
      <c r="F5" s="31" t="n">
        <f aca="false">SUMIFS(Trades!$X$2:$X$1146,Trades!$E$2:$E$1146,$A5)</f>
        <v>-180.63</v>
      </c>
      <c r="G5" s="31" t="n">
        <f aca="false">SUMIFS(Trades!$X$2:$X$1146,Trades!$E$2:$E$1146,$A5,Trades!$X$2:$X$1146,"&gt;0")</f>
        <v>0</v>
      </c>
      <c r="H5" s="31" t="n">
        <f aca="false">SUMIFS(Trades!$X$2:$X$1146,Trades!$E$2:$E$1146,$A5,Trades!$X$2:$X$1146,"&lt;0")</f>
        <v>-180.63</v>
      </c>
      <c r="I5" s="32" t="n">
        <f aca="false">IFERROR(G5/-H5,"no loss")</f>
        <v>0</v>
      </c>
      <c r="J5" s="31" t="n">
        <f aca="false">_xlfn.MAXIFS(Trades!$X$2:$X$1146,Trades!$E$2:$E$1146,$A5)</f>
        <v>-0.33</v>
      </c>
      <c r="K5" s="31" t="n">
        <f aca="false">_xlfn.MINIFS(Trades!$X$2:$X$1146,Trades!$E$2:$E$1146,$A5)</f>
        <v>-75.09</v>
      </c>
      <c r="L5" s="33" t="n">
        <f aca="false">SUMIFS(Trades!$Y$2:$Y$1146,Trades!$E$2:$E$1146,$A5)</f>
        <v>-4.0345857524671</v>
      </c>
      <c r="M5" s="31" t="n">
        <f aca="false">P4</f>
        <v>10212.07</v>
      </c>
      <c r="N5" s="30" t="n">
        <f aca="false">IFERROR(F5/M5,0)</f>
        <v>-0.0176878928561986</v>
      </c>
      <c r="O5" s="29" t="str">
        <f aca="false">IF(F5&lt;0,"down week","")</f>
        <v>down week</v>
      </c>
      <c r="P5" s="31" t="n">
        <f aca="false">M5+F5</f>
        <v>10031.44</v>
      </c>
      <c r="Q5" s="31" t="n">
        <f aca="false">P5-Summary!$C$5</f>
        <v>31.4400000000005</v>
      </c>
    </row>
    <row r="6" customFormat="false" ht="15" hidden="false" customHeight="false" outlineLevel="0" collapsed="false">
      <c r="A6" s="43" t="n">
        <v>44683</v>
      </c>
      <c r="B6" s="29" t="n">
        <f aca="false">COUNTIFS(Trades!$E$2:$E$1146,$A6)</f>
        <v>6</v>
      </c>
      <c r="C6" s="29" t="n">
        <f aca="false">COUNTIFS(Trades!$E$2:$E$1146,$A6,Trades!$Z$2:$Z$1146,"Win")</f>
        <v>2</v>
      </c>
      <c r="D6" s="29" t="n">
        <f aca="false">COUNTIFS(Trades!$E$2:$E$1146,$A6,Trades!$Z$2:$Z$1146,"Loss")</f>
        <v>4</v>
      </c>
      <c r="E6" s="30" t="n">
        <f aca="false">IFERROR(C6/B6,0)</f>
        <v>0.333333333333333</v>
      </c>
      <c r="F6" s="31" t="n">
        <f aca="false">SUMIFS(Trades!$X$2:$X$1146,Trades!$E$2:$E$1146,$A6)</f>
        <v>175.5</v>
      </c>
      <c r="G6" s="31" t="n">
        <f aca="false">SUMIFS(Trades!$X$2:$X$1146,Trades!$E$2:$E$1146,$A6,Trades!$X$2:$X$1146,"&gt;0")</f>
        <v>392.43</v>
      </c>
      <c r="H6" s="31" t="n">
        <f aca="false">SUMIFS(Trades!$X$2:$X$1146,Trades!$E$2:$E$1146,$A6,Trades!$X$2:$X$1146,"&lt;0")</f>
        <v>-216.93</v>
      </c>
      <c r="I6" s="32" t="n">
        <f aca="false">IFERROR(G6/-H6,"no loss")</f>
        <v>1.8090167335085</v>
      </c>
      <c r="J6" s="31" t="n">
        <f aca="false">_xlfn.MAXIFS(Trades!$X$2:$X$1146,Trades!$E$2:$E$1146,$A6)</f>
        <v>316.59</v>
      </c>
      <c r="K6" s="31" t="n">
        <f aca="false">_xlfn.MINIFS(Trades!$X$2:$X$1146,Trades!$E$2:$E$1146,$A6)</f>
        <v>-144.18</v>
      </c>
      <c r="L6" s="33" t="n">
        <f aca="false">SUMIFS(Trades!$Y$2:$Y$1146,Trades!$E$2:$E$1146,$A6)</f>
        <v>3.31462463479978</v>
      </c>
      <c r="M6" s="31" t="n">
        <f aca="false">P5</f>
        <v>10031.44</v>
      </c>
      <c r="N6" s="30" t="n">
        <f aca="false">IFERROR(F6/M6,0)</f>
        <v>0.0174949957334141</v>
      </c>
      <c r="O6" s="29" t="str">
        <f aca="false">IF(F6&lt;0,"down week","")</f>
        <v/>
      </c>
      <c r="P6" s="31" t="n">
        <f aca="false">M6+F6</f>
        <v>10206.94</v>
      </c>
      <c r="Q6" s="31" t="n">
        <f aca="false">P6-Summary!$C$5</f>
        <v>206.940000000001</v>
      </c>
    </row>
    <row r="7" customFormat="false" ht="15" hidden="false" customHeight="false" outlineLevel="0" collapsed="false">
      <c r="A7" s="43" t="n">
        <v>44690</v>
      </c>
      <c r="B7" s="29" t="n">
        <f aca="false">COUNTIFS(Trades!$E$2:$E$1146,$A7)</f>
        <v>5</v>
      </c>
      <c r="C7" s="29" t="n">
        <f aca="false">COUNTIFS(Trades!$E$2:$E$1146,$A7,Trades!$Z$2:$Z$1146,"Win")</f>
        <v>0</v>
      </c>
      <c r="D7" s="29" t="n">
        <f aca="false">COUNTIFS(Trades!$E$2:$E$1146,$A7,Trades!$Z$2:$Z$1146,"Loss")</f>
        <v>5</v>
      </c>
      <c r="E7" s="30" t="n">
        <f aca="false">IFERROR(C7/B7,0)</f>
        <v>0</v>
      </c>
      <c r="F7" s="31" t="n">
        <f aca="false">SUMIFS(Trades!$X$2:$X$1146,Trades!$E$2:$E$1146,$A7)</f>
        <v>-142.04</v>
      </c>
      <c r="G7" s="31" t="n">
        <f aca="false">SUMIFS(Trades!$X$2:$X$1146,Trades!$E$2:$E$1146,$A7,Trades!$X$2:$X$1146,"&gt;0")</f>
        <v>0</v>
      </c>
      <c r="H7" s="31" t="n">
        <f aca="false">SUMIFS(Trades!$X$2:$X$1146,Trades!$E$2:$E$1146,$A7,Trades!$X$2:$X$1146,"&lt;0")</f>
        <v>-142.04</v>
      </c>
      <c r="I7" s="32" t="n">
        <f aca="false">IFERROR(G7/-H7,"no loss")</f>
        <v>0</v>
      </c>
      <c r="J7" s="31" t="n">
        <f aca="false">_xlfn.MAXIFS(Trades!$X$2:$X$1146,Trades!$E$2:$E$1146,$A7)</f>
        <v>-3.64</v>
      </c>
      <c r="K7" s="31" t="n">
        <f aca="false">_xlfn.MINIFS(Trades!$X$2:$X$1146,Trades!$E$2:$E$1146,$A7)</f>
        <v>-70.8</v>
      </c>
      <c r="L7" s="33" t="n">
        <f aca="false">SUMIFS(Trades!$Y$2:$Y$1146,Trades!$E$2:$E$1146,$A7)</f>
        <v>-3.3006169938347</v>
      </c>
      <c r="M7" s="31" t="n">
        <f aca="false">P6</f>
        <v>10206.94</v>
      </c>
      <c r="N7" s="30" t="n">
        <f aca="false">IFERROR(F7/M7,0)</f>
        <v>-0.0139160218439611</v>
      </c>
      <c r="O7" s="29" t="str">
        <f aca="false">IF(F7&lt;0,"down week","")</f>
        <v>down week</v>
      </c>
      <c r="P7" s="31" t="n">
        <f aca="false">M7+F7</f>
        <v>10064.9</v>
      </c>
      <c r="Q7" s="31" t="n">
        <f aca="false">P7-Summary!$C$5</f>
        <v>64.8999999999996</v>
      </c>
    </row>
    <row r="8" customFormat="false" ht="15" hidden="false" customHeight="false" outlineLevel="0" collapsed="false">
      <c r="A8" s="43" t="n">
        <v>44697</v>
      </c>
      <c r="B8" s="29" t="n">
        <f aca="false">COUNTIFS(Trades!$E$2:$E$1146,$A8)</f>
        <v>7</v>
      </c>
      <c r="C8" s="29" t="n">
        <f aca="false">COUNTIFS(Trades!$E$2:$E$1146,$A8,Trades!$Z$2:$Z$1146,"Win")</f>
        <v>2</v>
      </c>
      <c r="D8" s="29" t="n">
        <f aca="false">COUNTIFS(Trades!$E$2:$E$1146,$A8,Trades!$Z$2:$Z$1146,"Loss")</f>
        <v>5</v>
      </c>
      <c r="E8" s="30" t="n">
        <f aca="false">IFERROR(C8/B8,0)</f>
        <v>0.285714285714286</v>
      </c>
      <c r="F8" s="31" t="n">
        <f aca="false">SUMIFS(Trades!$X$2:$X$1146,Trades!$E$2:$E$1146,$A8)</f>
        <v>165</v>
      </c>
      <c r="G8" s="31" t="n">
        <f aca="false">SUMIFS(Trades!$X$2:$X$1146,Trades!$E$2:$E$1146,$A8,Trades!$X$2:$X$1146,"&gt;0")</f>
        <v>208.56</v>
      </c>
      <c r="H8" s="31" t="n">
        <f aca="false">SUMIFS(Trades!$X$2:$X$1146,Trades!$E$2:$E$1146,$A8,Trades!$X$2:$X$1146,"&lt;0")</f>
        <v>-43.56</v>
      </c>
      <c r="I8" s="32" t="n">
        <f aca="false">IFERROR(G8/-H8,"no loss")</f>
        <v>4.78787878787879</v>
      </c>
      <c r="J8" s="31" t="n">
        <f aca="false">_xlfn.MAXIFS(Trades!$X$2:$X$1146,Trades!$E$2:$E$1146,$A8)</f>
        <v>166.08</v>
      </c>
      <c r="K8" s="31" t="n">
        <f aca="false">_xlfn.MINIFS(Trades!$X$2:$X$1146,Trades!$E$2:$E$1146,$A8)</f>
        <v>-40.56</v>
      </c>
      <c r="L8" s="33" t="n">
        <f aca="false">SUMIFS(Trades!$Y$2:$Y$1146,Trades!$E$2:$E$1146,$A8)</f>
        <v>4.23130463833432</v>
      </c>
      <c r="M8" s="31" t="n">
        <f aca="false">P7</f>
        <v>10064.9</v>
      </c>
      <c r="N8" s="30" t="n">
        <f aca="false">IFERROR(F8/M8,0)</f>
        <v>0.016393605500303</v>
      </c>
      <c r="O8" s="29" t="str">
        <f aca="false">IF(F8&lt;0,"down week","")</f>
        <v/>
      </c>
      <c r="P8" s="31" t="n">
        <f aca="false">M8+F8</f>
        <v>10229.9</v>
      </c>
      <c r="Q8" s="31" t="n">
        <f aca="false">P8-Summary!$C$5</f>
        <v>229.9</v>
      </c>
    </row>
    <row r="9" customFormat="false" ht="15" hidden="false" customHeight="false" outlineLevel="0" collapsed="false">
      <c r="A9" s="43" t="n">
        <v>44704</v>
      </c>
      <c r="B9" s="29" t="n">
        <f aca="false">COUNTIFS(Trades!$E$2:$E$1146,$A9)</f>
        <v>4</v>
      </c>
      <c r="C9" s="29" t="n">
        <f aca="false">COUNTIFS(Trades!$E$2:$E$1146,$A9,Trades!$Z$2:$Z$1146,"Win")</f>
        <v>1</v>
      </c>
      <c r="D9" s="29" t="n">
        <f aca="false">COUNTIFS(Trades!$E$2:$E$1146,$A9,Trades!$Z$2:$Z$1146,"Loss")</f>
        <v>3</v>
      </c>
      <c r="E9" s="30" t="n">
        <f aca="false">IFERROR(C9/B9,0)</f>
        <v>0.25</v>
      </c>
      <c r="F9" s="31" t="n">
        <f aca="false">SUMIFS(Trades!$X$2:$X$1146,Trades!$E$2:$E$1146,$A9)</f>
        <v>201.08</v>
      </c>
      <c r="G9" s="31" t="n">
        <f aca="false">SUMIFS(Trades!$X$2:$X$1146,Trades!$E$2:$E$1146,$A9,Trades!$X$2:$X$1146,"&gt;0")</f>
        <v>308.96</v>
      </c>
      <c r="H9" s="31" t="n">
        <f aca="false">SUMIFS(Trades!$X$2:$X$1146,Trades!$E$2:$E$1146,$A9,Trades!$X$2:$X$1146,"&lt;0")</f>
        <v>-107.88</v>
      </c>
      <c r="I9" s="32" t="n">
        <f aca="false">IFERROR(G9/-H9,"no loss")</f>
        <v>2.86392287727104</v>
      </c>
      <c r="J9" s="31" t="n">
        <f aca="false">_xlfn.MAXIFS(Trades!$X$2:$X$1146,Trades!$E$2:$E$1146,$A9)</f>
        <v>308.96</v>
      </c>
      <c r="K9" s="31" t="n">
        <f aca="false">_xlfn.MINIFS(Trades!$X$2:$X$1146,Trades!$E$2:$E$1146,$A9)</f>
        <v>-65.56</v>
      </c>
      <c r="L9" s="33" t="n">
        <f aca="false">SUMIFS(Trades!$Y$2:$Y$1146,Trades!$E$2:$E$1146,$A9)</f>
        <v>0.345156999282583</v>
      </c>
      <c r="M9" s="31" t="n">
        <f aca="false">P8</f>
        <v>10229.9</v>
      </c>
      <c r="N9" s="30" t="n">
        <f aca="false">IFERROR(F9/M9,0)</f>
        <v>0.0196561061202944</v>
      </c>
      <c r="O9" s="29" t="str">
        <f aca="false">IF(F9&lt;0,"down week","")</f>
        <v/>
      </c>
      <c r="P9" s="31" t="n">
        <f aca="false">M9+F9</f>
        <v>10430.98</v>
      </c>
      <c r="Q9" s="31" t="n">
        <f aca="false">P9-Summary!$C$5</f>
        <v>430.98</v>
      </c>
    </row>
    <row r="10" customFormat="false" ht="15" hidden="false" customHeight="false" outlineLevel="0" collapsed="false">
      <c r="A10" s="43" t="n">
        <v>44711</v>
      </c>
      <c r="B10" s="29" t="n">
        <f aca="false">COUNTIFS(Trades!$E$2:$E$1146,$A10)</f>
        <v>6</v>
      </c>
      <c r="C10" s="29" t="n">
        <f aca="false">COUNTIFS(Trades!$E$2:$E$1146,$A10,Trades!$Z$2:$Z$1146,"Win")</f>
        <v>1</v>
      </c>
      <c r="D10" s="29" t="n">
        <f aca="false">COUNTIFS(Trades!$E$2:$E$1146,$A10,Trades!$Z$2:$Z$1146,"Loss")</f>
        <v>5</v>
      </c>
      <c r="E10" s="30" t="n">
        <f aca="false">IFERROR(C10/B10,0)</f>
        <v>0.166666666666667</v>
      </c>
      <c r="F10" s="31" t="n">
        <f aca="false">SUMIFS(Trades!$X$2:$X$1146,Trades!$E$2:$E$1146,$A10)</f>
        <v>-239.14</v>
      </c>
      <c r="G10" s="31" t="n">
        <f aca="false">SUMIFS(Trades!$X$2:$X$1146,Trades!$E$2:$E$1146,$A10,Trades!$X$2:$X$1146,"&gt;0")</f>
        <v>66.48</v>
      </c>
      <c r="H10" s="31" t="n">
        <f aca="false">SUMIFS(Trades!$X$2:$X$1146,Trades!$E$2:$E$1146,$A10,Trades!$X$2:$X$1146,"&lt;0")</f>
        <v>-305.62</v>
      </c>
      <c r="I10" s="32" t="n">
        <f aca="false">IFERROR(G10/-H10,"no loss")</f>
        <v>0.217525031084353</v>
      </c>
      <c r="J10" s="31" t="n">
        <f aca="false">_xlfn.MAXIFS(Trades!$X$2:$X$1146,Trades!$E$2:$E$1146,$A10)</f>
        <v>66.48</v>
      </c>
      <c r="K10" s="31" t="n">
        <f aca="false">_xlfn.MINIFS(Trades!$X$2:$X$1146,Trades!$E$2:$E$1146,$A10)</f>
        <v>-110.08</v>
      </c>
      <c r="L10" s="33" t="n">
        <f aca="false">SUMIFS(Trades!$Y$2:$Y$1146,Trades!$E$2:$E$1146,$A10)</f>
        <v>-3.22951415239492</v>
      </c>
      <c r="M10" s="31" t="n">
        <f aca="false">P9</f>
        <v>10430.98</v>
      </c>
      <c r="N10" s="30" t="n">
        <f aca="false">IFERROR(F10/M10,0)</f>
        <v>-0.022925937927213</v>
      </c>
      <c r="O10" s="29" t="str">
        <f aca="false">IF(F10&lt;0,"down week","")</f>
        <v>down week</v>
      </c>
      <c r="P10" s="31" t="n">
        <f aca="false">M10+F10</f>
        <v>10191.84</v>
      </c>
      <c r="Q10" s="31" t="n">
        <f aca="false">P10-Summary!$C$5</f>
        <v>191.84</v>
      </c>
    </row>
    <row r="11" customFormat="false" ht="15" hidden="false" customHeight="false" outlineLevel="0" collapsed="false">
      <c r="A11" s="43" t="n">
        <v>44718</v>
      </c>
      <c r="B11" s="29" t="n">
        <f aca="false">COUNTIFS(Trades!$E$2:$E$1146,$A11)</f>
        <v>4</v>
      </c>
      <c r="C11" s="29" t="n">
        <f aca="false">COUNTIFS(Trades!$E$2:$E$1146,$A11,Trades!$Z$2:$Z$1146,"Win")</f>
        <v>0</v>
      </c>
      <c r="D11" s="29" t="n">
        <f aca="false">COUNTIFS(Trades!$E$2:$E$1146,$A11,Trades!$Z$2:$Z$1146,"Loss")</f>
        <v>4</v>
      </c>
      <c r="E11" s="30" t="n">
        <f aca="false">IFERROR(C11/B11,0)</f>
        <v>0</v>
      </c>
      <c r="F11" s="31" t="n">
        <f aca="false">SUMIFS(Trades!$X$2:$X$1146,Trades!$E$2:$E$1146,$A11)</f>
        <v>-323.69</v>
      </c>
      <c r="G11" s="31" t="n">
        <f aca="false">SUMIFS(Trades!$X$2:$X$1146,Trades!$E$2:$E$1146,$A11,Trades!$X$2:$X$1146,"&gt;0")</f>
        <v>0</v>
      </c>
      <c r="H11" s="31" t="n">
        <f aca="false">SUMIFS(Trades!$X$2:$X$1146,Trades!$E$2:$E$1146,$A11,Trades!$X$2:$X$1146,"&lt;0")</f>
        <v>-323.69</v>
      </c>
      <c r="I11" s="32" t="n">
        <f aca="false">IFERROR(G11/-H11,"no loss")</f>
        <v>0</v>
      </c>
      <c r="J11" s="31" t="n">
        <f aca="false">_xlfn.MAXIFS(Trades!$X$2:$X$1146,Trades!$E$2:$E$1146,$A11)</f>
        <v>-0.09</v>
      </c>
      <c r="K11" s="31" t="n">
        <f aca="false">_xlfn.MINIFS(Trades!$X$2:$X$1146,Trades!$E$2:$E$1146,$A11)</f>
        <v>-207.36</v>
      </c>
      <c r="L11" s="33" t="n">
        <f aca="false">SUMIFS(Trades!$Y$2:$Y$1146,Trades!$E$2:$E$1146,$A11)</f>
        <v>-3.08623107932483</v>
      </c>
      <c r="M11" s="31" t="n">
        <f aca="false">P10</f>
        <v>10191.84</v>
      </c>
      <c r="N11" s="30" t="n">
        <f aca="false">IFERROR(F11/M11,0)</f>
        <v>-0.0317597215026924</v>
      </c>
      <c r="O11" s="29" t="str">
        <f aca="false">IF(F11&lt;0,"down week","")</f>
        <v>down week</v>
      </c>
      <c r="P11" s="31" t="n">
        <f aca="false">M11+F11</f>
        <v>9868.15</v>
      </c>
      <c r="Q11" s="31" t="n">
        <f aca="false">P11-Summary!$C$5</f>
        <v>-131.85</v>
      </c>
    </row>
    <row r="12" customFormat="false" ht="15" hidden="false" customHeight="false" outlineLevel="0" collapsed="false">
      <c r="A12" s="43" t="n">
        <v>44725</v>
      </c>
      <c r="B12" s="29" t="n">
        <f aca="false">COUNTIFS(Trades!$E$2:$E$1146,$A12)</f>
        <v>4</v>
      </c>
      <c r="C12" s="29" t="n">
        <f aca="false">COUNTIFS(Trades!$E$2:$E$1146,$A12,Trades!$Z$2:$Z$1146,"Win")</f>
        <v>0</v>
      </c>
      <c r="D12" s="29" t="n">
        <f aca="false">COUNTIFS(Trades!$E$2:$E$1146,$A12,Trades!$Z$2:$Z$1146,"Loss")</f>
        <v>4</v>
      </c>
      <c r="E12" s="30" t="n">
        <f aca="false">IFERROR(C12/B12,0)</f>
        <v>0</v>
      </c>
      <c r="F12" s="31" t="n">
        <f aca="false">SUMIFS(Trades!$X$2:$X$1146,Trades!$E$2:$E$1146,$A12)</f>
        <v>-179.68</v>
      </c>
      <c r="G12" s="31" t="n">
        <f aca="false">SUMIFS(Trades!$X$2:$X$1146,Trades!$E$2:$E$1146,$A12,Trades!$X$2:$X$1146,"&gt;0")</f>
        <v>0</v>
      </c>
      <c r="H12" s="31" t="n">
        <f aca="false">SUMIFS(Trades!$X$2:$X$1146,Trades!$E$2:$E$1146,$A12,Trades!$X$2:$X$1146,"&lt;0")</f>
        <v>-179.68</v>
      </c>
      <c r="I12" s="32" t="n">
        <f aca="false">IFERROR(G12/-H12,"no loss")</f>
        <v>0</v>
      </c>
      <c r="J12" s="31" t="n">
        <f aca="false">_xlfn.MAXIFS(Trades!$X$2:$X$1146,Trades!$E$2:$E$1146,$A12)</f>
        <v>-0.12</v>
      </c>
      <c r="K12" s="31" t="n">
        <f aca="false">_xlfn.MINIFS(Trades!$X$2:$X$1146,Trades!$E$2:$E$1146,$A12)</f>
        <v>-94.12</v>
      </c>
      <c r="L12" s="33" t="n">
        <f aca="false">SUMIFS(Trades!$Y$2:$Y$1146,Trades!$E$2:$E$1146,$A12)</f>
        <v>-2.08538111646452</v>
      </c>
      <c r="M12" s="31" t="n">
        <f aca="false">P11</f>
        <v>9868.15</v>
      </c>
      <c r="N12" s="30" t="n">
        <f aca="false">IFERROR(F12/M12,0)</f>
        <v>-0.0182080734484174</v>
      </c>
      <c r="O12" s="29" t="str">
        <f aca="false">IF(F12&lt;0,"down week","")</f>
        <v>down week</v>
      </c>
      <c r="P12" s="31" t="n">
        <f aca="false">M12+F12</f>
        <v>9688.47</v>
      </c>
      <c r="Q12" s="31" t="n">
        <f aca="false">P12-Summary!$C$5</f>
        <v>-311.530000000001</v>
      </c>
    </row>
    <row r="13" customFormat="false" ht="15" hidden="false" customHeight="false" outlineLevel="0" collapsed="false">
      <c r="A13" s="43" t="n">
        <v>44732</v>
      </c>
      <c r="B13" s="29" t="n">
        <f aca="false">COUNTIFS(Trades!$E$2:$E$1146,$A13)</f>
        <v>6</v>
      </c>
      <c r="C13" s="29" t="n">
        <f aca="false">COUNTIFS(Trades!$E$2:$E$1146,$A13,Trades!$Z$2:$Z$1146,"Win")</f>
        <v>3</v>
      </c>
      <c r="D13" s="29" t="n">
        <f aca="false">COUNTIFS(Trades!$E$2:$E$1146,$A13,Trades!$Z$2:$Z$1146,"Loss")</f>
        <v>3</v>
      </c>
      <c r="E13" s="30" t="n">
        <f aca="false">IFERROR(C13/B13,0)</f>
        <v>0.5</v>
      </c>
      <c r="F13" s="31" t="n">
        <f aca="false">SUMIFS(Trades!$X$2:$X$1146,Trades!$E$2:$E$1146,$A13)</f>
        <v>307.28</v>
      </c>
      <c r="G13" s="31" t="n">
        <f aca="false">SUMIFS(Trades!$X$2:$X$1146,Trades!$E$2:$E$1146,$A13,Trades!$X$2:$X$1146,"&gt;0")</f>
        <v>364.72</v>
      </c>
      <c r="H13" s="31" t="n">
        <f aca="false">SUMIFS(Trades!$X$2:$X$1146,Trades!$E$2:$E$1146,$A13,Trades!$X$2:$X$1146,"&lt;0")</f>
        <v>-57.44</v>
      </c>
      <c r="I13" s="32" t="n">
        <f aca="false">IFERROR(G13/-H13,"no loss")</f>
        <v>6.34958217270195</v>
      </c>
      <c r="J13" s="31" t="n">
        <f aca="false">_xlfn.MAXIFS(Trades!$X$2:$X$1146,Trades!$E$2:$E$1146,$A13)</f>
        <v>163.48</v>
      </c>
      <c r="K13" s="31" t="n">
        <f aca="false">_xlfn.MINIFS(Trades!$X$2:$X$1146,Trades!$E$2:$E$1146,$A13)</f>
        <v>-57.28</v>
      </c>
      <c r="L13" s="33" t="n">
        <f aca="false">SUMIFS(Trades!$Y$2:$Y$1146,Trades!$E$2:$E$1146,$A13)</f>
        <v>6.43205287106785</v>
      </c>
      <c r="M13" s="31" t="n">
        <f aca="false">P12</f>
        <v>9688.47</v>
      </c>
      <c r="N13" s="30" t="n">
        <f aca="false">IFERROR(F13/M13,0)</f>
        <v>0.0317160501090471</v>
      </c>
      <c r="O13" s="29" t="str">
        <f aca="false">IF(F13&lt;0,"down week","")</f>
        <v/>
      </c>
      <c r="P13" s="31" t="n">
        <f aca="false">M13+F13</f>
        <v>9995.75</v>
      </c>
      <c r="Q13" s="31" t="n">
        <f aca="false">P13-Summary!$C$5</f>
        <v>-4.25</v>
      </c>
    </row>
    <row r="14" customFormat="false" ht="15" hidden="false" customHeight="false" outlineLevel="0" collapsed="false">
      <c r="A14" s="43" t="n">
        <v>44739</v>
      </c>
      <c r="B14" s="29" t="n">
        <f aca="false">COUNTIFS(Trades!$E$2:$E$1146,$A14)</f>
        <v>4</v>
      </c>
      <c r="C14" s="29" t="n">
        <f aca="false">COUNTIFS(Trades!$E$2:$E$1146,$A14,Trades!$Z$2:$Z$1146,"Win")</f>
        <v>0</v>
      </c>
      <c r="D14" s="29" t="n">
        <f aca="false">COUNTIFS(Trades!$E$2:$E$1146,$A14,Trades!$Z$2:$Z$1146,"Loss")</f>
        <v>4</v>
      </c>
      <c r="E14" s="30" t="n">
        <f aca="false">IFERROR(C14/B14,0)</f>
        <v>0</v>
      </c>
      <c r="F14" s="31" t="n">
        <f aca="false">SUMIFS(Trades!$X$2:$X$1146,Trades!$E$2:$E$1146,$A14)</f>
        <v>-130.12</v>
      </c>
      <c r="G14" s="31" t="n">
        <f aca="false">SUMIFS(Trades!$X$2:$X$1146,Trades!$E$2:$E$1146,$A14,Trades!$X$2:$X$1146,"&gt;0")</f>
        <v>0</v>
      </c>
      <c r="H14" s="31" t="n">
        <f aca="false">SUMIFS(Trades!$X$2:$X$1146,Trades!$E$2:$E$1146,$A14,Trades!$X$2:$X$1146,"&lt;0")</f>
        <v>-130.12</v>
      </c>
      <c r="I14" s="32" t="n">
        <f aca="false">IFERROR(G14/-H14,"no loss")</f>
        <v>0</v>
      </c>
      <c r="J14" s="31" t="n">
        <f aca="false">_xlfn.MAXIFS(Trades!$X$2:$X$1146,Trades!$E$2:$E$1146,$A14)</f>
        <v>-0.2</v>
      </c>
      <c r="K14" s="31" t="n">
        <f aca="false">_xlfn.MINIFS(Trades!$X$2:$X$1146,Trades!$E$2:$E$1146,$A14)</f>
        <v>-55.52</v>
      </c>
      <c r="L14" s="33" t="n">
        <f aca="false">SUMIFS(Trades!$Y$2:$Y$1146,Trades!$E$2:$E$1146,$A14)</f>
        <v>-3.13396280283721</v>
      </c>
      <c r="M14" s="31" t="n">
        <f aca="false">P13</f>
        <v>9995.75</v>
      </c>
      <c r="N14" s="30" t="n">
        <f aca="false">IFERROR(F14/M14,0)</f>
        <v>-0.0130175324512918</v>
      </c>
      <c r="O14" s="29" t="str">
        <f aca="false">IF(F14&lt;0,"down week","")</f>
        <v>down week</v>
      </c>
      <c r="P14" s="31" t="n">
        <f aca="false">M14+F14</f>
        <v>9865.63</v>
      </c>
      <c r="Q14" s="31" t="n">
        <f aca="false">P14-Summary!$C$5</f>
        <v>-134.370000000001</v>
      </c>
    </row>
    <row r="15" customFormat="false" ht="15" hidden="false" customHeight="false" outlineLevel="0" collapsed="false">
      <c r="A15" s="43" t="n">
        <v>44746</v>
      </c>
      <c r="B15" s="29" t="n">
        <f aca="false">COUNTIFS(Trades!$E$2:$E$1146,$A15)</f>
        <v>5</v>
      </c>
      <c r="C15" s="29" t="n">
        <f aca="false">COUNTIFS(Trades!$E$2:$E$1146,$A15,Trades!$Z$2:$Z$1146,"Win")</f>
        <v>2</v>
      </c>
      <c r="D15" s="29" t="n">
        <f aca="false">COUNTIFS(Trades!$E$2:$E$1146,$A15,Trades!$Z$2:$Z$1146,"Loss")</f>
        <v>3</v>
      </c>
      <c r="E15" s="30" t="n">
        <f aca="false">IFERROR(C15/B15,0)</f>
        <v>0.4</v>
      </c>
      <c r="F15" s="31" t="n">
        <f aca="false">SUMIFS(Trades!$X$2:$X$1146,Trades!$E$2:$E$1146,$A15)</f>
        <v>354.92</v>
      </c>
      <c r="G15" s="31" t="n">
        <f aca="false">SUMIFS(Trades!$X$2:$X$1146,Trades!$E$2:$E$1146,$A15,Trades!$X$2:$X$1146,"&gt;0")</f>
        <v>377.12</v>
      </c>
      <c r="H15" s="31" t="n">
        <f aca="false">SUMIFS(Trades!$X$2:$X$1146,Trades!$E$2:$E$1146,$A15,Trades!$X$2:$X$1146,"&lt;0")</f>
        <v>-22.2</v>
      </c>
      <c r="I15" s="32" t="n">
        <f aca="false">IFERROR(G15/-H15,"no loss")</f>
        <v>16.9873873873874</v>
      </c>
      <c r="J15" s="31" t="n">
        <f aca="false">_xlfn.MAXIFS(Trades!$X$2:$X$1146,Trades!$E$2:$E$1146,$A15)</f>
        <v>312.52</v>
      </c>
      <c r="K15" s="31" t="n">
        <f aca="false">_xlfn.MINIFS(Trades!$X$2:$X$1146,Trades!$E$2:$E$1146,$A15)</f>
        <v>-21.84</v>
      </c>
      <c r="L15" s="33" t="n">
        <f aca="false">SUMIFS(Trades!$Y$2:$Y$1146,Trades!$E$2:$E$1146,$A15)</f>
        <v>4.03438790667214</v>
      </c>
      <c r="M15" s="31" t="n">
        <f aca="false">P14</f>
        <v>9865.63</v>
      </c>
      <c r="N15" s="30" t="n">
        <f aca="false">IFERROR(F15/M15,0)</f>
        <v>0.0359754014695463</v>
      </c>
      <c r="O15" s="29" t="str">
        <f aca="false">IF(F15&lt;0,"down week","")</f>
        <v/>
      </c>
      <c r="P15" s="31" t="n">
        <f aca="false">M15+F15</f>
        <v>10220.55</v>
      </c>
      <c r="Q15" s="31" t="n">
        <f aca="false">P15-Summary!$C$5</f>
        <v>220.549999999999</v>
      </c>
    </row>
    <row r="16" customFormat="false" ht="15" hidden="false" customHeight="false" outlineLevel="0" collapsed="false">
      <c r="A16" s="43" t="n">
        <v>44753</v>
      </c>
      <c r="B16" s="29" t="n">
        <f aca="false">COUNTIFS(Trades!$E$2:$E$1146,$A16)</f>
        <v>4</v>
      </c>
      <c r="C16" s="29" t="n">
        <f aca="false">COUNTIFS(Trades!$E$2:$E$1146,$A16,Trades!$Z$2:$Z$1146,"Win")</f>
        <v>2</v>
      </c>
      <c r="D16" s="29" t="n">
        <f aca="false">COUNTIFS(Trades!$E$2:$E$1146,$A16,Trades!$Z$2:$Z$1146,"Loss")</f>
        <v>2</v>
      </c>
      <c r="E16" s="30" t="n">
        <f aca="false">IFERROR(C16/B16,0)</f>
        <v>0.5</v>
      </c>
      <c r="F16" s="31" t="n">
        <f aca="false">SUMIFS(Trades!$X$2:$X$1146,Trades!$E$2:$E$1146,$A16)</f>
        <v>397.88</v>
      </c>
      <c r="G16" s="31" t="n">
        <f aca="false">SUMIFS(Trades!$X$2:$X$1146,Trades!$E$2:$E$1146,$A16,Trades!$X$2:$X$1146,"&gt;0")</f>
        <v>404.24</v>
      </c>
      <c r="H16" s="31" t="n">
        <f aca="false">SUMIFS(Trades!$X$2:$X$1146,Trades!$E$2:$E$1146,$A16,Trades!$X$2:$X$1146,"&lt;0")</f>
        <v>-6.36</v>
      </c>
      <c r="I16" s="32" t="n">
        <f aca="false">IFERROR(G16/-H16,"no loss")</f>
        <v>63.559748427673</v>
      </c>
      <c r="J16" s="31" t="n">
        <f aca="false">_xlfn.MAXIFS(Trades!$X$2:$X$1146,Trades!$E$2:$E$1146,$A16)</f>
        <v>292.6</v>
      </c>
      <c r="K16" s="31" t="n">
        <f aca="false">_xlfn.MINIFS(Trades!$X$2:$X$1146,Trades!$E$2:$E$1146,$A16)</f>
        <v>-5.6</v>
      </c>
      <c r="L16" s="33" t="n">
        <f aca="false">SUMIFS(Trades!$Y$2:$Y$1146,Trades!$E$2:$E$1146,$A16)</f>
        <v>4.80897891830786</v>
      </c>
      <c r="M16" s="31" t="n">
        <f aca="false">P15</f>
        <v>10220.55</v>
      </c>
      <c r="N16" s="30" t="n">
        <f aca="false">IFERROR(F16/M16,0)</f>
        <v>0.0389294118222601</v>
      </c>
      <c r="O16" s="29" t="str">
        <f aca="false">IF(F16&lt;0,"down week","")</f>
        <v/>
      </c>
      <c r="P16" s="31" t="n">
        <f aca="false">M16+F16</f>
        <v>10618.43</v>
      </c>
      <c r="Q16" s="31" t="n">
        <f aca="false">P16-Summary!$C$5</f>
        <v>618.429999999999</v>
      </c>
    </row>
    <row r="17" customFormat="false" ht="15" hidden="false" customHeight="false" outlineLevel="0" collapsed="false">
      <c r="A17" s="43" t="n">
        <v>44760</v>
      </c>
      <c r="B17" s="29" t="n">
        <f aca="false">COUNTIFS(Trades!$E$2:$E$1146,$A17)</f>
        <v>6</v>
      </c>
      <c r="C17" s="29" t="n">
        <f aca="false">COUNTIFS(Trades!$E$2:$E$1146,$A17,Trades!$Z$2:$Z$1146,"Win")</f>
        <v>1</v>
      </c>
      <c r="D17" s="29" t="n">
        <f aca="false">COUNTIFS(Trades!$E$2:$E$1146,$A17,Trades!$Z$2:$Z$1146,"Loss")</f>
        <v>4</v>
      </c>
      <c r="E17" s="30" t="n">
        <f aca="false">IFERROR(C17/B17,0)</f>
        <v>0.166666666666667</v>
      </c>
      <c r="F17" s="31" t="n">
        <f aca="false">SUMIFS(Trades!$X$2:$X$1146,Trades!$E$2:$E$1146,$A17)</f>
        <v>-22.48</v>
      </c>
      <c r="G17" s="31" t="n">
        <f aca="false">SUMIFS(Trades!$X$2:$X$1146,Trades!$E$2:$E$1146,$A17,Trades!$X$2:$X$1146,"&gt;0")</f>
        <v>107.8</v>
      </c>
      <c r="H17" s="31" t="n">
        <f aca="false">SUMIFS(Trades!$X$2:$X$1146,Trades!$E$2:$E$1146,$A17,Trades!$X$2:$X$1146,"&lt;0")</f>
        <v>-130.28</v>
      </c>
      <c r="I17" s="32" t="n">
        <f aca="false">IFERROR(G17/-H17,"no loss")</f>
        <v>0.827448572305803</v>
      </c>
      <c r="J17" s="31" t="n">
        <f aca="false">_xlfn.MAXIFS(Trades!$X$2:$X$1146,Trades!$E$2:$E$1146,$A17)</f>
        <v>107.8</v>
      </c>
      <c r="K17" s="31" t="n">
        <f aca="false">_xlfn.MINIFS(Trades!$X$2:$X$1146,Trades!$E$2:$E$1146,$A17)</f>
        <v>-50</v>
      </c>
      <c r="L17" s="33" t="n">
        <f aca="false">SUMIFS(Trades!$Y$2:$Y$1146,Trades!$E$2:$E$1146,$A17)</f>
        <v>-0.592853644666298</v>
      </c>
      <c r="M17" s="31" t="n">
        <f aca="false">P16</f>
        <v>10618.43</v>
      </c>
      <c r="N17" s="30" t="n">
        <f aca="false">IFERROR(F17/M17,0)</f>
        <v>-0.00211707380469618</v>
      </c>
      <c r="O17" s="29" t="str">
        <f aca="false">IF(F17&lt;0,"down week","")</f>
        <v>down week</v>
      </c>
      <c r="P17" s="31" t="n">
        <f aca="false">M17+F17</f>
        <v>10595.95</v>
      </c>
      <c r="Q17" s="31" t="n">
        <f aca="false">P17-Summary!$C$5</f>
        <v>595.949999999999</v>
      </c>
    </row>
    <row r="18" customFormat="false" ht="15" hidden="false" customHeight="false" outlineLevel="0" collapsed="false">
      <c r="A18" s="43" t="n">
        <v>44767</v>
      </c>
      <c r="B18" s="29" t="n">
        <f aca="false">COUNTIFS(Trades!$E$2:$E$1146,$A18)</f>
        <v>5</v>
      </c>
      <c r="C18" s="29" t="n">
        <f aca="false">COUNTIFS(Trades!$E$2:$E$1146,$A18,Trades!$Z$2:$Z$1146,"Win")</f>
        <v>1</v>
      </c>
      <c r="D18" s="29" t="n">
        <f aca="false">COUNTIFS(Trades!$E$2:$E$1146,$A18,Trades!$Z$2:$Z$1146,"Loss")</f>
        <v>4</v>
      </c>
      <c r="E18" s="30" t="n">
        <f aca="false">IFERROR(C18/B18,0)</f>
        <v>0.2</v>
      </c>
      <c r="F18" s="31" t="n">
        <f aca="false">SUMIFS(Trades!$X$2:$X$1146,Trades!$E$2:$E$1146,$A18)</f>
        <v>128.68</v>
      </c>
      <c r="G18" s="31" t="n">
        <f aca="false">SUMIFS(Trades!$X$2:$X$1146,Trades!$E$2:$E$1146,$A18,Trades!$X$2:$X$1146,"&gt;0")</f>
        <v>203.84</v>
      </c>
      <c r="H18" s="31" t="n">
        <f aca="false">SUMIFS(Trades!$X$2:$X$1146,Trades!$E$2:$E$1146,$A18,Trades!$X$2:$X$1146,"&lt;0")</f>
        <v>-75.16</v>
      </c>
      <c r="I18" s="32" t="n">
        <f aca="false">IFERROR(G18/-H18,"no loss")</f>
        <v>2.7120808940926</v>
      </c>
      <c r="J18" s="31" t="n">
        <f aca="false">_xlfn.MAXIFS(Trades!$X$2:$X$1146,Trades!$E$2:$E$1146,$A18)</f>
        <v>203.84</v>
      </c>
      <c r="K18" s="31" t="n">
        <f aca="false">_xlfn.MINIFS(Trades!$X$2:$X$1146,Trades!$E$2:$E$1146,$A18)</f>
        <v>-43.48</v>
      </c>
      <c r="L18" s="33" t="n">
        <f aca="false">SUMIFS(Trades!$Y$2:$Y$1146,Trades!$E$2:$E$1146,$A18)</f>
        <v>0.282420764650483</v>
      </c>
      <c r="M18" s="31" t="n">
        <f aca="false">P17</f>
        <v>10595.95</v>
      </c>
      <c r="N18" s="30" t="n">
        <f aca="false">IFERROR(F18/M18,0)</f>
        <v>0.0121442626663961</v>
      </c>
      <c r="O18" s="29" t="str">
        <f aca="false">IF(F18&lt;0,"down week","")</f>
        <v/>
      </c>
      <c r="P18" s="31" t="n">
        <f aca="false">M18+F18</f>
        <v>10724.63</v>
      </c>
      <c r="Q18" s="31" t="n">
        <f aca="false">P18-Summary!$C$5</f>
        <v>724.629999999999</v>
      </c>
    </row>
    <row r="19" customFormat="false" ht="15" hidden="false" customHeight="false" outlineLevel="0" collapsed="false">
      <c r="A19" s="43" t="n">
        <v>44774</v>
      </c>
      <c r="B19" s="29" t="n">
        <f aca="false">COUNTIFS(Trades!$E$2:$E$1146,$A19)</f>
        <v>6</v>
      </c>
      <c r="C19" s="29" t="n">
        <f aca="false">COUNTIFS(Trades!$E$2:$E$1146,$A19,Trades!$Z$2:$Z$1146,"Win")</f>
        <v>1</v>
      </c>
      <c r="D19" s="29" t="n">
        <f aca="false">COUNTIFS(Trades!$E$2:$E$1146,$A19,Trades!$Z$2:$Z$1146,"Loss")</f>
        <v>5</v>
      </c>
      <c r="E19" s="30" t="n">
        <f aca="false">IFERROR(C19/B19,0)</f>
        <v>0.166666666666667</v>
      </c>
      <c r="F19" s="31" t="n">
        <f aca="false">SUMIFS(Trades!$X$2:$X$1146,Trades!$E$2:$E$1146,$A19)</f>
        <v>36.07</v>
      </c>
      <c r="G19" s="31" t="n">
        <f aca="false">SUMIFS(Trades!$X$2:$X$1146,Trades!$E$2:$E$1146,$A19,Trades!$X$2:$X$1146,"&gt;0")</f>
        <v>169.36</v>
      </c>
      <c r="H19" s="31" t="n">
        <f aca="false">SUMIFS(Trades!$X$2:$X$1146,Trades!$E$2:$E$1146,$A19,Trades!$X$2:$X$1146,"&lt;0")</f>
        <v>-133.29</v>
      </c>
      <c r="I19" s="32" t="n">
        <f aca="false">IFERROR(G19/-H19,"no loss")</f>
        <v>1.27061294920849</v>
      </c>
      <c r="J19" s="31" t="n">
        <f aca="false">_xlfn.MAXIFS(Trades!$X$2:$X$1146,Trades!$E$2:$E$1146,$A19)</f>
        <v>169.36</v>
      </c>
      <c r="K19" s="31" t="n">
        <f aca="false">_xlfn.MINIFS(Trades!$X$2:$X$1146,Trades!$E$2:$E$1146,$A19)</f>
        <v>-74.48</v>
      </c>
      <c r="L19" s="33" t="n">
        <f aca="false">SUMIFS(Trades!$Y$2:$Y$1146,Trades!$E$2:$E$1146,$A19)</f>
        <v>-0.823491110375329</v>
      </c>
      <c r="M19" s="31" t="n">
        <f aca="false">P18</f>
        <v>10724.63</v>
      </c>
      <c r="N19" s="30" t="n">
        <f aca="false">IFERROR(F19/M19,0)</f>
        <v>0.0033632861926239</v>
      </c>
      <c r="O19" s="29" t="str">
        <f aca="false">IF(F19&lt;0,"down week","")</f>
        <v/>
      </c>
      <c r="P19" s="31" t="n">
        <f aca="false">M19+F19</f>
        <v>10760.7</v>
      </c>
      <c r="Q19" s="31" t="n">
        <f aca="false">P19-Summary!$C$5</f>
        <v>760.699999999999</v>
      </c>
    </row>
    <row r="20" customFormat="false" ht="15" hidden="false" customHeight="false" outlineLevel="0" collapsed="false">
      <c r="A20" s="43" t="n">
        <v>44781</v>
      </c>
      <c r="B20" s="29" t="n">
        <f aca="false">COUNTIFS(Trades!$E$2:$E$1146,$A20)</f>
        <v>5</v>
      </c>
      <c r="C20" s="29" t="n">
        <f aca="false">COUNTIFS(Trades!$E$2:$E$1146,$A20,Trades!$Z$2:$Z$1146,"Win")</f>
        <v>0</v>
      </c>
      <c r="D20" s="29" t="n">
        <f aca="false">COUNTIFS(Trades!$E$2:$E$1146,$A20,Trades!$Z$2:$Z$1146,"Loss")</f>
        <v>4</v>
      </c>
      <c r="E20" s="30" t="n">
        <f aca="false">IFERROR(C20/B20,0)</f>
        <v>0</v>
      </c>
      <c r="F20" s="31" t="n">
        <f aca="false">SUMIFS(Trades!$X$2:$X$1146,Trades!$E$2:$E$1146,$A20)</f>
        <v>-16.6</v>
      </c>
      <c r="G20" s="31" t="n">
        <f aca="false">SUMIFS(Trades!$X$2:$X$1146,Trades!$E$2:$E$1146,$A20,Trades!$X$2:$X$1146,"&gt;0")</f>
        <v>0</v>
      </c>
      <c r="H20" s="31" t="n">
        <f aca="false">SUMIFS(Trades!$X$2:$X$1146,Trades!$E$2:$E$1146,$A20,Trades!$X$2:$X$1146,"&lt;0")</f>
        <v>-16.6</v>
      </c>
      <c r="I20" s="32" t="n">
        <f aca="false">IFERROR(G20/-H20,"no loss")</f>
        <v>0</v>
      </c>
      <c r="J20" s="31" t="n">
        <f aca="false">_xlfn.MAXIFS(Trades!$X$2:$X$1146,Trades!$E$2:$E$1146,$A20)</f>
        <v>0</v>
      </c>
      <c r="K20" s="31" t="n">
        <f aca="false">_xlfn.MINIFS(Trades!$X$2:$X$1146,Trades!$E$2:$E$1146,$A20)</f>
        <v>-15.92</v>
      </c>
      <c r="L20" s="33" t="n">
        <f aca="false">SUMIFS(Trades!$Y$2:$Y$1146,Trades!$E$2:$E$1146,$A20)</f>
        <v>-1.05047657616024</v>
      </c>
      <c r="M20" s="31" t="n">
        <f aca="false">P19</f>
        <v>10760.7</v>
      </c>
      <c r="N20" s="30" t="n">
        <f aca="false">IFERROR(F20/M20,0)</f>
        <v>-0.0015426505710595</v>
      </c>
      <c r="O20" s="29" t="str">
        <f aca="false">IF(F20&lt;0,"down week","")</f>
        <v>down week</v>
      </c>
      <c r="P20" s="31" t="n">
        <f aca="false">M20+F20</f>
        <v>10744.1</v>
      </c>
      <c r="Q20" s="31" t="n">
        <f aca="false">P20-Summary!$C$5</f>
        <v>744.099999999999</v>
      </c>
    </row>
    <row r="21" customFormat="false" ht="15" hidden="false" customHeight="false" outlineLevel="0" collapsed="false">
      <c r="A21" s="43" t="n">
        <v>44788</v>
      </c>
      <c r="B21" s="29" t="n">
        <f aca="false">COUNTIFS(Trades!$E$2:$E$1146,$A21)</f>
        <v>4</v>
      </c>
      <c r="C21" s="29" t="n">
        <f aca="false">COUNTIFS(Trades!$E$2:$E$1146,$A21,Trades!$Z$2:$Z$1146,"Win")</f>
        <v>1</v>
      </c>
      <c r="D21" s="29" t="n">
        <f aca="false">COUNTIFS(Trades!$E$2:$E$1146,$A21,Trades!$Z$2:$Z$1146,"Loss")</f>
        <v>3</v>
      </c>
      <c r="E21" s="30" t="n">
        <f aca="false">IFERROR(C21/B21,0)</f>
        <v>0.25</v>
      </c>
      <c r="F21" s="31" t="n">
        <f aca="false">SUMIFS(Trades!$X$2:$X$1146,Trades!$E$2:$E$1146,$A21)</f>
        <v>24.92</v>
      </c>
      <c r="G21" s="31" t="n">
        <f aca="false">SUMIFS(Trades!$X$2:$X$1146,Trades!$E$2:$E$1146,$A21,Trades!$X$2:$X$1146,"&gt;0")</f>
        <v>53.46</v>
      </c>
      <c r="H21" s="31" t="n">
        <f aca="false">SUMIFS(Trades!$X$2:$X$1146,Trades!$E$2:$E$1146,$A21,Trades!$X$2:$X$1146,"&lt;0")</f>
        <v>-28.54</v>
      </c>
      <c r="I21" s="32" t="n">
        <f aca="false">IFERROR(G21/-H21,"no loss")</f>
        <v>1.87316047652418</v>
      </c>
      <c r="J21" s="31" t="n">
        <f aca="false">_xlfn.MAXIFS(Trades!$X$2:$X$1146,Trades!$E$2:$E$1146,$A21)</f>
        <v>53.46</v>
      </c>
      <c r="K21" s="31" t="n">
        <f aca="false">_xlfn.MINIFS(Trades!$X$2:$X$1146,Trades!$E$2:$E$1146,$A21)</f>
        <v>-27.76</v>
      </c>
      <c r="L21" s="33" t="n">
        <f aca="false">SUMIFS(Trades!$Y$2:$Y$1146,Trades!$E$2:$E$1146,$A21)</f>
        <v>1.38881969936774</v>
      </c>
      <c r="M21" s="31" t="n">
        <f aca="false">P20</f>
        <v>10744.1</v>
      </c>
      <c r="N21" s="30" t="n">
        <f aca="false">IFERROR(F21/M21,0)</f>
        <v>0.00231941251477555</v>
      </c>
      <c r="O21" s="29" t="str">
        <f aca="false">IF(F21&lt;0,"down week","")</f>
        <v/>
      </c>
      <c r="P21" s="31" t="n">
        <f aca="false">M21+F21</f>
        <v>10769.02</v>
      </c>
      <c r="Q21" s="31" t="n">
        <f aca="false">P21-Summary!$C$5</f>
        <v>769.019999999999</v>
      </c>
    </row>
    <row r="22" customFormat="false" ht="15" hidden="false" customHeight="false" outlineLevel="0" collapsed="false">
      <c r="A22" s="43" t="n">
        <v>44795</v>
      </c>
      <c r="B22" s="29" t="n">
        <f aca="false">COUNTIFS(Trades!$E$2:$E$1146,$A22)</f>
        <v>5</v>
      </c>
      <c r="C22" s="29" t="n">
        <f aca="false">COUNTIFS(Trades!$E$2:$E$1146,$A22,Trades!$Z$2:$Z$1146,"Win")</f>
        <v>3</v>
      </c>
      <c r="D22" s="29" t="n">
        <f aca="false">COUNTIFS(Trades!$E$2:$E$1146,$A22,Trades!$Z$2:$Z$1146,"Loss")</f>
        <v>2</v>
      </c>
      <c r="E22" s="30" t="n">
        <f aca="false">IFERROR(C22/B22,0)</f>
        <v>0.6</v>
      </c>
      <c r="F22" s="31" t="n">
        <f aca="false">SUMIFS(Trades!$X$2:$X$1146,Trades!$E$2:$E$1146,$A22)</f>
        <v>246</v>
      </c>
      <c r="G22" s="31" t="n">
        <f aca="false">SUMIFS(Trades!$X$2:$X$1146,Trades!$E$2:$E$1146,$A22,Trades!$X$2:$X$1146,"&gt;0")</f>
        <v>393.52</v>
      </c>
      <c r="H22" s="31" t="n">
        <f aca="false">SUMIFS(Trades!$X$2:$X$1146,Trades!$E$2:$E$1146,$A22,Trades!$X$2:$X$1146,"&lt;0")</f>
        <v>-147.52</v>
      </c>
      <c r="I22" s="32" t="n">
        <f aca="false">IFERROR(G22/-H22,"no loss")</f>
        <v>2.6675704989154</v>
      </c>
      <c r="J22" s="31" t="n">
        <f aca="false">_xlfn.MAXIFS(Trades!$X$2:$X$1146,Trades!$E$2:$E$1146,$A22)</f>
        <v>190.8</v>
      </c>
      <c r="K22" s="31" t="n">
        <f aca="false">_xlfn.MINIFS(Trades!$X$2:$X$1146,Trades!$E$2:$E$1146,$A22)</f>
        <v>-86.92</v>
      </c>
      <c r="L22" s="33" t="n">
        <f aca="false">SUMIFS(Trades!$Y$2:$Y$1146,Trades!$E$2:$E$1146,$A22)</f>
        <v>5.17891351017201</v>
      </c>
      <c r="M22" s="31" t="n">
        <f aca="false">P21</f>
        <v>10769.02</v>
      </c>
      <c r="N22" s="30" t="n">
        <f aca="false">IFERROR(F22/M22,0)</f>
        <v>0.022843304218954</v>
      </c>
      <c r="O22" s="29" t="str">
        <f aca="false">IF(F22&lt;0,"down week","")</f>
        <v/>
      </c>
      <c r="P22" s="31" t="n">
        <f aca="false">M22+F22</f>
        <v>11015.02</v>
      </c>
      <c r="Q22" s="31" t="n">
        <f aca="false">P22-Summary!$C$5</f>
        <v>1015.02</v>
      </c>
    </row>
    <row r="23" customFormat="false" ht="15" hidden="false" customHeight="false" outlineLevel="0" collapsed="false">
      <c r="A23" s="43" t="n">
        <v>44802</v>
      </c>
      <c r="B23" s="29" t="n">
        <f aca="false">COUNTIFS(Trades!$E$2:$E$1146,$A23)</f>
        <v>5</v>
      </c>
      <c r="C23" s="29" t="n">
        <f aca="false">COUNTIFS(Trades!$E$2:$E$1146,$A23,Trades!$Z$2:$Z$1146,"Win")</f>
        <v>1</v>
      </c>
      <c r="D23" s="29" t="n">
        <f aca="false">COUNTIFS(Trades!$E$2:$E$1146,$A23,Trades!$Z$2:$Z$1146,"Loss")</f>
        <v>4</v>
      </c>
      <c r="E23" s="30" t="n">
        <f aca="false">IFERROR(C23/B23,0)</f>
        <v>0.2</v>
      </c>
      <c r="F23" s="31" t="n">
        <f aca="false">SUMIFS(Trades!$X$2:$X$1146,Trades!$E$2:$E$1146,$A23)</f>
        <v>-49.92</v>
      </c>
      <c r="G23" s="31" t="n">
        <f aca="false">SUMIFS(Trades!$X$2:$X$1146,Trades!$E$2:$E$1146,$A23,Trades!$X$2:$X$1146,"&gt;0")</f>
        <v>36.48</v>
      </c>
      <c r="H23" s="31" t="n">
        <f aca="false">SUMIFS(Trades!$X$2:$X$1146,Trades!$E$2:$E$1146,$A23,Trades!$X$2:$X$1146,"&lt;0")</f>
        <v>-86.4</v>
      </c>
      <c r="I23" s="32" t="n">
        <f aca="false">IFERROR(G23/-H23,"no loss")</f>
        <v>0.422222222222222</v>
      </c>
      <c r="J23" s="31" t="n">
        <f aca="false">_xlfn.MAXIFS(Trades!$X$2:$X$1146,Trades!$E$2:$E$1146,$A23)</f>
        <v>36.48</v>
      </c>
      <c r="K23" s="31" t="n">
        <f aca="false">_xlfn.MINIFS(Trades!$X$2:$X$1146,Trades!$E$2:$E$1146,$A23)</f>
        <v>-60</v>
      </c>
      <c r="L23" s="33" t="n">
        <f aca="false">SUMIFS(Trades!$Y$2:$Y$1146,Trades!$E$2:$E$1146,$A23)</f>
        <v>0.328794071079637</v>
      </c>
      <c r="M23" s="31" t="n">
        <f aca="false">P22</f>
        <v>11015.02</v>
      </c>
      <c r="N23" s="30" t="n">
        <f aca="false">IFERROR(F23/M23,0)</f>
        <v>-0.00453199358693856</v>
      </c>
      <c r="O23" s="29" t="str">
        <f aca="false">IF(F23&lt;0,"down week","")</f>
        <v>down week</v>
      </c>
      <c r="P23" s="31" t="n">
        <f aca="false">M23+F23</f>
        <v>10965.1</v>
      </c>
      <c r="Q23" s="31" t="n">
        <f aca="false">P23-Summary!$C$5</f>
        <v>965.099999999999</v>
      </c>
    </row>
    <row r="24" customFormat="false" ht="15" hidden="false" customHeight="false" outlineLevel="0" collapsed="false">
      <c r="A24" s="43" t="n">
        <v>44809</v>
      </c>
      <c r="B24" s="29" t="n">
        <f aca="false">COUNTIFS(Trades!$E$2:$E$1146,$A24)</f>
        <v>6</v>
      </c>
      <c r="C24" s="29" t="n">
        <f aca="false">COUNTIFS(Trades!$E$2:$E$1146,$A24,Trades!$Z$2:$Z$1146,"Win")</f>
        <v>1</v>
      </c>
      <c r="D24" s="29" t="n">
        <f aca="false">COUNTIFS(Trades!$E$2:$E$1146,$A24,Trades!$Z$2:$Z$1146,"Loss")</f>
        <v>5</v>
      </c>
      <c r="E24" s="30" t="n">
        <f aca="false">IFERROR(C24/B24,0)</f>
        <v>0.166666666666667</v>
      </c>
      <c r="F24" s="31" t="n">
        <f aca="false">SUMIFS(Trades!$X$2:$X$1146,Trades!$E$2:$E$1146,$A24)</f>
        <v>28.16</v>
      </c>
      <c r="G24" s="31" t="n">
        <f aca="false">SUMIFS(Trades!$X$2:$X$1146,Trades!$E$2:$E$1146,$A24,Trades!$X$2:$X$1146,"&gt;0")</f>
        <v>57.04</v>
      </c>
      <c r="H24" s="31" t="n">
        <f aca="false">SUMIFS(Trades!$X$2:$X$1146,Trades!$E$2:$E$1146,$A24,Trades!$X$2:$X$1146,"&lt;0")</f>
        <v>-28.88</v>
      </c>
      <c r="I24" s="32" t="n">
        <f aca="false">IFERROR(G24/-H24,"no loss")</f>
        <v>1.97506925207756</v>
      </c>
      <c r="J24" s="31" t="n">
        <f aca="false">_xlfn.MAXIFS(Trades!$X$2:$X$1146,Trades!$E$2:$E$1146,$A24)</f>
        <v>57.04</v>
      </c>
      <c r="K24" s="31" t="n">
        <f aca="false">_xlfn.MINIFS(Trades!$X$2:$X$1146,Trades!$E$2:$E$1146,$A24)</f>
        <v>-22.48</v>
      </c>
      <c r="L24" s="33" t="n">
        <f aca="false">SUMIFS(Trades!$Y$2:$Y$1146,Trades!$E$2:$E$1146,$A24)</f>
        <v>1.36047101469872</v>
      </c>
      <c r="M24" s="31" t="n">
        <f aca="false">P23</f>
        <v>10965.1</v>
      </c>
      <c r="N24" s="30" t="n">
        <f aca="false">IFERROR(F24/M24,0)</f>
        <v>0.00256814803330567</v>
      </c>
      <c r="O24" s="29" t="str">
        <f aca="false">IF(F24&lt;0,"down week","")</f>
        <v/>
      </c>
      <c r="P24" s="31" t="n">
        <f aca="false">M24+F24</f>
        <v>10993.26</v>
      </c>
      <c r="Q24" s="31" t="n">
        <f aca="false">P24-Summary!$C$5</f>
        <v>993.259999999998</v>
      </c>
    </row>
    <row r="25" customFormat="false" ht="15" hidden="false" customHeight="false" outlineLevel="0" collapsed="false">
      <c r="A25" s="43" t="n">
        <v>44816</v>
      </c>
      <c r="B25" s="29" t="n">
        <f aca="false">COUNTIFS(Trades!$E$2:$E$1146,$A25)</f>
        <v>6</v>
      </c>
      <c r="C25" s="29" t="n">
        <f aca="false">COUNTIFS(Trades!$E$2:$E$1146,$A25,Trades!$Z$2:$Z$1146,"Win")</f>
        <v>5</v>
      </c>
      <c r="D25" s="29" t="n">
        <f aca="false">COUNTIFS(Trades!$E$2:$E$1146,$A25,Trades!$Z$2:$Z$1146,"Loss")</f>
        <v>1</v>
      </c>
      <c r="E25" s="30" t="n">
        <f aca="false">IFERROR(C25/B25,0)</f>
        <v>0.833333333333333</v>
      </c>
      <c r="F25" s="31" t="n">
        <f aca="false">SUMIFS(Trades!$X$2:$X$1146,Trades!$E$2:$E$1146,$A25)</f>
        <v>1298.77</v>
      </c>
      <c r="G25" s="31" t="n">
        <f aca="false">SUMIFS(Trades!$X$2:$X$1146,Trades!$E$2:$E$1146,$A25,Trades!$X$2:$X$1146,"&gt;0")</f>
        <v>1318.09</v>
      </c>
      <c r="H25" s="31" t="n">
        <f aca="false">SUMIFS(Trades!$X$2:$X$1146,Trades!$E$2:$E$1146,$A25,Trades!$X$2:$X$1146,"&lt;0")</f>
        <v>-19.32</v>
      </c>
      <c r="I25" s="32" t="n">
        <f aca="false">IFERROR(G25/-H25,"no loss")</f>
        <v>68.2241200828157</v>
      </c>
      <c r="J25" s="31" t="n">
        <f aca="false">_xlfn.MAXIFS(Trades!$X$2:$X$1146,Trades!$E$2:$E$1146,$A25)</f>
        <v>708.84</v>
      </c>
      <c r="K25" s="31" t="n">
        <f aca="false">_xlfn.MINIFS(Trades!$X$2:$X$1146,Trades!$E$2:$E$1146,$A25)</f>
        <v>-19.32</v>
      </c>
      <c r="L25" s="33" t="n">
        <f aca="false">SUMIFS(Trades!$Y$2:$Y$1146,Trades!$E$2:$E$1146,$A25)</f>
        <v>11.1482261622274</v>
      </c>
      <c r="M25" s="31" t="n">
        <f aca="false">P24</f>
        <v>10993.26</v>
      </c>
      <c r="N25" s="30" t="n">
        <f aca="false">IFERROR(F25/M25,0)</f>
        <v>0.118142389063845</v>
      </c>
      <c r="O25" s="29" t="str">
        <f aca="false">IF(F25&lt;0,"down week","")</f>
        <v/>
      </c>
      <c r="P25" s="31" t="n">
        <f aca="false">M25+F25</f>
        <v>12292.03</v>
      </c>
      <c r="Q25" s="31" t="n">
        <f aca="false">P25-Summary!$C$5</f>
        <v>2292.03</v>
      </c>
    </row>
    <row r="26" customFormat="false" ht="15" hidden="false" customHeight="false" outlineLevel="0" collapsed="false">
      <c r="A26" s="43" t="n">
        <v>44823</v>
      </c>
      <c r="B26" s="29" t="n">
        <f aca="false">COUNTIFS(Trades!$E$2:$E$1146,$A26)</f>
        <v>5</v>
      </c>
      <c r="C26" s="29" t="n">
        <f aca="false">COUNTIFS(Trades!$E$2:$E$1146,$A26,Trades!$Z$2:$Z$1146,"Win")</f>
        <v>1</v>
      </c>
      <c r="D26" s="29" t="n">
        <f aca="false">COUNTIFS(Trades!$E$2:$E$1146,$A26,Trades!$Z$2:$Z$1146,"Loss")</f>
        <v>4</v>
      </c>
      <c r="E26" s="30" t="n">
        <f aca="false">IFERROR(C26/B26,0)</f>
        <v>0.2</v>
      </c>
      <c r="F26" s="31" t="n">
        <f aca="false">SUMIFS(Trades!$X$2:$X$1146,Trades!$E$2:$E$1146,$A26)</f>
        <v>-199.6</v>
      </c>
      <c r="G26" s="31" t="n">
        <f aca="false">SUMIFS(Trades!$X$2:$X$1146,Trades!$E$2:$E$1146,$A26,Trades!$X$2:$X$1146,"&gt;0")</f>
        <v>188.85</v>
      </c>
      <c r="H26" s="31" t="n">
        <f aca="false">SUMIFS(Trades!$X$2:$X$1146,Trades!$E$2:$E$1146,$A26,Trades!$X$2:$X$1146,"&lt;0")</f>
        <v>-388.45</v>
      </c>
      <c r="I26" s="32" t="n">
        <f aca="false">IFERROR(G26/-H26,"no loss")</f>
        <v>0.486162955335307</v>
      </c>
      <c r="J26" s="31" t="n">
        <f aca="false">_xlfn.MAXIFS(Trades!$X$2:$X$1146,Trades!$E$2:$E$1146,$A26)</f>
        <v>188.85</v>
      </c>
      <c r="K26" s="31" t="n">
        <f aca="false">_xlfn.MINIFS(Trades!$X$2:$X$1146,Trades!$E$2:$E$1146,$A26)</f>
        <v>-332.1</v>
      </c>
      <c r="L26" s="33" t="n">
        <f aca="false">SUMIFS(Trades!$Y$2:$Y$1146,Trades!$E$2:$E$1146,$A26)</f>
        <v>-0.432116125133167</v>
      </c>
      <c r="M26" s="31" t="n">
        <f aca="false">P25</f>
        <v>12292.03</v>
      </c>
      <c r="N26" s="30" t="n">
        <f aca="false">IFERROR(F26/M26,0)</f>
        <v>-0.0162381640786754</v>
      </c>
      <c r="O26" s="29" t="str">
        <f aca="false">IF(F26&lt;0,"down week","")</f>
        <v>down week</v>
      </c>
      <c r="P26" s="31" t="n">
        <f aca="false">M26+F26</f>
        <v>12092.43</v>
      </c>
      <c r="Q26" s="31" t="n">
        <f aca="false">P26-Summary!$C$5</f>
        <v>2092.43</v>
      </c>
    </row>
    <row r="27" customFormat="false" ht="15" hidden="false" customHeight="false" outlineLevel="0" collapsed="false">
      <c r="A27" s="43" t="n">
        <v>44830</v>
      </c>
      <c r="B27" s="29" t="n">
        <f aca="false">COUNTIFS(Trades!$E$2:$E$1146,$A27)</f>
        <v>6</v>
      </c>
      <c r="C27" s="29" t="n">
        <f aca="false">COUNTIFS(Trades!$E$2:$E$1146,$A27,Trades!$Z$2:$Z$1146,"Win")</f>
        <v>0</v>
      </c>
      <c r="D27" s="29" t="n">
        <f aca="false">COUNTIFS(Trades!$E$2:$E$1146,$A27,Trades!$Z$2:$Z$1146,"Loss")</f>
        <v>6</v>
      </c>
      <c r="E27" s="30" t="n">
        <f aca="false">IFERROR(C27/B27,0)</f>
        <v>0</v>
      </c>
      <c r="F27" s="31" t="n">
        <f aca="false">SUMIFS(Trades!$X$2:$X$1146,Trades!$E$2:$E$1146,$A27)</f>
        <v>-202</v>
      </c>
      <c r="G27" s="31" t="n">
        <f aca="false">SUMIFS(Trades!$X$2:$X$1146,Trades!$E$2:$E$1146,$A27,Trades!$X$2:$X$1146,"&gt;0")</f>
        <v>0</v>
      </c>
      <c r="H27" s="31" t="n">
        <f aca="false">SUMIFS(Trades!$X$2:$X$1146,Trades!$E$2:$E$1146,$A27,Trades!$X$2:$X$1146,"&lt;0")</f>
        <v>-202</v>
      </c>
      <c r="I27" s="32" t="n">
        <f aca="false">IFERROR(G27/-H27,"no loss")</f>
        <v>0</v>
      </c>
      <c r="J27" s="31" t="n">
        <f aca="false">_xlfn.MAXIFS(Trades!$X$2:$X$1146,Trades!$E$2:$E$1146,$A27)</f>
        <v>-0.3</v>
      </c>
      <c r="K27" s="31" t="n">
        <f aca="false">_xlfn.MINIFS(Trades!$X$2:$X$1146,Trades!$E$2:$E$1146,$A27)</f>
        <v>-77.95</v>
      </c>
      <c r="L27" s="33" t="n">
        <f aca="false">SUMIFS(Trades!$Y$2:$Y$1146,Trades!$E$2:$E$1146,$A27)</f>
        <v>-3.11192381905806</v>
      </c>
      <c r="M27" s="31" t="n">
        <f aca="false">P26</f>
        <v>12092.43</v>
      </c>
      <c r="N27" s="30" t="n">
        <f aca="false">IFERROR(F27/M27,0)</f>
        <v>-0.0167046656461935</v>
      </c>
      <c r="O27" s="29" t="str">
        <f aca="false">IF(F27&lt;0,"down week","")</f>
        <v>down week</v>
      </c>
      <c r="P27" s="31" t="n">
        <f aca="false">M27+F27</f>
        <v>11890.43</v>
      </c>
      <c r="Q27" s="31" t="n">
        <f aca="false">P27-Summary!$C$5</f>
        <v>1890.43</v>
      </c>
    </row>
    <row r="28" customFormat="false" ht="15" hidden="false" customHeight="false" outlineLevel="0" collapsed="false">
      <c r="A28" s="43" t="n">
        <v>44837</v>
      </c>
      <c r="B28" s="29" t="n">
        <f aca="false">COUNTIFS(Trades!$E$2:$E$1146,$A28)</f>
        <v>6</v>
      </c>
      <c r="C28" s="29" t="n">
        <f aca="false">COUNTIFS(Trades!$E$2:$E$1146,$A28,Trades!$Z$2:$Z$1146,"Win")</f>
        <v>1</v>
      </c>
      <c r="D28" s="29" t="n">
        <f aca="false">COUNTIFS(Trades!$E$2:$E$1146,$A28,Trades!$Z$2:$Z$1146,"Loss")</f>
        <v>5</v>
      </c>
      <c r="E28" s="30" t="n">
        <f aca="false">IFERROR(C28/B28,0)</f>
        <v>0.166666666666667</v>
      </c>
      <c r="F28" s="31" t="n">
        <f aca="false">SUMIFS(Trades!$X$2:$X$1146,Trades!$E$2:$E$1146,$A28)</f>
        <v>-220.7</v>
      </c>
      <c r="G28" s="31" t="n">
        <f aca="false">SUMIFS(Trades!$X$2:$X$1146,Trades!$E$2:$E$1146,$A28,Trades!$X$2:$X$1146,"&gt;0")</f>
        <v>76.45</v>
      </c>
      <c r="H28" s="31" t="n">
        <f aca="false">SUMIFS(Trades!$X$2:$X$1146,Trades!$E$2:$E$1146,$A28,Trades!$X$2:$X$1146,"&lt;0")</f>
        <v>-297.15</v>
      </c>
      <c r="I28" s="32" t="n">
        <f aca="false">IFERROR(G28/-H28,"no loss")</f>
        <v>0.257277469291604</v>
      </c>
      <c r="J28" s="31" t="n">
        <f aca="false">_xlfn.MAXIFS(Trades!$X$2:$X$1146,Trades!$E$2:$E$1146,$A28)</f>
        <v>76.45</v>
      </c>
      <c r="K28" s="31" t="n">
        <f aca="false">_xlfn.MINIFS(Trades!$X$2:$X$1146,Trades!$E$2:$E$1146,$A28)</f>
        <v>-110.25</v>
      </c>
      <c r="L28" s="33" t="n">
        <f aca="false">SUMIFS(Trades!$Y$2:$Y$1146,Trades!$E$2:$E$1146,$A28)</f>
        <v>-1.61220297689552</v>
      </c>
      <c r="M28" s="31" t="n">
        <f aca="false">P27</f>
        <v>11890.43</v>
      </c>
      <c r="N28" s="30" t="n">
        <f aca="false">IFERROR(F28/M28,0)</f>
        <v>-0.0185611453917142</v>
      </c>
      <c r="O28" s="29" t="str">
        <f aca="false">IF(F28&lt;0,"down week","")</f>
        <v>down week</v>
      </c>
      <c r="P28" s="31" t="n">
        <f aca="false">M28+F28</f>
        <v>11669.73</v>
      </c>
      <c r="Q28" s="31" t="n">
        <f aca="false">P28-Summary!$C$5</f>
        <v>1669.73</v>
      </c>
    </row>
    <row r="29" customFormat="false" ht="15" hidden="false" customHeight="false" outlineLevel="0" collapsed="false">
      <c r="A29" s="43" t="n">
        <v>44844</v>
      </c>
      <c r="B29" s="29" t="n">
        <f aca="false">COUNTIFS(Trades!$E$2:$E$1146,$A29)</f>
        <v>4</v>
      </c>
      <c r="C29" s="29" t="n">
        <f aca="false">COUNTIFS(Trades!$E$2:$E$1146,$A29,Trades!$Z$2:$Z$1146,"Win")</f>
        <v>0</v>
      </c>
      <c r="D29" s="29" t="n">
        <f aca="false">COUNTIFS(Trades!$E$2:$E$1146,$A29,Trades!$Z$2:$Z$1146,"Loss")</f>
        <v>4</v>
      </c>
      <c r="E29" s="30" t="n">
        <f aca="false">IFERROR(C29/B29,0)</f>
        <v>0</v>
      </c>
      <c r="F29" s="31" t="n">
        <f aca="false">SUMIFS(Trades!$X$2:$X$1146,Trades!$E$2:$E$1146,$A29)</f>
        <v>-364.3</v>
      </c>
      <c r="G29" s="31" t="n">
        <f aca="false">SUMIFS(Trades!$X$2:$X$1146,Trades!$E$2:$E$1146,$A29,Trades!$X$2:$X$1146,"&gt;0")</f>
        <v>0</v>
      </c>
      <c r="H29" s="31" t="n">
        <f aca="false">SUMIFS(Trades!$X$2:$X$1146,Trades!$E$2:$E$1146,$A29,Trades!$X$2:$X$1146,"&lt;0")</f>
        <v>-364.3</v>
      </c>
      <c r="I29" s="32" t="n">
        <f aca="false">IFERROR(G29/-H29,"no loss")</f>
        <v>0</v>
      </c>
      <c r="J29" s="31" t="n">
        <f aca="false">_xlfn.MAXIFS(Trades!$X$2:$X$1146,Trades!$E$2:$E$1146,$A29)</f>
        <v>-2.7</v>
      </c>
      <c r="K29" s="31" t="n">
        <f aca="false">_xlfn.MINIFS(Trades!$X$2:$X$1146,Trades!$E$2:$E$1146,$A29)</f>
        <v>-291.9</v>
      </c>
      <c r="L29" s="33" t="n">
        <f aca="false">SUMIFS(Trades!$Y$2:$Y$1146,Trades!$E$2:$E$1146,$A29)</f>
        <v>-1.72088331145085</v>
      </c>
      <c r="M29" s="31" t="n">
        <f aca="false">P28</f>
        <v>11669.73</v>
      </c>
      <c r="N29" s="30" t="n">
        <f aca="false">IFERROR(F29/M29,0)</f>
        <v>-0.031217517457559</v>
      </c>
      <c r="O29" s="29" t="str">
        <f aca="false">IF(F29&lt;0,"down week","")</f>
        <v>down week</v>
      </c>
      <c r="P29" s="31" t="n">
        <f aca="false">M29+F29</f>
        <v>11305.43</v>
      </c>
      <c r="Q29" s="31" t="n">
        <f aca="false">P29-Summary!$C$5</f>
        <v>1305.43</v>
      </c>
    </row>
    <row r="30" customFormat="false" ht="15" hidden="false" customHeight="false" outlineLevel="0" collapsed="false">
      <c r="A30" s="43" t="n">
        <v>44851</v>
      </c>
      <c r="B30" s="29" t="n">
        <f aca="false">COUNTIFS(Trades!$E$2:$E$1146,$A30)</f>
        <v>5</v>
      </c>
      <c r="C30" s="29" t="n">
        <f aca="false">COUNTIFS(Trades!$E$2:$E$1146,$A30,Trades!$Z$2:$Z$1146,"Win")</f>
        <v>2</v>
      </c>
      <c r="D30" s="29" t="n">
        <f aca="false">COUNTIFS(Trades!$E$2:$E$1146,$A30,Trades!$Z$2:$Z$1146,"Loss")</f>
        <v>3</v>
      </c>
      <c r="E30" s="30" t="n">
        <f aca="false">IFERROR(C30/B30,0)</f>
        <v>0.4</v>
      </c>
      <c r="F30" s="31" t="n">
        <f aca="false">SUMIFS(Trades!$X$2:$X$1146,Trades!$E$2:$E$1146,$A30)</f>
        <v>48.61</v>
      </c>
      <c r="G30" s="31" t="n">
        <f aca="false">SUMIFS(Trades!$X$2:$X$1146,Trades!$E$2:$E$1146,$A30,Trades!$X$2:$X$1146,"&gt;0")</f>
        <v>232.21</v>
      </c>
      <c r="H30" s="31" t="n">
        <f aca="false">SUMIFS(Trades!$X$2:$X$1146,Trades!$E$2:$E$1146,$A30,Trades!$X$2:$X$1146,"&lt;0")</f>
        <v>-183.6</v>
      </c>
      <c r="I30" s="32" t="n">
        <f aca="false">IFERROR(G30/-H30,"no loss")</f>
        <v>1.26476034858388</v>
      </c>
      <c r="J30" s="31" t="n">
        <f aca="false">_xlfn.MAXIFS(Trades!$X$2:$X$1146,Trades!$E$2:$E$1146,$A30)</f>
        <v>157.45</v>
      </c>
      <c r="K30" s="31" t="n">
        <f aca="false">_xlfn.MINIFS(Trades!$X$2:$X$1146,Trades!$E$2:$E$1146,$A30)</f>
        <v>-117.7</v>
      </c>
      <c r="L30" s="33" t="n">
        <f aca="false">SUMIFS(Trades!$Y$2:$Y$1146,Trades!$E$2:$E$1146,$A30)</f>
        <v>2.79632483063674</v>
      </c>
      <c r="M30" s="31" t="n">
        <f aca="false">P29</f>
        <v>11305.43</v>
      </c>
      <c r="N30" s="30" t="n">
        <f aca="false">IFERROR(F30/M30,0)</f>
        <v>0.00429970377066595</v>
      </c>
      <c r="O30" s="29" t="str">
        <f aca="false">IF(F30&lt;0,"down week","")</f>
        <v/>
      </c>
      <c r="P30" s="31" t="n">
        <f aca="false">M30+F30</f>
        <v>11354.04</v>
      </c>
      <c r="Q30" s="31" t="n">
        <f aca="false">P30-Summary!$C$5</f>
        <v>1354.04</v>
      </c>
    </row>
    <row r="31" customFormat="false" ht="15" hidden="false" customHeight="false" outlineLevel="0" collapsed="false">
      <c r="A31" s="43" t="n">
        <v>44858</v>
      </c>
      <c r="B31" s="29" t="n">
        <f aca="false">COUNTIFS(Trades!$E$2:$E$1146,$A31)</f>
        <v>5</v>
      </c>
      <c r="C31" s="29" t="n">
        <f aca="false">COUNTIFS(Trades!$E$2:$E$1146,$A31,Trades!$Z$2:$Z$1146,"Win")</f>
        <v>1</v>
      </c>
      <c r="D31" s="29" t="n">
        <f aca="false">COUNTIFS(Trades!$E$2:$E$1146,$A31,Trades!$Z$2:$Z$1146,"Loss")</f>
        <v>4</v>
      </c>
      <c r="E31" s="30" t="n">
        <f aca="false">IFERROR(C31/B31,0)</f>
        <v>0.2</v>
      </c>
      <c r="F31" s="31" t="n">
        <f aca="false">SUMIFS(Trades!$X$2:$X$1146,Trades!$E$2:$E$1146,$A31)</f>
        <v>-79.62</v>
      </c>
      <c r="G31" s="31" t="n">
        <f aca="false">SUMIFS(Trades!$X$2:$X$1146,Trades!$E$2:$E$1146,$A31,Trades!$X$2:$X$1146,"&gt;0")</f>
        <v>226.4</v>
      </c>
      <c r="H31" s="31" t="n">
        <f aca="false">SUMIFS(Trades!$X$2:$X$1146,Trades!$E$2:$E$1146,$A31,Trades!$X$2:$X$1146,"&lt;0")</f>
        <v>-306.02</v>
      </c>
      <c r="I31" s="32" t="n">
        <f aca="false">IFERROR(G31/-H31,"no loss")</f>
        <v>0.739820926736815</v>
      </c>
      <c r="J31" s="31" t="n">
        <f aca="false">_xlfn.MAXIFS(Trades!$X$2:$X$1146,Trades!$E$2:$E$1146,$A31)</f>
        <v>226.4</v>
      </c>
      <c r="K31" s="31" t="n">
        <f aca="false">_xlfn.MINIFS(Trades!$X$2:$X$1146,Trades!$E$2:$E$1146,$A31)</f>
        <v>-239.8</v>
      </c>
      <c r="L31" s="33" t="n">
        <f aca="false">SUMIFS(Trades!$Y$2:$Y$1146,Trades!$E$2:$E$1146,$A31)</f>
        <v>-0.460389028577756</v>
      </c>
      <c r="M31" s="31" t="n">
        <f aca="false">P30</f>
        <v>11354.04</v>
      </c>
      <c r="N31" s="30" t="n">
        <f aca="false">IFERROR(F31/M31,0)</f>
        <v>-0.00701248190071552</v>
      </c>
      <c r="O31" s="29" t="str">
        <f aca="false">IF(F31&lt;0,"down week","")</f>
        <v>down week</v>
      </c>
      <c r="P31" s="31" t="n">
        <f aca="false">M31+F31</f>
        <v>11274.42</v>
      </c>
      <c r="Q31" s="31" t="n">
        <f aca="false">P31-Summary!$C$5</f>
        <v>1274.42</v>
      </c>
    </row>
    <row r="32" customFormat="false" ht="15" hidden="false" customHeight="false" outlineLevel="0" collapsed="false">
      <c r="A32" s="43" t="n">
        <v>44865</v>
      </c>
      <c r="B32" s="29" t="n">
        <f aca="false">COUNTIFS(Trades!$E$2:$E$1146,$A32)</f>
        <v>5</v>
      </c>
      <c r="C32" s="29" t="n">
        <f aca="false">COUNTIFS(Trades!$E$2:$E$1146,$A32,Trades!$Z$2:$Z$1146,"Win")</f>
        <v>0</v>
      </c>
      <c r="D32" s="29" t="n">
        <f aca="false">COUNTIFS(Trades!$E$2:$E$1146,$A32,Trades!$Z$2:$Z$1146,"Loss")</f>
        <v>5</v>
      </c>
      <c r="E32" s="30" t="n">
        <f aca="false">IFERROR(C32/B32,0)</f>
        <v>0</v>
      </c>
      <c r="F32" s="31" t="n">
        <f aca="false">SUMIFS(Trades!$X$2:$X$1146,Trades!$E$2:$E$1146,$A32)</f>
        <v>-226.89</v>
      </c>
      <c r="G32" s="31" t="n">
        <f aca="false">SUMIFS(Trades!$X$2:$X$1146,Trades!$E$2:$E$1146,$A32,Trades!$X$2:$X$1146,"&gt;0")</f>
        <v>0</v>
      </c>
      <c r="H32" s="31" t="n">
        <f aca="false">SUMIFS(Trades!$X$2:$X$1146,Trades!$E$2:$E$1146,$A32,Trades!$X$2:$X$1146,"&lt;0")</f>
        <v>-226.89</v>
      </c>
      <c r="I32" s="32" t="n">
        <f aca="false">IFERROR(G32/-H32,"no loss")</f>
        <v>0</v>
      </c>
      <c r="J32" s="31" t="n">
        <f aca="false">_xlfn.MAXIFS(Trades!$X$2:$X$1146,Trades!$E$2:$E$1146,$A32)</f>
        <v>-0.76</v>
      </c>
      <c r="K32" s="31" t="n">
        <f aca="false">_xlfn.MINIFS(Trades!$X$2:$X$1146,Trades!$E$2:$E$1146,$A32)</f>
        <v>-64.4</v>
      </c>
      <c r="L32" s="33" t="n">
        <f aca="false">SUMIFS(Trades!$Y$2:$Y$1146,Trades!$E$2:$E$1146,$A32)</f>
        <v>-4.24485814698537</v>
      </c>
      <c r="M32" s="31" t="n">
        <f aca="false">P31</f>
        <v>11274.42</v>
      </c>
      <c r="N32" s="30" t="n">
        <f aca="false">IFERROR(F32/M32,0)</f>
        <v>-0.0201243168162974</v>
      </c>
      <c r="O32" s="29" t="str">
        <f aca="false">IF(F32&lt;0,"down week","")</f>
        <v>down week</v>
      </c>
      <c r="P32" s="31" t="n">
        <f aca="false">M32+F32</f>
        <v>11047.53</v>
      </c>
      <c r="Q32" s="31" t="n">
        <f aca="false">P32-Summary!$C$5</f>
        <v>1047.53</v>
      </c>
    </row>
    <row r="33" customFormat="false" ht="15" hidden="false" customHeight="false" outlineLevel="0" collapsed="false">
      <c r="A33" s="43" t="n">
        <v>44872</v>
      </c>
      <c r="B33" s="29" t="n">
        <f aca="false">COUNTIFS(Trades!$E$2:$E$1146,$A33)</f>
        <v>5</v>
      </c>
      <c r="C33" s="29" t="n">
        <f aca="false">COUNTIFS(Trades!$E$2:$E$1146,$A33,Trades!$Z$2:$Z$1146,"Win")</f>
        <v>3</v>
      </c>
      <c r="D33" s="29" t="n">
        <f aca="false">COUNTIFS(Trades!$E$2:$E$1146,$A33,Trades!$Z$2:$Z$1146,"Loss")</f>
        <v>2</v>
      </c>
      <c r="E33" s="30" t="n">
        <f aca="false">IFERROR(C33/B33,0)</f>
        <v>0.6</v>
      </c>
      <c r="F33" s="31" t="n">
        <f aca="false">SUMIFS(Trades!$X$2:$X$1146,Trades!$E$2:$E$1146,$A33)</f>
        <v>1281.2</v>
      </c>
      <c r="G33" s="31" t="n">
        <f aca="false">SUMIFS(Trades!$X$2:$X$1146,Trades!$E$2:$E$1146,$A33,Trades!$X$2:$X$1146,"&gt;0")</f>
        <v>1281.9</v>
      </c>
      <c r="H33" s="31" t="n">
        <f aca="false">SUMIFS(Trades!$X$2:$X$1146,Trades!$E$2:$E$1146,$A33,Trades!$X$2:$X$1146,"&lt;0")</f>
        <v>-0.7</v>
      </c>
      <c r="I33" s="32" t="n">
        <f aca="false">IFERROR(G33/-H33,"no loss")</f>
        <v>1831.28571428571</v>
      </c>
      <c r="J33" s="31" t="n">
        <f aca="false">_xlfn.MAXIFS(Trades!$X$2:$X$1146,Trades!$E$2:$E$1146,$A33)</f>
        <v>1073</v>
      </c>
      <c r="K33" s="31" t="n">
        <f aca="false">_xlfn.MINIFS(Trades!$X$2:$X$1146,Trades!$E$2:$E$1146,$A33)</f>
        <v>-0.5</v>
      </c>
      <c r="L33" s="33" t="n">
        <f aca="false">SUMIFS(Trades!$Y$2:$Y$1146,Trades!$E$2:$E$1146,$A33)</f>
        <v>7.31951802320999</v>
      </c>
      <c r="M33" s="31" t="n">
        <f aca="false">P32</f>
        <v>11047.53</v>
      </c>
      <c r="N33" s="30" t="n">
        <f aca="false">IFERROR(F33/M33,0)</f>
        <v>0.115971624426456</v>
      </c>
      <c r="O33" s="29" t="str">
        <f aca="false">IF(F33&lt;0,"down week","")</f>
        <v/>
      </c>
      <c r="P33" s="31" t="n">
        <f aca="false">M33+F33</f>
        <v>12328.73</v>
      </c>
      <c r="Q33" s="31" t="n">
        <f aca="false">P33-Summary!$C$5</f>
        <v>2328.73</v>
      </c>
    </row>
    <row r="34" customFormat="false" ht="15" hidden="false" customHeight="false" outlineLevel="0" collapsed="false">
      <c r="A34" s="43" t="n">
        <v>44879</v>
      </c>
      <c r="B34" s="29" t="n">
        <f aca="false">COUNTIFS(Trades!$E$2:$E$1146,$A34)</f>
        <v>5</v>
      </c>
      <c r="C34" s="29" t="n">
        <f aca="false">COUNTIFS(Trades!$E$2:$E$1146,$A34,Trades!$Z$2:$Z$1146,"Win")</f>
        <v>2</v>
      </c>
      <c r="D34" s="29" t="n">
        <f aca="false">COUNTIFS(Trades!$E$2:$E$1146,$A34,Trades!$Z$2:$Z$1146,"Loss")</f>
        <v>3</v>
      </c>
      <c r="E34" s="30" t="n">
        <f aca="false">IFERROR(C34/B34,0)</f>
        <v>0.4</v>
      </c>
      <c r="F34" s="31" t="n">
        <f aca="false">SUMIFS(Trades!$X$2:$X$1146,Trades!$E$2:$E$1146,$A34)</f>
        <v>56.65</v>
      </c>
      <c r="G34" s="31" t="n">
        <f aca="false">SUMIFS(Trades!$X$2:$X$1146,Trades!$E$2:$E$1146,$A34,Trades!$X$2:$X$1146,"&gt;0")</f>
        <v>214.65</v>
      </c>
      <c r="H34" s="31" t="n">
        <f aca="false">SUMIFS(Trades!$X$2:$X$1146,Trades!$E$2:$E$1146,$A34,Trades!$X$2:$X$1146,"&lt;0")</f>
        <v>-158</v>
      </c>
      <c r="I34" s="32" t="n">
        <f aca="false">IFERROR(G34/-H34,"no loss")</f>
        <v>1.35854430379747</v>
      </c>
      <c r="J34" s="31" t="n">
        <f aca="false">_xlfn.MAXIFS(Trades!$X$2:$X$1146,Trades!$E$2:$E$1146,$A34)</f>
        <v>123.9</v>
      </c>
      <c r="K34" s="31" t="n">
        <f aca="false">_xlfn.MINIFS(Trades!$X$2:$X$1146,Trades!$E$2:$E$1146,$A34)</f>
        <v>-128.15</v>
      </c>
      <c r="L34" s="33" t="n">
        <f aca="false">SUMIFS(Trades!$Y$2:$Y$1146,Trades!$E$2:$E$1146,$A34)</f>
        <v>2.9834869672077</v>
      </c>
      <c r="M34" s="31" t="n">
        <f aca="false">P33</f>
        <v>12328.73</v>
      </c>
      <c r="N34" s="30" t="n">
        <f aca="false">IFERROR(F34/M34,0)</f>
        <v>0.00459495828037438</v>
      </c>
      <c r="O34" s="29" t="str">
        <f aca="false">IF(F34&lt;0,"down week","")</f>
        <v/>
      </c>
      <c r="P34" s="31" t="n">
        <f aca="false">M34+F34</f>
        <v>12385.38</v>
      </c>
      <c r="Q34" s="31" t="n">
        <f aca="false">P34-Summary!$C$5</f>
        <v>2385.38</v>
      </c>
    </row>
    <row r="35" customFormat="false" ht="15" hidden="false" customHeight="false" outlineLevel="0" collapsed="false">
      <c r="A35" s="43" t="n">
        <v>44886</v>
      </c>
      <c r="B35" s="29" t="n">
        <f aca="false">COUNTIFS(Trades!$E$2:$E$1146,$A35)</f>
        <v>6</v>
      </c>
      <c r="C35" s="29" t="n">
        <f aca="false">COUNTIFS(Trades!$E$2:$E$1146,$A35,Trades!$Z$2:$Z$1146,"Win")</f>
        <v>2</v>
      </c>
      <c r="D35" s="29" t="n">
        <f aca="false">COUNTIFS(Trades!$E$2:$E$1146,$A35,Trades!$Z$2:$Z$1146,"Loss")</f>
        <v>4</v>
      </c>
      <c r="E35" s="30" t="n">
        <f aca="false">IFERROR(C35/B35,0)</f>
        <v>0.333333333333333</v>
      </c>
      <c r="F35" s="31" t="n">
        <f aca="false">SUMIFS(Trades!$X$2:$X$1146,Trades!$E$2:$E$1146,$A35)</f>
        <v>102.95</v>
      </c>
      <c r="G35" s="31" t="n">
        <f aca="false">SUMIFS(Trades!$X$2:$X$1146,Trades!$E$2:$E$1146,$A35,Trades!$X$2:$X$1146,"&gt;0")</f>
        <v>192.35</v>
      </c>
      <c r="H35" s="31" t="n">
        <f aca="false">SUMIFS(Trades!$X$2:$X$1146,Trades!$E$2:$E$1146,$A35,Trades!$X$2:$X$1146,"&lt;0")</f>
        <v>-89.4</v>
      </c>
      <c r="I35" s="32" t="n">
        <f aca="false">IFERROR(G35/-H35,"no loss")</f>
        <v>2.15156599552573</v>
      </c>
      <c r="J35" s="31" t="n">
        <f aca="false">_xlfn.MAXIFS(Trades!$X$2:$X$1146,Trades!$E$2:$E$1146,$A35)</f>
        <v>109.3</v>
      </c>
      <c r="K35" s="31" t="n">
        <f aca="false">_xlfn.MINIFS(Trades!$X$2:$X$1146,Trades!$E$2:$E$1146,$A35)</f>
        <v>-36.6</v>
      </c>
      <c r="L35" s="33" t="n">
        <f aca="false">SUMIFS(Trades!$Y$2:$Y$1146,Trades!$E$2:$E$1146,$A35)</f>
        <v>1.11529710518698</v>
      </c>
      <c r="M35" s="31" t="n">
        <f aca="false">P34</f>
        <v>12385.38</v>
      </c>
      <c r="N35" s="30" t="n">
        <f aca="false">IFERROR(F35/M35,0)</f>
        <v>0.00831221973003654</v>
      </c>
      <c r="O35" s="29" t="str">
        <f aca="false">IF(F35&lt;0,"down week","")</f>
        <v/>
      </c>
      <c r="P35" s="31" t="n">
        <f aca="false">M35+F35</f>
        <v>12488.33</v>
      </c>
      <c r="Q35" s="31" t="n">
        <f aca="false">P35-Summary!$C$5</f>
        <v>2488.33</v>
      </c>
    </row>
    <row r="36" customFormat="false" ht="15" hidden="false" customHeight="false" outlineLevel="0" collapsed="false">
      <c r="A36" s="43" t="n">
        <v>44893</v>
      </c>
      <c r="B36" s="29" t="n">
        <f aca="false">COUNTIFS(Trades!$E$2:$E$1146,$A36)</f>
        <v>5</v>
      </c>
      <c r="C36" s="29" t="n">
        <f aca="false">COUNTIFS(Trades!$E$2:$E$1146,$A36,Trades!$Z$2:$Z$1146,"Win")</f>
        <v>1</v>
      </c>
      <c r="D36" s="29" t="n">
        <f aca="false">COUNTIFS(Trades!$E$2:$E$1146,$A36,Trades!$Z$2:$Z$1146,"Loss")</f>
        <v>4</v>
      </c>
      <c r="E36" s="30" t="n">
        <f aca="false">IFERROR(C36/B36,0)</f>
        <v>0.2</v>
      </c>
      <c r="F36" s="31" t="n">
        <f aca="false">SUMIFS(Trades!$X$2:$X$1146,Trades!$E$2:$E$1146,$A36)</f>
        <v>18.35</v>
      </c>
      <c r="G36" s="31" t="n">
        <f aca="false">SUMIFS(Trades!$X$2:$X$1146,Trades!$E$2:$E$1146,$A36,Trades!$X$2:$X$1146,"&gt;0")</f>
        <v>237.7</v>
      </c>
      <c r="H36" s="31" t="n">
        <f aca="false">SUMIFS(Trades!$X$2:$X$1146,Trades!$E$2:$E$1146,$A36,Trades!$X$2:$X$1146,"&lt;0")</f>
        <v>-219.35</v>
      </c>
      <c r="I36" s="32" t="n">
        <f aca="false">IFERROR(G36/-H36,"no loss")</f>
        <v>1.08365625712332</v>
      </c>
      <c r="J36" s="31" t="n">
        <f aca="false">_xlfn.MAXIFS(Trades!$X$2:$X$1146,Trades!$E$2:$E$1146,$A36)</f>
        <v>237.7</v>
      </c>
      <c r="K36" s="31" t="n">
        <f aca="false">_xlfn.MINIFS(Trades!$X$2:$X$1146,Trades!$E$2:$E$1146,$A36)</f>
        <v>-89.55</v>
      </c>
      <c r="L36" s="33" t="n">
        <f aca="false">SUMIFS(Trades!$Y$2:$Y$1146,Trades!$E$2:$E$1146,$A36)</f>
        <v>-0.468925694497449</v>
      </c>
      <c r="M36" s="31" t="n">
        <f aca="false">P35</f>
        <v>12488.33</v>
      </c>
      <c r="N36" s="30" t="n">
        <f aca="false">IFERROR(F36/M36,0)</f>
        <v>0.00146937180551763</v>
      </c>
      <c r="O36" s="29" t="str">
        <f aca="false">IF(F36&lt;0,"down week","")</f>
        <v/>
      </c>
      <c r="P36" s="31" t="n">
        <f aca="false">M36+F36</f>
        <v>12506.68</v>
      </c>
      <c r="Q36" s="31" t="n">
        <f aca="false">P36-Summary!$C$5</f>
        <v>2506.68</v>
      </c>
    </row>
    <row r="37" customFormat="false" ht="15" hidden="false" customHeight="false" outlineLevel="0" collapsed="false">
      <c r="A37" s="43" t="n">
        <v>44900</v>
      </c>
      <c r="B37" s="29" t="n">
        <f aca="false">COUNTIFS(Trades!$E$2:$E$1146,$A37)</f>
        <v>4</v>
      </c>
      <c r="C37" s="29" t="n">
        <f aca="false">COUNTIFS(Trades!$E$2:$E$1146,$A37,Trades!$Z$2:$Z$1146,"Win")</f>
        <v>1</v>
      </c>
      <c r="D37" s="29" t="n">
        <f aca="false">COUNTIFS(Trades!$E$2:$E$1146,$A37,Trades!$Z$2:$Z$1146,"Loss")</f>
        <v>3</v>
      </c>
      <c r="E37" s="30" t="n">
        <f aca="false">IFERROR(C37/B37,0)</f>
        <v>0.25</v>
      </c>
      <c r="F37" s="31" t="n">
        <f aca="false">SUMIFS(Trades!$X$2:$X$1146,Trades!$E$2:$E$1146,$A37)</f>
        <v>154.55</v>
      </c>
      <c r="G37" s="31" t="n">
        <f aca="false">SUMIFS(Trades!$X$2:$X$1146,Trades!$E$2:$E$1146,$A37,Trades!$X$2:$X$1146,"&gt;0")</f>
        <v>169.35</v>
      </c>
      <c r="H37" s="31" t="n">
        <f aca="false">SUMIFS(Trades!$X$2:$X$1146,Trades!$E$2:$E$1146,$A37,Trades!$X$2:$X$1146,"&lt;0")</f>
        <v>-14.8</v>
      </c>
      <c r="I37" s="32" t="n">
        <f aca="false">IFERROR(G37/-H37,"no loss")</f>
        <v>11.4425675675676</v>
      </c>
      <c r="J37" s="31" t="n">
        <f aca="false">_xlfn.MAXIFS(Trades!$X$2:$X$1146,Trades!$E$2:$E$1146,$A37)</f>
        <v>169.35</v>
      </c>
      <c r="K37" s="31" t="n">
        <f aca="false">_xlfn.MINIFS(Trades!$X$2:$X$1146,Trades!$E$2:$E$1146,$A37)</f>
        <v>-11.15</v>
      </c>
      <c r="L37" s="33" t="n">
        <f aca="false">SUMIFS(Trades!$Y$2:$Y$1146,Trades!$E$2:$E$1146,$A37)</f>
        <v>1.33003599404122</v>
      </c>
      <c r="M37" s="31" t="n">
        <f aca="false">P36</f>
        <v>12506.68</v>
      </c>
      <c r="N37" s="30" t="n">
        <f aca="false">IFERROR(F37/M37,0)</f>
        <v>0.0123573962074667</v>
      </c>
      <c r="O37" s="29" t="str">
        <f aca="false">IF(F37&lt;0,"down week","")</f>
        <v/>
      </c>
      <c r="P37" s="31" t="n">
        <f aca="false">M37+F37</f>
        <v>12661.23</v>
      </c>
      <c r="Q37" s="31" t="n">
        <f aca="false">P37-Summary!$C$5</f>
        <v>2661.23</v>
      </c>
    </row>
    <row r="38" customFormat="false" ht="15" hidden="false" customHeight="false" outlineLevel="0" collapsed="false">
      <c r="A38" s="43" t="n">
        <v>44907</v>
      </c>
      <c r="B38" s="29" t="n">
        <f aca="false">COUNTIFS(Trades!$E$2:$E$1146,$A38)</f>
        <v>4</v>
      </c>
      <c r="C38" s="29" t="n">
        <f aca="false">COUNTIFS(Trades!$E$2:$E$1146,$A38,Trades!$Z$2:$Z$1146,"Win")</f>
        <v>1</v>
      </c>
      <c r="D38" s="29" t="n">
        <f aca="false">COUNTIFS(Trades!$E$2:$E$1146,$A38,Trades!$Z$2:$Z$1146,"Loss")</f>
        <v>3</v>
      </c>
      <c r="E38" s="30" t="n">
        <f aca="false">IFERROR(C38/B38,0)</f>
        <v>0.25</v>
      </c>
      <c r="F38" s="31" t="n">
        <f aca="false">SUMIFS(Trades!$X$2:$X$1146,Trades!$E$2:$E$1146,$A38)</f>
        <v>-195.9</v>
      </c>
      <c r="G38" s="31" t="n">
        <f aca="false">SUMIFS(Trades!$X$2:$X$1146,Trades!$E$2:$E$1146,$A38,Trades!$X$2:$X$1146,"&gt;0")</f>
        <v>130.15</v>
      </c>
      <c r="H38" s="31" t="n">
        <f aca="false">SUMIFS(Trades!$X$2:$X$1146,Trades!$E$2:$E$1146,$A38,Trades!$X$2:$X$1146,"&lt;0")</f>
        <v>-326.05</v>
      </c>
      <c r="I38" s="32" t="n">
        <f aca="false">IFERROR(G38/-H38,"no loss")</f>
        <v>0.399171906149364</v>
      </c>
      <c r="J38" s="31" t="n">
        <f aca="false">_xlfn.MAXIFS(Trades!$X$2:$X$1146,Trades!$E$2:$E$1146,$A38)</f>
        <v>130.15</v>
      </c>
      <c r="K38" s="31" t="n">
        <f aca="false">_xlfn.MINIFS(Trades!$X$2:$X$1146,Trades!$E$2:$E$1146,$A38)</f>
        <v>-232.75</v>
      </c>
      <c r="L38" s="33" t="n">
        <f aca="false">SUMIFS(Trades!$Y$2:$Y$1146,Trades!$E$2:$E$1146,$A38)</f>
        <v>-0.927483861468522</v>
      </c>
      <c r="M38" s="31" t="n">
        <f aca="false">P37</f>
        <v>12661.23</v>
      </c>
      <c r="N38" s="30" t="n">
        <f aca="false">IFERROR(F38/M38,0)</f>
        <v>-0.0154724304036812</v>
      </c>
      <c r="O38" s="29" t="str">
        <f aca="false">IF(F38&lt;0,"down week","")</f>
        <v>down week</v>
      </c>
      <c r="P38" s="31" t="n">
        <f aca="false">M38+F38</f>
        <v>12465.33</v>
      </c>
      <c r="Q38" s="31" t="n">
        <f aca="false">P38-Summary!$C$5</f>
        <v>2465.33</v>
      </c>
    </row>
    <row r="39" customFormat="false" ht="15" hidden="false" customHeight="false" outlineLevel="0" collapsed="false">
      <c r="A39" s="43" t="n">
        <v>44914</v>
      </c>
      <c r="B39" s="29" t="n">
        <f aca="false">COUNTIFS(Trades!$E$2:$E$1146,$A39)</f>
        <v>4</v>
      </c>
      <c r="C39" s="29" t="n">
        <f aca="false">COUNTIFS(Trades!$E$2:$E$1146,$A39,Trades!$Z$2:$Z$1146,"Win")</f>
        <v>3</v>
      </c>
      <c r="D39" s="29" t="n">
        <f aca="false">COUNTIFS(Trades!$E$2:$E$1146,$A39,Trades!$Z$2:$Z$1146,"Loss")</f>
        <v>1</v>
      </c>
      <c r="E39" s="30" t="n">
        <f aca="false">IFERROR(C39/B39,0)</f>
        <v>0.75</v>
      </c>
      <c r="F39" s="31" t="n">
        <f aca="false">SUMIFS(Trades!$X$2:$X$1146,Trades!$E$2:$E$1146,$A39)</f>
        <v>537.25</v>
      </c>
      <c r="G39" s="31" t="n">
        <f aca="false">SUMIFS(Trades!$X$2:$X$1146,Trades!$E$2:$E$1146,$A39,Trades!$X$2:$X$1146,"&gt;0")</f>
        <v>537.95</v>
      </c>
      <c r="H39" s="31" t="n">
        <f aca="false">SUMIFS(Trades!$X$2:$X$1146,Trades!$E$2:$E$1146,$A39,Trades!$X$2:$X$1146,"&lt;0")</f>
        <v>-0.7</v>
      </c>
      <c r="I39" s="32" t="n">
        <f aca="false">IFERROR(G39/-H39,"no loss")</f>
        <v>768.5</v>
      </c>
      <c r="J39" s="31" t="n">
        <f aca="false">_xlfn.MAXIFS(Trades!$X$2:$X$1146,Trades!$E$2:$E$1146,$A39)</f>
        <v>214.1</v>
      </c>
      <c r="K39" s="31" t="n">
        <f aca="false">_xlfn.MINIFS(Trades!$X$2:$X$1146,Trades!$E$2:$E$1146,$A39)</f>
        <v>-0.7</v>
      </c>
      <c r="L39" s="33" t="n">
        <f aca="false">SUMIFS(Trades!$Y$2:$Y$1146,Trades!$E$2:$E$1146,$A39)</f>
        <v>7.30372675288883</v>
      </c>
      <c r="M39" s="31" t="n">
        <f aca="false">P38</f>
        <v>12465.33</v>
      </c>
      <c r="N39" s="30" t="n">
        <f aca="false">IFERROR(F39/M39,0)</f>
        <v>0.0430995408866031</v>
      </c>
      <c r="O39" s="29" t="str">
        <f aca="false">IF(F39&lt;0,"down week","")</f>
        <v/>
      </c>
      <c r="P39" s="31" t="n">
        <f aca="false">M39+F39</f>
        <v>13002.58</v>
      </c>
      <c r="Q39" s="31" t="n">
        <f aca="false">P39-Summary!$C$5</f>
        <v>3002.58</v>
      </c>
    </row>
    <row r="40" customFormat="false" ht="15" hidden="false" customHeight="false" outlineLevel="0" collapsed="false">
      <c r="A40" s="43" t="n">
        <v>44921</v>
      </c>
      <c r="B40" s="29" t="n">
        <f aca="false">COUNTIFS(Trades!$E$2:$E$1146,$A40)</f>
        <v>4</v>
      </c>
      <c r="C40" s="29" t="n">
        <f aca="false">COUNTIFS(Trades!$E$2:$E$1146,$A40,Trades!$Z$2:$Z$1146,"Win")</f>
        <v>1</v>
      </c>
      <c r="D40" s="29" t="n">
        <f aca="false">COUNTIFS(Trades!$E$2:$E$1146,$A40,Trades!$Z$2:$Z$1146,"Loss")</f>
        <v>3</v>
      </c>
      <c r="E40" s="30" t="n">
        <f aca="false">IFERROR(C40/B40,0)</f>
        <v>0.25</v>
      </c>
      <c r="F40" s="31" t="n">
        <f aca="false">SUMIFS(Trades!$X$2:$X$1146,Trades!$E$2:$E$1146,$A40)</f>
        <v>-163.83</v>
      </c>
      <c r="G40" s="31" t="n">
        <f aca="false">SUMIFS(Trades!$X$2:$X$1146,Trades!$E$2:$E$1146,$A40,Trades!$X$2:$X$1146,"&gt;0")</f>
        <v>63.4</v>
      </c>
      <c r="H40" s="31" t="n">
        <f aca="false">SUMIFS(Trades!$X$2:$X$1146,Trades!$E$2:$E$1146,$A40,Trades!$X$2:$X$1146,"&lt;0")</f>
        <v>-227.23</v>
      </c>
      <c r="I40" s="32" t="n">
        <f aca="false">IFERROR(G40/-H40,"no loss")</f>
        <v>0.279012454341416</v>
      </c>
      <c r="J40" s="31" t="n">
        <f aca="false">_xlfn.MAXIFS(Trades!$X$2:$X$1146,Trades!$E$2:$E$1146,$A40)</f>
        <v>63.4</v>
      </c>
      <c r="K40" s="31" t="n">
        <f aca="false">_xlfn.MINIFS(Trades!$X$2:$X$1146,Trades!$E$2:$E$1146,$A40)</f>
        <v>-133.38</v>
      </c>
      <c r="L40" s="33" t="n">
        <f aca="false">SUMIFS(Trades!$Y$2:$Y$1146,Trades!$E$2:$E$1146,$A40)</f>
        <v>-0.537575682215116</v>
      </c>
      <c r="M40" s="31" t="n">
        <f aca="false">P39</f>
        <v>13002.58</v>
      </c>
      <c r="N40" s="30" t="n">
        <f aca="false">IFERROR(F40/M40,0)</f>
        <v>-0.0125998071152033</v>
      </c>
      <c r="O40" s="29" t="str">
        <f aca="false">IF(F40&lt;0,"down week","")</f>
        <v>down week</v>
      </c>
      <c r="P40" s="31" t="n">
        <f aca="false">M40+F40</f>
        <v>12838.75</v>
      </c>
      <c r="Q40" s="31" t="n">
        <f aca="false">P40-Summary!$C$5</f>
        <v>2838.75</v>
      </c>
    </row>
    <row r="41" customFormat="false" ht="15" hidden="false" customHeight="false" outlineLevel="0" collapsed="false">
      <c r="A41" s="43" t="n">
        <v>44928</v>
      </c>
      <c r="B41" s="29" t="n">
        <f aca="false">COUNTIFS(Trades!$E$2:$E$1146,$A41)</f>
        <v>4</v>
      </c>
      <c r="C41" s="29" t="n">
        <f aca="false">COUNTIFS(Trades!$E$2:$E$1146,$A41,Trades!$Z$2:$Z$1146,"Win")</f>
        <v>1</v>
      </c>
      <c r="D41" s="29" t="n">
        <f aca="false">COUNTIFS(Trades!$E$2:$E$1146,$A41,Trades!$Z$2:$Z$1146,"Loss")</f>
        <v>3</v>
      </c>
      <c r="E41" s="30" t="n">
        <f aca="false">IFERROR(C41/B41,0)</f>
        <v>0.25</v>
      </c>
      <c r="F41" s="31" t="n">
        <f aca="false">SUMIFS(Trades!$X$2:$X$1146,Trades!$E$2:$E$1146,$A41)</f>
        <v>-102.6</v>
      </c>
      <c r="G41" s="31" t="n">
        <f aca="false">SUMIFS(Trades!$X$2:$X$1146,Trades!$E$2:$E$1146,$A41,Trades!$X$2:$X$1146,"&gt;0")</f>
        <v>96.35</v>
      </c>
      <c r="H41" s="31" t="n">
        <f aca="false">SUMIFS(Trades!$X$2:$X$1146,Trades!$E$2:$E$1146,$A41,Trades!$X$2:$X$1146,"&lt;0")</f>
        <v>-198.95</v>
      </c>
      <c r="I41" s="32" t="n">
        <f aca="false">IFERROR(G41/-H41,"no loss")</f>
        <v>0.484292535813018</v>
      </c>
      <c r="J41" s="31" t="n">
        <f aca="false">_xlfn.MAXIFS(Trades!$X$2:$X$1146,Trades!$E$2:$E$1146,$A41)</f>
        <v>96.35</v>
      </c>
      <c r="K41" s="31" t="n">
        <f aca="false">_xlfn.MINIFS(Trades!$X$2:$X$1146,Trades!$E$2:$E$1146,$A41)</f>
        <v>-126.9</v>
      </c>
      <c r="L41" s="33" t="n">
        <f aca="false">SUMIFS(Trades!$Y$2:$Y$1146,Trades!$E$2:$E$1146,$A41)</f>
        <v>0.98914907919995</v>
      </c>
      <c r="M41" s="31" t="n">
        <f aca="false">P40</f>
        <v>12838.75</v>
      </c>
      <c r="N41" s="30" t="n">
        <f aca="false">IFERROR(F41/M41,0)</f>
        <v>-0.00799143218771298</v>
      </c>
      <c r="O41" s="29" t="str">
        <f aca="false">IF(F41&lt;0,"down week","")</f>
        <v>down week</v>
      </c>
      <c r="P41" s="31" t="n">
        <f aca="false">M41+F41</f>
        <v>12736.15</v>
      </c>
      <c r="Q41" s="31" t="n">
        <f aca="false">P41-Summary!$C$5</f>
        <v>2736.15</v>
      </c>
    </row>
    <row r="42" customFormat="false" ht="15" hidden="false" customHeight="false" outlineLevel="0" collapsed="false">
      <c r="A42" s="43" t="n">
        <v>44935</v>
      </c>
      <c r="B42" s="29" t="n">
        <f aca="false">COUNTIFS(Trades!$E$2:$E$1146,$A42)</f>
        <v>5</v>
      </c>
      <c r="C42" s="29" t="n">
        <f aca="false">COUNTIFS(Trades!$E$2:$E$1146,$A42,Trades!$Z$2:$Z$1146,"Win")</f>
        <v>2</v>
      </c>
      <c r="D42" s="29" t="n">
        <f aca="false">COUNTIFS(Trades!$E$2:$E$1146,$A42,Trades!$Z$2:$Z$1146,"Loss")</f>
        <v>3</v>
      </c>
      <c r="E42" s="30" t="n">
        <f aca="false">IFERROR(C42/B42,0)</f>
        <v>0.4</v>
      </c>
      <c r="F42" s="31" t="n">
        <f aca="false">SUMIFS(Trades!$X$2:$X$1146,Trades!$E$2:$E$1146,$A42)</f>
        <v>48.15</v>
      </c>
      <c r="G42" s="31" t="n">
        <f aca="false">SUMIFS(Trades!$X$2:$X$1146,Trades!$E$2:$E$1146,$A42,Trades!$X$2:$X$1146,"&gt;0")</f>
        <v>72.75</v>
      </c>
      <c r="H42" s="31" t="n">
        <f aca="false">SUMIFS(Trades!$X$2:$X$1146,Trades!$E$2:$E$1146,$A42,Trades!$X$2:$X$1146,"&lt;0")</f>
        <v>-24.6</v>
      </c>
      <c r="I42" s="32" t="n">
        <f aca="false">IFERROR(G42/-H42,"no loss")</f>
        <v>2.95731707317073</v>
      </c>
      <c r="J42" s="31" t="n">
        <f aca="false">_xlfn.MAXIFS(Trades!$X$2:$X$1146,Trades!$E$2:$E$1146,$A42)</f>
        <v>36.5</v>
      </c>
      <c r="K42" s="31" t="n">
        <f aca="false">_xlfn.MINIFS(Trades!$X$2:$X$1146,Trades!$E$2:$E$1146,$A42)</f>
        <v>-19.45</v>
      </c>
      <c r="L42" s="33" t="n">
        <f aca="false">SUMIFS(Trades!$Y$2:$Y$1146,Trades!$E$2:$E$1146,$A42)</f>
        <v>4.46668485555009</v>
      </c>
      <c r="M42" s="31" t="n">
        <f aca="false">P41</f>
        <v>12736.15</v>
      </c>
      <c r="N42" s="30" t="n">
        <f aca="false">IFERROR(F42/M42,0)</f>
        <v>0.0037805773330245</v>
      </c>
      <c r="O42" s="29" t="str">
        <f aca="false">IF(F42&lt;0,"down week","")</f>
        <v/>
      </c>
      <c r="P42" s="31" t="n">
        <f aca="false">M42+F42</f>
        <v>12784.3</v>
      </c>
      <c r="Q42" s="31" t="n">
        <f aca="false">P42-Summary!$C$5</f>
        <v>2784.3</v>
      </c>
    </row>
    <row r="43" customFormat="false" ht="15" hidden="false" customHeight="false" outlineLevel="0" collapsed="false">
      <c r="A43" s="43" t="n">
        <v>44942</v>
      </c>
      <c r="B43" s="29" t="n">
        <f aca="false">COUNTIFS(Trades!$E$2:$E$1146,$A43)</f>
        <v>6</v>
      </c>
      <c r="C43" s="29" t="n">
        <f aca="false">COUNTIFS(Trades!$E$2:$E$1146,$A43,Trades!$Z$2:$Z$1146,"Win")</f>
        <v>1</v>
      </c>
      <c r="D43" s="29" t="n">
        <f aca="false">COUNTIFS(Trades!$E$2:$E$1146,$A43,Trades!$Z$2:$Z$1146,"Loss")</f>
        <v>5</v>
      </c>
      <c r="E43" s="30" t="n">
        <f aca="false">IFERROR(C43/B43,0)</f>
        <v>0.166666666666667</v>
      </c>
      <c r="F43" s="31" t="n">
        <f aca="false">SUMIFS(Trades!$X$2:$X$1146,Trades!$E$2:$E$1146,$A43)</f>
        <v>-81.45</v>
      </c>
      <c r="G43" s="31" t="n">
        <f aca="false">SUMIFS(Trades!$X$2:$X$1146,Trades!$E$2:$E$1146,$A43,Trades!$X$2:$X$1146,"&gt;0")</f>
        <v>175.85</v>
      </c>
      <c r="H43" s="31" t="n">
        <f aca="false">SUMIFS(Trades!$X$2:$X$1146,Trades!$E$2:$E$1146,$A43,Trades!$X$2:$X$1146,"&lt;0")</f>
        <v>-257.3</v>
      </c>
      <c r="I43" s="32" t="n">
        <f aca="false">IFERROR(G43/-H43,"no loss")</f>
        <v>0.683443451224252</v>
      </c>
      <c r="J43" s="31" t="n">
        <f aca="false">_xlfn.MAXIFS(Trades!$X$2:$X$1146,Trades!$E$2:$E$1146,$A43)</f>
        <v>175.85</v>
      </c>
      <c r="K43" s="31" t="n">
        <f aca="false">_xlfn.MINIFS(Trades!$X$2:$X$1146,Trades!$E$2:$E$1146,$A43)</f>
        <v>-76.85</v>
      </c>
      <c r="L43" s="33" t="n">
        <f aca="false">SUMIFS(Trades!$Y$2:$Y$1146,Trades!$E$2:$E$1146,$A43)</f>
        <v>-2.75944067222863</v>
      </c>
      <c r="M43" s="31" t="n">
        <f aca="false">P42</f>
        <v>12784.3</v>
      </c>
      <c r="N43" s="30" t="n">
        <f aca="false">IFERROR(F43/M43,0)</f>
        <v>-0.00637109579718874</v>
      </c>
      <c r="O43" s="29" t="str">
        <f aca="false">IF(F43&lt;0,"down week","")</f>
        <v>down week</v>
      </c>
      <c r="P43" s="31" t="n">
        <f aca="false">M43+F43</f>
        <v>12702.85</v>
      </c>
      <c r="Q43" s="31" t="n">
        <f aca="false">P43-Summary!$C$5</f>
        <v>2702.85</v>
      </c>
    </row>
    <row r="44" customFormat="false" ht="15" hidden="false" customHeight="false" outlineLevel="0" collapsed="false">
      <c r="A44" s="43" t="n">
        <v>44949</v>
      </c>
      <c r="B44" s="29" t="n">
        <f aca="false">COUNTIFS(Trades!$E$2:$E$1146,$A44)</f>
        <v>5</v>
      </c>
      <c r="C44" s="29" t="n">
        <f aca="false">COUNTIFS(Trades!$E$2:$E$1146,$A44,Trades!$Z$2:$Z$1146,"Win")</f>
        <v>1</v>
      </c>
      <c r="D44" s="29" t="n">
        <f aca="false">COUNTIFS(Trades!$E$2:$E$1146,$A44,Trades!$Z$2:$Z$1146,"Loss")</f>
        <v>3</v>
      </c>
      <c r="E44" s="30" t="n">
        <f aca="false">IFERROR(C44/B44,0)</f>
        <v>0.2</v>
      </c>
      <c r="F44" s="31" t="n">
        <f aca="false">SUMIFS(Trades!$X$2:$X$1146,Trades!$E$2:$E$1146,$A44)</f>
        <v>-200.15</v>
      </c>
      <c r="G44" s="31" t="n">
        <f aca="false">SUMIFS(Trades!$X$2:$X$1146,Trades!$E$2:$E$1146,$A44,Trades!$X$2:$X$1146,"&gt;0")</f>
        <v>60.5</v>
      </c>
      <c r="H44" s="31" t="n">
        <f aca="false">SUMIFS(Trades!$X$2:$X$1146,Trades!$E$2:$E$1146,$A44,Trades!$X$2:$X$1146,"&lt;0")</f>
        <v>-260.65</v>
      </c>
      <c r="I44" s="32" t="n">
        <f aca="false">IFERROR(G44/-H44,"no loss")</f>
        <v>0.23211202762325</v>
      </c>
      <c r="J44" s="31" t="n">
        <f aca="false">_xlfn.MAXIFS(Trades!$X$2:$X$1146,Trades!$E$2:$E$1146,$A44)</f>
        <v>60.5</v>
      </c>
      <c r="K44" s="31" t="n">
        <f aca="false">_xlfn.MINIFS(Trades!$X$2:$X$1146,Trades!$E$2:$E$1146,$A44)</f>
        <v>-166.35</v>
      </c>
      <c r="L44" s="33" t="n">
        <f aca="false">SUMIFS(Trades!$Y$2:$Y$1146,Trades!$E$2:$E$1146,$A44)</f>
        <v>-0.792774100428637</v>
      </c>
      <c r="M44" s="31" t="n">
        <f aca="false">P43</f>
        <v>12702.85</v>
      </c>
      <c r="N44" s="30" t="n">
        <f aca="false">IFERROR(F44/M44,0)</f>
        <v>-0.015756306655593</v>
      </c>
      <c r="O44" s="29" t="str">
        <f aca="false">IF(F44&lt;0,"down week","")</f>
        <v>down week</v>
      </c>
      <c r="P44" s="31" t="n">
        <f aca="false">M44+F44</f>
        <v>12502.7</v>
      </c>
      <c r="Q44" s="31" t="n">
        <f aca="false">P44-Summary!$C$5</f>
        <v>2502.7</v>
      </c>
    </row>
    <row r="45" customFormat="false" ht="15" hidden="false" customHeight="false" outlineLevel="0" collapsed="false">
      <c r="A45" s="43" t="n">
        <v>44956</v>
      </c>
      <c r="B45" s="29" t="n">
        <f aca="false">COUNTIFS(Trades!$E$2:$E$1146,$A45)</f>
        <v>4</v>
      </c>
      <c r="C45" s="29" t="n">
        <f aca="false">COUNTIFS(Trades!$E$2:$E$1146,$A45,Trades!$Z$2:$Z$1146,"Win")</f>
        <v>1</v>
      </c>
      <c r="D45" s="29" t="n">
        <f aca="false">COUNTIFS(Trades!$E$2:$E$1146,$A45,Trades!$Z$2:$Z$1146,"Loss")</f>
        <v>2</v>
      </c>
      <c r="E45" s="30" t="n">
        <f aca="false">IFERROR(C45/B45,0)</f>
        <v>0.25</v>
      </c>
      <c r="F45" s="31" t="n">
        <f aca="false">SUMIFS(Trades!$X$2:$X$1146,Trades!$E$2:$E$1146,$A45)</f>
        <v>138.95</v>
      </c>
      <c r="G45" s="31" t="n">
        <f aca="false">SUMIFS(Trades!$X$2:$X$1146,Trades!$E$2:$E$1146,$A45,Trades!$X$2:$X$1146,"&gt;0")</f>
        <v>162.35</v>
      </c>
      <c r="H45" s="31" t="n">
        <f aca="false">SUMIFS(Trades!$X$2:$X$1146,Trades!$E$2:$E$1146,$A45,Trades!$X$2:$X$1146,"&lt;0")</f>
        <v>-23.4</v>
      </c>
      <c r="I45" s="32" t="n">
        <f aca="false">IFERROR(G45/-H45,"no loss")</f>
        <v>6.93803418803419</v>
      </c>
      <c r="J45" s="31" t="n">
        <f aca="false">_xlfn.MAXIFS(Trades!$X$2:$X$1146,Trades!$E$2:$E$1146,$A45)</f>
        <v>162.35</v>
      </c>
      <c r="K45" s="31" t="n">
        <f aca="false">_xlfn.MINIFS(Trades!$X$2:$X$1146,Trades!$E$2:$E$1146,$A45)</f>
        <v>-23.3</v>
      </c>
      <c r="L45" s="33" t="n">
        <f aca="false">SUMIFS(Trades!$Y$2:$Y$1146,Trades!$E$2:$E$1146,$A45)</f>
        <v>1.46503902262495</v>
      </c>
      <c r="M45" s="31" t="n">
        <f aca="false">P44</f>
        <v>12502.7</v>
      </c>
      <c r="N45" s="30" t="n">
        <f aca="false">IFERROR(F45/M45,0)</f>
        <v>0.0111135994625161</v>
      </c>
      <c r="O45" s="29" t="str">
        <f aca="false">IF(F45&lt;0,"down week","")</f>
        <v/>
      </c>
      <c r="P45" s="31" t="n">
        <f aca="false">M45+F45</f>
        <v>12641.65</v>
      </c>
      <c r="Q45" s="31" t="n">
        <f aca="false">P45-Summary!$C$5</f>
        <v>2641.65</v>
      </c>
    </row>
    <row r="46" customFormat="false" ht="15" hidden="false" customHeight="false" outlineLevel="0" collapsed="false">
      <c r="A46" s="43" t="n">
        <v>44963</v>
      </c>
      <c r="B46" s="29" t="n">
        <f aca="false">COUNTIFS(Trades!$E$2:$E$1146,$A46)</f>
        <v>4</v>
      </c>
      <c r="C46" s="29" t="n">
        <f aca="false">COUNTIFS(Trades!$E$2:$E$1146,$A46,Trades!$Z$2:$Z$1146,"Win")</f>
        <v>1</v>
      </c>
      <c r="D46" s="29" t="n">
        <f aca="false">COUNTIFS(Trades!$E$2:$E$1146,$A46,Trades!$Z$2:$Z$1146,"Loss")</f>
        <v>3</v>
      </c>
      <c r="E46" s="30" t="n">
        <f aca="false">IFERROR(C46/B46,0)</f>
        <v>0.25</v>
      </c>
      <c r="F46" s="31" t="n">
        <f aca="false">SUMIFS(Trades!$X$2:$X$1146,Trades!$E$2:$E$1146,$A46)</f>
        <v>-38.85</v>
      </c>
      <c r="G46" s="31" t="n">
        <f aca="false">SUMIFS(Trades!$X$2:$X$1146,Trades!$E$2:$E$1146,$A46,Trades!$X$2:$X$1146,"&gt;0")</f>
        <v>130.2</v>
      </c>
      <c r="H46" s="31" t="n">
        <f aca="false">SUMIFS(Trades!$X$2:$X$1146,Trades!$E$2:$E$1146,$A46,Trades!$X$2:$X$1146,"&lt;0")</f>
        <v>-169.05</v>
      </c>
      <c r="I46" s="32" t="n">
        <f aca="false">IFERROR(G46/-H46,"no loss")</f>
        <v>0.770186335403727</v>
      </c>
      <c r="J46" s="31" t="n">
        <f aca="false">_xlfn.MAXIFS(Trades!$X$2:$X$1146,Trades!$E$2:$E$1146,$A46)</f>
        <v>130.2</v>
      </c>
      <c r="K46" s="31" t="n">
        <f aca="false">_xlfn.MINIFS(Trades!$X$2:$X$1146,Trades!$E$2:$E$1146,$A46)</f>
        <v>-88.8</v>
      </c>
      <c r="L46" s="33" t="n">
        <f aca="false">SUMIFS(Trades!$Y$2:$Y$1146,Trades!$E$2:$E$1146,$A46)</f>
        <v>-0.334326033884528</v>
      </c>
      <c r="M46" s="31" t="n">
        <f aca="false">P45</f>
        <v>12641.65</v>
      </c>
      <c r="N46" s="30" t="n">
        <f aca="false">IFERROR(F46/M46,0)</f>
        <v>-0.00307317478335502</v>
      </c>
      <c r="O46" s="29" t="str">
        <f aca="false">IF(F46&lt;0,"down week","")</f>
        <v>down week</v>
      </c>
      <c r="P46" s="31" t="n">
        <f aca="false">M46+F46</f>
        <v>12602.8</v>
      </c>
      <c r="Q46" s="31" t="n">
        <f aca="false">P46-Summary!$C$5</f>
        <v>2602.8</v>
      </c>
    </row>
    <row r="47" customFormat="false" ht="15" hidden="false" customHeight="false" outlineLevel="0" collapsed="false">
      <c r="A47" s="43" t="n">
        <v>44970</v>
      </c>
      <c r="B47" s="29" t="n">
        <f aca="false">COUNTIFS(Trades!$E$2:$E$1146,$A47)</f>
        <v>6</v>
      </c>
      <c r="C47" s="29" t="n">
        <f aca="false">COUNTIFS(Trades!$E$2:$E$1146,$A47,Trades!$Z$2:$Z$1146,"Win")</f>
        <v>2</v>
      </c>
      <c r="D47" s="29" t="n">
        <f aca="false">COUNTIFS(Trades!$E$2:$E$1146,$A47,Trades!$Z$2:$Z$1146,"Loss")</f>
        <v>4</v>
      </c>
      <c r="E47" s="30" t="n">
        <f aca="false">IFERROR(C47/B47,0)</f>
        <v>0.333333333333333</v>
      </c>
      <c r="F47" s="31" t="n">
        <f aca="false">SUMIFS(Trades!$X$2:$X$1146,Trades!$E$2:$E$1146,$A47)</f>
        <v>38.55</v>
      </c>
      <c r="G47" s="31" t="n">
        <f aca="false">SUMIFS(Trades!$X$2:$X$1146,Trades!$E$2:$E$1146,$A47,Trades!$X$2:$X$1146,"&gt;0")</f>
        <v>169</v>
      </c>
      <c r="H47" s="31" t="n">
        <f aca="false">SUMIFS(Trades!$X$2:$X$1146,Trades!$E$2:$E$1146,$A47,Trades!$X$2:$X$1146,"&lt;0")</f>
        <v>-130.45</v>
      </c>
      <c r="I47" s="32" t="n">
        <f aca="false">IFERROR(G47/-H47,"no loss")</f>
        <v>1.29551552318896</v>
      </c>
      <c r="J47" s="31" t="n">
        <f aca="false">_xlfn.MAXIFS(Trades!$X$2:$X$1146,Trades!$E$2:$E$1146,$A47)</f>
        <v>129.65</v>
      </c>
      <c r="K47" s="31" t="n">
        <f aca="false">_xlfn.MINIFS(Trades!$X$2:$X$1146,Trades!$E$2:$E$1146,$A47)</f>
        <v>-67.25</v>
      </c>
      <c r="L47" s="33" t="n">
        <f aca="false">SUMIFS(Trades!$Y$2:$Y$1146,Trades!$E$2:$E$1146,$A47)</f>
        <v>1.81215348029121</v>
      </c>
      <c r="M47" s="31" t="n">
        <f aca="false">P46</f>
        <v>12602.8</v>
      </c>
      <c r="N47" s="30" t="n">
        <f aca="false">IFERROR(F47/M47,0)</f>
        <v>0.00305884406639794</v>
      </c>
      <c r="O47" s="29" t="str">
        <f aca="false">IF(F47&lt;0,"down week","")</f>
        <v/>
      </c>
      <c r="P47" s="31" t="n">
        <f aca="false">M47+F47</f>
        <v>12641.35</v>
      </c>
      <c r="Q47" s="31" t="n">
        <f aca="false">P47-Summary!$C$5</f>
        <v>2641.35</v>
      </c>
    </row>
    <row r="48" customFormat="false" ht="15" hidden="false" customHeight="false" outlineLevel="0" collapsed="false">
      <c r="A48" s="43" t="n">
        <v>44977</v>
      </c>
      <c r="B48" s="29" t="n">
        <f aca="false">COUNTIFS(Trades!$E$2:$E$1146,$A48)</f>
        <v>5</v>
      </c>
      <c r="C48" s="29" t="n">
        <f aca="false">COUNTIFS(Trades!$E$2:$E$1146,$A48,Trades!$Z$2:$Z$1146,"Win")</f>
        <v>4</v>
      </c>
      <c r="D48" s="29" t="n">
        <f aca="false">COUNTIFS(Trades!$E$2:$E$1146,$A48,Trades!$Z$2:$Z$1146,"Loss")</f>
        <v>1</v>
      </c>
      <c r="E48" s="30" t="n">
        <f aca="false">IFERROR(C48/B48,0)</f>
        <v>0.8</v>
      </c>
      <c r="F48" s="31" t="n">
        <f aca="false">SUMIFS(Trades!$X$2:$X$1146,Trades!$E$2:$E$1146,$A48)</f>
        <v>350.35</v>
      </c>
      <c r="G48" s="31" t="n">
        <f aca="false">SUMIFS(Trades!$X$2:$X$1146,Trades!$E$2:$E$1146,$A48,Trades!$X$2:$X$1146,"&gt;0")</f>
        <v>396.7</v>
      </c>
      <c r="H48" s="31" t="n">
        <f aca="false">SUMIFS(Trades!$X$2:$X$1146,Trades!$E$2:$E$1146,$A48,Trades!$X$2:$X$1146,"&lt;0")</f>
        <v>-46.35</v>
      </c>
      <c r="I48" s="32" t="n">
        <f aca="false">IFERROR(G48/-H48,"no loss")</f>
        <v>8.55879180151025</v>
      </c>
      <c r="J48" s="31" t="n">
        <f aca="false">_xlfn.MAXIFS(Trades!$X$2:$X$1146,Trades!$E$2:$E$1146,$A48)</f>
        <v>215.8</v>
      </c>
      <c r="K48" s="31" t="n">
        <f aca="false">_xlfn.MINIFS(Trades!$X$2:$X$1146,Trades!$E$2:$E$1146,$A48)</f>
        <v>-46.35</v>
      </c>
      <c r="L48" s="33" t="n">
        <f aca="false">SUMIFS(Trades!$Y$2:$Y$1146,Trades!$E$2:$E$1146,$A48)</f>
        <v>8.89352595495455</v>
      </c>
      <c r="M48" s="31" t="n">
        <f aca="false">P47</f>
        <v>12641.35</v>
      </c>
      <c r="N48" s="30" t="n">
        <f aca="false">IFERROR(F48/M48,0)</f>
        <v>0.0277146032662651</v>
      </c>
      <c r="O48" s="29" t="str">
        <f aca="false">IF(F48&lt;0,"down week","")</f>
        <v/>
      </c>
      <c r="P48" s="31" t="n">
        <f aca="false">M48+F48</f>
        <v>12991.7</v>
      </c>
      <c r="Q48" s="31" t="n">
        <f aca="false">P48-Summary!$C$5</f>
        <v>2991.7</v>
      </c>
    </row>
    <row r="49" customFormat="false" ht="15" hidden="false" customHeight="false" outlineLevel="0" collapsed="false">
      <c r="A49" s="43" t="n">
        <v>44984</v>
      </c>
      <c r="B49" s="29" t="n">
        <f aca="false">COUNTIFS(Trades!$E$2:$E$1146,$A49)</f>
        <v>3</v>
      </c>
      <c r="C49" s="29" t="n">
        <f aca="false">COUNTIFS(Trades!$E$2:$E$1146,$A49,Trades!$Z$2:$Z$1146,"Win")</f>
        <v>0</v>
      </c>
      <c r="D49" s="29" t="n">
        <f aca="false">COUNTIFS(Trades!$E$2:$E$1146,$A49,Trades!$Z$2:$Z$1146,"Loss")</f>
        <v>3</v>
      </c>
      <c r="E49" s="30" t="n">
        <f aca="false">IFERROR(C49/B49,0)</f>
        <v>0</v>
      </c>
      <c r="F49" s="31" t="n">
        <f aca="false">SUMIFS(Trades!$X$2:$X$1146,Trades!$E$2:$E$1146,$A49)</f>
        <v>-3.35</v>
      </c>
      <c r="G49" s="31" t="n">
        <f aca="false">SUMIFS(Trades!$X$2:$X$1146,Trades!$E$2:$E$1146,$A49,Trades!$X$2:$X$1146,"&gt;0")</f>
        <v>0</v>
      </c>
      <c r="H49" s="31" t="n">
        <f aca="false">SUMIFS(Trades!$X$2:$X$1146,Trades!$E$2:$E$1146,$A49,Trades!$X$2:$X$1146,"&lt;0")</f>
        <v>-3.35</v>
      </c>
      <c r="I49" s="32" t="n">
        <f aca="false">IFERROR(G49/-H49,"no loss")</f>
        <v>0</v>
      </c>
      <c r="J49" s="31" t="n">
        <f aca="false">_xlfn.MAXIFS(Trades!$X$2:$X$1146,Trades!$E$2:$E$1146,$A49)</f>
        <v>-0.15</v>
      </c>
      <c r="K49" s="31" t="n">
        <f aca="false">_xlfn.MINIFS(Trades!$X$2:$X$1146,Trades!$E$2:$E$1146,$A49)</f>
        <v>-2.9</v>
      </c>
      <c r="L49" s="33" t="n">
        <f aca="false">SUMIFS(Trades!$Y$2:$Y$1146,Trades!$E$2:$E$1146,$A49)</f>
        <v>-0.256364229423432</v>
      </c>
      <c r="M49" s="31" t="n">
        <f aca="false">P48</f>
        <v>12991.7</v>
      </c>
      <c r="N49" s="30" t="n">
        <f aca="false">IFERROR(F49/M49,0)</f>
        <v>-0.00025785693943056</v>
      </c>
      <c r="O49" s="29" t="str">
        <f aca="false">IF(F49&lt;0,"down week","")</f>
        <v>down week</v>
      </c>
      <c r="P49" s="31" t="n">
        <f aca="false">M49+F49</f>
        <v>12988.35</v>
      </c>
      <c r="Q49" s="31" t="n">
        <f aca="false">P49-Summary!$C$5</f>
        <v>2988.35</v>
      </c>
    </row>
    <row r="50" customFormat="false" ht="15" hidden="false" customHeight="false" outlineLevel="0" collapsed="false">
      <c r="A50" s="43" t="n">
        <v>44991</v>
      </c>
      <c r="B50" s="29" t="n">
        <f aca="false">COUNTIFS(Trades!$E$2:$E$1146,$A50)</f>
        <v>6</v>
      </c>
      <c r="C50" s="29" t="n">
        <f aca="false">COUNTIFS(Trades!$E$2:$E$1146,$A50,Trades!$Z$2:$Z$1146,"Win")</f>
        <v>2</v>
      </c>
      <c r="D50" s="29" t="n">
        <f aca="false">COUNTIFS(Trades!$E$2:$E$1146,$A50,Trades!$Z$2:$Z$1146,"Loss")</f>
        <v>3</v>
      </c>
      <c r="E50" s="30" t="n">
        <f aca="false">IFERROR(C50/B50,0)</f>
        <v>0.333333333333333</v>
      </c>
      <c r="F50" s="31" t="n">
        <f aca="false">SUMIFS(Trades!$X$2:$X$1146,Trades!$E$2:$E$1146,$A50)</f>
        <v>232.35</v>
      </c>
      <c r="G50" s="31" t="n">
        <f aca="false">SUMIFS(Trades!$X$2:$X$1146,Trades!$E$2:$E$1146,$A50,Trades!$X$2:$X$1146,"&gt;0")</f>
        <v>365.65</v>
      </c>
      <c r="H50" s="31" t="n">
        <f aca="false">SUMIFS(Trades!$X$2:$X$1146,Trades!$E$2:$E$1146,$A50,Trades!$X$2:$X$1146,"&lt;0")</f>
        <v>-133.3</v>
      </c>
      <c r="I50" s="32" t="n">
        <f aca="false">IFERROR(G50/-H50,"no loss")</f>
        <v>2.7430607651913</v>
      </c>
      <c r="J50" s="31" t="n">
        <f aca="false">_xlfn.MAXIFS(Trades!$X$2:$X$1146,Trades!$E$2:$E$1146,$A50)</f>
        <v>275.25</v>
      </c>
      <c r="K50" s="31" t="n">
        <f aca="false">_xlfn.MINIFS(Trades!$X$2:$X$1146,Trades!$E$2:$E$1146,$A50)</f>
        <v>-74.75</v>
      </c>
      <c r="L50" s="33" t="n">
        <f aca="false">SUMIFS(Trades!$Y$2:$Y$1146,Trades!$E$2:$E$1146,$A50)</f>
        <v>1.86593384287457</v>
      </c>
      <c r="M50" s="31" t="n">
        <f aca="false">P49</f>
        <v>12988.35</v>
      </c>
      <c r="N50" s="30" t="n">
        <f aca="false">IFERROR(F50/M50,0)</f>
        <v>0.0178891083162988</v>
      </c>
      <c r="O50" s="29" t="str">
        <f aca="false">IF(F50&lt;0,"down week","")</f>
        <v/>
      </c>
      <c r="P50" s="31" t="n">
        <f aca="false">M50+F50</f>
        <v>13220.7</v>
      </c>
      <c r="Q50" s="31" t="n">
        <f aca="false">P50-Summary!$C$5</f>
        <v>3220.7</v>
      </c>
    </row>
    <row r="51" customFormat="false" ht="15" hidden="false" customHeight="false" outlineLevel="0" collapsed="false">
      <c r="A51" s="43" t="n">
        <v>44998</v>
      </c>
      <c r="B51" s="29" t="n">
        <f aca="false">COUNTIFS(Trades!$E$2:$E$1146,$A51)</f>
        <v>5</v>
      </c>
      <c r="C51" s="29" t="n">
        <f aca="false">COUNTIFS(Trades!$E$2:$E$1146,$A51,Trades!$Z$2:$Z$1146,"Win")</f>
        <v>0</v>
      </c>
      <c r="D51" s="29" t="n">
        <f aca="false">COUNTIFS(Trades!$E$2:$E$1146,$A51,Trades!$Z$2:$Z$1146,"Loss")</f>
        <v>5</v>
      </c>
      <c r="E51" s="30" t="n">
        <f aca="false">IFERROR(C51/B51,0)</f>
        <v>0</v>
      </c>
      <c r="F51" s="31" t="n">
        <f aca="false">SUMIFS(Trades!$X$2:$X$1146,Trades!$E$2:$E$1146,$A51)</f>
        <v>-208.65</v>
      </c>
      <c r="G51" s="31" t="n">
        <f aca="false">SUMIFS(Trades!$X$2:$X$1146,Trades!$E$2:$E$1146,$A51,Trades!$X$2:$X$1146,"&gt;0")</f>
        <v>0</v>
      </c>
      <c r="H51" s="31" t="n">
        <f aca="false">SUMIFS(Trades!$X$2:$X$1146,Trades!$E$2:$E$1146,$A51,Trades!$X$2:$X$1146,"&lt;0")</f>
        <v>-208.65</v>
      </c>
      <c r="I51" s="32" t="n">
        <f aca="false">IFERROR(G51/-H51,"no loss")</f>
        <v>0</v>
      </c>
      <c r="J51" s="31" t="n">
        <f aca="false">_xlfn.MAXIFS(Trades!$X$2:$X$1146,Trades!$E$2:$E$1146,$A51)</f>
        <v>-2.1</v>
      </c>
      <c r="K51" s="31" t="n">
        <f aca="false">_xlfn.MINIFS(Trades!$X$2:$X$1146,Trades!$E$2:$E$1146,$A51)</f>
        <v>-88.7</v>
      </c>
      <c r="L51" s="33" t="n">
        <f aca="false">SUMIFS(Trades!$Y$2:$Y$1146,Trades!$E$2:$E$1146,$A51)</f>
        <v>-4.18247683086217</v>
      </c>
      <c r="M51" s="31" t="n">
        <f aca="false">P50</f>
        <v>13220.7</v>
      </c>
      <c r="N51" s="30" t="n">
        <f aca="false">IFERROR(F51/M51,0)</f>
        <v>-0.015782069028115</v>
      </c>
      <c r="O51" s="29" t="str">
        <f aca="false">IF(F51&lt;0,"down week","")</f>
        <v>down week</v>
      </c>
      <c r="P51" s="31" t="n">
        <f aca="false">M51+F51</f>
        <v>13012.05</v>
      </c>
      <c r="Q51" s="31" t="n">
        <f aca="false">P51-Summary!$C$5</f>
        <v>3012.05</v>
      </c>
    </row>
    <row r="52" customFormat="false" ht="15" hidden="false" customHeight="false" outlineLevel="0" collapsed="false">
      <c r="A52" s="43" t="n">
        <v>45005</v>
      </c>
      <c r="B52" s="29" t="n">
        <f aca="false">COUNTIFS(Trades!$E$2:$E$1146,$A52)</f>
        <v>3</v>
      </c>
      <c r="C52" s="29" t="n">
        <f aca="false">COUNTIFS(Trades!$E$2:$E$1146,$A52,Trades!$Z$2:$Z$1146,"Win")</f>
        <v>2</v>
      </c>
      <c r="D52" s="29" t="n">
        <f aca="false">COUNTIFS(Trades!$E$2:$E$1146,$A52,Trades!$Z$2:$Z$1146,"Loss")</f>
        <v>1</v>
      </c>
      <c r="E52" s="30" t="n">
        <f aca="false">IFERROR(C52/B52,0)</f>
        <v>0.666666666666667</v>
      </c>
      <c r="F52" s="31" t="n">
        <f aca="false">SUMIFS(Trades!$X$2:$X$1146,Trades!$E$2:$E$1146,$A52)</f>
        <v>242.25</v>
      </c>
      <c r="G52" s="31" t="n">
        <f aca="false">SUMIFS(Trades!$X$2:$X$1146,Trades!$E$2:$E$1146,$A52,Trades!$X$2:$X$1146,"&gt;0")</f>
        <v>268.65</v>
      </c>
      <c r="H52" s="31" t="n">
        <f aca="false">SUMIFS(Trades!$X$2:$X$1146,Trades!$E$2:$E$1146,$A52,Trades!$X$2:$X$1146,"&lt;0")</f>
        <v>-26.4</v>
      </c>
      <c r="I52" s="32" t="n">
        <f aca="false">IFERROR(G52/-H52,"no loss")</f>
        <v>10.1761363636364</v>
      </c>
      <c r="J52" s="31" t="n">
        <f aca="false">_xlfn.MAXIFS(Trades!$X$2:$X$1146,Trades!$E$2:$E$1146,$A52)</f>
        <v>158.6</v>
      </c>
      <c r="K52" s="31" t="n">
        <f aca="false">_xlfn.MINIFS(Trades!$X$2:$X$1146,Trades!$E$2:$E$1146,$A52)</f>
        <v>-26.4</v>
      </c>
      <c r="L52" s="33" t="n">
        <f aca="false">SUMIFS(Trades!$Y$2:$Y$1146,Trades!$E$2:$E$1146,$A52)</f>
        <v>3.84940233427735</v>
      </c>
      <c r="M52" s="31" t="n">
        <f aca="false">P51</f>
        <v>13012.05</v>
      </c>
      <c r="N52" s="30" t="n">
        <f aca="false">IFERROR(F52/M52,0)</f>
        <v>0.0186173585253669</v>
      </c>
      <c r="O52" s="29" t="str">
        <f aca="false">IF(F52&lt;0,"down week","")</f>
        <v/>
      </c>
      <c r="P52" s="31" t="n">
        <f aca="false">M52+F52</f>
        <v>13254.3</v>
      </c>
      <c r="Q52" s="31" t="n">
        <f aca="false">P52-Summary!$C$5</f>
        <v>3254.3</v>
      </c>
    </row>
    <row r="53" customFormat="false" ht="15" hidden="false" customHeight="false" outlineLevel="0" collapsed="false">
      <c r="A53" s="43" t="n">
        <v>45012</v>
      </c>
      <c r="B53" s="29" t="n">
        <f aca="false">COUNTIFS(Trades!$E$2:$E$1146,$A53)</f>
        <v>5</v>
      </c>
      <c r="C53" s="29" t="n">
        <f aca="false">COUNTIFS(Trades!$E$2:$E$1146,$A53,Trades!$Z$2:$Z$1146,"Win")</f>
        <v>1</v>
      </c>
      <c r="D53" s="29" t="n">
        <f aca="false">COUNTIFS(Trades!$E$2:$E$1146,$A53,Trades!$Z$2:$Z$1146,"Loss")</f>
        <v>4</v>
      </c>
      <c r="E53" s="30" t="n">
        <f aca="false">IFERROR(C53/B53,0)</f>
        <v>0.2</v>
      </c>
      <c r="F53" s="31" t="n">
        <f aca="false">SUMIFS(Trades!$X$2:$X$1146,Trades!$E$2:$E$1146,$A53)</f>
        <v>-23.8</v>
      </c>
      <c r="G53" s="31" t="n">
        <f aca="false">SUMIFS(Trades!$X$2:$X$1146,Trades!$E$2:$E$1146,$A53,Trades!$X$2:$X$1146,"&gt;0")</f>
        <v>52.5</v>
      </c>
      <c r="H53" s="31" t="n">
        <f aca="false">SUMIFS(Trades!$X$2:$X$1146,Trades!$E$2:$E$1146,$A53,Trades!$X$2:$X$1146,"&lt;0")</f>
        <v>-76.3</v>
      </c>
      <c r="I53" s="32" t="n">
        <f aca="false">IFERROR(G53/-H53,"no loss")</f>
        <v>0.688073394495413</v>
      </c>
      <c r="J53" s="31" t="n">
        <f aca="false">_xlfn.MAXIFS(Trades!$X$2:$X$1146,Trades!$E$2:$E$1146,$A53)</f>
        <v>52.5</v>
      </c>
      <c r="K53" s="31" t="n">
        <f aca="false">_xlfn.MINIFS(Trades!$X$2:$X$1146,Trades!$E$2:$E$1146,$A53)</f>
        <v>-41.2</v>
      </c>
      <c r="L53" s="33" t="n">
        <f aca="false">SUMIFS(Trades!$Y$2:$Y$1146,Trades!$E$2:$E$1146,$A53)</f>
        <v>0.21421957733599</v>
      </c>
      <c r="M53" s="31" t="n">
        <f aca="false">P52</f>
        <v>13254.3</v>
      </c>
      <c r="N53" s="30" t="n">
        <f aca="false">IFERROR(F53/M53,0)</f>
        <v>-0.00179564367790076</v>
      </c>
      <c r="O53" s="29" t="str">
        <f aca="false">IF(F53&lt;0,"down week","")</f>
        <v>down week</v>
      </c>
      <c r="P53" s="31" t="n">
        <f aca="false">M53+F53</f>
        <v>13230.5</v>
      </c>
      <c r="Q53" s="31" t="n">
        <f aca="false">P53-Summary!$C$5</f>
        <v>3230.5</v>
      </c>
    </row>
    <row r="54" customFormat="false" ht="15" hidden="false" customHeight="false" outlineLevel="0" collapsed="false">
      <c r="A54" s="43" t="n">
        <v>45019</v>
      </c>
      <c r="B54" s="29" t="n">
        <f aca="false">COUNTIFS(Trades!$E$2:$E$1146,$A54)</f>
        <v>3</v>
      </c>
      <c r="C54" s="29" t="n">
        <f aca="false">COUNTIFS(Trades!$E$2:$E$1146,$A54,Trades!$Z$2:$Z$1146,"Win")</f>
        <v>2</v>
      </c>
      <c r="D54" s="29" t="n">
        <f aca="false">COUNTIFS(Trades!$E$2:$E$1146,$A54,Trades!$Z$2:$Z$1146,"Loss")</f>
        <v>1</v>
      </c>
      <c r="E54" s="30" t="n">
        <f aca="false">IFERROR(C54/B54,0)</f>
        <v>0.666666666666667</v>
      </c>
      <c r="F54" s="31" t="n">
        <f aca="false">SUMIFS(Trades!$X$2:$X$1146,Trades!$E$2:$E$1146,$A54)</f>
        <v>117</v>
      </c>
      <c r="G54" s="31" t="n">
        <f aca="false">SUMIFS(Trades!$X$2:$X$1146,Trades!$E$2:$E$1146,$A54,Trades!$X$2:$X$1146,"&gt;0")</f>
        <v>126.45</v>
      </c>
      <c r="H54" s="31" t="n">
        <f aca="false">SUMIFS(Trades!$X$2:$X$1146,Trades!$E$2:$E$1146,$A54,Trades!$X$2:$X$1146,"&lt;0")</f>
        <v>-9.45</v>
      </c>
      <c r="I54" s="32" t="n">
        <f aca="false">IFERROR(G54/-H54,"no loss")</f>
        <v>13.3809523809524</v>
      </c>
      <c r="J54" s="31" t="n">
        <f aca="false">_xlfn.MAXIFS(Trades!$X$2:$X$1146,Trades!$E$2:$E$1146,$A54)</f>
        <v>83.3</v>
      </c>
      <c r="K54" s="31" t="n">
        <f aca="false">_xlfn.MINIFS(Trades!$X$2:$X$1146,Trades!$E$2:$E$1146,$A54)</f>
        <v>-9.45</v>
      </c>
      <c r="L54" s="33" t="n">
        <f aca="false">SUMIFS(Trades!$Y$2:$Y$1146,Trades!$E$2:$E$1146,$A54)</f>
        <v>4.79978742740392</v>
      </c>
      <c r="M54" s="31" t="n">
        <f aca="false">P53</f>
        <v>13230.5</v>
      </c>
      <c r="N54" s="30" t="n">
        <f aca="false">IFERROR(F54/M54,0)</f>
        <v>0.00884320320471638</v>
      </c>
      <c r="O54" s="29" t="str">
        <f aca="false">IF(F54&lt;0,"down week","")</f>
        <v/>
      </c>
      <c r="P54" s="31" t="n">
        <f aca="false">M54+F54</f>
        <v>13347.5</v>
      </c>
      <c r="Q54" s="31" t="n">
        <f aca="false">P54-Summary!$C$5</f>
        <v>3347.5</v>
      </c>
    </row>
    <row r="55" customFormat="false" ht="15" hidden="false" customHeight="false" outlineLevel="0" collapsed="false">
      <c r="A55" s="43" t="n">
        <v>45026</v>
      </c>
      <c r="B55" s="29" t="n">
        <f aca="false">COUNTIFS(Trades!$E$2:$E$1146,$A55)</f>
        <v>7</v>
      </c>
      <c r="C55" s="29" t="n">
        <f aca="false">COUNTIFS(Trades!$E$2:$E$1146,$A55,Trades!$Z$2:$Z$1146,"Win")</f>
        <v>0</v>
      </c>
      <c r="D55" s="29" t="n">
        <f aca="false">COUNTIFS(Trades!$E$2:$E$1146,$A55,Trades!$Z$2:$Z$1146,"Loss")</f>
        <v>7</v>
      </c>
      <c r="E55" s="30" t="n">
        <f aca="false">IFERROR(C55/B55,0)</f>
        <v>0</v>
      </c>
      <c r="F55" s="31" t="n">
        <f aca="false">SUMIFS(Trades!$X$2:$X$1146,Trades!$E$2:$E$1146,$A55)</f>
        <v>-316.51</v>
      </c>
      <c r="G55" s="31" t="n">
        <f aca="false">SUMIFS(Trades!$X$2:$X$1146,Trades!$E$2:$E$1146,$A55,Trades!$X$2:$X$1146,"&gt;0")</f>
        <v>0</v>
      </c>
      <c r="H55" s="31" t="n">
        <f aca="false">SUMIFS(Trades!$X$2:$X$1146,Trades!$E$2:$E$1146,$A55,Trades!$X$2:$X$1146,"&lt;0")</f>
        <v>-316.51</v>
      </c>
      <c r="I55" s="32" t="n">
        <f aca="false">IFERROR(G55/-H55,"no loss")</f>
        <v>0</v>
      </c>
      <c r="J55" s="31" t="n">
        <f aca="false">_xlfn.MAXIFS(Trades!$X$2:$X$1146,Trades!$E$2:$E$1146,$A55)</f>
        <v>-0.16</v>
      </c>
      <c r="K55" s="31" t="n">
        <f aca="false">_xlfn.MINIFS(Trades!$X$2:$X$1146,Trades!$E$2:$E$1146,$A55)</f>
        <v>-224.5</v>
      </c>
      <c r="L55" s="33" t="n">
        <f aca="false">SUMIFS(Trades!$Y$2:$Y$1146,Trades!$E$2:$E$1146,$A55)</f>
        <v>-5.6623442456311</v>
      </c>
      <c r="M55" s="31" t="n">
        <f aca="false">P54</f>
        <v>13347.5</v>
      </c>
      <c r="N55" s="30" t="n">
        <f aca="false">IFERROR(F55/M55,0)</f>
        <v>-0.0237130548791909</v>
      </c>
      <c r="O55" s="29" t="str">
        <f aca="false">IF(F55&lt;0,"down week","")</f>
        <v>down week</v>
      </c>
      <c r="P55" s="31" t="n">
        <f aca="false">M55+F55</f>
        <v>13030.99</v>
      </c>
      <c r="Q55" s="31" t="n">
        <f aca="false">P55-Summary!$C$5</f>
        <v>3030.99</v>
      </c>
    </row>
    <row r="56" customFormat="false" ht="15" hidden="false" customHeight="false" outlineLevel="0" collapsed="false">
      <c r="A56" s="43" t="n">
        <v>45033</v>
      </c>
      <c r="B56" s="29" t="n">
        <f aca="false">COUNTIFS(Trades!$E$2:$E$1146,$A56)</f>
        <v>4</v>
      </c>
      <c r="C56" s="29" t="n">
        <f aca="false">COUNTIFS(Trades!$E$2:$E$1146,$A56,Trades!$Z$2:$Z$1146,"Win")</f>
        <v>1</v>
      </c>
      <c r="D56" s="29" t="n">
        <f aca="false">COUNTIFS(Trades!$E$2:$E$1146,$A56,Trades!$Z$2:$Z$1146,"Loss")</f>
        <v>3</v>
      </c>
      <c r="E56" s="30" t="n">
        <f aca="false">IFERROR(C56/B56,0)</f>
        <v>0.25</v>
      </c>
      <c r="F56" s="31" t="n">
        <f aca="false">SUMIFS(Trades!$X$2:$X$1146,Trades!$E$2:$E$1146,$A56)</f>
        <v>-31.67</v>
      </c>
      <c r="G56" s="31" t="n">
        <f aca="false">SUMIFS(Trades!$X$2:$X$1146,Trades!$E$2:$E$1146,$A56,Trades!$X$2:$X$1146,"&gt;0")</f>
        <v>55.92</v>
      </c>
      <c r="H56" s="31" t="n">
        <f aca="false">SUMIFS(Trades!$X$2:$X$1146,Trades!$E$2:$E$1146,$A56,Trades!$X$2:$X$1146,"&lt;0")</f>
        <v>-87.59</v>
      </c>
      <c r="I56" s="32" t="n">
        <f aca="false">IFERROR(G56/-H56,"no loss")</f>
        <v>0.638429044411463</v>
      </c>
      <c r="J56" s="31" t="n">
        <f aca="false">_xlfn.MAXIFS(Trades!$X$2:$X$1146,Trades!$E$2:$E$1146,$A56)</f>
        <v>55.92</v>
      </c>
      <c r="K56" s="31" t="n">
        <f aca="false">_xlfn.MINIFS(Trades!$X$2:$X$1146,Trades!$E$2:$E$1146,$A56)</f>
        <v>-34.1</v>
      </c>
      <c r="L56" s="33" t="n">
        <f aca="false">SUMIFS(Trades!$Y$2:$Y$1146,Trades!$E$2:$E$1146,$A56)</f>
        <v>-0.4807642612569</v>
      </c>
      <c r="M56" s="31" t="n">
        <f aca="false">P55</f>
        <v>13030.99</v>
      </c>
      <c r="N56" s="30" t="n">
        <f aca="false">IFERROR(F56/M56,0)</f>
        <v>-0.0024303602412403</v>
      </c>
      <c r="O56" s="29" t="str">
        <f aca="false">IF(F56&lt;0,"down week","")</f>
        <v>down week</v>
      </c>
      <c r="P56" s="31" t="n">
        <f aca="false">M56+F56</f>
        <v>12999.32</v>
      </c>
      <c r="Q56" s="31" t="n">
        <f aca="false">P56-Summary!$C$5</f>
        <v>2999.32</v>
      </c>
    </row>
    <row r="57" customFormat="false" ht="15" hidden="false" customHeight="false" outlineLevel="0" collapsed="false">
      <c r="A57" s="43" t="n">
        <v>45040</v>
      </c>
      <c r="B57" s="29" t="n">
        <f aca="false">COUNTIFS(Trades!$E$2:$E$1146,$A57)</f>
        <v>5</v>
      </c>
      <c r="C57" s="29" t="n">
        <f aca="false">COUNTIFS(Trades!$E$2:$E$1146,$A57,Trades!$Z$2:$Z$1146,"Win")</f>
        <v>1</v>
      </c>
      <c r="D57" s="29" t="n">
        <f aca="false">COUNTIFS(Trades!$E$2:$E$1146,$A57,Trades!$Z$2:$Z$1146,"Loss")</f>
        <v>4</v>
      </c>
      <c r="E57" s="30" t="n">
        <f aca="false">IFERROR(C57/B57,0)</f>
        <v>0.2</v>
      </c>
      <c r="F57" s="31" t="n">
        <f aca="false">SUMIFS(Trades!$X$2:$X$1146,Trades!$E$2:$E$1146,$A57)</f>
        <v>-76.12</v>
      </c>
      <c r="G57" s="31" t="n">
        <f aca="false">SUMIFS(Trades!$X$2:$X$1146,Trades!$E$2:$E$1146,$A57,Trades!$X$2:$X$1146,"&gt;0")</f>
        <v>56.24</v>
      </c>
      <c r="H57" s="31" t="n">
        <f aca="false">SUMIFS(Trades!$X$2:$X$1146,Trades!$E$2:$E$1146,$A57,Trades!$X$2:$X$1146,"&lt;0")</f>
        <v>-132.36</v>
      </c>
      <c r="I57" s="32" t="n">
        <f aca="false">IFERROR(G57/-H57,"no loss")</f>
        <v>0.424901783016017</v>
      </c>
      <c r="J57" s="31" t="n">
        <f aca="false">_xlfn.MAXIFS(Trades!$X$2:$X$1146,Trades!$E$2:$E$1146,$A57)</f>
        <v>56.24</v>
      </c>
      <c r="K57" s="31" t="n">
        <f aca="false">_xlfn.MINIFS(Trades!$X$2:$X$1146,Trades!$E$2:$E$1146,$A57)</f>
        <v>-56.64</v>
      </c>
      <c r="L57" s="33" t="n">
        <f aca="false">SUMIFS(Trades!$Y$2:$Y$1146,Trades!$E$2:$E$1146,$A57)</f>
        <v>-0.558233734305735</v>
      </c>
      <c r="M57" s="31" t="n">
        <f aca="false">P56</f>
        <v>12999.32</v>
      </c>
      <c r="N57" s="30" t="n">
        <f aca="false">IFERROR(F57/M57,0)</f>
        <v>-0.00585569091306315</v>
      </c>
      <c r="O57" s="29" t="str">
        <f aca="false">IF(F57&lt;0,"down week","")</f>
        <v>down week</v>
      </c>
      <c r="P57" s="31" t="n">
        <f aca="false">M57+F57</f>
        <v>12923.2</v>
      </c>
      <c r="Q57" s="31" t="n">
        <f aca="false">P57-Summary!$C$5</f>
        <v>2923.2</v>
      </c>
    </row>
    <row r="58" customFormat="false" ht="15" hidden="false" customHeight="false" outlineLevel="0" collapsed="false">
      <c r="A58" s="43" t="n">
        <v>45047</v>
      </c>
      <c r="B58" s="29" t="n">
        <f aca="false">COUNTIFS(Trades!$E$2:$E$1146,$A58)</f>
        <v>5</v>
      </c>
      <c r="C58" s="29" t="n">
        <f aca="false">COUNTIFS(Trades!$E$2:$E$1146,$A58,Trades!$Z$2:$Z$1146,"Win")</f>
        <v>1</v>
      </c>
      <c r="D58" s="29" t="n">
        <f aca="false">COUNTIFS(Trades!$E$2:$E$1146,$A58,Trades!$Z$2:$Z$1146,"Loss")</f>
        <v>4</v>
      </c>
      <c r="E58" s="30" t="n">
        <f aca="false">IFERROR(C58/B58,0)</f>
        <v>0.2</v>
      </c>
      <c r="F58" s="31" t="n">
        <f aca="false">SUMIFS(Trades!$X$2:$X$1146,Trades!$E$2:$E$1146,$A58)</f>
        <v>-4.24000000000001</v>
      </c>
      <c r="G58" s="31" t="n">
        <f aca="false">SUMIFS(Trades!$X$2:$X$1146,Trades!$E$2:$E$1146,$A58,Trades!$X$2:$X$1146,"&gt;0")</f>
        <v>106.88</v>
      </c>
      <c r="H58" s="31" t="n">
        <f aca="false">SUMIFS(Trades!$X$2:$X$1146,Trades!$E$2:$E$1146,$A58,Trades!$X$2:$X$1146,"&lt;0")</f>
        <v>-111.12</v>
      </c>
      <c r="I58" s="32" t="n">
        <f aca="false">IFERROR(G58/-H58,"no loss")</f>
        <v>0.961843052555796</v>
      </c>
      <c r="J58" s="31" t="n">
        <f aca="false">_xlfn.MAXIFS(Trades!$X$2:$X$1146,Trades!$E$2:$E$1146,$A58)</f>
        <v>106.88</v>
      </c>
      <c r="K58" s="31" t="n">
        <f aca="false">_xlfn.MINIFS(Trades!$X$2:$X$1146,Trades!$E$2:$E$1146,$A58)</f>
        <v>-85.2</v>
      </c>
      <c r="L58" s="33" t="n">
        <f aca="false">SUMIFS(Trades!$Y$2:$Y$1146,Trades!$E$2:$E$1146,$A58)</f>
        <v>0.373742970688355</v>
      </c>
      <c r="M58" s="31" t="n">
        <f aca="false">P57</f>
        <v>12923.2</v>
      </c>
      <c r="N58" s="30" t="n">
        <f aca="false">IFERROR(F58/M58,0)</f>
        <v>-0.000328092113408444</v>
      </c>
      <c r="O58" s="29" t="str">
        <f aca="false">IF(F58&lt;0,"down week","")</f>
        <v>down week</v>
      </c>
      <c r="P58" s="31" t="n">
        <f aca="false">M58+F58</f>
        <v>12918.96</v>
      </c>
      <c r="Q58" s="31" t="n">
        <f aca="false">P58-Summary!$C$5</f>
        <v>2918.96</v>
      </c>
    </row>
    <row r="59" customFormat="false" ht="15" hidden="false" customHeight="false" outlineLevel="0" collapsed="false">
      <c r="A59" s="43" t="n">
        <v>45054</v>
      </c>
      <c r="B59" s="29" t="n">
        <f aca="false">COUNTIFS(Trades!$E$2:$E$1146,$A59)</f>
        <v>6</v>
      </c>
      <c r="C59" s="29" t="n">
        <f aca="false">COUNTIFS(Trades!$E$2:$E$1146,$A59,Trades!$Z$2:$Z$1146,"Win")</f>
        <v>1</v>
      </c>
      <c r="D59" s="29" t="n">
        <f aca="false">COUNTIFS(Trades!$E$2:$E$1146,$A59,Trades!$Z$2:$Z$1146,"Loss")</f>
        <v>5</v>
      </c>
      <c r="E59" s="30" t="n">
        <f aca="false">IFERROR(C59/B59,0)</f>
        <v>0.166666666666667</v>
      </c>
      <c r="F59" s="31" t="n">
        <f aca="false">SUMIFS(Trades!$X$2:$X$1146,Trades!$E$2:$E$1146,$A59)</f>
        <v>51.52</v>
      </c>
      <c r="G59" s="31" t="n">
        <f aca="false">SUMIFS(Trades!$X$2:$X$1146,Trades!$E$2:$E$1146,$A59,Trades!$X$2:$X$1146,"&gt;0")</f>
        <v>141.48</v>
      </c>
      <c r="H59" s="31" t="n">
        <f aca="false">SUMIFS(Trades!$X$2:$X$1146,Trades!$E$2:$E$1146,$A59,Trades!$X$2:$X$1146,"&lt;0")</f>
        <v>-89.96</v>
      </c>
      <c r="I59" s="32" t="n">
        <f aca="false">IFERROR(G59/-H59,"no loss")</f>
        <v>1.57269897732325</v>
      </c>
      <c r="J59" s="31" t="n">
        <f aca="false">_xlfn.MAXIFS(Trades!$X$2:$X$1146,Trades!$E$2:$E$1146,$A59)</f>
        <v>141.48</v>
      </c>
      <c r="K59" s="31" t="n">
        <f aca="false">_xlfn.MINIFS(Trades!$X$2:$X$1146,Trades!$E$2:$E$1146,$A59)</f>
        <v>-29.08</v>
      </c>
      <c r="L59" s="33" t="n">
        <f aca="false">SUMIFS(Trades!$Y$2:$Y$1146,Trades!$E$2:$E$1146,$A59)</f>
        <v>-1.84002110587312</v>
      </c>
      <c r="M59" s="31" t="n">
        <f aca="false">P58</f>
        <v>12918.96</v>
      </c>
      <c r="N59" s="30" t="n">
        <f aca="false">IFERROR(F59/M59,0)</f>
        <v>0.00398793710948869</v>
      </c>
      <c r="O59" s="29" t="str">
        <f aca="false">IF(F59&lt;0,"down week","")</f>
        <v/>
      </c>
      <c r="P59" s="31" t="n">
        <f aca="false">M59+F59</f>
        <v>12970.48</v>
      </c>
      <c r="Q59" s="31" t="n">
        <f aca="false">P59-Summary!$C$5</f>
        <v>2970.48</v>
      </c>
    </row>
    <row r="60" customFormat="false" ht="15" hidden="false" customHeight="false" outlineLevel="0" collapsed="false">
      <c r="A60" s="43" t="n">
        <v>45061</v>
      </c>
      <c r="B60" s="29" t="n">
        <f aca="false">COUNTIFS(Trades!$E$2:$E$1146,$A60)</f>
        <v>4</v>
      </c>
      <c r="C60" s="29" t="n">
        <f aca="false">COUNTIFS(Trades!$E$2:$E$1146,$A60,Trades!$Z$2:$Z$1146,"Win")</f>
        <v>1</v>
      </c>
      <c r="D60" s="29" t="n">
        <f aca="false">COUNTIFS(Trades!$E$2:$E$1146,$A60,Trades!$Z$2:$Z$1146,"Loss")</f>
        <v>3</v>
      </c>
      <c r="E60" s="30" t="n">
        <f aca="false">IFERROR(C60/B60,0)</f>
        <v>0.25</v>
      </c>
      <c r="F60" s="31" t="n">
        <f aca="false">SUMIFS(Trades!$X$2:$X$1146,Trades!$E$2:$E$1146,$A60)</f>
        <v>-3.32</v>
      </c>
      <c r="G60" s="31" t="n">
        <f aca="false">SUMIFS(Trades!$X$2:$X$1146,Trades!$E$2:$E$1146,$A60,Trades!$X$2:$X$1146,"&gt;0")</f>
        <v>50.12</v>
      </c>
      <c r="H60" s="31" t="n">
        <f aca="false">SUMIFS(Trades!$X$2:$X$1146,Trades!$E$2:$E$1146,$A60,Trades!$X$2:$X$1146,"&lt;0")</f>
        <v>-53.44</v>
      </c>
      <c r="I60" s="32" t="n">
        <f aca="false">IFERROR(G60/-H60,"no loss")</f>
        <v>0.937874251497006</v>
      </c>
      <c r="J60" s="31" t="n">
        <f aca="false">_xlfn.MAXIFS(Trades!$X$2:$X$1146,Trades!$E$2:$E$1146,$A60)</f>
        <v>50.12</v>
      </c>
      <c r="K60" s="31" t="n">
        <f aca="false">_xlfn.MINIFS(Trades!$X$2:$X$1146,Trades!$E$2:$E$1146,$A60)</f>
        <v>-19.84</v>
      </c>
      <c r="L60" s="33" t="n">
        <f aca="false">SUMIFS(Trades!$Y$2:$Y$1146,Trades!$E$2:$E$1146,$A60)</f>
        <v>-0.382784574153555</v>
      </c>
      <c r="M60" s="31" t="n">
        <f aca="false">P59</f>
        <v>12970.48</v>
      </c>
      <c r="N60" s="30" t="n">
        <f aca="false">IFERROR(F60/M60,0)</f>
        <v>-0.000255965854771759</v>
      </c>
      <c r="O60" s="29" t="str">
        <f aca="false">IF(F60&lt;0,"down week","")</f>
        <v>down week</v>
      </c>
      <c r="P60" s="31" t="n">
        <f aca="false">M60+F60</f>
        <v>12967.16</v>
      </c>
      <c r="Q60" s="31" t="n">
        <f aca="false">P60-Summary!$C$5</f>
        <v>2967.16</v>
      </c>
    </row>
    <row r="61" customFormat="false" ht="15" hidden="false" customHeight="false" outlineLevel="0" collapsed="false">
      <c r="A61" s="43" t="n">
        <v>45068</v>
      </c>
      <c r="B61" s="29" t="n">
        <f aca="false">COUNTIFS(Trades!$E$2:$E$1146,$A61)</f>
        <v>6</v>
      </c>
      <c r="C61" s="29" t="n">
        <f aca="false">COUNTIFS(Trades!$E$2:$E$1146,$A61,Trades!$Z$2:$Z$1146,"Win")</f>
        <v>0</v>
      </c>
      <c r="D61" s="29" t="n">
        <f aca="false">COUNTIFS(Trades!$E$2:$E$1146,$A61,Trades!$Z$2:$Z$1146,"Loss")</f>
        <v>6</v>
      </c>
      <c r="E61" s="30" t="n">
        <f aca="false">IFERROR(C61/B61,0)</f>
        <v>0</v>
      </c>
      <c r="F61" s="31" t="n">
        <f aca="false">SUMIFS(Trades!$X$2:$X$1146,Trades!$E$2:$E$1146,$A61)</f>
        <v>-285.76</v>
      </c>
      <c r="G61" s="31" t="n">
        <f aca="false">SUMIFS(Trades!$X$2:$X$1146,Trades!$E$2:$E$1146,$A61,Trades!$X$2:$X$1146,"&gt;0")</f>
        <v>0</v>
      </c>
      <c r="H61" s="31" t="n">
        <f aca="false">SUMIFS(Trades!$X$2:$X$1146,Trades!$E$2:$E$1146,$A61,Trades!$X$2:$X$1146,"&lt;0")</f>
        <v>-285.76</v>
      </c>
      <c r="I61" s="32" t="n">
        <f aca="false">IFERROR(G61/-H61,"no loss")</f>
        <v>0</v>
      </c>
      <c r="J61" s="31" t="n">
        <f aca="false">_xlfn.MAXIFS(Trades!$X$2:$X$1146,Trades!$E$2:$E$1146,$A61)</f>
        <v>-0.64</v>
      </c>
      <c r="K61" s="31" t="n">
        <f aca="false">_xlfn.MINIFS(Trades!$X$2:$X$1146,Trades!$E$2:$E$1146,$A61)</f>
        <v>-203.04</v>
      </c>
      <c r="L61" s="33" t="n">
        <f aca="false">SUMIFS(Trades!$Y$2:$Y$1146,Trades!$E$2:$E$1146,$A61)</f>
        <v>-4.07600925637115</v>
      </c>
      <c r="M61" s="31" t="n">
        <f aca="false">P60</f>
        <v>12967.16</v>
      </c>
      <c r="N61" s="30" t="n">
        <f aca="false">IFERROR(F61/M61,0)</f>
        <v>-0.0220372078388791</v>
      </c>
      <c r="O61" s="29" t="str">
        <f aca="false">IF(F61&lt;0,"down week","")</f>
        <v>down week</v>
      </c>
      <c r="P61" s="31" t="n">
        <f aca="false">M61+F61</f>
        <v>12681.4</v>
      </c>
      <c r="Q61" s="31" t="n">
        <f aca="false">P61-Summary!$C$5</f>
        <v>2681.4</v>
      </c>
    </row>
    <row r="62" customFormat="false" ht="15" hidden="false" customHeight="false" outlineLevel="0" collapsed="false">
      <c r="A62" s="43" t="n">
        <v>45075</v>
      </c>
      <c r="B62" s="29" t="n">
        <f aca="false">COUNTIFS(Trades!$E$2:$E$1146,$A62)</f>
        <v>7</v>
      </c>
      <c r="C62" s="29" t="n">
        <f aca="false">COUNTIFS(Trades!$E$2:$E$1146,$A62,Trades!$Z$2:$Z$1146,"Win")</f>
        <v>4</v>
      </c>
      <c r="D62" s="29" t="n">
        <f aca="false">COUNTIFS(Trades!$E$2:$E$1146,$A62,Trades!$Z$2:$Z$1146,"Loss")</f>
        <v>3</v>
      </c>
      <c r="E62" s="30" t="n">
        <f aca="false">IFERROR(C62/B62,0)</f>
        <v>0.571428571428571</v>
      </c>
      <c r="F62" s="31" t="n">
        <f aca="false">SUMIFS(Trades!$X$2:$X$1146,Trades!$E$2:$E$1146,$A62)</f>
        <v>162.24</v>
      </c>
      <c r="G62" s="31" t="n">
        <f aca="false">SUMIFS(Trades!$X$2:$X$1146,Trades!$E$2:$E$1146,$A62,Trades!$X$2:$X$1146,"&gt;0")</f>
        <v>261.52</v>
      </c>
      <c r="H62" s="31" t="n">
        <f aca="false">SUMIFS(Trades!$X$2:$X$1146,Trades!$E$2:$E$1146,$A62,Trades!$X$2:$X$1146,"&lt;0")</f>
        <v>-99.28</v>
      </c>
      <c r="I62" s="32" t="n">
        <f aca="false">IFERROR(G62/-H62,"no loss")</f>
        <v>2.63416599516519</v>
      </c>
      <c r="J62" s="31" t="n">
        <f aca="false">_xlfn.MAXIFS(Trades!$X$2:$X$1146,Trades!$E$2:$E$1146,$A62)</f>
        <v>101.24</v>
      </c>
      <c r="K62" s="31" t="n">
        <f aca="false">_xlfn.MINIFS(Trades!$X$2:$X$1146,Trades!$E$2:$E$1146,$A62)</f>
        <v>-63.16</v>
      </c>
      <c r="L62" s="33" t="n">
        <f aca="false">SUMIFS(Trades!$Y$2:$Y$1146,Trades!$E$2:$E$1146,$A62)</f>
        <v>8.21211508476159</v>
      </c>
      <c r="M62" s="31" t="n">
        <f aca="false">P61</f>
        <v>12681.4</v>
      </c>
      <c r="N62" s="30" t="n">
        <f aca="false">IFERROR(F62/M62,0)</f>
        <v>0.0127935401454098</v>
      </c>
      <c r="O62" s="29" t="str">
        <f aca="false">IF(F62&lt;0,"down week","")</f>
        <v/>
      </c>
      <c r="P62" s="31" t="n">
        <f aca="false">M62+F62</f>
        <v>12843.64</v>
      </c>
      <c r="Q62" s="31" t="n">
        <f aca="false">P62-Summary!$C$5</f>
        <v>2843.64</v>
      </c>
    </row>
    <row r="63" customFormat="false" ht="15" hidden="false" customHeight="false" outlineLevel="0" collapsed="false">
      <c r="A63" s="43" t="n">
        <v>45082</v>
      </c>
      <c r="B63" s="29" t="n">
        <f aca="false">COUNTIFS(Trades!$E$2:$E$1146,$A63)</f>
        <v>5</v>
      </c>
      <c r="C63" s="29" t="n">
        <f aca="false">COUNTIFS(Trades!$E$2:$E$1146,$A63,Trades!$Z$2:$Z$1146,"Win")</f>
        <v>3</v>
      </c>
      <c r="D63" s="29" t="n">
        <f aca="false">COUNTIFS(Trades!$E$2:$E$1146,$A63,Trades!$Z$2:$Z$1146,"Loss")</f>
        <v>2</v>
      </c>
      <c r="E63" s="30" t="n">
        <f aca="false">IFERROR(C63/B63,0)</f>
        <v>0.6</v>
      </c>
      <c r="F63" s="31" t="n">
        <f aca="false">SUMIFS(Trades!$X$2:$X$1146,Trades!$E$2:$E$1146,$A63)</f>
        <v>266.44</v>
      </c>
      <c r="G63" s="31" t="n">
        <f aca="false">SUMIFS(Trades!$X$2:$X$1146,Trades!$E$2:$E$1146,$A63,Trades!$X$2:$X$1146,"&gt;0")</f>
        <v>284.48</v>
      </c>
      <c r="H63" s="31" t="n">
        <f aca="false">SUMIFS(Trades!$X$2:$X$1146,Trades!$E$2:$E$1146,$A63,Trades!$X$2:$X$1146,"&lt;0")</f>
        <v>-18.04</v>
      </c>
      <c r="I63" s="32" t="n">
        <f aca="false">IFERROR(G63/-H63,"no loss")</f>
        <v>15.7694013303769</v>
      </c>
      <c r="J63" s="31" t="n">
        <f aca="false">_xlfn.MAXIFS(Trades!$X$2:$X$1146,Trades!$E$2:$E$1146,$A63)</f>
        <v>141.36</v>
      </c>
      <c r="K63" s="31" t="n">
        <f aca="false">_xlfn.MINIFS(Trades!$X$2:$X$1146,Trades!$E$2:$E$1146,$A63)</f>
        <v>-17.8</v>
      </c>
      <c r="L63" s="33" t="n">
        <f aca="false">SUMIFS(Trades!$Y$2:$Y$1146,Trades!$E$2:$E$1146,$A63)</f>
        <v>6.56119300161617</v>
      </c>
      <c r="M63" s="31" t="n">
        <f aca="false">P62</f>
        <v>12843.64</v>
      </c>
      <c r="N63" s="30" t="n">
        <f aca="false">IFERROR(F63/M63,0)</f>
        <v>0.0207448978638455</v>
      </c>
      <c r="O63" s="29" t="str">
        <f aca="false">IF(F63&lt;0,"down week","")</f>
        <v/>
      </c>
      <c r="P63" s="31" t="n">
        <f aca="false">M63+F63</f>
        <v>13110.08</v>
      </c>
      <c r="Q63" s="31" t="n">
        <f aca="false">P63-Summary!$C$5</f>
        <v>3110.08</v>
      </c>
    </row>
    <row r="64" customFormat="false" ht="15" hidden="false" customHeight="false" outlineLevel="0" collapsed="false">
      <c r="A64" s="43" t="n">
        <v>45089</v>
      </c>
      <c r="B64" s="29" t="n">
        <f aca="false">COUNTIFS(Trades!$E$2:$E$1146,$A64)</f>
        <v>5</v>
      </c>
      <c r="C64" s="29" t="n">
        <f aca="false">COUNTIFS(Trades!$E$2:$E$1146,$A64,Trades!$Z$2:$Z$1146,"Win")</f>
        <v>3</v>
      </c>
      <c r="D64" s="29" t="n">
        <f aca="false">COUNTIFS(Trades!$E$2:$E$1146,$A64,Trades!$Z$2:$Z$1146,"Loss")</f>
        <v>2</v>
      </c>
      <c r="E64" s="30" t="n">
        <f aca="false">IFERROR(C64/B64,0)</f>
        <v>0.6</v>
      </c>
      <c r="F64" s="31" t="n">
        <f aca="false">SUMIFS(Trades!$X$2:$X$1146,Trades!$E$2:$E$1146,$A64)</f>
        <v>158.84</v>
      </c>
      <c r="G64" s="31" t="n">
        <f aca="false">SUMIFS(Trades!$X$2:$X$1146,Trades!$E$2:$E$1146,$A64,Trades!$X$2:$X$1146,"&gt;0")</f>
        <v>186.28</v>
      </c>
      <c r="H64" s="31" t="n">
        <f aca="false">SUMIFS(Trades!$X$2:$X$1146,Trades!$E$2:$E$1146,$A64,Trades!$X$2:$X$1146,"&lt;0")</f>
        <v>-27.44</v>
      </c>
      <c r="I64" s="32" t="n">
        <f aca="false">IFERROR(G64/-H64,"no loss")</f>
        <v>6.78862973760933</v>
      </c>
      <c r="J64" s="31" t="n">
        <f aca="false">_xlfn.MAXIFS(Trades!$X$2:$X$1146,Trades!$E$2:$E$1146,$A64)</f>
        <v>76.28</v>
      </c>
      <c r="K64" s="31" t="n">
        <f aca="false">_xlfn.MINIFS(Trades!$X$2:$X$1146,Trades!$E$2:$E$1146,$A64)</f>
        <v>-27.32</v>
      </c>
      <c r="L64" s="33" t="n">
        <f aca="false">SUMIFS(Trades!$Y$2:$Y$1146,Trades!$E$2:$E$1146,$A64)</f>
        <v>6.83447456646136</v>
      </c>
      <c r="M64" s="31" t="n">
        <f aca="false">P63</f>
        <v>13110.08</v>
      </c>
      <c r="N64" s="30" t="n">
        <f aca="false">IFERROR(F64/M64,0)</f>
        <v>0.0121158680953892</v>
      </c>
      <c r="O64" s="29" t="str">
        <f aca="false">IF(F64&lt;0,"down week","")</f>
        <v/>
      </c>
      <c r="P64" s="31" t="n">
        <f aca="false">M64+F64</f>
        <v>13268.92</v>
      </c>
      <c r="Q64" s="31" t="n">
        <f aca="false">P64-Summary!$C$5</f>
        <v>3268.92</v>
      </c>
    </row>
    <row r="65" customFormat="false" ht="15" hidden="false" customHeight="false" outlineLevel="0" collapsed="false">
      <c r="A65" s="43" t="n">
        <v>45096</v>
      </c>
      <c r="B65" s="29" t="n">
        <f aca="false">COUNTIFS(Trades!$E$2:$E$1146,$A65)</f>
        <v>5</v>
      </c>
      <c r="C65" s="29" t="n">
        <f aca="false">COUNTIFS(Trades!$E$2:$E$1146,$A65,Trades!$Z$2:$Z$1146,"Win")</f>
        <v>2</v>
      </c>
      <c r="D65" s="29" t="n">
        <f aca="false">COUNTIFS(Trades!$E$2:$E$1146,$A65,Trades!$Z$2:$Z$1146,"Loss")</f>
        <v>3</v>
      </c>
      <c r="E65" s="30" t="n">
        <f aca="false">IFERROR(C65/B65,0)</f>
        <v>0.4</v>
      </c>
      <c r="F65" s="31" t="n">
        <f aca="false">SUMIFS(Trades!$X$2:$X$1146,Trades!$E$2:$E$1146,$A65)</f>
        <v>98.16</v>
      </c>
      <c r="G65" s="31" t="n">
        <f aca="false">SUMIFS(Trades!$X$2:$X$1146,Trades!$E$2:$E$1146,$A65,Trades!$X$2:$X$1146,"&gt;0")</f>
        <v>154.88</v>
      </c>
      <c r="H65" s="31" t="n">
        <f aca="false">SUMIFS(Trades!$X$2:$X$1146,Trades!$E$2:$E$1146,$A65,Trades!$X$2:$X$1146,"&lt;0")</f>
        <v>-56.72</v>
      </c>
      <c r="I65" s="32" t="n">
        <f aca="false">IFERROR(G65/-H65,"no loss")</f>
        <v>2.73060648801128</v>
      </c>
      <c r="J65" s="31" t="n">
        <f aca="false">_xlfn.MAXIFS(Trades!$X$2:$X$1146,Trades!$E$2:$E$1146,$A65)</f>
        <v>112.36</v>
      </c>
      <c r="K65" s="31" t="n">
        <f aca="false">_xlfn.MINIFS(Trades!$X$2:$X$1146,Trades!$E$2:$E$1146,$A65)</f>
        <v>-24.32</v>
      </c>
      <c r="L65" s="33" t="n">
        <f aca="false">SUMIFS(Trades!$Y$2:$Y$1146,Trades!$E$2:$E$1146,$A65)</f>
        <v>1.6959339830408</v>
      </c>
      <c r="M65" s="31" t="n">
        <f aca="false">P64</f>
        <v>13268.92</v>
      </c>
      <c r="N65" s="30" t="n">
        <f aca="false">IFERROR(F65/M65,0)</f>
        <v>0.00739773847457065</v>
      </c>
      <c r="O65" s="29" t="str">
        <f aca="false">IF(F65&lt;0,"down week","")</f>
        <v/>
      </c>
      <c r="P65" s="31" t="n">
        <f aca="false">M65+F65</f>
        <v>13367.08</v>
      </c>
      <c r="Q65" s="31" t="n">
        <f aca="false">P65-Summary!$C$5</f>
        <v>3367.08</v>
      </c>
    </row>
    <row r="66" customFormat="false" ht="15" hidden="false" customHeight="false" outlineLevel="0" collapsed="false">
      <c r="A66" s="43" t="n">
        <v>45103</v>
      </c>
      <c r="B66" s="29" t="n">
        <f aca="false">COUNTIFS(Trades!$E$2:$E$1146,$A66)</f>
        <v>3</v>
      </c>
      <c r="C66" s="29" t="n">
        <f aca="false">COUNTIFS(Trades!$E$2:$E$1146,$A66,Trades!$Z$2:$Z$1146,"Win")</f>
        <v>3</v>
      </c>
      <c r="D66" s="29" t="n">
        <f aca="false">COUNTIFS(Trades!$E$2:$E$1146,$A66,Trades!$Z$2:$Z$1146,"Loss")</f>
        <v>0</v>
      </c>
      <c r="E66" s="30" t="n">
        <f aca="false">IFERROR(C66/B66,0)</f>
        <v>1</v>
      </c>
      <c r="F66" s="31" t="n">
        <f aca="false">SUMIFS(Trades!$X$2:$X$1146,Trades!$E$2:$E$1146,$A66)</f>
        <v>403.88</v>
      </c>
      <c r="G66" s="31" t="n">
        <f aca="false">SUMIFS(Trades!$X$2:$X$1146,Trades!$E$2:$E$1146,$A66,Trades!$X$2:$X$1146,"&gt;0")</f>
        <v>403.88</v>
      </c>
      <c r="H66" s="31" t="n">
        <f aca="false">SUMIFS(Trades!$X$2:$X$1146,Trades!$E$2:$E$1146,$A66,Trades!$X$2:$X$1146,"&lt;0")</f>
        <v>0</v>
      </c>
      <c r="I66" s="32" t="str">
        <f aca="false">IFERROR(G66/-H66,"no loss")</f>
        <v>no loss</v>
      </c>
      <c r="J66" s="31" t="n">
        <f aca="false">_xlfn.MAXIFS(Trades!$X$2:$X$1146,Trades!$E$2:$E$1146,$A66)</f>
        <v>164</v>
      </c>
      <c r="K66" s="31" t="n">
        <f aca="false">_xlfn.MINIFS(Trades!$X$2:$X$1146,Trades!$E$2:$E$1146,$A66)</f>
        <v>111.8</v>
      </c>
      <c r="L66" s="33" t="n">
        <f aca="false">SUMIFS(Trades!$Y$2:$Y$1146,Trades!$E$2:$E$1146,$A66)</f>
        <v>7.24799339141906</v>
      </c>
      <c r="M66" s="31" t="n">
        <f aca="false">P65</f>
        <v>13367.08</v>
      </c>
      <c r="N66" s="30" t="n">
        <f aca="false">IFERROR(F66/M66,0)</f>
        <v>0.0302145270320818</v>
      </c>
      <c r="O66" s="29" t="str">
        <f aca="false">IF(F66&lt;0,"down week","")</f>
        <v/>
      </c>
      <c r="P66" s="31" t="n">
        <f aca="false">M66+F66</f>
        <v>13770.96</v>
      </c>
      <c r="Q66" s="31" t="n">
        <f aca="false">P66-Summary!$C$5</f>
        <v>3770.96</v>
      </c>
    </row>
    <row r="67" customFormat="false" ht="15" hidden="false" customHeight="false" outlineLevel="0" collapsed="false">
      <c r="A67" s="43" t="n">
        <v>45110</v>
      </c>
      <c r="B67" s="29" t="n">
        <f aca="false">COUNTIFS(Trades!$E$2:$E$1146,$A67)</f>
        <v>5</v>
      </c>
      <c r="C67" s="29" t="n">
        <f aca="false">COUNTIFS(Trades!$E$2:$E$1146,$A67,Trades!$Z$2:$Z$1146,"Win")</f>
        <v>1</v>
      </c>
      <c r="D67" s="29" t="n">
        <f aca="false">COUNTIFS(Trades!$E$2:$E$1146,$A67,Trades!$Z$2:$Z$1146,"Loss")</f>
        <v>4</v>
      </c>
      <c r="E67" s="30" t="n">
        <f aca="false">IFERROR(C67/B67,0)</f>
        <v>0.2</v>
      </c>
      <c r="F67" s="31" t="n">
        <f aca="false">SUMIFS(Trades!$X$2:$X$1146,Trades!$E$2:$E$1146,$A67)</f>
        <v>-51.6</v>
      </c>
      <c r="G67" s="31" t="n">
        <f aca="false">SUMIFS(Trades!$X$2:$X$1146,Trades!$E$2:$E$1146,$A67,Trades!$X$2:$X$1146,"&gt;0")</f>
        <v>35.64</v>
      </c>
      <c r="H67" s="31" t="n">
        <f aca="false">SUMIFS(Trades!$X$2:$X$1146,Trades!$E$2:$E$1146,$A67,Trades!$X$2:$X$1146,"&lt;0")</f>
        <v>-87.24</v>
      </c>
      <c r="I67" s="32" t="n">
        <f aca="false">IFERROR(G67/-H67,"no loss")</f>
        <v>0.408528198074278</v>
      </c>
      <c r="J67" s="31" t="n">
        <f aca="false">_xlfn.MAXIFS(Trades!$X$2:$X$1146,Trades!$E$2:$E$1146,$A67)</f>
        <v>35.64</v>
      </c>
      <c r="K67" s="31" t="n">
        <f aca="false">_xlfn.MINIFS(Trades!$X$2:$X$1146,Trades!$E$2:$E$1146,$A67)</f>
        <v>-45.84</v>
      </c>
      <c r="L67" s="33" t="n">
        <f aca="false">SUMIFS(Trades!$Y$2:$Y$1146,Trades!$E$2:$E$1146,$A67)</f>
        <v>0.492637914174364</v>
      </c>
      <c r="M67" s="31" t="n">
        <f aca="false">P66</f>
        <v>13770.96</v>
      </c>
      <c r="N67" s="30" t="n">
        <f aca="false">IFERROR(F67/M67,0)</f>
        <v>-0.00374701545861726</v>
      </c>
      <c r="O67" s="29" t="str">
        <f aca="false">IF(F67&lt;0,"down week","")</f>
        <v>down week</v>
      </c>
      <c r="P67" s="31" t="n">
        <f aca="false">M67+F67</f>
        <v>13719.36</v>
      </c>
      <c r="Q67" s="31" t="n">
        <f aca="false">P67-Summary!$C$5</f>
        <v>3719.36</v>
      </c>
    </row>
    <row r="68" customFormat="false" ht="15" hidden="false" customHeight="false" outlineLevel="0" collapsed="false">
      <c r="A68" s="43" t="n">
        <v>45117</v>
      </c>
      <c r="B68" s="29" t="n">
        <f aca="false">COUNTIFS(Trades!$E$2:$E$1146,$A68)</f>
        <v>5</v>
      </c>
      <c r="C68" s="29" t="n">
        <f aca="false">COUNTIFS(Trades!$E$2:$E$1146,$A68,Trades!$Z$2:$Z$1146,"Win")</f>
        <v>0</v>
      </c>
      <c r="D68" s="29" t="n">
        <f aca="false">COUNTIFS(Trades!$E$2:$E$1146,$A68,Trades!$Z$2:$Z$1146,"Loss")</f>
        <v>5</v>
      </c>
      <c r="E68" s="30" t="n">
        <f aca="false">IFERROR(C68/B68,0)</f>
        <v>0</v>
      </c>
      <c r="F68" s="31" t="n">
        <f aca="false">SUMIFS(Trades!$X$2:$X$1146,Trades!$E$2:$E$1146,$A68)</f>
        <v>-88.52</v>
      </c>
      <c r="G68" s="31" t="n">
        <f aca="false">SUMIFS(Trades!$X$2:$X$1146,Trades!$E$2:$E$1146,$A68,Trades!$X$2:$X$1146,"&gt;0")</f>
        <v>0</v>
      </c>
      <c r="H68" s="31" t="n">
        <f aca="false">SUMIFS(Trades!$X$2:$X$1146,Trades!$E$2:$E$1146,$A68,Trades!$X$2:$X$1146,"&lt;0")</f>
        <v>-88.52</v>
      </c>
      <c r="I68" s="32" t="n">
        <f aca="false">IFERROR(G68/-H68,"no loss")</f>
        <v>0</v>
      </c>
      <c r="J68" s="31" t="n">
        <f aca="false">_xlfn.MAXIFS(Trades!$X$2:$X$1146,Trades!$E$2:$E$1146,$A68)</f>
        <v>-0.12</v>
      </c>
      <c r="K68" s="31" t="n">
        <f aca="false">_xlfn.MINIFS(Trades!$X$2:$X$1146,Trades!$E$2:$E$1146,$A68)</f>
        <v>-31.96</v>
      </c>
      <c r="L68" s="33" t="n">
        <f aca="false">SUMIFS(Trades!$Y$2:$Y$1146,Trades!$E$2:$E$1146,$A68)</f>
        <v>-4.35482220050733</v>
      </c>
      <c r="M68" s="31" t="n">
        <f aca="false">P67</f>
        <v>13719.36</v>
      </c>
      <c r="N68" s="30" t="n">
        <f aca="false">IFERROR(F68/M68,0)</f>
        <v>-0.00645219602080564</v>
      </c>
      <c r="O68" s="29" t="str">
        <f aca="false">IF(F68&lt;0,"down week","")</f>
        <v>down week</v>
      </c>
      <c r="P68" s="31" t="n">
        <f aca="false">M68+F68</f>
        <v>13630.84</v>
      </c>
      <c r="Q68" s="31" t="n">
        <f aca="false">P68-Summary!$C$5</f>
        <v>3630.84</v>
      </c>
    </row>
    <row r="69" customFormat="false" ht="15" hidden="false" customHeight="false" outlineLevel="0" collapsed="false">
      <c r="A69" s="43" t="n">
        <v>45124</v>
      </c>
      <c r="B69" s="29" t="n">
        <f aca="false">COUNTIFS(Trades!$E$2:$E$1146,$A69)</f>
        <v>6</v>
      </c>
      <c r="C69" s="29" t="n">
        <f aca="false">COUNTIFS(Trades!$E$2:$E$1146,$A69,Trades!$Z$2:$Z$1146,"Win")</f>
        <v>2</v>
      </c>
      <c r="D69" s="29" t="n">
        <f aca="false">COUNTIFS(Trades!$E$2:$E$1146,$A69,Trades!$Z$2:$Z$1146,"Loss")</f>
        <v>4</v>
      </c>
      <c r="E69" s="30" t="n">
        <f aca="false">IFERROR(C69/B69,0)</f>
        <v>0.333333333333333</v>
      </c>
      <c r="F69" s="31" t="n">
        <f aca="false">SUMIFS(Trades!$X$2:$X$1146,Trades!$E$2:$E$1146,$A69)</f>
        <v>-30.28</v>
      </c>
      <c r="G69" s="31" t="n">
        <f aca="false">SUMIFS(Trades!$X$2:$X$1146,Trades!$E$2:$E$1146,$A69,Trades!$X$2:$X$1146,"&gt;0")</f>
        <v>95.28</v>
      </c>
      <c r="H69" s="31" t="n">
        <f aca="false">SUMIFS(Trades!$X$2:$X$1146,Trades!$E$2:$E$1146,$A69,Trades!$X$2:$X$1146,"&lt;0")</f>
        <v>-125.56</v>
      </c>
      <c r="I69" s="32" t="n">
        <f aca="false">IFERROR(G69/-H69,"no loss")</f>
        <v>0.758840395030265</v>
      </c>
      <c r="J69" s="31" t="n">
        <f aca="false">_xlfn.MAXIFS(Trades!$X$2:$X$1146,Trades!$E$2:$E$1146,$A69)</f>
        <v>55.12</v>
      </c>
      <c r="K69" s="31" t="n">
        <f aca="false">_xlfn.MINIFS(Trades!$X$2:$X$1146,Trades!$E$2:$E$1146,$A69)</f>
        <v>-57.56</v>
      </c>
      <c r="L69" s="33" t="n">
        <f aca="false">SUMIFS(Trades!$Y$2:$Y$1146,Trades!$E$2:$E$1146,$A69)</f>
        <v>1.7536110065516</v>
      </c>
      <c r="M69" s="31" t="n">
        <f aca="false">P68</f>
        <v>13630.84</v>
      </c>
      <c r="N69" s="30" t="n">
        <f aca="false">IFERROR(F69/M69,0)</f>
        <v>-0.00222143316185943</v>
      </c>
      <c r="O69" s="29" t="str">
        <f aca="false">IF(F69&lt;0,"down week","")</f>
        <v>down week</v>
      </c>
      <c r="P69" s="31" t="n">
        <f aca="false">M69+F69</f>
        <v>13600.56</v>
      </c>
      <c r="Q69" s="31" t="n">
        <f aca="false">P69-Summary!$C$5</f>
        <v>3600.56</v>
      </c>
    </row>
    <row r="70" customFormat="false" ht="15" hidden="false" customHeight="false" outlineLevel="0" collapsed="false">
      <c r="A70" s="43" t="n">
        <v>45131</v>
      </c>
      <c r="B70" s="29" t="n">
        <f aca="false">COUNTIFS(Trades!$E$2:$E$1146,$A70)</f>
        <v>5</v>
      </c>
      <c r="C70" s="29" t="n">
        <f aca="false">COUNTIFS(Trades!$E$2:$E$1146,$A70,Trades!$Z$2:$Z$1146,"Win")</f>
        <v>1</v>
      </c>
      <c r="D70" s="29" t="n">
        <f aca="false">COUNTIFS(Trades!$E$2:$E$1146,$A70,Trades!$Z$2:$Z$1146,"Loss")</f>
        <v>4</v>
      </c>
      <c r="E70" s="30" t="n">
        <f aca="false">IFERROR(C70/B70,0)</f>
        <v>0.2</v>
      </c>
      <c r="F70" s="31" t="n">
        <f aca="false">SUMIFS(Trades!$X$2:$X$1146,Trades!$E$2:$E$1146,$A70)</f>
        <v>3.64</v>
      </c>
      <c r="G70" s="31" t="n">
        <f aca="false">SUMIFS(Trades!$X$2:$X$1146,Trades!$E$2:$E$1146,$A70,Trades!$X$2:$X$1146,"&gt;0")</f>
        <v>73.76</v>
      </c>
      <c r="H70" s="31" t="n">
        <f aca="false">SUMIFS(Trades!$X$2:$X$1146,Trades!$E$2:$E$1146,$A70,Trades!$X$2:$X$1146,"&lt;0")</f>
        <v>-70.12</v>
      </c>
      <c r="I70" s="32" t="n">
        <f aca="false">IFERROR(G70/-H70,"no loss")</f>
        <v>1.05191100969766</v>
      </c>
      <c r="J70" s="31" t="n">
        <f aca="false">_xlfn.MAXIFS(Trades!$X$2:$X$1146,Trades!$E$2:$E$1146,$A70)</f>
        <v>73.76</v>
      </c>
      <c r="K70" s="31" t="n">
        <f aca="false">_xlfn.MINIFS(Trades!$X$2:$X$1146,Trades!$E$2:$E$1146,$A70)</f>
        <v>-55.68</v>
      </c>
      <c r="L70" s="33" t="n">
        <f aca="false">SUMIFS(Trades!$Y$2:$Y$1146,Trades!$E$2:$E$1146,$A70)</f>
        <v>0.50384028357578</v>
      </c>
      <c r="M70" s="31" t="n">
        <f aca="false">P69</f>
        <v>13600.56</v>
      </c>
      <c r="N70" s="30" t="n">
        <f aca="false">IFERROR(F70/M70,0)</f>
        <v>0.000267636038516061</v>
      </c>
      <c r="O70" s="29" t="str">
        <f aca="false">IF(F70&lt;0,"down week","")</f>
        <v/>
      </c>
      <c r="P70" s="31" t="n">
        <f aca="false">M70+F70</f>
        <v>13604.2</v>
      </c>
      <c r="Q70" s="31" t="n">
        <f aca="false">P70-Summary!$C$5</f>
        <v>3604.2</v>
      </c>
    </row>
    <row r="71" customFormat="false" ht="15" hidden="false" customHeight="false" outlineLevel="0" collapsed="false">
      <c r="A71" s="43" t="n">
        <v>45138</v>
      </c>
      <c r="B71" s="29" t="n">
        <f aca="false">COUNTIFS(Trades!$E$2:$E$1146,$A71)</f>
        <v>5</v>
      </c>
      <c r="C71" s="29" t="n">
        <f aca="false">COUNTIFS(Trades!$E$2:$E$1146,$A71,Trades!$Z$2:$Z$1146,"Win")</f>
        <v>2</v>
      </c>
      <c r="D71" s="29" t="n">
        <f aca="false">COUNTIFS(Trades!$E$2:$E$1146,$A71,Trades!$Z$2:$Z$1146,"Loss")</f>
        <v>3</v>
      </c>
      <c r="E71" s="30" t="n">
        <f aca="false">IFERROR(C71/B71,0)</f>
        <v>0.4</v>
      </c>
      <c r="F71" s="31" t="n">
        <f aca="false">SUMIFS(Trades!$X$2:$X$1146,Trades!$E$2:$E$1146,$A71)</f>
        <v>-45.4</v>
      </c>
      <c r="G71" s="31" t="n">
        <f aca="false">SUMIFS(Trades!$X$2:$X$1146,Trades!$E$2:$E$1146,$A71,Trades!$X$2:$X$1146,"&gt;0")</f>
        <v>100.08</v>
      </c>
      <c r="H71" s="31" t="n">
        <f aca="false">SUMIFS(Trades!$X$2:$X$1146,Trades!$E$2:$E$1146,$A71,Trades!$X$2:$X$1146,"&lt;0")</f>
        <v>-145.48</v>
      </c>
      <c r="I71" s="32" t="n">
        <f aca="false">IFERROR(G71/-H71,"no loss")</f>
        <v>0.687929612317845</v>
      </c>
      <c r="J71" s="31" t="n">
        <f aca="false">_xlfn.MAXIFS(Trades!$X$2:$X$1146,Trades!$E$2:$E$1146,$A71)</f>
        <v>53.88</v>
      </c>
      <c r="K71" s="31" t="n">
        <f aca="false">_xlfn.MINIFS(Trades!$X$2:$X$1146,Trades!$E$2:$E$1146,$A71)</f>
        <v>-116</v>
      </c>
      <c r="L71" s="33" t="n">
        <f aca="false">SUMIFS(Trades!$Y$2:$Y$1146,Trades!$E$2:$E$1146,$A71)</f>
        <v>3.46137894995292</v>
      </c>
      <c r="M71" s="31" t="n">
        <f aca="false">P70</f>
        <v>13604.2</v>
      </c>
      <c r="N71" s="30" t="n">
        <f aca="false">IFERROR(F71/M71,0)</f>
        <v>-0.0033372046867879</v>
      </c>
      <c r="O71" s="29" t="str">
        <f aca="false">IF(F71&lt;0,"down week","")</f>
        <v>down week</v>
      </c>
      <c r="P71" s="31" t="n">
        <f aca="false">M71+F71</f>
        <v>13558.8</v>
      </c>
      <c r="Q71" s="31" t="n">
        <f aca="false">P71-Summary!$C$5</f>
        <v>3558.8</v>
      </c>
    </row>
    <row r="72" customFormat="false" ht="15" hidden="false" customHeight="false" outlineLevel="0" collapsed="false">
      <c r="A72" s="43" t="n">
        <v>45145</v>
      </c>
      <c r="B72" s="29" t="n">
        <f aca="false">COUNTIFS(Trades!$E$2:$E$1146,$A72)</f>
        <v>6</v>
      </c>
      <c r="C72" s="29" t="n">
        <f aca="false">COUNTIFS(Trades!$E$2:$E$1146,$A72,Trades!$Z$2:$Z$1146,"Win")</f>
        <v>1</v>
      </c>
      <c r="D72" s="29" t="n">
        <f aca="false">COUNTIFS(Trades!$E$2:$E$1146,$A72,Trades!$Z$2:$Z$1146,"Loss")</f>
        <v>5</v>
      </c>
      <c r="E72" s="30" t="n">
        <f aca="false">IFERROR(C72/B72,0)</f>
        <v>0.166666666666667</v>
      </c>
      <c r="F72" s="31" t="n">
        <f aca="false">SUMIFS(Trades!$X$2:$X$1146,Trades!$E$2:$E$1146,$A72)</f>
        <v>9.60000000000001</v>
      </c>
      <c r="G72" s="31" t="n">
        <f aca="false">SUMIFS(Trades!$X$2:$X$1146,Trades!$E$2:$E$1146,$A72,Trades!$X$2:$X$1146,"&gt;0")</f>
        <v>182.8</v>
      </c>
      <c r="H72" s="31" t="n">
        <f aca="false">SUMIFS(Trades!$X$2:$X$1146,Trades!$E$2:$E$1146,$A72,Trades!$X$2:$X$1146,"&lt;0")</f>
        <v>-173.2</v>
      </c>
      <c r="I72" s="32" t="n">
        <f aca="false">IFERROR(G72/-H72,"no loss")</f>
        <v>1.0554272517321</v>
      </c>
      <c r="J72" s="31" t="n">
        <f aca="false">_xlfn.MAXIFS(Trades!$X$2:$X$1146,Trades!$E$2:$E$1146,$A72)</f>
        <v>182.8</v>
      </c>
      <c r="K72" s="31" t="n">
        <f aca="false">_xlfn.MINIFS(Trades!$X$2:$X$1146,Trades!$E$2:$E$1146,$A72)</f>
        <v>-63.24</v>
      </c>
      <c r="L72" s="33" t="n">
        <f aca="false">SUMIFS(Trades!$Y$2:$Y$1146,Trades!$E$2:$E$1146,$A72)</f>
        <v>-1.78843642539309</v>
      </c>
      <c r="M72" s="31" t="n">
        <f aca="false">P71</f>
        <v>13558.8</v>
      </c>
      <c r="N72" s="30" t="n">
        <f aca="false">IFERROR(F72/M72,0)</f>
        <v>0.000708027259049474</v>
      </c>
      <c r="O72" s="29" t="str">
        <f aca="false">IF(F72&lt;0,"down week","")</f>
        <v/>
      </c>
      <c r="P72" s="31" t="n">
        <f aca="false">M72+F72</f>
        <v>13568.4</v>
      </c>
      <c r="Q72" s="31" t="n">
        <f aca="false">P72-Summary!$C$5</f>
        <v>3568.4</v>
      </c>
    </row>
    <row r="73" customFormat="false" ht="15" hidden="false" customHeight="false" outlineLevel="0" collapsed="false">
      <c r="A73" s="43" t="n">
        <v>45152</v>
      </c>
      <c r="B73" s="29" t="n">
        <f aca="false">COUNTIFS(Trades!$E$2:$E$1146,$A73)</f>
        <v>6</v>
      </c>
      <c r="C73" s="29" t="n">
        <f aca="false">COUNTIFS(Trades!$E$2:$E$1146,$A73,Trades!$Z$2:$Z$1146,"Win")</f>
        <v>1</v>
      </c>
      <c r="D73" s="29" t="n">
        <f aca="false">COUNTIFS(Trades!$E$2:$E$1146,$A73,Trades!$Z$2:$Z$1146,"Loss")</f>
        <v>5</v>
      </c>
      <c r="E73" s="30" t="n">
        <f aca="false">IFERROR(C73/B73,0)</f>
        <v>0.166666666666667</v>
      </c>
      <c r="F73" s="31" t="n">
        <f aca="false">SUMIFS(Trades!$X$2:$X$1146,Trades!$E$2:$E$1146,$A73)</f>
        <v>2.96</v>
      </c>
      <c r="G73" s="31" t="n">
        <f aca="false">SUMIFS(Trades!$X$2:$X$1146,Trades!$E$2:$E$1146,$A73,Trades!$X$2:$X$1146,"&gt;0")</f>
        <v>61.92</v>
      </c>
      <c r="H73" s="31" t="n">
        <f aca="false">SUMIFS(Trades!$X$2:$X$1146,Trades!$E$2:$E$1146,$A73,Trades!$X$2:$X$1146,"&lt;0")</f>
        <v>-58.96</v>
      </c>
      <c r="I73" s="32" t="n">
        <f aca="false">IFERROR(G73/-H73,"no loss")</f>
        <v>1.05020352781547</v>
      </c>
      <c r="J73" s="31" t="n">
        <f aca="false">_xlfn.MAXIFS(Trades!$X$2:$X$1146,Trades!$E$2:$E$1146,$A73)</f>
        <v>61.92</v>
      </c>
      <c r="K73" s="31" t="n">
        <f aca="false">_xlfn.MINIFS(Trades!$X$2:$X$1146,Trades!$E$2:$E$1146,$A73)</f>
        <v>-31.84</v>
      </c>
      <c r="L73" s="33" t="n">
        <f aca="false">SUMIFS(Trades!$Y$2:$Y$1146,Trades!$E$2:$E$1146,$A73)</f>
        <v>-0.721233304354328</v>
      </c>
      <c r="M73" s="31" t="n">
        <f aca="false">P72</f>
        <v>13568.4</v>
      </c>
      <c r="N73" s="30" t="n">
        <f aca="false">IFERROR(F73/M73,0)</f>
        <v>0.000218153945933198</v>
      </c>
      <c r="O73" s="29" t="str">
        <f aca="false">IF(F73&lt;0,"down week","")</f>
        <v/>
      </c>
      <c r="P73" s="31" t="n">
        <f aca="false">M73+F73</f>
        <v>13571.36</v>
      </c>
      <c r="Q73" s="31" t="n">
        <f aca="false">P73-Summary!$C$5</f>
        <v>3571.36</v>
      </c>
    </row>
    <row r="74" customFormat="false" ht="15" hidden="false" customHeight="false" outlineLevel="0" collapsed="false">
      <c r="A74" s="43" t="n">
        <v>45159</v>
      </c>
      <c r="B74" s="29" t="n">
        <f aca="false">COUNTIFS(Trades!$E$2:$E$1146,$A74)</f>
        <v>6</v>
      </c>
      <c r="C74" s="29" t="n">
        <f aca="false">COUNTIFS(Trades!$E$2:$E$1146,$A74,Trades!$Z$2:$Z$1146,"Win")</f>
        <v>1</v>
      </c>
      <c r="D74" s="29" t="n">
        <f aca="false">COUNTIFS(Trades!$E$2:$E$1146,$A74,Trades!$Z$2:$Z$1146,"Loss")</f>
        <v>5</v>
      </c>
      <c r="E74" s="30" t="n">
        <f aca="false">IFERROR(C74/B74,0)</f>
        <v>0.166666666666667</v>
      </c>
      <c r="F74" s="31" t="n">
        <f aca="false">SUMIFS(Trades!$X$2:$X$1146,Trades!$E$2:$E$1146,$A74)</f>
        <v>-197.6</v>
      </c>
      <c r="G74" s="31" t="n">
        <f aca="false">SUMIFS(Trades!$X$2:$X$1146,Trades!$E$2:$E$1146,$A74,Trades!$X$2:$X$1146,"&gt;0")</f>
        <v>52.64</v>
      </c>
      <c r="H74" s="31" t="n">
        <f aca="false">SUMIFS(Trades!$X$2:$X$1146,Trades!$E$2:$E$1146,$A74,Trades!$X$2:$X$1146,"&lt;0")</f>
        <v>-250.24</v>
      </c>
      <c r="I74" s="32" t="n">
        <f aca="false">IFERROR(G74/-H74,"no loss")</f>
        <v>0.210358056265985</v>
      </c>
      <c r="J74" s="31" t="n">
        <f aca="false">_xlfn.MAXIFS(Trades!$X$2:$X$1146,Trades!$E$2:$E$1146,$A74)</f>
        <v>52.64</v>
      </c>
      <c r="K74" s="31" t="n">
        <f aca="false">_xlfn.MINIFS(Trades!$X$2:$X$1146,Trades!$E$2:$E$1146,$A74)</f>
        <v>-112.96</v>
      </c>
      <c r="L74" s="33" t="n">
        <f aca="false">SUMIFS(Trades!$Y$2:$Y$1146,Trades!$E$2:$E$1146,$A74)</f>
        <v>-1.69687142735812</v>
      </c>
      <c r="M74" s="31" t="n">
        <f aca="false">P73</f>
        <v>13571.36</v>
      </c>
      <c r="N74" s="30" t="n">
        <f aca="false">IFERROR(F74/M74,0)</f>
        <v>-0.0145600735666875</v>
      </c>
      <c r="O74" s="29" t="str">
        <f aca="false">IF(F74&lt;0,"down week","")</f>
        <v>down week</v>
      </c>
      <c r="P74" s="31" t="n">
        <f aca="false">M74+F74</f>
        <v>13373.76</v>
      </c>
      <c r="Q74" s="31" t="n">
        <f aca="false">P74-Summary!$C$5</f>
        <v>3373.76</v>
      </c>
    </row>
    <row r="75" customFormat="false" ht="15" hidden="false" customHeight="false" outlineLevel="0" collapsed="false">
      <c r="A75" s="43" t="n">
        <v>45166</v>
      </c>
      <c r="B75" s="29" t="n">
        <f aca="false">COUNTIFS(Trades!$E$2:$E$1146,$A75)</f>
        <v>5</v>
      </c>
      <c r="C75" s="29" t="n">
        <f aca="false">COUNTIFS(Trades!$E$2:$E$1146,$A75,Trades!$Z$2:$Z$1146,"Win")</f>
        <v>1</v>
      </c>
      <c r="D75" s="29" t="n">
        <f aca="false">COUNTIFS(Trades!$E$2:$E$1146,$A75,Trades!$Z$2:$Z$1146,"Loss")</f>
        <v>4</v>
      </c>
      <c r="E75" s="30" t="n">
        <f aca="false">IFERROR(C75/B75,0)</f>
        <v>0.2</v>
      </c>
      <c r="F75" s="31" t="n">
        <f aca="false">SUMIFS(Trades!$X$2:$X$1146,Trades!$E$2:$E$1146,$A75)</f>
        <v>-42.04</v>
      </c>
      <c r="G75" s="31" t="n">
        <f aca="false">SUMIFS(Trades!$X$2:$X$1146,Trades!$E$2:$E$1146,$A75,Trades!$X$2:$X$1146,"&gt;0")</f>
        <v>58.84</v>
      </c>
      <c r="H75" s="31" t="n">
        <f aca="false">SUMIFS(Trades!$X$2:$X$1146,Trades!$E$2:$E$1146,$A75,Trades!$X$2:$X$1146,"&lt;0")</f>
        <v>-100.88</v>
      </c>
      <c r="I75" s="32" t="n">
        <f aca="false">IFERROR(G75/-H75,"no loss")</f>
        <v>0.583267248215702</v>
      </c>
      <c r="J75" s="31" t="n">
        <f aca="false">_xlfn.MAXIFS(Trades!$X$2:$X$1146,Trades!$E$2:$E$1146,$A75)</f>
        <v>58.84</v>
      </c>
      <c r="K75" s="31" t="n">
        <f aca="false">_xlfn.MINIFS(Trades!$X$2:$X$1146,Trades!$E$2:$E$1146,$A75)</f>
        <v>-70.48</v>
      </c>
      <c r="L75" s="33" t="n">
        <f aca="false">SUMIFS(Trades!$Y$2:$Y$1146,Trades!$E$2:$E$1146,$A75)</f>
        <v>-0.487891940128286</v>
      </c>
      <c r="M75" s="31" t="n">
        <f aca="false">P74</f>
        <v>13373.76</v>
      </c>
      <c r="N75" s="30" t="n">
        <f aca="false">IFERROR(F75/M75,0)</f>
        <v>-0.00314346900198598</v>
      </c>
      <c r="O75" s="29" t="str">
        <f aca="false">IF(F75&lt;0,"down week","")</f>
        <v>down week</v>
      </c>
      <c r="P75" s="31" t="n">
        <f aca="false">M75+F75</f>
        <v>13331.72</v>
      </c>
      <c r="Q75" s="31" t="n">
        <f aca="false">P75-Summary!$C$5</f>
        <v>3331.72</v>
      </c>
    </row>
    <row r="76" customFormat="false" ht="15" hidden="false" customHeight="false" outlineLevel="0" collapsed="false">
      <c r="A76" s="43" t="n">
        <v>45173</v>
      </c>
      <c r="B76" s="29" t="n">
        <f aca="false">COUNTIFS(Trades!$E$2:$E$1146,$A76)</f>
        <v>4</v>
      </c>
      <c r="C76" s="29" t="n">
        <f aca="false">COUNTIFS(Trades!$E$2:$E$1146,$A76,Trades!$Z$2:$Z$1146,"Win")</f>
        <v>0</v>
      </c>
      <c r="D76" s="29" t="n">
        <f aca="false">COUNTIFS(Trades!$E$2:$E$1146,$A76,Trades!$Z$2:$Z$1146,"Loss")</f>
        <v>4</v>
      </c>
      <c r="E76" s="30" t="n">
        <f aca="false">IFERROR(C76/B76,0)</f>
        <v>0</v>
      </c>
      <c r="F76" s="31" t="n">
        <f aca="false">SUMIFS(Trades!$X$2:$X$1146,Trades!$E$2:$E$1146,$A76)</f>
        <v>-39.84</v>
      </c>
      <c r="G76" s="31" t="n">
        <f aca="false">SUMIFS(Trades!$X$2:$X$1146,Trades!$E$2:$E$1146,$A76,Trades!$X$2:$X$1146,"&gt;0")</f>
        <v>0</v>
      </c>
      <c r="H76" s="31" t="n">
        <f aca="false">SUMIFS(Trades!$X$2:$X$1146,Trades!$E$2:$E$1146,$A76,Trades!$X$2:$X$1146,"&lt;0")</f>
        <v>-39.84</v>
      </c>
      <c r="I76" s="32" t="n">
        <f aca="false">IFERROR(G76/-H76,"no loss")</f>
        <v>0</v>
      </c>
      <c r="J76" s="31" t="n">
        <f aca="false">_xlfn.MAXIFS(Trades!$X$2:$X$1146,Trades!$E$2:$E$1146,$A76)</f>
        <v>-0.04</v>
      </c>
      <c r="K76" s="31" t="n">
        <f aca="false">_xlfn.MINIFS(Trades!$X$2:$X$1146,Trades!$E$2:$E$1146,$A76)</f>
        <v>-21</v>
      </c>
      <c r="L76" s="33" t="n">
        <f aca="false">SUMIFS(Trades!$Y$2:$Y$1146,Trades!$E$2:$E$1146,$A76)</f>
        <v>-2.14189283703831</v>
      </c>
      <c r="M76" s="31" t="n">
        <f aca="false">P75</f>
        <v>13331.72</v>
      </c>
      <c r="N76" s="30" t="n">
        <f aca="false">IFERROR(F76/M76,0)</f>
        <v>-0.0029883615917526</v>
      </c>
      <c r="O76" s="29" t="str">
        <f aca="false">IF(F76&lt;0,"down week","")</f>
        <v>down week</v>
      </c>
      <c r="P76" s="31" t="n">
        <f aca="false">M76+F76</f>
        <v>13291.88</v>
      </c>
      <c r="Q76" s="31" t="n">
        <f aca="false">P76-Summary!$C$5</f>
        <v>3291.88</v>
      </c>
    </row>
    <row r="77" customFormat="false" ht="15" hidden="false" customHeight="false" outlineLevel="0" collapsed="false">
      <c r="A77" s="43" t="n">
        <v>45180</v>
      </c>
      <c r="B77" s="29" t="n">
        <f aca="false">COUNTIFS(Trades!$E$2:$E$1146,$A77)</f>
        <v>6</v>
      </c>
      <c r="C77" s="29" t="n">
        <f aca="false">COUNTIFS(Trades!$E$2:$E$1146,$A77,Trades!$Z$2:$Z$1146,"Win")</f>
        <v>0</v>
      </c>
      <c r="D77" s="29" t="n">
        <f aca="false">COUNTIFS(Trades!$E$2:$E$1146,$A77,Trades!$Z$2:$Z$1146,"Loss")</f>
        <v>6</v>
      </c>
      <c r="E77" s="30" t="n">
        <f aca="false">IFERROR(C77/B77,0)</f>
        <v>0</v>
      </c>
      <c r="F77" s="31" t="n">
        <f aca="false">SUMIFS(Trades!$X$2:$X$1146,Trades!$E$2:$E$1146,$A77)</f>
        <v>-130.72</v>
      </c>
      <c r="G77" s="31" t="n">
        <f aca="false">SUMIFS(Trades!$X$2:$X$1146,Trades!$E$2:$E$1146,$A77,Trades!$X$2:$X$1146,"&gt;0")</f>
        <v>0</v>
      </c>
      <c r="H77" s="31" t="n">
        <f aca="false">SUMIFS(Trades!$X$2:$X$1146,Trades!$E$2:$E$1146,$A77,Trades!$X$2:$X$1146,"&lt;0")</f>
        <v>-130.72</v>
      </c>
      <c r="I77" s="32" t="n">
        <f aca="false">IFERROR(G77/-H77,"no loss")</f>
        <v>0</v>
      </c>
      <c r="J77" s="31" t="n">
        <f aca="false">_xlfn.MAXIFS(Trades!$X$2:$X$1146,Trades!$E$2:$E$1146,$A77)</f>
        <v>-0.24</v>
      </c>
      <c r="K77" s="31" t="n">
        <f aca="false">_xlfn.MINIFS(Trades!$X$2:$X$1146,Trades!$E$2:$E$1146,$A77)</f>
        <v>-66.52</v>
      </c>
      <c r="L77" s="33" t="n">
        <f aca="false">SUMIFS(Trades!$Y$2:$Y$1146,Trades!$E$2:$E$1146,$A77)</f>
        <v>-4.40306562430786</v>
      </c>
      <c r="M77" s="31" t="n">
        <f aca="false">P76</f>
        <v>13291.88</v>
      </c>
      <c r="N77" s="30" t="n">
        <f aca="false">IFERROR(F77/M77,0)</f>
        <v>-0.00983457569583836</v>
      </c>
      <c r="O77" s="29" t="str">
        <f aca="false">IF(F77&lt;0,"down week","")</f>
        <v>down week</v>
      </c>
      <c r="P77" s="31" t="n">
        <f aca="false">M77+F77</f>
        <v>13161.16</v>
      </c>
      <c r="Q77" s="31" t="n">
        <f aca="false">P77-Summary!$C$5</f>
        <v>3161.16</v>
      </c>
    </row>
    <row r="78" customFormat="false" ht="15" hidden="false" customHeight="false" outlineLevel="0" collapsed="false">
      <c r="A78" s="43" t="n">
        <v>45187</v>
      </c>
      <c r="B78" s="29" t="n">
        <f aca="false">COUNTIFS(Trades!$E$2:$E$1146,$A78)</f>
        <v>5</v>
      </c>
      <c r="C78" s="29" t="n">
        <f aca="false">COUNTIFS(Trades!$E$2:$E$1146,$A78,Trades!$Z$2:$Z$1146,"Win")</f>
        <v>1</v>
      </c>
      <c r="D78" s="29" t="n">
        <f aca="false">COUNTIFS(Trades!$E$2:$E$1146,$A78,Trades!$Z$2:$Z$1146,"Loss")</f>
        <v>4</v>
      </c>
      <c r="E78" s="30" t="n">
        <f aca="false">IFERROR(C78/B78,0)</f>
        <v>0.2</v>
      </c>
      <c r="F78" s="31" t="n">
        <f aca="false">SUMIFS(Trades!$X$2:$X$1146,Trades!$E$2:$E$1146,$A78)</f>
        <v>-101.4</v>
      </c>
      <c r="G78" s="31" t="n">
        <f aca="false">SUMIFS(Trades!$X$2:$X$1146,Trades!$E$2:$E$1146,$A78,Trades!$X$2:$X$1146,"&gt;0")</f>
        <v>57.92</v>
      </c>
      <c r="H78" s="31" t="n">
        <f aca="false">SUMIFS(Trades!$X$2:$X$1146,Trades!$E$2:$E$1146,$A78,Trades!$X$2:$X$1146,"&lt;0")</f>
        <v>-159.32</v>
      </c>
      <c r="I78" s="32" t="n">
        <f aca="false">IFERROR(G78/-H78,"no loss")</f>
        <v>0.363545066532764</v>
      </c>
      <c r="J78" s="31" t="n">
        <f aca="false">_xlfn.MAXIFS(Trades!$X$2:$X$1146,Trades!$E$2:$E$1146,$A78)</f>
        <v>57.92</v>
      </c>
      <c r="K78" s="31" t="n">
        <f aca="false">_xlfn.MINIFS(Trades!$X$2:$X$1146,Trades!$E$2:$E$1146,$A78)</f>
        <v>-61.4</v>
      </c>
      <c r="L78" s="33" t="n">
        <f aca="false">SUMIFS(Trades!$Y$2:$Y$1146,Trades!$E$2:$E$1146,$A78)</f>
        <v>-1.6876887318365</v>
      </c>
      <c r="M78" s="31" t="n">
        <f aca="false">P77</f>
        <v>13161.16</v>
      </c>
      <c r="N78" s="30" t="n">
        <f aca="false">IFERROR(F78/M78,0)</f>
        <v>-0.00770448805424446</v>
      </c>
      <c r="O78" s="29" t="str">
        <f aca="false">IF(F78&lt;0,"down week","")</f>
        <v>down week</v>
      </c>
      <c r="P78" s="31" t="n">
        <f aca="false">M78+F78</f>
        <v>13059.76</v>
      </c>
      <c r="Q78" s="31" t="n">
        <f aca="false">P78-Summary!$C$5</f>
        <v>3059.76</v>
      </c>
    </row>
    <row r="79" customFormat="false" ht="15" hidden="false" customHeight="false" outlineLevel="0" collapsed="false">
      <c r="A79" s="43" t="n">
        <v>45194</v>
      </c>
      <c r="B79" s="29" t="n">
        <f aca="false">COUNTIFS(Trades!$E$2:$E$1146,$A79)</f>
        <v>5</v>
      </c>
      <c r="C79" s="29" t="n">
        <f aca="false">COUNTIFS(Trades!$E$2:$E$1146,$A79,Trades!$Z$2:$Z$1146,"Win")</f>
        <v>2</v>
      </c>
      <c r="D79" s="29" t="n">
        <f aca="false">COUNTIFS(Trades!$E$2:$E$1146,$A79,Trades!$Z$2:$Z$1146,"Loss")</f>
        <v>3</v>
      </c>
      <c r="E79" s="30" t="n">
        <f aca="false">IFERROR(C79/B79,0)</f>
        <v>0.4</v>
      </c>
      <c r="F79" s="31" t="n">
        <f aca="false">SUMIFS(Trades!$X$2:$X$1146,Trades!$E$2:$E$1146,$A79)</f>
        <v>237.28</v>
      </c>
      <c r="G79" s="31" t="n">
        <f aca="false">SUMIFS(Trades!$X$2:$X$1146,Trades!$E$2:$E$1146,$A79,Trades!$X$2:$X$1146,"&gt;0")</f>
        <v>259.12</v>
      </c>
      <c r="H79" s="31" t="n">
        <f aca="false">SUMIFS(Trades!$X$2:$X$1146,Trades!$E$2:$E$1146,$A79,Trades!$X$2:$X$1146,"&lt;0")</f>
        <v>-21.84</v>
      </c>
      <c r="I79" s="32" t="n">
        <f aca="false">IFERROR(G79/-H79,"no loss")</f>
        <v>11.8644688644689</v>
      </c>
      <c r="J79" s="31" t="n">
        <f aca="false">_xlfn.MAXIFS(Trades!$X$2:$X$1146,Trades!$E$2:$E$1146,$A79)</f>
        <v>151.36</v>
      </c>
      <c r="K79" s="31" t="n">
        <f aca="false">_xlfn.MINIFS(Trades!$X$2:$X$1146,Trades!$E$2:$E$1146,$A79)</f>
        <v>-20</v>
      </c>
      <c r="L79" s="33" t="n">
        <f aca="false">SUMIFS(Trades!$Y$2:$Y$1146,Trades!$E$2:$E$1146,$A79)</f>
        <v>4.09915885914239</v>
      </c>
      <c r="M79" s="31" t="n">
        <f aca="false">P78</f>
        <v>13059.76</v>
      </c>
      <c r="N79" s="30" t="n">
        <f aca="false">IFERROR(F79/M79,0)</f>
        <v>0.018168787175262</v>
      </c>
      <c r="O79" s="29" t="str">
        <f aca="false">IF(F79&lt;0,"down week","")</f>
        <v/>
      </c>
      <c r="P79" s="31" t="n">
        <f aca="false">M79+F79</f>
        <v>13297.04</v>
      </c>
      <c r="Q79" s="31" t="n">
        <f aca="false">P79-Summary!$C$5</f>
        <v>3297.04</v>
      </c>
    </row>
    <row r="80" customFormat="false" ht="15" hidden="false" customHeight="false" outlineLevel="0" collapsed="false">
      <c r="A80" s="43" t="n">
        <v>45201</v>
      </c>
      <c r="B80" s="29" t="n">
        <f aca="false">COUNTIFS(Trades!$E$2:$E$1146,$A80)</f>
        <v>5</v>
      </c>
      <c r="C80" s="29" t="n">
        <f aca="false">COUNTIFS(Trades!$E$2:$E$1146,$A80,Trades!$Z$2:$Z$1146,"Win")</f>
        <v>1</v>
      </c>
      <c r="D80" s="29" t="n">
        <f aca="false">COUNTIFS(Trades!$E$2:$E$1146,$A80,Trades!$Z$2:$Z$1146,"Loss")</f>
        <v>4</v>
      </c>
      <c r="E80" s="30" t="n">
        <f aca="false">IFERROR(C80/B80,0)</f>
        <v>0.2</v>
      </c>
      <c r="F80" s="31" t="n">
        <f aca="false">SUMIFS(Trades!$X$2:$X$1146,Trades!$E$2:$E$1146,$A80)</f>
        <v>-177.2</v>
      </c>
      <c r="G80" s="31" t="n">
        <f aca="false">SUMIFS(Trades!$X$2:$X$1146,Trades!$E$2:$E$1146,$A80,Trades!$X$2:$X$1146,"&gt;0")</f>
        <v>184.76</v>
      </c>
      <c r="H80" s="31" t="n">
        <f aca="false">SUMIFS(Trades!$X$2:$X$1146,Trades!$E$2:$E$1146,$A80,Trades!$X$2:$X$1146,"&lt;0")</f>
        <v>-361.96</v>
      </c>
      <c r="I80" s="32" t="n">
        <f aca="false">IFERROR(G80/-H80,"no loss")</f>
        <v>0.510443142888717</v>
      </c>
      <c r="J80" s="31" t="n">
        <f aca="false">_xlfn.MAXIFS(Trades!$X$2:$X$1146,Trades!$E$2:$E$1146,$A80)</f>
        <v>184.76</v>
      </c>
      <c r="K80" s="31" t="n">
        <f aca="false">_xlfn.MINIFS(Trades!$X$2:$X$1146,Trades!$E$2:$E$1146,$A80)</f>
        <v>-245.48</v>
      </c>
      <c r="L80" s="33" t="n">
        <f aca="false">SUMIFS(Trades!$Y$2:$Y$1146,Trades!$E$2:$E$1146,$A80)</f>
        <v>-1.64440247851367</v>
      </c>
      <c r="M80" s="31" t="n">
        <f aca="false">P79</f>
        <v>13297.04</v>
      </c>
      <c r="N80" s="30" t="n">
        <f aca="false">IFERROR(F80/M80,0)</f>
        <v>-0.0133262741181496</v>
      </c>
      <c r="O80" s="29" t="str">
        <f aca="false">IF(F80&lt;0,"down week","")</f>
        <v>down week</v>
      </c>
      <c r="P80" s="31" t="n">
        <f aca="false">M80+F80</f>
        <v>13119.84</v>
      </c>
      <c r="Q80" s="31" t="n">
        <f aca="false">P80-Summary!$C$5</f>
        <v>3119.84</v>
      </c>
    </row>
    <row r="81" customFormat="false" ht="15" hidden="false" customHeight="false" outlineLevel="0" collapsed="false">
      <c r="A81" s="43" t="n">
        <v>45208</v>
      </c>
      <c r="B81" s="29" t="n">
        <f aca="false">COUNTIFS(Trades!$E$2:$E$1146,$A81)</f>
        <v>6</v>
      </c>
      <c r="C81" s="29" t="n">
        <f aca="false">COUNTIFS(Trades!$E$2:$E$1146,$A81,Trades!$Z$2:$Z$1146,"Win")</f>
        <v>0</v>
      </c>
      <c r="D81" s="29" t="n">
        <f aca="false">COUNTIFS(Trades!$E$2:$E$1146,$A81,Trades!$Z$2:$Z$1146,"Loss")</f>
        <v>6</v>
      </c>
      <c r="E81" s="30" t="n">
        <f aca="false">IFERROR(C81/B81,0)</f>
        <v>0</v>
      </c>
      <c r="F81" s="31" t="n">
        <f aca="false">SUMIFS(Trades!$X$2:$X$1146,Trades!$E$2:$E$1146,$A81)</f>
        <v>-117.08</v>
      </c>
      <c r="G81" s="31" t="n">
        <f aca="false">SUMIFS(Trades!$X$2:$X$1146,Trades!$E$2:$E$1146,$A81,Trades!$X$2:$X$1146,"&gt;0")</f>
        <v>0</v>
      </c>
      <c r="H81" s="31" t="n">
        <f aca="false">SUMIFS(Trades!$X$2:$X$1146,Trades!$E$2:$E$1146,$A81,Trades!$X$2:$X$1146,"&lt;0")</f>
        <v>-117.08</v>
      </c>
      <c r="I81" s="32" t="n">
        <f aca="false">IFERROR(G81/-H81,"no loss")</f>
        <v>0</v>
      </c>
      <c r="J81" s="31" t="n">
        <f aca="false">_xlfn.MAXIFS(Trades!$X$2:$X$1146,Trades!$E$2:$E$1146,$A81)</f>
        <v>-2.2</v>
      </c>
      <c r="K81" s="31" t="n">
        <f aca="false">_xlfn.MINIFS(Trades!$X$2:$X$1146,Trades!$E$2:$E$1146,$A81)</f>
        <v>-50.36</v>
      </c>
      <c r="L81" s="33" t="n">
        <f aca="false">SUMIFS(Trades!$Y$2:$Y$1146,Trades!$E$2:$E$1146,$A81)</f>
        <v>-4.41714962528757</v>
      </c>
      <c r="M81" s="31" t="n">
        <f aca="false">P80</f>
        <v>13119.84</v>
      </c>
      <c r="N81" s="30" t="n">
        <f aca="false">IFERROR(F81/M81,0)</f>
        <v>-0.00892388931572337</v>
      </c>
      <c r="O81" s="29" t="str">
        <f aca="false">IF(F81&lt;0,"down week","")</f>
        <v>down week</v>
      </c>
      <c r="P81" s="31" t="n">
        <f aca="false">M81+F81</f>
        <v>13002.76</v>
      </c>
      <c r="Q81" s="31" t="n">
        <f aca="false">P81-Summary!$C$5</f>
        <v>3002.76</v>
      </c>
    </row>
    <row r="82" customFormat="false" ht="15" hidden="false" customHeight="false" outlineLevel="0" collapsed="false">
      <c r="A82" s="43" t="n">
        <v>45215</v>
      </c>
      <c r="B82" s="29" t="n">
        <f aca="false">COUNTIFS(Trades!$E$2:$E$1146,$A82)</f>
        <v>4</v>
      </c>
      <c r="C82" s="29" t="n">
        <f aca="false">COUNTIFS(Trades!$E$2:$E$1146,$A82,Trades!$Z$2:$Z$1146,"Win")</f>
        <v>1</v>
      </c>
      <c r="D82" s="29" t="n">
        <f aca="false">COUNTIFS(Trades!$E$2:$E$1146,$A82,Trades!$Z$2:$Z$1146,"Loss")</f>
        <v>3</v>
      </c>
      <c r="E82" s="30" t="n">
        <f aca="false">IFERROR(C82/B82,0)</f>
        <v>0.25</v>
      </c>
      <c r="F82" s="31" t="n">
        <f aca="false">SUMIFS(Trades!$X$2:$X$1146,Trades!$E$2:$E$1146,$A82)</f>
        <v>101.72</v>
      </c>
      <c r="G82" s="31" t="n">
        <f aca="false">SUMIFS(Trades!$X$2:$X$1146,Trades!$E$2:$E$1146,$A82,Trades!$X$2:$X$1146,"&gt;0")</f>
        <v>106.8</v>
      </c>
      <c r="H82" s="31" t="n">
        <f aca="false">SUMIFS(Trades!$X$2:$X$1146,Trades!$E$2:$E$1146,$A82,Trades!$X$2:$X$1146,"&lt;0")</f>
        <v>-5.08</v>
      </c>
      <c r="I82" s="32" t="n">
        <f aca="false">IFERROR(G82/-H82,"no loss")</f>
        <v>21.0236220472441</v>
      </c>
      <c r="J82" s="31" t="n">
        <f aca="false">_xlfn.MAXIFS(Trades!$X$2:$X$1146,Trades!$E$2:$E$1146,$A82)</f>
        <v>106.8</v>
      </c>
      <c r="K82" s="31" t="n">
        <f aca="false">_xlfn.MINIFS(Trades!$X$2:$X$1146,Trades!$E$2:$E$1146,$A82)</f>
        <v>-3.36</v>
      </c>
      <c r="L82" s="33" t="n">
        <f aca="false">SUMIFS(Trades!$Y$2:$Y$1146,Trades!$E$2:$E$1146,$A82)</f>
        <v>2.53951153509115</v>
      </c>
      <c r="M82" s="31" t="n">
        <f aca="false">P81</f>
        <v>13002.76</v>
      </c>
      <c r="N82" s="30" t="n">
        <f aca="false">IFERROR(F82/M82,0)</f>
        <v>0.00782295451119609</v>
      </c>
      <c r="O82" s="29" t="str">
        <f aca="false">IF(F82&lt;0,"down week","")</f>
        <v/>
      </c>
      <c r="P82" s="31" t="n">
        <f aca="false">M82+F82</f>
        <v>13104.48</v>
      </c>
      <c r="Q82" s="31" t="n">
        <f aca="false">P82-Summary!$C$5</f>
        <v>3104.48</v>
      </c>
    </row>
    <row r="83" customFormat="false" ht="15" hidden="false" customHeight="false" outlineLevel="0" collapsed="false">
      <c r="A83" s="43" t="n">
        <v>45222</v>
      </c>
      <c r="B83" s="29" t="n">
        <f aca="false">COUNTIFS(Trades!$E$2:$E$1146,$A83)</f>
        <v>4</v>
      </c>
      <c r="C83" s="29" t="n">
        <f aca="false">COUNTIFS(Trades!$E$2:$E$1146,$A83,Trades!$Z$2:$Z$1146,"Win")</f>
        <v>2</v>
      </c>
      <c r="D83" s="29" t="n">
        <f aca="false">COUNTIFS(Trades!$E$2:$E$1146,$A83,Trades!$Z$2:$Z$1146,"Loss")</f>
        <v>2</v>
      </c>
      <c r="E83" s="30" t="n">
        <f aca="false">IFERROR(C83/B83,0)</f>
        <v>0.5</v>
      </c>
      <c r="F83" s="31" t="n">
        <f aca="false">SUMIFS(Trades!$X$2:$X$1146,Trades!$E$2:$E$1146,$A83)</f>
        <v>327.6</v>
      </c>
      <c r="G83" s="31" t="n">
        <f aca="false">SUMIFS(Trades!$X$2:$X$1146,Trades!$E$2:$E$1146,$A83,Trades!$X$2:$X$1146,"&gt;0")</f>
        <v>330.08</v>
      </c>
      <c r="H83" s="31" t="n">
        <f aca="false">SUMIFS(Trades!$X$2:$X$1146,Trades!$E$2:$E$1146,$A83,Trades!$X$2:$X$1146,"&lt;0")</f>
        <v>-2.48</v>
      </c>
      <c r="I83" s="32" t="n">
        <f aca="false">IFERROR(G83/-H83,"no loss")</f>
        <v>133.096774193548</v>
      </c>
      <c r="J83" s="31" t="n">
        <f aca="false">_xlfn.MAXIFS(Trades!$X$2:$X$1146,Trades!$E$2:$E$1146,$A83)</f>
        <v>185.4</v>
      </c>
      <c r="K83" s="31" t="n">
        <f aca="false">_xlfn.MINIFS(Trades!$X$2:$X$1146,Trades!$E$2:$E$1146,$A83)</f>
        <v>-2.12</v>
      </c>
      <c r="L83" s="33" t="n">
        <f aca="false">SUMIFS(Trades!$Y$2:$Y$1146,Trades!$E$2:$E$1146,$A83)</f>
        <v>4.80611022332058</v>
      </c>
      <c r="M83" s="31" t="n">
        <f aca="false">P82</f>
        <v>13104.48</v>
      </c>
      <c r="N83" s="30" t="n">
        <f aca="false">IFERROR(F83/M83,0)</f>
        <v>0.024999084282627</v>
      </c>
      <c r="O83" s="29" t="str">
        <f aca="false">IF(F83&lt;0,"down week","")</f>
        <v/>
      </c>
      <c r="P83" s="31" t="n">
        <f aca="false">M83+F83</f>
        <v>13432.08</v>
      </c>
      <c r="Q83" s="31" t="n">
        <f aca="false">P83-Summary!$C$5</f>
        <v>3432.08</v>
      </c>
    </row>
    <row r="84" customFormat="false" ht="15" hidden="false" customHeight="false" outlineLevel="0" collapsed="false">
      <c r="A84" s="43" t="n">
        <v>45229</v>
      </c>
      <c r="B84" s="29" t="n">
        <f aca="false">COUNTIFS(Trades!$E$2:$E$1146,$A84)</f>
        <v>5</v>
      </c>
      <c r="C84" s="29" t="n">
        <f aca="false">COUNTIFS(Trades!$E$2:$E$1146,$A84,Trades!$Z$2:$Z$1146,"Win")</f>
        <v>2</v>
      </c>
      <c r="D84" s="29" t="n">
        <f aca="false">COUNTIFS(Trades!$E$2:$E$1146,$A84,Trades!$Z$2:$Z$1146,"Loss")</f>
        <v>3</v>
      </c>
      <c r="E84" s="30" t="n">
        <f aca="false">IFERROR(C84/B84,0)</f>
        <v>0.4</v>
      </c>
      <c r="F84" s="31" t="n">
        <f aca="false">SUMIFS(Trades!$X$2:$X$1146,Trades!$E$2:$E$1146,$A84)</f>
        <v>174.36</v>
      </c>
      <c r="G84" s="31" t="n">
        <f aca="false">SUMIFS(Trades!$X$2:$X$1146,Trades!$E$2:$E$1146,$A84,Trades!$X$2:$X$1146,"&gt;0")</f>
        <v>236.04</v>
      </c>
      <c r="H84" s="31" t="n">
        <f aca="false">SUMIFS(Trades!$X$2:$X$1146,Trades!$E$2:$E$1146,$A84,Trades!$X$2:$X$1146,"&lt;0")</f>
        <v>-61.68</v>
      </c>
      <c r="I84" s="32" t="n">
        <f aca="false">IFERROR(G84/-H84,"no loss")</f>
        <v>3.82684824902724</v>
      </c>
      <c r="J84" s="31" t="n">
        <f aca="false">_xlfn.MAXIFS(Trades!$X$2:$X$1146,Trades!$E$2:$E$1146,$A84)</f>
        <v>161.96</v>
      </c>
      <c r="K84" s="31" t="n">
        <f aca="false">_xlfn.MINIFS(Trades!$X$2:$X$1146,Trades!$E$2:$E$1146,$A84)</f>
        <v>-59.8</v>
      </c>
      <c r="L84" s="33" t="n">
        <f aca="false">SUMIFS(Trades!$Y$2:$Y$1146,Trades!$E$2:$E$1146,$A84)</f>
        <v>3.9273091711102</v>
      </c>
      <c r="M84" s="31" t="n">
        <f aca="false">P83</f>
        <v>13432.08</v>
      </c>
      <c r="N84" s="30" t="n">
        <f aca="false">IFERROR(F84/M84,0)</f>
        <v>0.0129808637232655</v>
      </c>
      <c r="O84" s="29" t="str">
        <f aca="false">IF(F84&lt;0,"down week","")</f>
        <v/>
      </c>
      <c r="P84" s="31" t="n">
        <f aca="false">M84+F84</f>
        <v>13606.44</v>
      </c>
      <c r="Q84" s="31" t="n">
        <f aca="false">P84-Summary!$C$5</f>
        <v>3606.44</v>
      </c>
    </row>
    <row r="85" customFormat="false" ht="15" hidden="false" customHeight="false" outlineLevel="0" collapsed="false">
      <c r="A85" s="43" t="n">
        <v>45236</v>
      </c>
      <c r="B85" s="29" t="n">
        <f aca="false">COUNTIFS(Trades!$E$2:$E$1146,$A85)</f>
        <v>7</v>
      </c>
      <c r="C85" s="29" t="n">
        <f aca="false">COUNTIFS(Trades!$E$2:$E$1146,$A85,Trades!$Z$2:$Z$1146,"Win")</f>
        <v>3</v>
      </c>
      <c r="D85" s="29" t="n">
        <f aca="false">COUNTIFS(Trades!$E$2:$E$1146,$A85,Trades!$Z$2:$Z$1146,"Loss")</f>
        <v>4</v>
      </c>
      <c r="E85" s="30" t="n">
        <f aca="false">IFERROR(C85/B85,0)</f>
        <v>0.428571428571429</v>
      </c>
      <c r="F85" s="31" t="n">
        <f aca="false">SUMIFS(Trades!$X$2:$X$1146,Trades!$E$2:$E$1146,$A85)</f>
        <v>67.12</v>
      </c>
      <c r="G85" s="31" t="n">
        <f aca="false">SUMIFS(Trades!$X$2:$X$1146,Trades!$E$2:$E$1146,$A85,Trades!$X$2:$X$1146,"&gt;0")</f>
        <v>192.92</v>
      </c>
      <c r="H85" s="31" t="n">
        <f aca="false">SUMIFS(Trades!$X$2:$X$1146,Trades!$E$2:$E$1146,$A85,Trades!$X$2:$X$1146,"&lt;0")</f>
        <v>-125.8</v>
      </c>
      <c r="I85" s="32" t="n">
        <f aca="false">IFERROR(G85/-H85,"no loss")</f>
        <v>1.5335453100159</v>
      </c>
      <c r="J85" s="31" t="n">
        <f aca="false">_xlfn.MAXIFS(Trades!$X$2:$X$1146,Trades!$E$2:$E$1146,$A85)</f>
        <v>90.76</v>
      </c>
      <c r="K85" s="31" t="n">
        <f aca="false">_xlfn.MINIFS(Trades!$X$2:$X$1146,Trades!$E$2:$E$1146,$A85)</f>
        <v>-50.8</v>
      </c>
      <c r="L85" s="33" t="n">
        <f aca="false">SUMIFS(Trades!$Y$2:$Y$1146,Trades!$E$2:$E$1146,$A85)</f>
        <v>4.73725951016334</v>
      </c>
      <c r="M85" s="31" t="n">
        <f aca="false">P84</f>
        <v>13606.44</v>
      </c>
      <c r="N85" s="30" t="n">
        <f aca="false">IFERROR(F85/M85,0)</f>
        <v>0.00493295821684438</v>
      </c>
      <c r="O85" s="29" t="str">
        <f aca="false">IF(F85&lt;0,"down week","")</f>
        <v/>
      </c>
      <c r="P85" s="31" t="n">
        <f aca="false">M85+F85</f>
        <v>13673.56</v>
      </c>
      <c r="Q85" s="31" t="n">
        <f aca="false">P85-Summary!$C$5</f>
        <v>3673.56</v>
      </c>
    </row>
    <row r="86" customFormat="false" ht="15" hidden="false" customHeight="false" outlineLevel="0" collapsed="false">
      <c r="A86" s="43" t="n">
        <v>45243</v>
      </c>
      <c r="B86" s="29" t="n">
        <f aca="false">COUNTIFS(Trades!$E$2:$E$1146,$A86)</f>
        <v>4</v>
      </c>
      <c r="C86" s="29" t="n">
        <f aca="false">COUNTIFS(Trades!$E$2:$E$1146,$A86,Trades!$Z$2:$Z$1146,"Win")</f>
        <v>2</v>
      </c>
      <c r="D86" s="29" t="n">
        <f aca="false">COUNTIFS(Trades!$E$2:$E$1146,$A86,Trades!$Z$2:$Z$1146,"Loss")</f>
        <v>2</v>
      </c>
      <c r="E86" s="30" t="n">
        <f aca="false">IFERROR(C86/B86,0)</f>
        <v>0.5</v>
      </c>
      <c r="F86" s="31" t="n">
        <f aca="false">SUMIFS(Trades!$X$2:$X$1146,Trades!$E$2:$E$1146,$A86)</f>
        <v>34.08</v>
      </c>
      <c r="G86" s="31" t="n">
        <f aca="false">SUMIFS(Trades!$X$2:$X$1146,Trades!$E$2:$E$1146,$A86,Trades!$X$2:$X$1146,"&gt;0")</f>
        <v>53.6</v>
      </c>
      <c r="H86" s="31" t="n">
        <f aca="false">SUMIFS(Trades!$X$2:$X$1146,Trades!$E$2:$E$1146,$A86,Trades!$X$2:$X$1146,"&lt;0")</f>
        <v>-19.52</v>
      </c>
      <c r="I86" s="32" t="n">
        <f aca="false">IFERROR(G86/-H86,"no loss")</f>
        <v>2.74590163934426</v>
      </c>
      <c r="J86" s="31" t="n">
        <f aca="false">_xlfn.MAXIFS(Trades!$X$2:$X$1146,Trades!$E$2:$E$1146,$A86)</f>
        <v>32.64</v>
      </c>
      <c r="K86" s="31" t="n">
        <f aca="false">_xlfn.MINIFS(Trades!$X$2:$X$1146,Trades!$E$2:$E$1146,$A86)</f>
        <v>-17.64</v>
      </c>
      <c r="L86" s="33" t="n">
        <f aca="false">SUMIFS(Trades!$Y$2:$Y$1146,Trades!$E$2:$E$1146,$A86)</f>
        <v>4.24174651834745</v>
      </c>
      <c r="M86" s="31" t="n">
        <f aca="false">P85</f>
        <v>13673.56</v>
      </c>
      <c r="N86" s="30" t="n">
        <f aca="false">IFERROR(F86/M86,0)</f>
        <v>0.00249240139363853</v>
      </c>
      <c r="O86" s="29" t="str">
        <f aca="false">IF(F86&lt;0,"down week","")</f>
        <v/>
      </c>
      <c r="P86" s="31" t="n">
        <f aca="false">M86+F86</f>
        <v>13707.64</v>
      </c>
      <c r="Q86" s="31" t="n">
        <f aca="false">P86-Summary!$C$5</f>
        <v>3707.64</v>
      </c>
    </row>
    <row r="87" customFormat="false" ht="15" hidden="false" customHeight="false" outlineLevel="0" collapsed="false">
      <c r="A87" s="43" t="n">
        <v>45250</v>
      </c>
      <c r="B87" s="29" t="n">
        <f aca="false">COUNTIFS(Trades!$E$2:$E$1146,$A87)</f>
        <v>4</v>
      </c>
      <c r="C87" s="29" t="n">
        <f aca="false">COUNTIFS(Trades!$E$2:$E$1146,$A87,Trades!$Z$2:$Z$1146,"Win")</f>
        <v>2</v>
      </c>
      <c r="D87" s="29" t="n">
        <f aca="false">COUNTIFS(Trades!$E$2:$E$1146,$A87,Trades!$Z$2:$Z$1146,"Loss")</f>
        <v>2</v>
      </c>
      <c r="E87" s="30" t="n">
        <f aca="false">IFERROR(C87/B87,0)</f>
        <v>0.5</v>
      </c>
      <c r="F87" s="31" t="n">
        <f aca="false">SUMIFS(Trades!$X$2:$X$1146,Trades!$E$2:$E$1146,$A87)</f>
        <v>276.08</v>
      </c>
      <c r="G87" s="31" t="n">
        <f aca="false">SUMIFS(Trades!$X$2:$X$1146,Trades!$E$2:$E$1146,$A87,Trades!$X$2:$X$1146,"&gt;0")</f>
        <v>286.36</v>
      </c>
      <c r="H87" s="31" t="n">
        <f aca="false">SUMIFS(Trades!$X$2:$X$1146,Trades!$E$2:$E$1146,$A87,Trades!$X$2:$X$1146,"&lt;0")</f>
        <v>-10.28</v>
      </c>
      <c r="I87" s="32" t="n">
        <f aca="false">IFERROR(G87/-H87,"no loss")</f>
        <v>27.8560311284047</v>
      </c>
      <c r="J87" s="31" t="n">
        <f aca="false">_xlfn.MAXIFS(Trades!$X$2:$X$1146,Trades!$E$2:$E$1146,$A87)</f>
        <v>143.8</v>
      </c>
      <c r="K87" s="31" t="n">
        <f aca="false">_xlfn.MINIFS(Trades!$X$2:$X$1146,Trades!$E$2:$E$1146,$A87)</f>
        <v>-10.2</v>
      </c>
      <c r="L87" s="33" t="n">
        <f aca="false">SUMIFS(Trades!$Y$2:$Y$1146,Trades!$E$2:$E$1146,$A87)</f>
        <v>3.59412257373173</v>
      </c>
      <c r="M87" s="31" t="n">
        <f aca="false">P86</f>
        <v>13707.64</v>
      </c>
      <c r="N87" s="30" t="n">
        <f aca="false">IFERROR(F87/M87,0)</f>
        <v>0.0201405931290871</v>
      </c>
      <c r="O87" s="29" t="str">
        <f aca="false">IF(F87&lt;0,"down week","")</f>
        <v/>
      </c>
      <c r="P87" s="31" t="n">
        <f aca="false">M87+F87</f>
        <v>13983.72</v>
      </c>
      <c r="Q87" s="31" t="n">
        <f aca="false">P87-Summary!$C$5</f>
        <v>3983.72</v>
      </c>
    </row>
    <row r="88" customFormat="false" ht="15" hidden="false" customHeight="false" outlineLevel="0" collapsed="false">
      <c r="A88" s="43" t="n">
        <v>45257</v>
      </c>
      <c r="B88" s="29" t="n">
        <f aca="false">COUNTIFS(Trades!$E$2:$E$1146,$A88)</f>
        <v>4</v>
      </c>
      <c r="C88" s="29" t="n">
        <f aca="false">COUNTIFS(Trades!$E$2:$E$1146,$A88,Trades!$Z$2:$Z$1146,"Win")</f>
        <v>1</v>
      </c>
      <c r="D88" s="29" t="n">
        <f aca="false">COUNTIFS(Trades!$E$2:$E$1146,$A88,Trades!$Z$2:$Z$1146,"Loss")</f>
        <v>3</v>
      </c>
      <c r="E88" s="30" t="n">
        <f aca="false">IFERROR(C88/B88,0)</f>
        <v>0.25</v>
      </c>
      <c r="F88" s="31" t="n">
        <f aca="false">SUMIFS(Trades!$X$2:$X$1146,Trades!$E$2:$E$1146,$A88)</f>
        <v>146.32</v>
      </c>
      <c r="G88" s="31" t="n">
        <f aca="false">SUMIFS(Trades!$X$2:$X$1146,Trades!$E$2:$E$1146,$A88,Trades!$X$2:$X$1146,"&gt;0")</f>
        <v>176.04</v>
      </c>
      <c r="H88" s="31" t="n">
        <f aca="false">SUMIFS(Trades!$X$2:$X$1146,Trades!$E$2:$E$1146,$A88,Trades!$X$2:$X$1146,"&lt;0")</f>
        <v>-29.72</v>
      </c>
      <c r="I88" s="32" t="n">
        <f aca="false">IFERROR(G88/-H88,"no loss")</f>
        <v>5.92328398384926</v>
      </c>
      <c r="J88" s="31" t="n">
        <f aca="false">_xlfn.MAXIFS(Trades!$X$2:$X$1146,Trades!$E$2:$E$1146,$A88)</f>
        <v>176.04</v>
      </c>
      <c r="K88" s="31" t="n">
        <f aca="false">_xlfn.MINIFS(Trades!$X$2:$X$1146,Trades!$E$2:$E$1146,$A88)</f>
        <v>-15.96</v>
      </c>
      <c r="L88" s="33" t="n">
        <f aca="false">SUMIFS(Trades!$Y$2:$Y$1146,Trades!$E$2:$E$1146,$A88)</f>
        <v>0.174051418499673</v>
      </c>
      <c r="M88" s="31" t="n">
        <f aca="false">P87</f>
        <v>13983.72</v>
      </c>
      <c r="N88" s="30" t="n">
        <f aca="false">IFERROR(F88/M88,0)</f>
        <v>0.0104635962390551</v>
      </c>
      <c r="O88" s="29" t="str">
        <f aca="false">IF(F88&lt;0,"down week","")</f>
        <v/>
      </c>
      <c r="P88" s="31" t="n">
        <f aca="false">M88+F88</f>
        <v>14130.04</v>
      </c>
      <c r="Q88" s="31" t="n">
        <f aca="false">P88-Summary!$C$5</f>
        <v>4130.04</v>
      </c>
    </row>
    <row r="89" customFormat="false" ht="15" hidden="false" customHeight="false" outlineLevel="0" collapsed="false">
      <c r="A89" s="43" t="n">
        <v>45264</v>
      </c>
      <c r="B89" s="29" t="n">
        <f aca="false">COUNTIFS(Trades!$E$2:$E$1146,$A89)</f>
        <v>5</v>
      </c>
      <c r="C89" s="29" t="n">
        <f aca="false">COUNTIFS(Trades!$E$2:$E$1146,$A89,Trades!$Z$2:$Z$1146,"Win")</f>
        <v>0</v>
      </c>
      <c r="D89" s="29" t="n">
        <f aca="false">COUNTIFS(Trades!$E$2:$E$1146,$A89,Trades!$Z$2:$Z$1146,"Loss")</f>
        <v>5</v>
      </c>
      <c r="E89" s="30" t="n">
        <f aca="false">IFERROR(C89/B89,0)</f>
        <v>0</v>
      </c>
      <c r="F89" s="31" t="n">
        <f aca="false">SUMIFS(Trades!$X$2:$X$1146,Trades!$E$2:$E$1146,$A89)</f>
        <v>-65.72</v>
      </c>
      <c r="G89" s="31" t="n">
        <f aca="false">SUMIFS(Trades!$X$2:$X$1146,Trades!$E$2:$E$1146,$A89,Trades!$X$2:$X$1146,"&gt;0")</f>
        <v>0</v>
      </c>
      <c r="H89" s="31" t="n">
        <f aca="false">SUMIFS(Trades!$X$2:$X$1146,Trades!$E$2:$E$1146,$A89,Trades!$X$2:$X$1146,"&lt;0")</f>
        <v>-65.72</v>
      </c>
      <c r="I89" s="32" t="n">
        <f aca="false">IFERROR(G89/-H89,"no loss")</f>
        <v>0</v>
      </c>
      <c r="J89" s="31" t="n">
        <f aca="false">_xlfn.MAXIFS(Trades!$X$2:$X$1146,Trades!$E$2:$E$1146,$A89)</f>
        <v>-1.44</v>
      </c>
      <c r="K89" s="31" t="n">
        <f aca="false">_xlfn.MINIFS(Trades!$X$2:$X$1146,Trades!$E$2:$E$1146,$A89)</f>
        <v>-35.68</v>
      </c>
      <c r="L89" s="33" t="n">
        <f aca="false">SUMIFS(Trades!$Y$2:$Y$1146,Trades!$E$2:$E$1146,$A89)</f>
        <v>-3.17029933517142</v>
      </c>
      <c r="M89" s="31" t="n">
        <f aca="false">P88</f>
        <v>14130.04</v>
      </c>
      <c r="N89" s="30" t="n">
        <f aca="false">IFERROR(F89/M89,0)</f>
        <v>-0.00465108379027943</v>
      </c>
      <c r="O89" s="29" t="str">
        <f aca="false">IF(F89&lt;0,"down week","")</f>
        <v>down week</v>
      </c>
      <c r="P89" s="31" t="n">
        <f aca="false">M89+F89</f>
        <v>14064.32</v>
      </c>
      <c r="Q89" s="31" t="n">
        <f aca="false">P89-Summary!$C$5</f>
        <v>4064.32</v>
      </c>
    </row>
    <row r="90" customFormat="false" ht="15" hidden="false" customHeight="false" outlineLevel="0" collapsed="false">
      <c r="A90" s="43" t="n">
        <v>45271</v>
      </c>
      <c r="B90" s="29" t="n">
        <f aca="false">COUNTIFS(Trades!$E$2:$E$1146,$A90)</f>
        <v>5</v>
      </c>
      <c r="C90" s="29" t="n">
        <f aca="false">COUNTIFS(Trades!$E$2:$E$1146,$A90,Trades!$Z$2:$Z$1146,"Win")</f>
        <v>3</v>
      </c>
      <c r="D90" s="29" t="n">
        <f aca="false">COUNTIFS(Trades!$E$2:$E$1146,$A90,Trades!$Z$2:$Z$1146,"Loss")</f>
        <v>2</v>
      </c>
      <c r="E90" s="30" t="n">
        <f aca="false">IFERROR(C90/B90,0)</f>
        <v>0.6</v>
      </c>
      <c r="F90" s="31" t="n">
        <f aca="false">SUMIFS(Trades!$X$2:$X$1146,Trades!$E$2:$E$1146,$A90)</f>
        <v>-12.48</v>
      </c>
      <c r="G90" s="31" t="n">
        <f aca="false">SUMIFS(Trades!$X$2:$X$1146,Trades!$E$2:$E$1146,$A90,Trades!$X$2:$X$1146,"&gt;0")</f>
        <v>105.24</v>
      </c>
      <c r="H90" s="31" t="n">
        <f aca="false">SUMIFS(Trades!$X$2:$X$1146,Trades!$E$2:$E$1146,$A90,Trades!$X$2:$X$1146,"&lt;0")</f>
        <v>-117.72</v>
      </c>
      <c r="I90" s="32" t="n">
        <f aca="false">IFERROR(G90/-H90,"no loss")</f>
        <v>0.893985728848114</v>
      </c>
      <c r="J90" s="31" t="n">
        <f aca="false">_xlfn.MAXIFS(Trades!$X$2:$X$1146,Trades!$E$2:$E$1146,$A90)</f>
        <v>50.08</v>
      </c>
      <c r="K90" s="31" t="n">
        <f aca="false">_xlfn.MINIFS(Trades!$X$2:$X$1146,Trades!$E$2:$E$1146,$A90)</f>
        <v>-87.32</v>
      </c>
      <c r="L90" s="33" t="n">
        <f aca="false">SUMIFS(Trades!$Y$2:$Y$1146,Trades!$E$2:$E$1146,$A90)</f>
        <v>5.62679194943277</v>
      </c>
      <c r="M90" s="31" t="n">
        <f aca="false">P89</f>
        <v>14064.32</v>
      </c>
      <c r="N90" s="30" t="n">
        <f aca="false">IFERROR(F90/M90,0)</f>
        <v>-0.00088735182362176</v>
      </c>
      <c r="O90" s="29" t="str">
        <f aca="false">IF(F90&lt;0,"down week","")</f>
        <v>down week</v>
      </c>
      <c r="P90" s="31" t="n">
        <f aca="false">M90+F90</f>
        <v>14051.84</v>
      </c>
      <c r="Q90" s="31" t="n">
        <f aca="false">P90-Summary!$C$5</f>
        <v>4051.84</v>
      </c>
    </row>
    <row r="91" customFormat="false" ht="15" hidden="false" customHeight="false" outlineLevel="0" collapsed="false">
      <c r="A91" s="43" t="n">
        <v>45278</v>
      </c>
      <c r="B91" s="29" t="n">
        <f aca="false">COUNTIFS(Trades!$E$2:$E$1146,$A91)</f>
        <v>5</v>
      </c>
      <c r="C91" s="29" t="n">
        <f aca="false">COUNTIFS(Trades!$E$2:$E$1146,$A91,Trades!$Z$2:$Z$1146,"Win")</f>
        <v>2</v>
      </c>
      <c r="D91" s="29" t="n">
        <f aca="false">COUNTIFS(Trades!$E$2:$E$1146,$A91,Trades!$Z$2:$Z$1146,"Loss")</f>
        <v>3</v>
      </c>
      <c r="E91" s="30" t="n">
        <f aca="false">IFERROR(C91/B91,0)</f>
        <v>0.4</v>
      </c>
      <c r="F91" s="31" t="n">
        <f aca="false">SUMIFS(Trades!$X$2:$X$1146,Trades!$E$2:$E$1146,$A91)</f>
        <v>134.28</v>
      </c>
      <c r="G91" s="31" t="n">
        <f aca="false">SUMIFS(Trades!$X$2:$X$1146,Trades!$E$2:$E$1146,$A91,Trades!$X$2:$X$1146,"&gt;0")</f>
        <v>148.68</v>
      </c>
      <c r="H91" s="31" t="n">
        <f aca="false">SUMIFS(Trades!$X$2:$X$1146,Trades!$E$2:$E$1146,$A91,Trades!$X$2:$X$1146,"&lt;0")</f>
        <v>-14.4</v>
      </c>
      <c r="I91" s="32" t="n">
        <f aca="false">IFERROR(G91/-H91,"no loss")</f>
        <v>10.325</v>
      </c>
      <c r="J91" s="31" t="n">
        <f aca="false">_xlfn.MAXIFS(Trades!$X$2:$X$1146,Trades!$E$2:$E$1146,$A91)</f>
        <v>133.2</v>
      </c>
      <c r="K91" s="31" t="n">
        <f aca="false">_xlfn.MINIFS(Trades!$X$2:$X$1146,Trades!$E$2:$E$1146,$A91)</f>
        <v>-13.48</v>
      </c>
      <c r="L91" s="33" t="n">
        <f aca="false">SUMIFS(Trades!$Y$2:$Y$1146,Trades!$E$2:$E$1146,$A91)</f>
        <v>4.30862268449543</v>
      </c>
      <c r="M91" s="31" t="n">
        <f aca="false">P90</f>
        <v>14051.84</v>
      </c>
      <c r="N91" s="30" t="n">
        <f aca="false">IFERROR(F91/M91,0)</f>
        <v>0.00955604390599381</v>
      </c>
      <c r="O91" s="29" t="str">
        <f aca="false">IF(F91&lt;0,"down week","")</f>
        <v/>
      </c>
      <c r="P91" s="31" t="n">
        <f aca="false">M91+F91</f>
        <v>14186.12</v>
      </c>
      <c r="Q91" s="31" t="n">
        <f aca="false">P91-Summary!$C$5</f>
        <v>4186.12</v>
      </c>
    </row>
    <row r="92" customFormat="false" ht="15" hidden="false" customHeight="false" outlineLevel="0" collapsed="false">
      <c r="A92" s="43" t="n">
        <v>45285</v>
      </c>
      <c r="B92" s="29" t="n">
        <f aca="false">COUNTIFS(Trades!$E$2:$E$1146,$A92)</f>
        <v>4</v>
      </c>
      <c r="C92" s="29" t="n">
        <f aca="false">COUNTIFS(Trades!$E$2:$E$1146,$A92,Trades!$Z$2:$Z$1146,"Win")</f>
        <v>1</v>
      </c>
      <c r="D92" s="29" t="n">
        <f aca="false">COUNTIFS(Trades!$E$2:$E$1146,$A92,Trades!$Z$2:$Z$1146,"Loss")</f>
        <v>3</v>
      </c>
      <c r="E92" s="30" t="n">
        <f aca="false">IFERROR(C92/B92,0)</f>
        <v>0.25</v>
      </c>
      <c r="F92" s="31" t="n">
        <f aca="false">SUMIFS(Trades!$X$2:$X$1146,Trades!$E$2:$E$1146,$A92)</f>
        <v>-64.72</v>
      </c>
      <c r="G92" s="31" t="n">
        <f aca="false">SUMIFS(Trades!$X$2:$X$1146,Trades!$E$2:$E$1146,$A92,Trades!$X$2:$X$1146,"&gt;0")</f>
        <v>14.6</v>
      </c>
      <c r="H92" s="31" t="n">
        <f aca="false">SUMIFS(Trades!$X$2:$X$1146,Trades!$E$2:$E$1146,$A92,Trades!$X$2:$X$1146,"&lt;0")</f>
        <v>-79.32</v>
      </c>
      <c r="I92" s="32" t="n">
        <f aca="false">IFERROR(G92/-H92,"no loss")</f>
        <v>0.184064548663641</v>
      </c>
      <c r="J92" s="31" t="n">
        <f aca="false">_xlfn.MAXIFS(Trades!$X$2:$X$1146,Trades!$E$2:$E$1146,$A92)</f>
        <v>14.6</v>
      </c>
      <c r="K92" s="31" t="n">
        <f aca="false">_xlfn.MINIFS(Trades!$X$2:$X$1146,Trades!$E$2:$E$1146,$A92)</f>
        <v>-50.96</v>
      </c>
      <c r="L92" s="33" t="n">
        <f aca="false">SUMIFS(Trades!$Y$2:$Y$1146,Trades!$E$2:$E$1146,$A92)</f>
        <v>0.575730688009003</v>
      </c>
      <c r="M92" s="31" t="n">
        <f aca="false">P91</f>
        <v>14186.12</v>
      </c>
      <c r="N92" s="30" t="n">
        <f aca="false">IFERROR(F92/M92,0)</f>
        <v>-0.00456220587447449</v>
      </c>
      <c r="O92" s="29" t="str">
        <f aca="false">IF(F92&lt;0,"down week","")</f>
        <v>down week</v>
      </c>
      <c r="P92" s="31" t="n">
        <f aca="false">M92+F92</f>
        <v>14121.4</v>
      </c>
      <c r="Q92" s="31" t="n">
        <f aca="false">P92-Summary!$C$5</f>
        <v>4121.4</v>
      </c>
    </row>
    <row r="93" customFormat="false" ht="15" hidden="false" customHeight="false" outlineLevel="0" collapsed="false">
      <c r="A93" s="43" t="n">
        <v>45292</v>
      </c>
      <c r="B93" s="29" t="n">
        <f aca="false">COUNTIFS(Trades!$E$2:$E$1146,$A93)</f>
        <v>4</v>
      </c>
      <c r="C93" s="29" t="n">
        <f aca="false">COUNTIFS(Trades!$E$2:$E$1146,$A93,Trades!$Z$2:$Z$1146,"Win")</f>
        <v>3</v>
      </c>
      <c r="D93" s="29" t="n">
        <f aca="false">COUNTIFS(Trades!$E$2:$E$1146,$A93,Trades!$Z$2:$Z$1146,"Loss")</f>
        <v>1</v>
      </c>
      <c r="E93" s="30" t="n">
        <f aca="false">IFERROR(C93/B93,0)</f>
        <v>0.75</v>
      </c>
      <c r="F93" s="31" t="n">
        <f aca="false">SUMIFS(Trades!$X$2:$X$1146,Trades!$E$2:$E$1146,$A93)</f>
        <v>135.12</v>
      </c>
      <c r="G93" s="31" t="n">
        <f aca="false">SUMIFS(Trades!$X$2:$X$1146,Trades!$E$2:$E$1146,$A93,Trades!$X$2:$X$1146,"&gt;0")</f>
        <v>135.76</v>
      </c>
      <c r="H93" s="31" t="n">
        <f aca="false">SUMIFS(Trades!$X$2:$X$1146,Trades!$E$2:$E$1146,$A93,Trades!$X$2:$X$1146,"&lt;0")</f>
        <v>-0.64</v>
      </c>
      <c r="I93" s="32" t="n">
        <f aca="false">IFERROR(G93/-H93,"no loss")</f>
        <v>212.125</v>
      </c>
      <c r="J93" s="31" t="n">
        <f aca="false">_xlfn.MAXIFS(Trades!$X$2:$X$1146,Trades!$E$2:$E$1146,$A93)</f>
        <v>65.64</v>
      </c>
      <c r="K93" s="31" t="n">
        <f aca="false">_xlfn.MINIFS(Trades!$X$2:$X$1146,Trades!$E$2:$E$1146,$A93)</f>
        <v>-0.64</v>
      </c>
      <c r="L93" s="33" t="n">
        <f aca="false">SUMIFS(Trades!$Y$2:$Y$1146,Trades!$E$2:$E$1146,$A93)</f>
        <v>7.47617919961543</v>
      </c>
      <c r="M93" s="31" t="n">
        <f aca="false">P92</f>
        <v>14121.4</v>
      </c>
      <c r="N93" s="30" t="n">
        <f aca="false">IFERROR(F93/M93,0)</f>
        <v>0.00956845638534423</v>
      </c>
      <c r="O93" s="29" t="str">
        <f aca="false">IF(F93&lt;0,"down week","")</f>
        <v/>
      </c>
      <c r="P93" s="31" t="n">
        <f aca="false">M93+F93</f>
        <v>14256.52</v>
      </c>
      <c r="Q93" s="31" t="n">
        <f aca="false">P93-Summary!$C$5</f>
        <v>4256.52</v>
      </c>
    </row>
    <row r="94" customFormat="false" ht="15" hidden="false" customHeight="false" outlineLevel="0" collapsed="false">
      <c r="A94" s="43" t="n">
        <v>45299</v>
      </c>
      <c r="B94" s="29" t="n">
        <f aca="false">COUNTIFS(Trades!$E$2:$E$1146,$A94)</f>
        <v>5</v>
      </c>
      <c r="C94" s="29" t="n">
        <f aca="false">COUNTIFS(Trades!$E$2:$E$1146,$A94,Trades!$Z$2:$Z$1146,"Win")</f>
        <v>2</v>
      </c>
      <c r="D94" s="29" t="n">
        <f aca="false">COUNTIFS(Trades!$E$2:$E$1146,$A94,Trades!$Z$2:$Z$1146,"Loss")</f>
        <v>3</v>
      </c>
      <c r="E94" s="30" t="n">
        <f aca="false">IFERROR(C94/B94,0)</f>
        <v>0.4</v>
      </c>
      <c r="F94" s="31" t="n">
        <f aca="false">SUMIFS(Trades!$X$2:$X$1146,Trades!$E$2:$E$1146,$A94)</f>
        <v>73.88</v>
      </c>
      <c r="G94" s="31" t="n">
        <f aca="false">SUMIFS(Trades!$X$2:$X$1146,Trades!$E$2:$E$1146,$A94,Trades!$X$2:$X$1146,"&gt;0")</f>
        <v>166.52</v>
      </c>
      <c r="H94" s="31" t="n">
        <f aca="false">SUMIFS(Trades!$X$2:$X$1146,Trades!$E$2:$E$1146,$A94,Trades!$X$2:$X$1146,"&lt;0")</f>
        <v>-92.64</v>
      </c>
      <c r="I94" s="32" t="n">
        <f aca="false">IFERROR(G94/-H94,"no loss")</f>
        <v>1.79749568221071</v>
      </c>
      <c r="J94" s="31" t="n">
        <f aca="false">_xlfn.MAXIFS(Trades!$X$2:$X$1146,Trades!$E$2:$E$1146,$A94)</f>
        <v>95.68</v>
      </c>
      <c r="K94" s="31" t="n">
        <f aca="false">_xlfn.MINIFS(Trades!$X$2:$X$1146,Trades!$E$2:$E$1146,$A94)</f>
        <v>-74.76</v>
      </c>
      <c r="L94" s="33" t="n">
        <f aca="false">SUMIFS(Trades!$Y$2:$Y$1146,Trades!$E$2:$E$1146,$A94)</f>
        <v>4.1152519460094</v>
      </c>
      <c r="M94" s="31" t="n">
        <f aca="false">P93</f>
        <v>14256.52</v>
      </c>
      <c r="N94" s="30" t="n">
        <f aca="false">IFERROR(F94/M94,0)</f>
        <v>0.00518219032414643</v>
      </c>
      <c r="O94" s="29" t="str">
        <f aca="false">IF(F94&lt;0,"down week","")</f>
        <v/>
      </c>
      <c r="P94" s="31" t="n">
        <f aca="false">M94+F94</f>
        <v>14330.4</v>
      </c>
      <c r="Q94" s="31" t="n">
        <f aca="false">P94-Summary!$C$5</f>
        <v>4330.4</v>
      </c>
    </row>
    <row r="95" customFormat="false" ht="15" hidden="false" customHeight="false" outlineLevel="0" collapsed="false">
      <c r="A95" s="43" t="n">
        <v>45306</v>
      </c>
      <c r="B95" s="29" t="n">
        <f aca="false">COUNTIFS(Trades!$E$2:$E$1146,$A95)</f>
        <v>5</v>
      </c>
      <c r="C95" s="29" t="n">
        <f aca="false">COUNTIFS(Trades!$E$2:$E$1146,$A95,Trades!$Z$2:$Z$1146,"Win")</f>
        <v>0</v>
      </c>
      <c r="D95" s="29" t="n">
        <f aca="false">COUNTIFS(Trades!$E$2:$E$1146,$A95,Trades!$Z$2:$Z$1146,"Loss")</f>
        <v>5</v>
      </c>
      <c r="E95" s="30" t="n">
        <f aca="false">IFERROR(C95/B95,0)</f>
        <v>0</v>
      </c>
      <c r="F95" s="31" t="n">
        <f aca="false">SUMIFS(Trades!$X$2:$X$1146,Trades!$E$2:$E$1146,$A95)</f>
        <v>-48.88</v>
      </c>
      <c r="G95" s="31" t="n">
        <f aca="false">SUMIFS(Trades!$X$2:$X$1146,Trades!$E$2:$E$1146,$A95,Trades!$X$2:$X$1146,"&gt;0")</f>
        <v>0</v>
      </c>
      <c r="H95" s="31" t="n">
        <f aca="false">SUMIFS(Trades!$X$2:$X$1146,Trades!$E$2:$E$1146,$A95,Trades!$X$2:$X$1146,"&lt;0")</f>
        <v>-48.88</v>
      </c>
      <c r="I95" s="32" t="n">
        <f aca="false">IFERROR(G95/-H95,"no loss")</f>
        <v>0</v>
      </c>
      <c r="J95" s="31" t="n">
        <f aca="false">_xlfn.MAXIFS(Trades!$X$2:$X$1146,Trades!$E$2:$E$1146,$A95)</f>
        <v>-0.08</v>
      </c>
      <c r="K95" s="31" t="n">
        <f aca="false">_xlfn.MINIFS(Trades!$X$2:$X$1146,Trades!$E$2:$E$1146,$A95)</f>
        <v>-22.68</v>
      </c>
      <c r="L95" s="33" t="n">
        <f aca="false">SUMIFS(Trades!$Y$2:$Y$1146,Trades!$E$2:$E$1146,$A95)</f>
        <v>-3.13237618641703</v>
      </c>
      <c r="M95" s="31" t="n">
        <f aca="false">P94</f>
        <v>14330.4</v>
      </c>
      <c r="N95" s="30" t="n">
        <f aca="false">IFERROR(F95/M95,0)</f>
        <v>-0.00341093060905488</v>
      </c>
      <c r="O95" s="29" t="str">
        <f aca="false">IF(F95&lt;0,"down week","")</f>
        <v>down week</v>
      </c>
      <c r="P95" s="31" t="n">
        <f aca="false">M95+F95</f>
        <v>14281.52</v>
      </c>
      <c r="Q95" s="31" t="n">
        <f aca="false">P95-Summary!$C$5</f>
        <v>4281.52</v>
      </c>
    </row>
    <row r="96" customFormat="false" ht="15" hidden="false" customHeight="false" outlineLevel="0" collapsed="false">
      <c r="A96" s="43" t="n">
        <v>45313</v>
      </c>
      <c r="B96" s="29" t="n">
        <f aca="false">COUNTIFS(Trades!$E$2:$E$1146,$A96)</f>
        <v>5</v>
      </c>
      <c r="C96" s="29" t="n">
        <f aca="false">COUNTIFS(Trades!$E$2:$E$1146,$A96,Trades!$Z$2:$Z$1146,"Win")</f>
        <v>1</v>
      </c>
      <c r="D96" s="29" t="n">
        <f aca="false">COUNTIFS(Trades!$E$2:$E$1146,$A96,Trades!$Z$2:$Z$1146,"Loss")</f>
        <v>4</v>
      </c>
      <c r="E96" s="30" t="n">
        <f aca="false">IFERROR(C96/B96,0)</f>
        <v>0.2</v>
      </c>
      <c r="F96" s="31" t="n">
        <f aca="false">SUMIFS(Trades!$X$2:$X$1146,Trades!$E$2:$E$1146,$A96)</f>
        <v>22.36</v>
      </c>
      <c r="G96" s="31" t="n">
        <f aca="false">SUMIFS(Trades!$X$2:$X$1146,Trades!$E$2:$E$1146,$A96,Trades!$X$2:$X$1146,"&gt;0")</f>
        <v>104.84</v>
      </c>
      <c r="H96" s="31" t="n">
        <f aca="false">SUMIFS(Trades!$X$2:$X$1146,Trades!$E$2:$E$1146,$A96,Trades!$X$2:$X$1146,"&lt;0")</f>
        <v>-82.48</v>
      </c>
      <c r="I96" s="32" t="n">
        <f aca="false">IFERROR(G96/-H96,"no loss")</f>
        <v>1.27109602327837</v>
      </c>
      <c r="J96" s="31" t="n">
        <f aca="false">_xlfn.MAXIFS(Trades!$X$2:$X$1146,Trades!$E$2:$E$1146,$A96)</f>
        <v>104.84</v>
      </c>
      <c r="K96" s="31" t="n">
        <f aca="false">_xlfn.MINIFS(Trades!$X$2:$X$1146,Trades!$E$2:$E$1146,$A96)</f>
        <v>-57.84</v>
      </c>
      <c r="L96" s="33" t="n">
        <f aca="false">SUMIFS(Trades!$Y$2:$Y$1146,Trades!$E$2:$E$1146,$A96)</f>
        <v>0.282854808560663</v>
      </c>
      <c r="M96" s="31" t="n">
        <f aca="false">P95</f>
        <v>14281.52</v>
      </c>
      <c r="N96" s="30" t="n">
        <f aca="false">IFERROR(F96/M96,0)</f>
        <v>0.00156565967768137</v>
      </c>
      <c r="O96" s="29" t="str">
        <f aca="false">IF(F96&lt;0,"down week","")</f>
        <v/>
      </c>
      <c r="P96" s="31" t="n">
        <f aca="false">M96+F96</f>
        <v>14303.88</v>
      </c>
      <c r="Q96" s="31" t="n">
        <f aca="false">P96-Summary!$C$5</f>
        <v>4303.88</v>
      </c>
    </row>
    <row r="97" customFormat="false" ht="15" hidden="false" customHeight="false" outlineLevel="0" collapsed="false">
      <c r="A97" s="43" t="n">
        <v>45320</v>
      </c>
      <c r="B97" s="29" t="n">
        <f aca="false">COUNTIFS(Trades!$E$2:$E$1146,$A97)</f>
        <v>5</v>
      </c>
      <c r="C97" s="29" t="n">
        <f aca="false">COUNTIFS(Trades!$E$2:$E$1146,$A97,Trades!$Z$2:$Z$1146,"Win")</f>
        <v>2</v>
      </c>
      <c r="D97" s="29" t="n">
        <f aca="false">COUNTIFS(Trades!$E$2:$E$1146,$A97,Trades!$Z$2:$Z$1146,"Loss")</f>
        <v>3</v>
      </c>
      <c r="E97" s="30" t="n">
        <f aca="false">IFERROR(C97/B97,0)</f>
        <v>0.4</v>
      </c>
      <c r="F97" s="31" t="n">
        <f aca="false">SUMIFS(Trades!$X$2:$X$1146,Trades!$E$2:$E$1146,$A97)</f>
        <v>734.36</v>
      </c>
      <c r="G97" s="31" t="n">
        <f aca="false">SUMIFS(Trades!$X$2:$X$1146,Trades!$E$2:$E$1146,$A97,Trades!$X$2:$X$1146,"&gt;0")</f>
        <v>750.36</v>
      </c>
      <c r="H97" s="31" t="n">
        <f aca="false">SUMIFS(Trades!$X$2:$X$1146,Trades!$E$2:$E$1146,$A97,Trades!$X$2:$X$1146,"&lt;0")</f>
        <v>-16</v>
      </c>
      <c r="I97" s="32" t="n">
        <f aca="false">IFERROR(G97/-H97,"no loss")</f>
        <v>46.8975</v>
      </c>
      <c r="J97" s="31" t="n">
        <f aca="false">_xlfn.MAXIFS(Trades!$X$2:$X$1146,Trades!$E$2:$E$1146,$A97)</f>
        <v>378.24</v>
      </c>
      <c r="K97" s="31" t="n">
        <f aca="false">_xlfn.MINIFS(Trades!$X$2:$X$1146,Trades!$E$2:$E$1146,$A97)</f>
        <v>-15.84</v>
      </c>
      <c r="L97" s="33" t="n">
        <f aca="false">SUMIFS(Trades!$Y$2:$Y$1146,Trades!$E$2:$E$1146,$A97)</f>
        <v>4.89438261478401</v>
      </c>
      <c r="M97" s="31" t="n">
        <f aca="false">P96</f>
        <v>14303.88</v>
      </c>
      <c r="N97" s="30" t="n">
        <f aca="false">IFERROR(F97/M97,0)</f>
        <v>0.0513399161626076</v>
      </c>
      <c r="O97" s="29" t="str">
        <f aca="false">IF(F97&lt;0,"down week","")</f>
        <v/>
      </c>
      <c r="P97" s="31" t="n">
        <f aca="false">M97+F97</f>
        <v>15038.24</v>
      </c>
      <c r="Q97" s="31" t="n">
        <f aca="false">P97-Summary!$C$5</f>
        <v>5038.24</v>
      </c>
    </row>
    <row r="98" customFormat="false" ht="15" hidden="false" customHeight="false" outlineLevel="0" collapsed="false">
      <c r="A98" s="43" t="n">
        <v>45327</v>
      </c>
      <c r="B98" s="29" t="n">
        <f aca="false">COUNTIFS(Trades!$E$2:$E$1146,$A98)</f>
        <v>4</v>
      </c>
      <c r="C98" s="29" t="n">
        <f aca="false">COUNTIFS(Trades!$E$2:$E$1146,$A98,Trades!$Z$2:$Z$1146,"Win")</f>
        <v>0</v>
      </c>
      <c r="D98" s="29" t="n">
        <f aca="false">COUNTIFS(Trades!$E$2:$E$1146,$A98,Trades!$Z$2:$Z$1146,"Loss")</f>
        <v>4</v>
      </c>
      <c r="E98" s="30" t="n">
        <f aca="false">IFERROR(C98/B98,0)</f>
        <v>0</v>
      </c>
      <c r="F98" s="31" t="n">
        <f aca="false">SUMIFS(Trades!$X$2:$X$1146,Trades!$E$2:$E$1146,$A98)</f>
        <v>-3.56</v>
      </c>
      <c r="G98" s="31" t="n">
        <f aca="false">SUMIFS(Trades!$X$2:$X$1146,Trades!$E$2:$E$1146,$A98,Trades!$X$2:$X$1146,"&gt;0")</f>
        <v>0</v>
      </c>
      <c r="H98" s="31" t="n">
        <f aca="false">SUMIFS(Trades!$X$2:$X$1146,Trades!$E$2:$E$1146,$A98,Trades!$X$2:$X$1146,"&lt;0")</f>
        <v>-3.56</v>
      </c>
      <c r="I98" s="32" t="n">
        <f aca="false">IFERROR(G98/-H98,"no loss")</f>
        <v>0</v>
      </c>
      <c r="J98" s="31" t="n">
        <f aca="false">_xlfn.MAXIFS(Trades!$X$2:$X$1146,Trades!$E$2:$E$1146,$A98)</f>
        <v>-0.2</v>
      </c>
      <c r="K98" s="31" t="n">
        <f aca="false">_xlfn.MINIFS(Trades!$X$2:$X$1146,Trades!$E$2:$E$1146,$A98)</f>
        <v>-1.48</v>
      </c>
      <c r="L98" s="33" t="n">
        <f aca="false">SUMIFS(Trades!$Y$2:$Y$1146,Trades!$E$2:$E$1146,$A98)</f>
        <v>-0.145468691632232</v>
      </c>
      <c r="M98" s="31" t="n">
        <f aca="false">P97</f>
        <v>15038.24</v>
      </c>
      <c r="N98" s="30" t="n">
        <f aca="false">IFERROR(F98/M98,0)</f>
        <v>-0.000236729830086499</v>
      </c>
      <c r="O98" s="29" t="str">
        <f aca="false">IF(F98&lt;0,"down week","")</f>
        <v>down week</v>
      </c>
      <c r="P98" s="31" t="n">
        <f aca="false">M98+F98</f>
        <v>15034.68</v>
      </c>
      <c r="Q98" s="31" t="n">
        <f aca="false">P98-Summary!$C$5</f>
        <v>5034.68</v>
      </c>
    </row>
    <row r="99" customFormat="false" ht="15" hidden="false" customHeight="false" outlineLevel="0" collapsed="false">
      <c r="A99" s="43" t="n">
        <v>45334</v>
      </c>
      <c r="B99" s="29" t="n">
        <f aca="false">COUNTIFS(Trades!$E$2:$E$1146,$A99)</f>
        <v>5</v>
      </c>
      <c r="C99" s="29" t="n">
        <f aca="false">COUNTIFS(Trades!$E$2:$E$1146,$A99,Trades!$Z$2:$Z$1146,"Win")</f>
        <v>1</v>
      </c>
      <c r="D99" s="29" t="n">
        <f aca="false">COUNTIFS(Trades!$E$2:$E$1146,$A99,Trades!$Z$2:$Z$1146,"Loss")</f>
        <v>4</v>
      </c>
      <c r="E99" s="30" t="n">
        <f aca="false">IFERROR(C99/B99,0)</f>
        <v>0.2</v>
      </c>
      <c r="F99" s="31" t="n">
        <f aca="false">SUMIFS(Trades!$X$2:$X$1146,Trades!$E$2:$E$1146,$A99)</f>
        <v>213.96</v>
      </c>
      <c r="G99" s="31" t="n">
        <f aca="false">SUMIFS(Trades!$X$2:$X$1146,Trades!$E$2:$E$1146,$A99,Trades!$X$2:$X$1146,"&gt;0")</f>
        <v>228.84</v>
      </c>
      <c r="H99" s="31" t="n">
        <f aca="false">SUMIFS(Trades!$X$2:$X$1146,Trades!$E$2:$E$1146,$A99,Trades!$X$2:$X$1146,"&lt;0")</f>
        <v>-14.88</v>
      </c>
      <c r="I99" s="32" t="n">
        <f aca="false">IFERROR(G99/-H99,"no loss")</f>
        <v>15.3790322580645</v>
      </c>
      <c r="J99" s="31" t="n">
        <f aca="false">_xlfn.MAXIFS(Trades!$X$2:$X$1146,Trades!$E$2:$E$1146,$A99)</f>
        <v>228.84</v>
      </c>
      <c r="K99" s="31" t="n">
        <f aca="false">_xlfn.MINIFS(Trades!$X$2:$X$1146,Trades!$E$2:$E$1146,$A99)</f>
        <v>-12.52</v>
      </c>
      <c r="L99" s="33" t="n">
        <f aca="false">SUMIFS(Trades!$Y$2:$Y$1146,Trades!$E$2:$E$1146,$A99)</f>
        <v>1.37698312583718</v>
      </c>
      <c r="M99" s="31" t="n">
        <f aca="false">P98</f>
        <v>15034.68</v>
      </c>
      <c r="N99" s="30" t="n">
        <f aca="false">IFERROR(F99/M99,0)</f>
        <v>0.0142310977021127</v>
      </c>
      <c r="O99" s="29" t="str">
        <f aca="false">IF(F99&lt;0,"down week","")</f>
        <v/>
      </c>
      <c r="P99" s="31" t="n">
        <f aca="false">M99+F99</f>
        <v>15248.64</v>
      </c>
      <c r="Q99" s="31" t="n">
        <f aca="false">P99-Summary!$C$5</f>
        <v>5248.64</v>
      </c>
    </row>
    <row r="100" customFormat="false" ht="15" hidden="false" customHeight="false" outlineLevel="0" collapsed="false">
      <c r="A100" s="43" t="n">
        <v>45341</v>
      </c>
      <c r="B100" s="29" t="n">
        <f aca="false">COUNTIFS(Trades!$E$2:$E$1146,$A100)</f>
        <v>4</v>
      </c>
      <c r="C100" s="29" t="n">
        <f aca="false">COUNTIFS(Trades!$E$2:$E$1146,$A100,Trades!$Z$2:$Z$1146,"Win")</f>
        <v>2</v>
      </c>
      <c r="D100" s="29" t="n">
        <f aca="false">COUNTIFS(Trades!$E$2:$E$1146,$A100,Trades!$Z$2:$Z$1146,"Loss")</f>
        <v>2</v>
      </c>
      <c r="E100" s="30" t="n">
        <f aca="false">IFERROR(C100/B100,0)</f>
        <v>0.5</v>
      </c>
      <c r="F100" s="31" t="n">
        <f aca="false">SUMIFS(Trades!$X$2:$X$1146,Trades!$E$2:$E$1146,$A100)</f>
        <v>436.36</v>
      </c>
      <c r="G100" s="31" t="n">
        <f aca="false">SUMIFS(Trades!$X$2:$X$1146,Trades!$E$2:$E$1146,$A100,Trades!$X$2:$X$1146,"&gt;0")</f>
        <v>485.08</v>
      </c>
      <c r="H100" s="31" t="n">
        <f aca="false">SUMIFS(Trades!$X$2:$X$1146,Trades!$E$2:$E$1146,$A100,Trades!$X$2:$X$1146,"&lt;0")</f>
        <v>-48.72</v>
      </c>
      <c r="I100" s="32" t="n">
        <f aca="false">IFERROR(G100/-H100,"no loss")</f>
        <v>9.95648604269294</v>
      </c>
      <c r="J100" s="31" t="n">
        <f aca="false">_xlfn.MAXIFS(Trades!$X$2:$X$1146,Trades!$E$2:$E$1146,$A100)</f>
        <v>420.76</v>
      </c>
      <c r="K100" s="31" t="n">
        <f aca="false">_xlfn.MINIFS(Trades!$X$2:$X$1146,Trades!$E$2:$E$1146,$A100)</f>
        <v>-48.32</v>
      </c>
      <c r="L100" s="33" t="n">
        <f aca="false">SUMIFS(Trades!$Y$2:$Y$1146,Trades!$E$2:$E$1146,$A100)</f>
        <v>4.16424259924986</v>
      </c>
      <c r="M100" s="31" t="n">
        <f aca="false">P99</f>
        <v>15248.64</v>
      </c>
      <c r="N100" s="30" t="n">
        <f aca="false">IFERROR(F100/M100,0)</f>
        <v>0.0286163225048267</v>
      </c>
      <c r="O100" s="29" t="str">
        <f aca="false">IF(F100&lt;0,"down week","")</f>
        <v/>
      </c>
      <c r="P100" s="31" t="n">
        <f aca="false">M100+F100</f>
        <v>15685</v>
      </c>
      <c r="Q100" s="31" t="n">
        <f aca="false">P100-Summary!$C$5</f>
        <v>5685</v>
      </c>
    </row>
    <row r="101" customFormat="false" ht="15" hidden="false" customHeight="false" outlineLevel="0" collapsed="false">
      <c r="A101" s="43" t="n">
        <v>45348</v>
      </c>
      <c r="B101" s="29" t="n">
        <f aca="false">COUNTIFS(Trades!$E$2:$E$1146,$A101)</f>
        <v>5</v>
      </c>
      <c r="C101" s="29" t="n">
        <f aca="false">COUNTIFS(Trades!$E$2:$E$1146,$A101,Trades!$Z$2:$Z$1146,"Win")</f>
        <v>0</v>
      </c>
      <c r="D101" s="29" t="n">
        <f aca="false">COUNTIFS(Trades!$E$2:$E$1146,$A101,Trades!$Z$2:$Z$1146,"Loss")</f>
        <v>4</v>
      </c>
      <c r="E101" s="30" t="n">
        <f aca="false">IFERROR(C101/B101,0)</f>
        <v>0</v>
      </c>
      <c r="F101" s="31" t="n">
        <f aca="false">SUMIFS(Trades!$X$2:$X$1146,Trades!$E$2:$E$1146,$A101)</f>
        <v>-40.12</v>
      </c>
      <c r="G101" s="31" t="n">
        <f aca="false">SUMIFS(Trades!$X$2:$X$1146,Trades!$E$2:$E$1146,$A101,Trades!$X$2:$X$1146,"&gt;0")</f>
        <v>0</v>
      </c>
      <c r="H101" s="31" t="n">
        <f aca="false">SUMIFS(Trades!$X$2:$X$1146,Trades!$E$2:$E$1146,$A101,Trades!$X$2:$X$1146,"&lt;0")</f>
        <v>-40.12</v>
      </c>
      <c r="I101" s="32" t="n">
        <f aca="false">IFERROR(G101/-H101,"no loss")</f>
        <v>0</v>
      </c>
      <c r="J101" s="31" t="n">
        <f aca="false">_xlfn.MAXIFS(Trades!$X$2:$X$1146,Trades!$E$2:$E$1146,$A101)</f>
        <v>0</v>
      </c>
      <c r="K101" s="31" t="n">
        <f aca="false">_xlfn.MINIFS(Trades!$X$2:$X$1146,Trades!$E$2:$E$1146,$A101)</f>
        <v>-36.12</v>
      </c>
      <c r="L101" s="33" t="n">
        <f aca="false">SUMIFS(Trades!$Y$2:$Y$1146,Trades!$E$2:$E$1146,$A101)</f>
        <v>-1.24953832080171</v>
      </c>
      <c r="M101" s="31" t="n">
        <f aca="false">P100</f>
        <v>15685</v>
      </c>
      <c r="N101" s="30" t="n">
        <f aca="false">IFERROR(F101/M101,0)</f>
        <v>-0.00255785782594836</v>
      </c>
      <c r="O101" s="29" t="str">
        <f aca="false">IF(F101&lt;0,"down week","")</f>
        <v>down week</v>
      </c>
      <c r="P101" s="31" t="n">
        <f aca="false">M101+F101</f>
        <v>15644.88</v>
      </c>
      <c r="Q101" s="31" t="n">
        <f aca="false">P101-Summary!$C$5</f>
        <v>5644.88</v>
      </c>
    </row>
    <row r="102" customFormat="false" ht="15" hidden="false" customHeight="false" outlineLevel="0" collapsed="false">
      <c r="A102" s="43" t="n">
        <v>45355</v>
      </c>
      <c r="B102" s="29" t="n">
        <f aca="false">COUNTIFS(Trades!$E$2:$E$1146,$A102)</f>
        <v>5</v>
      </c>
      <c r="C102" s="29" t="n">
        <f aca="false">COUNTIFS(Trades!$E$2:$E$1146,$A102,Trades!$Z$2:$Z$1146,"Win")</f>
        <v>0</v>
      </c>
      <c r="D102" s="29" t="n">
        <f aca="false">COUNTIFS(Trades!$E$2:$E$1146,$A102,Trades!$Z$2:$Z$1146,"Loss")</f>
        <v>5</v>
      </c>
      <c r="E102" s="30" t="n">
        <f aca="false">IFERROR(C102/B102,0)</f>
        <v>0</v>
      </c>
      <c r="F102" s="31" t="n">
        <f aca="false">SUMIFS(Trades!$X$2:$X$1146,Trades!$E$2:$E$1146,$A102)</f>
        <v>-240.88</v>
      </c>
      <c r="G102" s="31" t="n">
        <f aca="false">SUMIFS(Trades!$X$2:$X$1146,Trades!$E$2:$E$1146,$A102,Trades!$X$2:$X$1146,"&gt;0")</f>
        <v>0</v>
      </c>
      <c r="H102" s="31" t="n">
        <f aca="false">SUMIFS(Trades!$X$2:$X$1146,Trades!$E$2:$E$1146,$A102,Trades!$X$2:$X$1146,"&lt;0")</f>
        <v>-240.88</v>
      </c>
      <c r="I102" s="32" t="n">
        <f aca="false">IFERROR(G102/-H102,"no loss")</f>
        <v>0</v>
      </c>
      <c r="J102" s="31" t="n">
        <f aca="false">_xlfn.MAXIFS(Trades!$X$2:$X$1146,Trades!$E$2:$E$1146,$A102)</f>
        <v>-3.72</v>
      </c>
      <c r="K102" s="31" t="n">
        <f aca="false">_xlfn.MINIFS(Trades!$X$2:$X$1146,Trades!$E$2:$E$1146,$A102)</f>
        <v>-157.64</v>
      </c>
      <c r="L102" s="33" t="n">
        <f aca="false">SUMIFS(Trades!$Y$2:$Y$1146,Trades!$E$2:$E$1146,$A102)</f>
        <v>-4.43710980169206</v>
      </c>
      <c r="M102" s="31" t="n">
        <f aca="false">P101</f>
        <v>15644.88</v>
      </c>
      <c r="N102" s="30" t="n">
        <f aca="false">IFERROR(F102/M102,0)</f>
        <v>-0.0153967304319368</v>
      </c>
      <c r="O102" s="29" t="str">
        <f aca="false">IF(F102&lt;0,"down week","")</f>
        <v>down week</v>
      </c>
      <c r="P102" s="31" t="n">
        <f aca="false">M102+F102</f>
        <v>15404</v>
      </c>
      <c r="Q102" s="31" t="n">
        <f aca="false">P102-Summary!$C$5</f>
        <v>5404</v>
      </c>
    </row>
    <row r="103" customFormat="false" ht="15" hidden="false" customHeight="false" outlineLevel="0" collapsed="false">
      <c r="A103" s="43" t="n">
        <v>45362</v>
      </c>
      <c r="B103" s="29" t="n">
        <f aca="false">COUNTIFS(Trades!$E$2:$E$1146,$A103)</f>
        <v>5</v>
      </c>
      <c r="C103" s="29" t="n">
        <f aca="false">COUNTIFS(Trades!$E$2:$E$1146,$A103,Trades!$Z$2:$Z$1146,"Win")</f>
        <v>1</v>
      </c>
      <c r="D103" s="29" t="n">
        <f aca="false">COUNTIFS(Trades!$E$2:$E$1146,$A103,Trades!$Z$2:$Z$1146,"Loss")</f>
        <v>4</v>
      </c>
      <c r="E103" s="30" t="n">
        <f aca="false">IFERROR(C103/B103,0)</f>
        <v>0.2</v>
      </c>
      <c r="F103" s="31" t="n">
        <f aca="false">SUMIFS(Trades!$X$2:$X$1146,Trades!$E$2:$E$1146,$A103)</f>
        <v>80.48</v>
      </c>
      <c r="G103" s="31" t="n">
        <f aca="false">SUMIFS(Trades!$X$2:$X$1146,Trades!$E$2:$E$1146,$A103,Trades!$X$2:$X$1146,"&gt;0")</f>
        <v>258.44</v>
      </c>
      <c r="H103" s="31" t="n">
        <f aca="false">SUMIFS(Trades!$X$2:$X$1146,Trades!$E$2:$E$1146,$A103,Trades!$X$2:$X$1146,"&lt;0")</f>
        <v>-177.96</v>
      </c>
      <c r="I103" s="32" t="n">
        <f aca="false">IFERROR(G103/-H103,"no loss")</f>
        <v>1.45223645763093</v>
      </c>
      <c r="J103" s="31" t="n">
        <f aca="false">_xlfn.MAXIFS(Trades!$X$2:$X$1146,Trades!$E$2:$E$1146,$A103)</f>
        <v>258.44</v>
      </c>
      <c r="K103" s="31" t="n">
        <f aca="false">_xlfn.MINIFS(Trades!$X$2:$X$1146,Trades!$E$2:$E$1146,$A103)</f>
        <v>-81.8</v>
      </c>
      <c r="L103" s="33" t="n">
        <f aca="false">SUMIFS(Trades!$Y$2:$Y$1146,Trades!$E$2:$E$1146,$A103)</f>
        <v>-0.651242131615906</v>
      </c>
      <c r="M103" s="31" t="n">
        <f aca="false">P102</f>
        <v>15404</v>
      </c>
      <c r="N103" s="30" t="n">
        <f aca="false">IFERROR(F103/M103,0)</f>
        <v>0.00522461698260192</v>
      </c>
      <c r="O103" s="29" t="str">
        <f aca="false">IF(F103&lt;0,"down week","")</f>
        <v/>
      </c>
      <c r="P103" s="31" t="n">
        <f aca="false">M103+F103</f>
        <v>15484.48</v>
      </c>
      <c r="Q103" s="31" t="n">
        <f aca="false">P103-Summary!$C$5</f>
        <v>5484.48</v>
      </c>
    </row>
    <row r="104" customFormat="false" ht="15" hidden="false" customHeight="false" outlineLevel="0" collapsed="false">
      <c r="A104" s="43" t="n">
        <v>45369</v>
      </c>
      <c r="B104" s="29" t="n">
        <f aca="false">COUNTIFS(Trades!$E$2:$E$1146,$A104)</f>
        <v>5</v>
      </c>
      <c r="C104" s="29" t="n">
        <f aca="false">COUNTIFS(Trades!$E$2:$E$1146,$A104,Trades!$Z$2:$Z$1146,"Win")</f>
        <v>1</v>
      </c>
      <c r="D104" s="29" t="n">
        <f aca="false">COUNTIFS(Trades!$E$2:$E$1146,$A104,Trades!$Z$2:$Z$1146,"Loss")</f>
        <v>4</v>
      </c>
      <c r="E104" s="30" t="n">
        <f aca="false">IFERROR(C104/B104,0)</f>
        <v>0.2</v>
      </c>
      <c r="F104" s="31" t="n">
        <f aca="false">SUMIFS(Trades!$X$2:$X$1146,Trades!$E$2:$E$1146,$A104)</f>
        <v>-30.92</v>
      </c>
      <c r="G104" s="31" t="n">
        <f aca="false">SUMIFS(Trades!$X$2:$X$1146,Trades!$E$2:$E$1146,$A104,Trades!$X$2:$X$1146,"&gt;0")</f>
        <v>68.76</v>
      </c>
      <c r="H104" s="31" t="n">
        <f aca="false">SUMIFS(Trades!$X$2:$X$1146,Trades!$E$2:$E$1146,$A104,Trades!$X$2:$X$1146,"&lt;0")</f>
        <v>-99.68</v>
      </c>
      <c r="I104" s="32" t="n">
        <f aca="false">IFERROR(G104/-H104,"no loss")</f>
        <v>0.689807383627608</v>
      </c>
      <c r="J104" s="31" t="n">
        <f aca="false">_xlfn.MAXIFS(Trades!$X$2:$X$1146,Trades!$E$2:$E$1146,$A104)</f>
        <v>68.76</v>
      </c>
      <c r="K104" s="31" t="n">
        <f aca="false">_xlfn.MINIFS(Trades!$X$2:$X$1146,Trades!$E$2:$E$1146,$A104)</f>
        <v>-55.76</v>
      </c>
      <c r="L104" s="33" t="n">
        <f aca="false">SUMIFS(Trades!$Y$2:$Y$1146,Trades!$E$2:$E$1146,$A104)</f>
        <v>-0.590644076249912</v>
      </c>
      <c r="M104" s="31" t="n">
        <f aca="false">P103</f>
        <v>15484.48</v>
      </c>
      <c r="N104" s="30" t="n">
        <f aca="false">IFERROR(F104/M104,0)</f>
        <v>-0.00199683812436711</v>
      </c>
      <c r="O104" s="29" t="str">
        <f aca="false">IF(F104&lt;0,"down week","")</f>
        <v>down week</v>
      </c>
      <c r="P104" s="31" t="n">
        <f aca="false">M104+F104</f>
        <v>15453.56</v>
      </c>
      <c r="Q104" s="31" t="n">
        <f aca="false">P104-Summary!$C$5</f>
        <v>5453.56</v>
      </c>
    </row>
    <row r="105" customFormat="false" ht="15" hidden="false" customHeight="false" outlineLevel="0" collapsed="false">
      <c r="A105" s="43" t="n">
        <v>45376</v>
      </c>
      <c r="B105" s="29" t="n">
        <f aca="false">COUNTIFS(Trades!$E$2:$E$1146,$A105)</f>
        <v>3</v>
      </c>
      <c r="C105" s="29" t="n">
        <f aca="false">COUNTIFS(Trades!$E$2:$E$1146,$A105,Trades!$Z$2:$Z$1146,"Win")</f>
        <v>1</v>
      </c>
      <c r="D105" s="29" t="n">
        <f aca="false">COUNTIFS(Trades!$E$2:$E$1146,$A105,Trades!$Z$2:$Z$1146,"Loss")</f>
        <v>2</v>
      </c>
      <c r="E105" s="30" t="n">
        <f aca="false">IFERROR(C105/B105,0)</f>
        <v>0.333333333333333</v>
      </c>
      <c r="F105" s="31" t="n">
        <f aca="false">SUMIFS(Trades!$X$2:$X$1146,Trades!$E$2:$E$1146,$A105)</f>
        <v>141.08</v>
      </c>
      <c r="G105" s="31" t="n">
        <f aca="false">SUMIFS(Trades!$X$2:$X$1146,Trades!$E$2:$E$1146,$A105,Trades!$X$2:$X$1146,"&gt;0")</f>
        <v>164.92</v>
      </c>
      <c r="H105" s="31" t="n">
        <f aca="false">SUMIFS(Trades!$X$2:$X$1146,Trades!$E$2:$E$1146,$A105,Trades!$X$2:$X$1146,"&lt;0")</f>
        <v>-23.84</v>
      </c>
      <c r="I105" s="32" t="n">
        <f aca="false">IFERROR(G105/-H105,"no loss")</f>
        <v>6.91778523489933</v>
      </c>
      <c r="J105" s="31" t="n">
        <f aca="false">_xlfn.MAXIFS(Trades!$X$2:$X$1146,Trades!$E$2:$E$1146,$A105)</f>
        <v>164.92</v>
      </c>
      <c r="K105" s="31" t="n">
        <f aca="false">_xlfn.MINIFS(Trades!$X$2:$X$1146,Trades!$E$2:$E$1146,$A105)</f>
        <v>-23.28</v>
      </c>
      <c r="L105" s="33" t="n">
        <f aca="false">SUMIFS(Trades!$Y$2:$Y$1146,Trades!$E$2:$E$1146,$A105)</f>
        <v>1.44457736360625</v>
      </c>
      <c r="M105" s="31" t="n">
        <f aca="false">P104</f>
        <v>15453.56</v>
      </c>
      <c r="N105" s="30" t="n">
        <f aca="false">IFERROR(F105/M105,0)</f>
        <v>0.00912928800871773</v>
      </c>
      <c r="O105" s="29" t="str">
        <f aca="false">IF(F105&lt;0,"down week","")</f>
        <v/>
      </c>
      <c r="P105" s="31" t="n">
        <f aca="false">M105+F105</f>
        <v>15594.64</v>
      </c>
      <c r="Q105" s="31" t="n">
        <f aca="false">P105-Summary!$C$5</f>
        <v>5594.64</v>
      </c>
    </row>
    <row r="106" customFormat="false" ht="15" hidden="false" customHeight="false" outlineLevel="0" collapsed="false">
      <c r="A106" s="43" t="n">
        <v>45383</v>
      </c>
      <c r="B106" s="29" t="n">
        <f aca="false">COUNTIFS(Trades!$E$2:$E$1146,$A106)</f>
        <v>6</v>
      </c>
      <c r="C106" s="29" t="n">
        <f aca="false">COUNTIFS(Trades!$E$2:$E$1146,$A106,Trades!$Z$2:$Z$1146,"Win")</f>
        <v>1</v>
      </c>
      <c r="D106" s="29" t="n">
        <f aca="false">COUNTIFS(Trades!$E$2:$E$1146,$A106,Trades!$Z$2:$Z$1146,"Loss")</f>
        <v>5</v>
      </c>
      <c r="E106" s="30" t="n">
        <f aca="false">IFERROR(C106/B106,0)</f>
        <v>0.166666666666667</v>
      </c>
      <c r="F106" s="31" t="n">
        <f aca="false">SUMIFS(Trades!$X$2:$X$1146,Trades!$E$2:$E$1146,$A106)</f>
        <v>-110.48</v>
      </c>
      <c r="G106" s="31" t="n">
        <f aca="false">SUMIFS(Trades!$X$2:$X$1146,Trades!$E$2:$E$1146,$A106,Trades!$X$2:$X$1146,"&gt;0")</f>
        <v>162</v>
      </c>
      <c r="H106" s="31" t="n">
        <f aca="false">SUMIFS(Trades!$X$2:$X$1146,Trades!$E$2:$E$1146,$A106,Trades!$X$2:$X$1146,"&lt;0")</f>
        <v>-272.48</v>
      </c>
      <c r="I106" s="32" t="n">
        <f aca="false">IFERROR(G106/-H106,"no loss")</f>
        <v>0.594539048737522</v>
      </c>
      <c r="J106" s="31" t="n">
        <f aca="false">_xlfn.MAXIFS(Trades!$X$2:$X$1146,Trades!$E$2:$E$1146,$A106)</f>
        <v>162</v>
      </c>
      <c r="K106" s="31" t="n">
        <f aca="false">_xlfn.MINIFS(Trades!$X$2:$X$1146,Trades!$E$2:$E$1146,$A106)</f>
        <v>-83.76</v>
      </c>
      <c r="L106" s="33" t="n">
        <f aca="false">SUMIFS(Trades!$Y$2:$Y$1146,Trades!$E$2:$E$1146,$A106)</f>
        <v>-2.60293343490384</v>
      </c>
      <c r="M106" s="31" t="n">
        <f aca="false">P105</f>
        <v>15594.64</v>
      </c>
      <c r="N106" s="30" t="n">
        <f aca="false">IFERROR(F106/M106,0)</f>
        <v>-0.00708448543858659</v>
      </c>
      <c r="O106" s="29" t="str">
        <f aca="false">IF(F106&lt;0,"down week","")</f>
        <v>down week</v>
      </c>
      <c r="P106" s="31" t="n">
        <f aca="false">M106+F106</f>
        <v>15484.16</v>
      </c>
      <c r="Q106" s="31" t="n">
        <f aca="false">P106-Summary!$C$5</f>
        <v>5484.16</v>
      </c>
    </row>
    <row r="107" customFormat="false" ht="15" hidden="false" customHeight="false" outlineLevel="0" collapsed="false">
      <c r="A107" s="43" t="n">
        <v>45390</v>
      </c>
      <c r="B107" s="29" t="n">
        <f aca="false">COUNTIFS(Trades!$E$2:$E$1146,$A107)</f>
        <v>5</v>
      </c>
      <c r="C107" s="29" t="n">
        <f aca="false">COUNTIFS(Trades!$E$2:$E$1146,$A107,Trades!$Z$2:$Z$1146,"Win")</f>
        <v>1</v>
      </c>
      <c r="D107" s="29" t="n">
        <f aca="false">COUNTIFS(Trades!$E$2:$E$1146,$A107,Trades!$Z$2:$Z$1146,"Loss")</f>
        <v>4</v>
      </c>
      <c r="E107" s="30" t="n">
        <f aca="false">IFERROR(C107/B107,0)</f>
        <v>0.2</v>
      </c>
      <c r="F107" s="31" t="n">
        <f aca="false">SUMIFS(Trades!$X$2:$X$1146,Trades!$E$2:$E$1146,$A107)</f>
        <v>-335.08</v>
      </c>
      <c r="G107" s="31" t="n">
        <f aca="false">SUMIFS(Trades!$X$2:$X$1146,Trades!$E$2:$E$1146,$A107,Trades!$X$2:$X$1146,"&gt;0")</f>
        <v>94.96</v>
      </c>
      <c r="H107" s="31" t="n">
        <f aca="false">SUMIFS(Trades!$X$2:$X$1146,Trades!$E$2:$E$1146,$A107,Trades!$X$2:$X$1146,"&lt;0")</f>
        <v>-430.04</v>
      </c>
      <c r="I107" s="32" t="n">
        <f aca="false">IFERROR(G107/-H107,"no loss")</f>
        <v>0.22081666821691</v>
      </c>
      <c r="J107" s="31" t="n">
        <f aca="false">_xlfn.MAXIFS(Trades!$X$2:$X$1146,Trades!$E$2:$E$1146,$A107)</f>
        <v>94.96</v>
      </c>
      <c r="K107" s="31" t="n">
        <f aca="false">_xlfn.MINIFS(Trades!$X$2:$X$1146,Trades!$E$2:$E$1146,$A107)</f>
        <v>-334.76</v>
      </c>
      <c r="L107" s="33" t="n">
        <f aca="false">SUMIFS(Trades!$Y$2:$Y$1146,Trades!$E$2:$E$1146,$A107)</f>
        <v>-0.603366297380326</v>
      </c>
      <c r="M107" s="31" t="n">
        <f aca="false">P106</f>
        <v>15484.16</v>
      </c>
      <c r="N107" s="30" t="n">
        <f aca="false">IFERROR(F107/M107,0)</f>
        <v>-0.0216401793833182</v>
      </c>
      <c r="O107" s="29" t="str">
        <f aca="false">IF(F107&lt;0,"down week","")</f>
        <v>down week</v>
      </c>
      <c r="P107" s="31" t="n">
        <f aca="false">M107+F107</f>
        <v>15149.08</v>
      </c>
      <c r="Q107" s="31" t="n">
        <f aca="false">P107-Summary!$C$5</f>
        <v>5149.08</v>
      </c>
    </row>
    <row r="108" customFormat="false" ht="15" hidden="false" customHeight="false" outlineLevel="0" collapsed="false">
      <c r="A108" s="43" t="n">
        <v>45397</v>
      </c>
      <c r="B108" s="29" t="n">
        <f aca="false">COUNTIFS(Trades!$E$2:$E$1146,$A108)</f>
        <v>5</v>
      </c>
      <c r="C108" s="29" t="n">
        <f aca="false">COUNTIFS(Trades!$E$2:$E$1146,$A108,Trades!$Z$2:$Z$1146,"Win")</f>
        <v>2</v>
      </c>
      <c r="D108" s="29" t="n">
        <f aca="false">COUNTIFS(Trades!$E$2:$E$1146,$A108,Trades!$Z$2:$Z$1146,"Loss")</f>
        <v>3</v>
      </c>
      <c r="E108" s="30" t="n">
        <f aca="false">IFERROR(C108/B108,0)</f>
        <v>0.4</v>
      </c>
      <c r="F108" s="31" t="n">
        <f aca="false">SUMIFS(Trades!$X$2:$X$1146,Trades!$E$2:$E$1146,$A108)</f>
        <v>133.44</v>
      </c>
      <c r="G108" s="31" t="n">
        <f aca="false">SUMIFS(Trades!$X$2:$X$1146,Trades!$E$2:$E$1146,$A108,Trades!$X$2:$X$1146,"&gt;0")</f>
        <v>280</v>
      </c>
      <c r="H108" s="31" t="n">
        <f aca="false">SUMIFS(Trades!$X$2:$X$1146,Trades!$E$2:$E$1146,$A108,Trades!$X$2:$X$1146,"&lt;0")</f>
        <v>-146.56</v>
      </c>
      <c r="I108" s="32" t="n">
        <f aca="false">IFERROR(G108/-H108,"no loss")</f>
        <v>1.91048034934498</v>
      </c>
      <c r="J108" s="31" t="n">
        <f aca="false">_xlfn.MAXIFS(Trades!$X$2:$X$1146,Trades!$E$2:$E$1146,$A108)</f>
        <v>220.72</v>
      </c>
      <c r="K108" s="31" t="n">
        <f aca="false">_xlfn.MINIFS(Trades!$X$2:$X$1146,Trades!$E$2:$E$1146,$A108)</f>
        <v>-87.12</v>
      </c>
      <c r="L108" s="33" t="n">
        <f aca="false">SUMIFS(Trades!$Y$2:$Y$1146,Trades!$E$2:$E$1146,$A108)</f>
        <v>3.08182037585567</v>
      </c>
      <c r="M108" s="31" t="n">
        <f aca="false">P107</f>
        <v>15149.08</v>
      </c>
      <c r="N108" s="30" t="n">
        <f aca="false">IFERROR(F108/M108,0)</f>
        <v>0.0088084556949993</v>
      </c>
      <c r="O108" s="29" t="str">
        <f aca="false">IF(F108&lt;0,"down week","")</f>
        <v/>
      </c>
      <c r="P108" s="31" t="n">
        <f aca="false">M108+F108</f>
        <v>15282.52</v>
      </c>
      <c r="Q108" s="31" t="n">
        <f aca="false">P108-Summary!$C$5</f>
        <v>5282.52</v>
      </c>
    </row>
    <row r="109" customFormat="false" ht="15" hidden="false" customHeight="false" outlineLevel="0" collapsed="false">
      <c r="A109" s="43" t="n">
        <v>45404</v>
      </c>
      <c r="B109" s="29" t="n">
        <f aca="false">COUNTIFS(Trades!$E$2:$E$1146,$A109)</f>
        <v>5</v>
      </c>
      <c r="C109" s="29" t="n">
        <f aca="false">COUNTIFS(Trades!$E$2:$E$1146,$A109,Trades!$Z$2:$Z$1146,"Win")</f>
        <v>1</v>
      </c>
      <c r="D109" s="29" t="n">
        <f aca="false">COUNTIFS(Trades!$E$2:$E$1146,$A109,Trades!$Z$2:$Z$1146,"Loss")</f>
        <v>4</v>
      </c>
      <c r="E109" s="30" t="n">
        <f aca="false">IFERROR(C109/B109,0)</f>
        <v>0.2</v>
      </c>
      <c r="F109" s="31" t="n">
        <f aca="false">SUMIFS(Trades!$X$2:$X$1146,Trades!$E$2:$E$1146,$A109)</f>
        <v>-158.24</v>
      </c>
      <c r="G109" s="31" t="n">
        <f aca="false">SUMIFS(Trades!$X$2:$X$1146,Trades!$E$2:$E$1146,$A109,Trades!$X$2:$X$1146,"&gt;0")</f>
        <v>125.32</v>
      </c>
      <c r="H109" s="31" t="n">
        <f aca="false">SUMIFS(Trades!$X$2:$X$1146,Trades!$E$2:$E$1146,$A109,Trades!$X$2:$X$1146,"&lt;0")</f>
        <v>-283.56</v>
      </c>
      <c r="I109" s="32" t="n">
        <f aca="false">IFERROR(G109/-H109,"no loss")</f>
        <v>0.441952320496544</v>
      </c>
      <c r="J109" s="31" t="n">
        <f aca="false">_xlfn.MAXIFS(Trades!$X$2:$X$1146,Trades!$E$2:$E$1146,$A109)</f>
        <v>125.32</v>
      </c>
      <c r="K109" s="31" t="n">
        <f aca="false">_xlfn.MINIFS(Trades!$X$2:$X$1146,Trades!$E$2:$E$1146,$A109)</f>
        <v>-209.68</v>
      </c>
      <c r="L109" s="33" t="n">
        <f aca="false">SUMIFS(Trades!$Y$2:$Y$1146,Trades!$E$2:$E$1146,$A109)</f>
        <v>0.386070842133592</v>
      </c>
      <c r="M109" s="31" t="n">
        <f aca="false">P108</f>
        <v>15282.52</v>
      </c>
      <c r="N109" s="30" t="n">
        <f aca="false">IFERROR(F109/M109,0)</f>
        <v>-0.0103543132938809</v>
      </c>
      <c r="O109" s="29" t="str">
        <f aca="false">IF(F109&lt;0,"down week","")</f>
        <v>down week</v>
      </c>
      <c r="P109" s="31" t="n">
        <f aca="false">M109+F109</f>
        <v>15124.28</v>
      </c>
      <c r="Q109" s="31" t="n">
        <f aca="false">P109-Summary!$C$5</f>
        <v>5124.28</v>
      </c>
    </row>
    <row r="110" customFormat="false" ht="15" hidden="false" customHeight="false" outlineLevel="0" collapsed="false">
      <c r="A110" s="43" t="n">
        <v>45411</v>
      </c>
      <c r="B110" s="29" t="n">
        <f aca="false">COUNTIFS(Trades!$E$2:$E$1146,$A110)</f>
        <v>4</v>
      </c>
      <c r="C110" s="29" t="n">
        <f aca="false">COUNTIFS(Trades!$E$2:$E$1146,$A110,Trades!$Z$2:$Z$1146,"Win")</f>
        <v>1</v>
      </c>
      <c r="D110" s="29" t="n">
        <f aca="false">COUNTIFS(Trades!$E$2:$E$1146,$A110,Trades!$Z$2:$Z$1146,"Loss")</f>
        <v>3</v>
      </c>
      <c r="E110" s="30" t="n">
        <f aca="false">IFERROR(C110/B110,0)</f>
        <v>0.25</v>
      </c>
      <c r="F110" s="31" t="n">
        <f aca="false">SUMIFS(Trades!$X$2:$X$1146,Trades!$E$2:$E$1146,$A110)</f>
        <v>38.08</v>
      </c>
      <c r="G110" s="31" t="n">
        <f aca="false">SUMIFS(Trades!$X$2:$X$1146,Trades!$E$2:$E$1146,$A110,Trades!$X$2:$X$1146,"&gt;0")</f>
        <v>187.56</v>
      </c>
      <c r="H110" s="31" t="n">
        <f aca="false">SUMIFS(Trades!$X$2:$X$1146,Trades!$E$2:$E$1146,$A110,Trades!$X$2:$X$1146,"&lt;0")</f>
        <v>-149.48</v>
      </c>
      <c r="I110" s="32" t="n">
        <f aca="false">IFERROR(G110/-H110,"no loss")</f>
        <v>1.25474979930425</v>
      </c>
      <c r="J110" s="31" t="n">
        <f aca="false">_xlfn.MAXIFS(Trades!$X$2:$X$1146,Trades!$E$2:$E$1146,$A110)</f>
        <v>187.56</v>
      </c>
      <c r="K110" s="31" t="n">
        <f aca="false">_xlfn.MINIFS(Trades!$X$2:$X$1146,Trades!$E$2:$E$1146,$A110)</f>
        <v>-126.04</v>
      </c>
      <c r="L110" s="33" t="n">
        <f aca="false">SUMIFS(Trades!$Y$2:$Y$1146,Trades!$E$2:$E$1146,$A110)</f>
        <v>0.329468020937703</v>
      </c>
      <c r="M110" s="31" t="n">
        <f aca="false">P109</f>
        <v>15124.28</v>
      </c>
      <c r="N110" s="30" t="n">
        <f aca="false">IFERROR(F110/M110,0)</f>
        <v>0.00251780580629293</v>
      </c>
      <c r="O110" s="29" t="str">
        <f aca="false">IF(F110&lt;0,"down week","")</f>
        <v/>
      </c>
      <c r="P110" s="31" t="n">
        <f aca="false">M110+F110</f>
        <v>15162.36</v>
      </c>
      <c r="Q110" s="31" t="n">
        <f aca="false">P110-Summary!$C$5</f>
        <v>5162.36</v>
      </c>
    </row>
    <row r="111" customFormat="false" ht="15" hidden="false" customHeight="false" outlineLevel="0" collapsed="false">
      <c r="A111" s="43" t="n">
        <v>45418</v>
      </c>
      <c r="B111" s="29" t="n">
        <f aca="false">COUNTIFS(Trades!$E$2:$E$1146,$A111)</f>
        <v>4</v>
      </c>
      <c r="C111" s="29" t="n">
        <f aca="false">COUNTIFS(Trades!$E$2:$E$1146,$A111,Trades!$Z$2:$Z$1146,"Win")</f>
        <v>1</v>
      </c>
      <c r="D111" s="29" t="n">
        <f aca="false">COUNTIFS(Trades!$E$2:$E$1146,$A111,Trades!$Z$2:$Z$1146,"Loss")</f>
        <v>3</v>
      </c>
      <c r="E111" s="30" t="n">
        <f aca="false">IFERROR(C111/B111,0)</f>
        <v>0.25</v>
      </c>
      <c r="F111" s="31" t="n">
        <f aca="false">SUMIFS(Trades!$X$2:$X$1146,Trades!$E$2:$E$1146,$A111)</f>
        <v>-28.44</v>
      </c>
      <c r="G111" s="31" t="n">
        <f aca="false">SUMIFS(Trades!$X$2:$X$1146,Trades!$E$2:$E$1146,$A111,Trades!$X$2:$X$1146,"&gt;0")</f>
        <v>17.4</v>
      </c>
      <c r="H111" s="31" t="n">
        <f aca="false">SUMIFS(Trades!$X$2:$X$1146,Trades!$E$2:$E$1146,$A111,Trades!$X$2:$X$1146,"&lt;0")</f>
        <v>-45.84</v>
      </c>
      <c r="I111" s="32" t="n">
        <f aca="false">IFERROR(G111/-H111,"no loss")</f>
        <v>0.379581151832461</v>
      </c>
      <c r="J111" s="31" t="n">
        <f aca="false">_xlfn.MAXIFS(Trades!$X$2:$X$1146,Trades!$E$2:$E$1146,$A111)</f>
        <v>17.4</v>
      </c>
      <c r="K111" s="31" t="n">
        <f aca="false">_xlfn.MINIFS(Trades!$X$2:$X$1146,Trades!$E$2:$E$1146,$A111)</f>
        <v>-25.32</v>
      </c>
      <c r="L111" s="33" t="n">
        <f aca="false">SUMIFS(Trades!$Y$2:$Y$1146,Trades!$E$2:$E$1146,$A111)</f>
        <v>0.263345694107695</v>
      </c>
      <c r="M111" s="31" t="n">
        <f aca="false">P110</f>
        <v>15162.36</v>
      </c>
      <c r="N111" s="30" t="n">
        <f aca="false">IFERROR(F111/M111,0)</f>
        <v>-0.00187569745079262</v>
      </c>
      <c r="O111" s="29" t="str">
        <f aca="false">IF(F111&lt;0,"down week","")</f>
        <v>down week</v>
      </c>
      <c r="P111" s="31" t="n">
        <f aca="false">M111+F111</f>
        <v>15133.92</v>
      </c>
      <c r="Q111" s="31" t="n">
        <f aca="false">P111-Summary!$C$5</f>
        <v>5133.92</v>
      </c>
    </row>
    <row r="112" customFormat="false" ht="15" hidden="false" customHeight="false" outlineLevel="0" collapsed="false">
      <c r="A112" s="43" t="n">
        <v>45425</v>
      </c>
      <c r="B112" s="29" t="n">
        <f aca="false">COUNTIFS(Trades!$E$2:$E$1146,$A112)</f>
        <v>5</v>
      </c>
      <c r="C112" s="29" t="n">
        <f aca="false">COUNTIFS(Trades!$E$2:$E$1146,$A112,Trades!$Z$2:$Z$1146,"Win")</f>
        <v>0</v>
      </c>
      <c r="D112" s="29" t="n">
        <f aca="false">COUNTIFS(Trades!$E$2:$E$1146,$A112,Trades!$Z$2:$Z$1146,"Loss")</f>
        <v>5</v>
      </c>
      <c r="E112" s="30" t="n">
        <f aca="false">IFERROR(C112/B112,0)</f>
        <v>0</v>
      </c>
      <c r="F112" s="31" t="n">
        <f aca="false">SUMIFS(Trades!$X$2:$X$1146,Trades!$E$2:$E$1146,$A112)</f>
        <v>-166.28</v>
      </c>
      <c r="G112" s="31" t="n">
        <f aca="false">SUMIFS(Trades!$X$2:$X$1146,Trades!$E$2:$E$1146,$A112,Trades!$X$2:$X$1146,"&gt;0")</f>
        <v>0</v>
      </c>
      <c r="H112" s="31" t="n">
        <f aca="false">SUMIFS(Trades!$X$2:$X$1146,Trades!$E$2:$E$1146,$A112,Trades!$X$2:$X$1146,"&lt;0")</f>
        <v>-166.28</v>
      </c>
      <c r="I112" s="32" t="n">
        <f aca="false">IFERROR(G112/-H112,"no loss")</f>
        <v>0</v>
      </c>
      <c r="J112" s="31" t="n">
        <f aca="false">_xlfn.MAXIFS(Trades!$X$2:$X$1146,Trades!$E$2:$E$1146,$A112)</f>
        <v>-1.84</v>
      </c>
      <c r="K112" s="31" t="n">
        <f aca="false">_xlfn.MINIFS(Trades!$X$2:$X$1146,Trades!$E$2:$E$1146,$A112)</f>
        <v>-118.8</v>
      </c>
      <c r="L112" s="33" t="n">
        <f aca="false">SUMIFS(Trades!$Y$2:$Y$1146,Trades!$E$2:$E$1146,$A112)</f>
        <v>-4.18996535839506</v>
      </c>
      <c r="M112" s="31" t="n">
        <f aca="false">P111</f>
        <v>15133.92</v>
      </c>
      <c r="N112" s="30" t="n">
        <f aca="false">IFERROR(F112/M112,0)</f>
        <v>-0.0109872392612093</v>
      </c>
      <c r="O112" s="29" t="str">
        <f aca="false">IF(F112&lt;0,"down week","")</f>
        <v>down week</v>
      </c>
      <c r="P112" s="31" t="n">
        <f aca="false">M112+F112</f>
        <v>14967.64</v>
      </c>
      <c r="Q112" s="31" t="n">
        <f aca="false">P112-Summary!$C$5</f>
        <v>4967.64</v>
      </c>
    </row>
    <row r="113" customFormat="false" ht="15" hidden="false" customHeight="false" outlineLevel="0" collapsed="false">
      <c r="A113" s="43" t="n">
        <v>45432</v>
      </c>
      <c r="B113" s="29" t="n">
        <f aca="false">COUNTIFS(Trades!$E$2:$E$1146,$A113)</f>
        <v>5</v>
      </c>
      <c r="C113" s="29" t="n">
        <f aca="false">COUNTIFS(Trades!$E$2:$E$1146,$A113,Trades!$Z$2:$Z$1146,"Win")</f>
        <v>1</v>
      </c>
      <c r="D113" s="29" t="n">
        <f aca="false">COUNTIFS(Trades!$E$2:$E$1146,$A113,Trades!$Z$2:$Z$1146,"Loss")</f>
        <v>4</v>
      </c>
      <c r="E113" s="30" t="n">
        <f aca="false">IFERROR(C113/B113,0)</f>
        <v>0.2</v>
      </c>
      <c r="F113" s="31" t="n">
        <f aca="false">SUMIFS(Trades!$X$2:$X$1146,Trades!$E$2:$E$1146,$A113)</f>
        <v>68.17</v>
      </c>
      <c r="G113" s="31" t="n">
        <f aca="false">SUMIFS(Trades!$X$2:$X$1146,Trades!$E$2:$E$1146,$A113,Trades!$X$2:$X$1146,"&gt;0")</f>
        <v>159.09</v>
      </c>
      <c r="H113" s="31" t="n">
        <f aca="false">SUMIFS(Trades!$X$2:$X$1146,Trades!$E$2:$E$1146,$A113,Trades!$X$2:$X$1146,"&lt;0")</f>
        <v>-90.92</v>
      </c>
      <c r="I113" s="32" t="n">
        <f aca="false">IFERROR(G113/-H113,"no loss")</f>
        <v>1.74978002639683</v>
      </c>
      <c r="J113" s="31" t="n">
        <f aca="false">_xlfn.MAXIFS(Trades!$X$2:$X$1146,Trades!$E$2:$E$1146,$A113)</f>
        <v>159.09</v>
      </c>
      <c r="K113" s="31" t="n">
        <f aca="false">_xlfn.MINIFS(Trades!$X$2:$X$1146,Trades!$E$2:$E$1146,$A113)</f>
        <v>-72.92</v>
      </c>
      <c r="L113" s="33" t="n">
        <f aca="false">SUMIFS(Trades!$Y$2:$Y$1146,Trades!$E$2:$E$1146,$A113)</f>
        <v>-0.43607790630775</v>
      </c>
      <c r="M113" s="31" t="n">
        <f aca="false">P112</f>
        <v>14967.64</v>
      </c>
      <c r="N113" s="30" t="n">
        <f aca="false">IFERROR(F113/M113,0)</f>
        <v>0.00455449222455912</v>
      </c>
      <c r="O113" s="29" t="str">
        <f aca="false">IF(F113&lt;0,"down week","")</f>
        <v/>
      </c>
      <c r="P113" s="31" t="n">
        <f aca="false">M113+F113</f>
        <v>15035.81</v>
      </c>
      <c r="Q113" s="31" t="n">
        <f aca="false">P113-Summary!$C$5</f>
        <v>5035.81</v>
      </c>
    </row>
    <row r="114" customFormat="false" ht="15" hidden="false" customHeight="false" outlineLevel="0" collapsed="false">
      <c r="A114" s="43" t="n">
        <v>45439</v>
      </c>
      <c r="B114" s="29" t="n">
        <f aca="false">COUNTIFS(Trades!$E$2:$E$1146,$A114)</f>
        <v>6</v>
      </c>
      <c r="C114" s="29" t="n">
        <f aca="false">COUNTIFS(Trades!$E$2:$E$1146,$A114,Trades!$Z$2:$Z$1146,"Win")</f>
        <v>2</v>
      </c>
      <c r="D114" s="29" t="n">
        <f aca="false">COUNTIFS(Trades!$E$2:$E$1146,$A114,Trades!$Z$2:$Z$1146,"Loss")</f>
        <v>4</v>
      </c>
      <c r="E114" s="30" t="n">
        <f aca="false">IFERROR(C114/B114,0)</f>
        <v>0.333333333333333</v>
      </c>
      <c r="F114" s="31" t="n">
        <f aca="false">SUMIFS(Trades!$X$2:$X$1146,Trades!$E$2:$E$1146,$A114)</f>
        <v>139.44</v>
      </c>
      <c r="G114" s="31" t="n">
        <f aca="false">SUMIFS(Trades!$X$2:$X$1146,Trades!$E$2:$E$1146,$A114,Trades!$X$2:$X$1146,"&gt;0")</f>
        <v>209.48</v>
      </c>
      <c r="H114" s="31" t="n">
        <f aca="false">SUMIFS(Trades!$X$2:$X$1146,Trades!$E$2:$E$1146,$A114,Trades!$X$2:$X$1146,"&lt;0")</f>
        <v>-70.04</v>
      </c>
      <c r="I114" s="32" t="n">
        <f aca="false">IFERROR(G114/-H114,"no loss")</f>
        <v>2.99086236436322</v>
      </c>
      <c r="J114" s="31" t="n">
        <f aca="false">_xlfn.MAXIFS(Trades!$X$2:$X$1146,Trades!$E$2:$E$1146,$A114)</f>
        <v>136.32</v>
      </c>
      <c r="K114" s="31" t="n">
        <f aca="false">_xlfn.MINIFS(Trades!$X$2:$X$1146,Trades!$E$2:$E$1146,$A114)</f>
        <v>-50.36</v>
      </c>
      <c r="L114" s="33" t="n">
        <f aca="false">SUMIFS(Trades!$Y$2:$Y$1146,Trades!$E$2:$E$1146,$A114)</f>
        <v>2.75484254208452</v>
      </c>
      <c r="M114" s="31" t="n">
        <f aca="false">P113</f>
        <v>15035.81</v>
      </c>
      <c r="N114" s="30" t="n">
        <f aca="false">IFERROR(F114/M114,0)</f>
        <v>0.00927386020440535</v>
      </c>
      <c r="O114" s="29" t="str">
        <f aca="false">IF(F114&lt;0,"down week","")</f>
        <v/>
      </c>
      <c r="P114" s="31" t="n">
        <f aca="false">M114+F114</f>
        <v>15175.25</v>
      </c>
      <c r="Q114" s="31" t="n">
        <f aca="false">P114-Summary!$C$5</f>
        <v>5175.25</v>
      </c>
    </row>
    <row r="115" customFormat="false" ht="15" hidden="false" customHeight="false" outlineLevel="0" collapsed="false">
      <c r="A115" s="43" t="n">
        <v>45446</v>
      </c>
      <c r="B115" s="29" t="n">
        <f aca="false">COUNTIFS(Trades!$E$2:$E$1146,$A115)</f>
        <v>5</v>
      </c>
      <c r="C115" s="29" t="n">
        <f aca="false">COUNTIFS(Trades!$E$2:$E$1146,$A115,Trades!$Z$2:$Z$1146,"Win")</f>
        <v>1</v>
      </c>
      <c r="D115" s="29" t="n">
        <f aca="false">COUNTIFS(Trades!$E$2:$E$1146,$A115,Trades!$Z$2:$Z$1146,"Loss")</f>
        <v>4</v>
      </c>
      <c r="E115" s="30" t="n">
        <f aca="false">IFERROR(C115/B115,0)</f>
        <v>0.2</v>
      </c>
      <c r="F115" s="31" t="n">
        <f aca="false">SUMIFS(Trades!$X$2:$X$1146,Trades!$E$2:$E$1146,$A115)</f>
        <v>-124.21</v>
      </c>
      <c r="G115" s="31" t="n">
        <f aca="false">SUMIFS(Trades!$X$2:$X$1146,Trades!$E$2:$E$1146,$A115,Trades!$X$2:$X$1146,"&gt;0")</f>
        <v>35.32</v>
      </c>
      <c r="H115" s="31" t="n">
        <f aca="false">SUMIFS(Trades!$X$2:$X$1146,Trades!$E$2:$E$1146,$A115,Trades!$X$2:$X$1146,"&lt;0")</f>
        <v>-159.53</v>
      </c>
      <c r="I115" s="32" t="n">
        <f aca="false">IFERROR(G115/-H115,"no loss")</f>
        <v>0.221400363567981</v>
      </c>
      <c r="J115" s="31" t="n">
        <f aca="false">_xlfn.MAXIFS(Trades!$X$2:$X$1146,Trades!$E$2:$E$1146,$A115)</f>
        <v>35.32</v>
      </c>
      <c r="K115" s="31" t="n">
        <f aca="false">_xlfn.MINIFS(Trades!$X$2:$X$1146,Trades!$E$2:$E$1146,$A115)</f>
        <v>-96.81</v>
      </c>
      <c r="L115" s="33" t="n">
        <f aca="false">SUMIFS(Trades!$Y$2:$Y$1146,Trades!$E$2:$E$1146,$A115)</f>
        <v>-1.53623316360541</v>
      </c>
      <c r="M115" s="31" t="n">
        <f aca="false">P114</f>
        <v>15175.25</v>
      </c>
      <c r="N115" s="30" t="n">
        <f aca="false">IFERROR(F115/M115,0)</f>
        <v>-0.0081850381377572</v>
      </c>
      <c r="O115" s="29" t="str">
        <f aca="false">IF(F115&lt;0,"down week","")</f>
        <v>down week</v>
      </c>
      <c r="P115" s="31" t="n">
        <f aca="false">M115+F115</f>
        <v>15051.04</v>
      </c>
      <c r="Q115" s="31" t="n">
        <f aca="false">P115-Summary!$C$5</f>
        <v>5051.04</v>
      </c>
    </row>
    <row r="116" customFormat="false" ht="15" hidden="false" customHeight="false" outlineLevel="0" collapsed="false">
      <c r="A116" s="43" t="n">
        <v>45453</v>
      </c>
      <c r="B116" s="29" t="n">
        <f aca="false">COUNTIFS(Trades!$E$2:$E$1146,$A116)</f>
        <v>3</v>
      </c>
      <c r="C116" s="29" t="n">
        <f aca="false">COUNTIFS(Trades!$E$2:$E$1146,$A116,Trades!$Z$2:$Z$1146,"Win")</f>
        <v>1</v>
      </c>
      <c r="D116" s="29" t="n">
        <f aca="false">COUNTIFS(Trades!$E$2:$E$1146,$A116,Trades!$Z$2:$Z$1146,"Loss")</f>
        <v>2</v>
      </c>
      <c r="E116" s="30" t="n">
        <f aca="false">IFERROR(C116/B116,0)</f>
        <v>0.333333333333333</v>
      </c>
      <c r="F116" s="31" t="n">
        <f aca="false">SUMIFS(Trades!$X$2:$X$1146,Trades!$E$2:$E$1146,$A116)</f>
        <v>197.91</v>
      </c>
      <c r="G116" s="31" t="n">
        <f aca="false">SUMIFS(Trades!$X$2:$X$1146,Trades!$E$2:$E$1146,$A116,Trades!$X$2:$X$1146,"&gt;0")</f>
        <v>204.84</v>
      </c>
      <c r="H116" s="31" t="n">
        <f aca="false">SUMIFS(Trades!$X$2:$X$1146,Trades!$E$2:$E$1146,$A116,Trades!$X$2:$X$1146,"&lt;0")</f>
        <v>-6.93</v>
      </c>
      <c r="I116" s="32" t="n">
        <f aca="false">IFERROR(G116/-H116,"no loss")</f>
        <v>29.5584415584416</v>
      </c>
      <c r="J116" s="31" t="n">
        <f aca="false">_xlfn.MAXIFS(Trades!$X$2:$X$1146,Trades!$E$2:$E$1146,$A116)</f>
        <v>204.84</v>
      </c>
      <c r="K116" s="31" t="n">
        <f aca="false">_xlfn.MINIFS(Trades!$X$2:$X$1146,Trades!$E$2:$E$1146,$A116)</f>
        <v>-6.63</v>
      </c>
      <c r="L116" s="33" t="n">
        <f aca="false">SUMIFS(Trades!$Y$2:$Y$1146,Trades!$E$2:$E$1146,$A116)</f>
        <v>1.35721917921758</v>
      </c>
      <c r="M116" s="31" t="n">
        <f aca="false">P115</f>
        <v>15051.04</v>
      </c>
      <c r="N116" s="30" t="n">
        <f aca="false">IFERROR(F116/M116,0)</f>
        <v>0.0131492574599496</v>
      </c>
      <c r="O116" s="29" t="str">
        <f aca="false">IF(F116&lt;0,"down week","")</f>
        <v/>
      </c>
      <c r="P116" s="31" t="n">
        <f aca="false">M116+F116</f>
        <v>15248.95</v>
      </c>
      <c r="Q116" s="31" t="n">
        <f aca="false">P116-Summary!$C$5</f>
        <v>5248.95</v>
      </c>
    </row>
    <row r="117" customFormat="false" ht="15" hidden="false" customHeight="false" outlineLevel="0" collapsed="false">
      <c r="A117" s="43" t="n">
        <v>45460</v>
      </c>
      <c r="B117" s="29" t="n">
        <f aca="false">COUNTIFS(Trades!$E$2:$E$1146,$A117)</f>
        <v>4</v>
      </c>
      <c r="C117" s="29" t="n">
        <f aca="false">COUNTIFS(Trades!$E$2:$E$1146,$A117,Trades!$Z$2:$Z$1146,"Win")</f>
        <v>1</v>
      </c>
      <c r="D117" s="29" t="n">
        <f aca="false">COUNTIFS(Trades!$E$2:$E$1146,$A117,Trades!$Z$2:$Z$1146,"Loss")</f>
        <v>3</v>
      </c>
      <c r="E117" s="30" t="n">
        <f aca="false">IFERROR(C117/B117,0)</f>
        <v>0.25</v>
      </c>
      <c r="F117" s="31" t="n">
        <f aca="false">SUMIFS(Trades!$X$2:$X$1146,Trades!$E$2:$E$1146,$A117)</f>
        <v>-8.25000000000001</v>
      </c>
      <c r="G117" s="31" t="n">
        <f aca="false">SUMIFS(Trades!$X$2:$X$1146,Trades!$E$2:$E$1146,$A117,Trades!$X$2:$X$1146,"&gt;0")</f>
        <v>73.32</v>
      </c>
      <c r="H117" s="31" t="n">
        <f aca="false">SUMIFS(Trades!$X$2:$X$1146,Trades!$E$2:$E$1146,$A117,Trades!$X$2:$X$1146,"&lt;0")</f>
        <v>-81.57</v>
      </c>
      <c r="I117" s="32" t="n">
        <f aca="false">IFERROR(G117/-H117,"no loss")</f>
        <v>0.898859874954027</v>
      </c>
      <c r="J117" s="31" t="n">
        <f aca="false">_xlfn.MAXIFS(Trades!$X$2:$X$1146,Trades!$E$2:$E$1146,$A117)</f>
        <v>73.32</v>
      </c>
      <c r="K117" s="31" t="n">
        <f aca="false">_xlfn.MINIFS(Trades!$X$2:$X$1146,Trades!$E$2:$E$1146,$A117)</f>
        <v>-56.82</v>
      </c>
      <c r="L117" s="33" t="n">
        <f aca="false">SUMIFS(Trades!$Y$2:$Y$1146,Trades!$E$2:$E$1146,$A117)</f>
        <v>0.349240615651998</v>
      </c>
      <c r="M117" s="31" t="n">
        <f aca="false">P116</f>
        <v>15248.95</v>
      </c>
      <c r="N117" s="30" t="n">
        <f aca="false">IFERROR(F117/M117,0)</f>
        <v>-0.000541020857173773</v>
      </c>
      <c r="O117" s="29" t="str">
        <f aca="false">IF(F117&lt;0,"down week","")</f>
        <v>down week</v>
      </c>
      <c r="P117" s="31" t="n">
        <f aca="false">M117+F117</f>
        <v>15240.7</v>
      </c>
      <c r="Q117" s="31" t="n">
        <f aca="false">P117-Summary!$C$5</f>
        <v>5240.7</v>
      </c>
    </row>
    <row r="118" customFormat="false" ht="15" hidden="false" customHeight="false" outlineLevel="0" collapsed="false">
      <c r="A118" s="43" t="n">
        <v>45467</v>
      </c>
      <c r="B118" s="29" t="n">
        <f aca="false">COUNTIFS(Trades!$E$2:$E$1146,$A118)</f>
        <v>5</v>
      </c>
      <c r="C118" s="29" t="n">
        <f aca="false">COUNTIFS(Trades!$E$2:$E$1146,$A118,Trades!$Z$2:$Z$1146,"Win")</f>
        <v>1</v>
      </c>
      <c r="D118" s="29" t="n">
        <f aca="false">COUNTIFS(Trades!$E$2:$E$1146,$A118,Trades!$Z$2:$Z$1146,"Loss")</f>
        <v>4</v>
      </c>
      <c r="E118" s="30" t="n">
        <f aca="false">IFERROR(C118/B118,0)</f>
        <v>0.2</v>
      </c>
      <c r="F118" s="31" t="n">
        <f aca="false">SUMIFS(Trades!$X$2:$X$1146,Trades!$E$2:$E$1146,$A118)</f>
        <v>26.52</v>
      </c>
      <c r="G118" s="31" t="n">
        <f aca="false">SUMIFS(Trades!$X$2:$X$1146,Trades!$E$2:$E$1146,$A118,Trades!$X$2:$X$1146,"&gt;0")</f>
        <v>31.65</v>
      </c>
      <c r="H118" s="31" t="n">
        <f aca="false">SUMIFS(Trades!$X$2:$X$1146,Trades!$E$2:$E$1146,$A118,Trades!$X$2:$X$1146,"&lt;0")</f>
        <v>-5.13</v>
      </c>
      <c r="I118" s="32" t="n">
        <f aca="false">IFERROR(G118/-H118,"no loss")</f>
        <v>6.16959064327485</v>
      </c>
      <c r="J118" s="31" t="n">
        <f aca="false">_xlfn.MAXIFS(Trades!$X$2:$X$1146,Trades!$E$2:$E$1146,$A118)</f>
        <v>31.65</v>
      </c>
      <c r="K118" s="31" t="n">
        <f aca="false">_xlfn.MINIFS(Trades!$X$2:$X$1146,Trades!$E$2:$E$1146,$A118)</f>
        <v>-2.73</v>
      </c>
      <c r="L118" s="33" t="n">
        <f aca="false">SUMIFS(Trades!$Y$2:$Y$1146,Trades!$E$2:$E$1146,$A118)</f>
        <v>2.49332009630429</v>
      </c>
      <c r="M118" s="31" t="n">
        <f aca="false">P117</f>
        <v>15240.7</v>
      </c>
      <c r="N118" s="30" t="n">
        <f aca="false">IFERROR(F118/M118,0)</f>
        <v>0.00174007755549286</v>
      </c>
      <c r="O118" s="29" t="str">
        <f aca="false">IF(F118&lt;0,"down week","")</f>
        <v/>
      </c>
      <c r="P118" s="31" t="n">
        <f aca="false">M118+F118</f>
        <v>15267.22</v>
      </c>
      <c r="Q118" s="31" t="n">
        <f aca="false">P118-Summary!$C$5</f>
        <v>5267.22</v>
      </c>
    </row>
    <row r="119" customFormat="false" ht="15" hidden="false" customHeight="false" outlineLevel="0" collapsed="false">
      <c r="A119" s="43" t="n">
        <v>45474</v>
      </c>
      <c r="B119" s="29" t="n">
        <f aca="false">COUNTIFS(Trades!$E$2:$E$1146,$A119)</f>
        <v>4</v>
      </c>
      <c r="C119" s="29" t="n">
        <f aca="false">COUNTIFS(Trades!$E$2:$E$1146,$A119,Trades!$Z$2:$Z$1146,"Win")</f>
        <v>0</v>
      </c>
      <c r="D119" s="29" t="n">
        <f aca="false">COUNTIFS(Trades!$E$2:$E$1146,$A119,Trades!$Z$2:$Z$1146,"Loss")</f>
        <v>3</v>
      </c>
      <c r="E119" s="30" t="n">
        <f aca="false">IFERROR(C119/B119,0)</f>
        <v>0</v>
      </c>
      <c r="F119" s="31" t="n">
        <f aca="false">SUMIFS(Trades!$X$2:$X$1146,Trades!$E$2:$E$1146,$A119)</f>
        <v>-81.39</v>
      </c>
      <c r="G119" s="31" t="n">
        <f aca="false">SUMIFS(Trades!$X$2:$X$1146,Trades!$E$2:$E$1146,$A119,Trades!$X$2:$X$1146,"&gt;0")</f>
        <v>0</v>
      </c>
      <c r="H119" s="31" t="n">
        <f aca="false">SUMIFS(Trades!$X$2:$X$1146,Trades!$E$2:$E$1146,$A119,Trades!$X$2:$X$1146,"&lt;0")</f>
        <v>-81.39</v>
      </c>
      <c r="I119" s="32" t="n">
        <f aca="false">IFERROR(G119/-H119,"no loss")</f>
        <v>0</v>
      </c>
      <c r="J119" s="31" t="n">
        <f aca="false">_xlfn.MAXIFS(Trades!$X$2:$X$1146,Trades!$E$2:$E$1146,$A119)</f>
        <v>0</v>
      </c>
      <c r="K119" s="31" t="n">
        <f aca="false">_xlfn.MINIFS(Trades!$X$2:$X$1146,Trades!$E$2:$E$1146,$A119)</f>
        <v>-68.67</v>
      </c>
      <c r="L119" s="33" t="n">
        <f aca="false">SUMIFS(Trades!$Y$2:$Y$1146,Trades!$E$2:$E$1146,$A119)</f>
        <v>-2.15044781304165</v>
      </c>
      <c r="M119" s="31" t="n">
        <f aca="false">P118</f>
        <v>15267.22</v>
      </c>
      <c r="N119" s="30" t="n">
        <f aca="false">IFERROR(F119/M119,0)</f>
        <v>-0.00533102948670419</v>
      </c>
      <c r="O119" s="29" t="str">
        <f aca="false">IF(F119&lt;0,"down week","")</f>
        <v>down week</v>
      </c>
      <c r="P119" s="31" t="n">
        <f aca="false">M119+F119</f>
        <v>15185.83</v>
      </c>
      <c r="Q119" s="31" t="n">
        <f aca="false">P119-Summary!$C$5</f>
        <v>5185.83</v>
      </c>
    </row>
    <row r="120" customFormat="false" ht="15" hidden="false" customHeight="false" outlineLevel="0" collapsed="false">
      <c r="A120" s="43" t="n">
        <v>45481</v>
      </c>
      <c r="B120" s="29" t="n">
        <f aca="false">COUNTIFS(Trades!$E$2:$E$1146,$A120)</f>
        <v>5</v>
      </c>
      <c r="C120" s="29" t="n">
        <f aca="false">COUNTIFS(Trades!$E$2:$E$1146,$A120,Trades!$Z$2:$Z$1146,"Win")</f>
        <v>1</v>
      </c>
      <c r="D120" s="29" t="n">
        <f aca="false">COUNTIFS(Trades!$E$2:$E$1146,$A120,Trades!$Z$2:$Z$1146,"Loss")</f>
        <v>4</v>
      </c>
      <c r="E120" s="30" t="n">
        <f aca="false">IFERROR(C120/B120,0)</f>
        <v>0.2</v>
      </c>
      <c r="F120" s="31" t="n">
        <f aca="false">SUMIFS(Trades!$X$2:$X$1146,Trades!$E$2:$E$1146,$A120)</f>
        <v>-33.36</v>
      </c>
      <c r="G120" s="31" t="n">
        <f aca="false">SUMIFS(Trades!$X$2:$X$1146,Trades!$E$2:$E$1146,$A120,Trades!$X$2:$X$1146,"&gt;0")</f>
        <v>20.52</v>
      </c>
      <c r="H120" s="31" t="n">
        <f aca="false">SUMIFS(Trades!$X$2:$X$1146,Trades!$E$2:$E$1146,$A120,Trades!$X$2:$X$1146,"&lt;0")</f>
        <v>-53.88</v>
      </c>
      <c r="I120" s="32" t="n">
        <f aca="false">IFERROR(G120/-H120,"no loss")</f>
        <v>0.380846325167038</v>
      </c>
      <c r="J120" s="31" t="n">
        <f aca="false">_xlfn.MAXIFS(Trades!$X$2:$X$1146,Trades!$E$2:$E$1146,$A120)</f>
        <v>20.52</v>
      </c>
      <c r="K120" s="31" t="n">
        <f aca="false">_xlfn.MINIFS(Trades!$X$2:$X$1146,Trades!$E$2:$E$1146,$A120)</f>
        <v>-38.49</v>
      </c>
      <c r="L120" s="33" t="n">
        <f aca="false">SUMIFS(Trades!$Y$2:$Y$1146,Trades!$E$2:$E$1146,$A120)</f>
        <v>0.308817880715147</v>
      </c>
      <c r="M120" s="31" t="n">
        <f aca="false">P119</f>
        <v>15185.83</v>
      </c>
      <c r="N120" s="30" t="n">
        <f aca="false">IFERROR(F120/M120,0)</f>
        <v>-0.00219678476579812</v>
      </c>
      <c r="O120" s="29" t="str">
        <f aca="false">IF(F120&lt;0,"down week","")</f>
        <v>down week</v>
      </c>
      <c r="P120" s="31" t="n">
        <f aca="false">M120+F120</f>
        <v>15152.47</v>
      </c>
      <c r="Q120" s="31" t="n">
        <f aca="false">P120-Summary!$C$5</f>
        <v>5152.47</v>
      </c>
    </row>
    <row r="121" customFormat="false" ht="15" hidden="false" customHeight="false" outlineLevel="0" collapsed="false">
      <c r="A121" s="43" t="n">
        <v>45488</v>
      </c>
      <c r="B121" s="29" t="n">
        <f aca="false">COUNTIFS(Trades!$E$2:$E$1146,$A121)</f>
        <v>5</v>
      </c>
      <c r="C121" s="29" t="n">
        <f aca="false">COUNTIFS(Trades!$E$2:$E$1146,$A121,Trades!$Z$2:$Z$1146,"Win")</f>
        <v>1</v>
      </c>
      <c r="D121" s="29" t="n">
        <f aca="false">COUNTIFS(Trades!$E$2:$E$1146,$A121,Trades!$Z$2:$Z$1146,"Loss")</f>
        <v>4</v>
      </c>
      <c r="E121" s="30" t="n">
        <f aca="false">IFERROR(C121/B121,0)</f>
        <v>0.2</v>
      </c>
      <c r="F121" s="31" t="n">
        <f aca="false">SUMIFS(Trades!$X$2:$X$1146,Trades!$E$2:$E$1146,$A121)</f>
        <v>-17.22</v>
      </c>
      <c r="G121" s="31" t="n">
        <f aca="false">SUMIFS(Trades!$X$2:$X$1146,Trades!$E$2:$E$1146,$A121,Trades!$X$2:$X$1146,"&gt;0")</f>
        <v>67.41</v>
      </c>
      <c r="H121" s="31" t="n">
        <f aca="false">SUMIFS(Trades!$X$2:$X$1146,Trades!$E$2:$E$1146,$A121,Trades!$X$2:$X$1146,"&lt;0")</f>
        <v>-84.63</v>
      </c>
      <c r="I121" s="32" t="n">
        <f aca="false">IFERROR(G121/-H121,"no loss")</f>
        <v>0.796526054590571</v>
      </c>
      <c r="J121" s="31" t="n">
        <f aca="false">_xlfn.MAXIFS(Trades!$X$2:$X$1146,Trades!$E$2:$E$1146,$A121)</f>
        <v>67.41</v>
      </c>
      <c r="K121" s="31" t="n">
        <f aca="false">_xlfn.MINIFS(Trades!$X$2:$X$1146,Trades!$E$2:$E$1146,$A121)</f>
        <v>-55.38</v>
      </c>
      <c r="L121" s="33" t="n">
        <f aca="false">SUMIFS(Trades!$Y$2:$Y$1146,Trades!$E$2:$E$1146,$A121)</f>
        <v>0.41307743940524</v>
      </c>
      <c r="M121" s="31" t="n">
        <f aca="false">P120</f>
        <v>15152.47</v>
      </c>
      <c r="N121" s="30" t="n">
        <f aca="false">IFERROR(F121/M121,0)</f>
        <v>-0.00113644838102303</v>
      </c>
      <c r="O121" s="29" t="str">
        <f aca="false">IF(F121&lt;0,"down week","")</f>
        <v>down week</v>
      </c>
      <c r="P121" s="31" t="n">
        <f aca="false">M121+F121</f>
        <v>15135.25</v>
      </c>
      <c r="Q121" s="31" t="n">
        <f aca="false">P121-Summary!$C$5</f>
        <v>5135.25</v>
      </c>
    </row>
    <row r="122" customFormat="false" ht="15" hidden="false" customHeight="false" outlineLevel="0" collapsed="false">
      <c r="A122" s="43" t="n">
        <v>45495</v>
      </c>
      <c r="B122" s="29" t="n">
        <f aca="false">COUNTIFS(Trades!$E$2:$E$1146,$A122)</f>
        <v>4</v>
      </c>
      <c r="C122" s="29" t="n">
        <f aca="false">COUNTIFS(Trades!$E$2:$E$1146,$A122,Trades!$Z$2:$Z$1146,"Win")</f>
        <v>0</v>
      </c>
      <c r="D122" s="29" t="n">
        <f aca="false">COUNTIFS(Trades!$E$2:$E$1146,$A122,Trades!$Z$2:$Z$1146,"Loss")</f>
        <v>4</v>
      </c>
      <c r="E122" s="30" t="n">
        <f aca="false">IFERROR(C122/B122,0)</f>
        <v>0</v>
      </c>
      <c r="F122" s="31" t="n">
        <f aca="false">SUMIFS(Trades!$X$2:$X$1146,Trades!$E$2:$E$1146,$A122)</f>
        <v>-168.93</v>
      </c>
      <c r="G122" s="31" t="n">
        <f aca="false">SUMIFS(Trades!$X$2:$X$1146,Trades!$E$2:$E$1146,$A122,Trades!$X$2:$X$1146,"&gt;0")</f>
        <v>0</v>
      </c>
      <c r="H122" s="31" t="n">
        <f aca="false">SUMIFS(Trades!$X$2:$X$1146,Trades!$E$2:$E$1146,$A122,Trades!$X$2:$X$1146,"&lt;0")</f>
        <v>-168.93</v>
      </c>
      <c r="I122" s="32" t="n">
        <f aca="false">IFERROR(G122/-H122,"no loss")</f>
        <v>0</v>
      </c>
      <c r="J122" s="31" t="n">
        <f aca="false">_xlfn.MAXIFS(Trades!$X$2:$X$1146,Trades!$E$2:$E$1146,$A122)</f>
        <v>-2.13</v>
      </c>
      <c r="K122" s="31" t="n">
        <f aca="false">_xlfn.MINIFS(Trades!$X$2:$X$1146,Trades!$E$2:$E$1146,$A122)</f>
        <v>-76.14</v>
      </c>
      <c r="L122" s="33" t="n">
        <f aca="false">SUMIFS(Trades!$Y$2:$Y$1146,Trades!$E$2:$E$1146,$A122)</f>
        <v>-3.07444004384379</v>
      </c>
      <c r="M122" s="31" t="n">
        <f aca="false">P121</f>
        <v>15135.25</v>
      </c>
      <c r="N122" s="30" t="n">
        <f aca="false">IFERROR(F122/M122,0)</f>
        <v>-0.0111613617218084</v>
      </c>
      <c r="O122" s="29" t="str">
        <f aca="false">IF(F122&lt;0,"down week","")</f>
        <v>down week</v>
      </c>
      <c r="P122" s="31" t="n">
        <f aca="false">M122+F122</f>
        <v>14966.32</v>
      </c>
      <c r="Q122" s="31" t="n">
        <f aca="false">P122-Summary!$C$5</f>
        <v>4966.32</v>
      </c>
    </row>
    <row r="123" customFormat="false" ht="15" hidden="false" customHeight="false" outlineLevel="0" collapsed="false">
      <c r="A123" s="43" t="n">
        <v>45502</v>
      </c>
      <c r="B123" s="29" t="n">
        <f aca="false">COUNTIFS(Trades!$E$2:$E$1146,$A123)</f>
        <v>5</v>
      </c>
      <c r="C123" s="29" t="n">
        <f aca="false">COUNTIFS(Trades!$E$2:$E$1146,$A123,Trades!$Z$2:$Z$1146,"Win")</f>
        <v>2</v>
      </c>
      <c r="D123" s="29" t="n">
        <f aca="false">COUNTIFS(Trades!$E$2:$E$1146,$A123,Trades!$Z$2:$Z$1146,"Loss")</f>
        <v>3</v>
      </c>
      <c r="E123" s="30" t="n">
        <f aca="false">IFERROR(C123/B123,0)</f>
        <v>0.4</v>
      </c>
      <c r="F123" s="31" t="n">
        <f aca="false">SUMIFS(Trades!$X$2:$X$1146,Trades!$E$2:$E$1146,$A123)</f>
        <v>16.02</v>
      </c>
      <c r="G123" s="31" t="n">
        <f aca="false">SUMIFS(Trades!$X$2:$X$1146,Trades!$E$2:$E$1146,$A123,Trades!$X$2:$X$1146,"&gt;0")</f>
        <v>98.76</v>
      </c>
      <c r="H123" s="31" t="n">
        <f aca="false">SUMIFS(Trades!$X$2:$X$1146,Trades!$E$2:$E$1146,$A123,Trades!$X$2:$X$1146,"&lt;0")</f>
        <v>-82.74</v>
      </c>
      <c r="I123" s="32" t="n">
        <f aca="false">IFERROR(G123/-H123,"no loss")</f>
        <v>1.19361856417694</v>
      </c>
      <c r="J123" s="31" t="n">
        <f aca="false">_xlfn.MAXIFS(Trades!$X$2:$X$1146,Trades!$E$2:$E$1146,$A123)</f>
        <v>51.9</v>
      </c>
      <c r="K123" s="31" t="n">
        <f aca="false">_xlfn.MINIFS(Trades!$X$2:$X$1146,Trades!$E$2:$E$1146,$A123)</f>
        <v>-45.03</v>
      </c>
      <c r="L123" s="33" t="n">
        <f aca="false">SUMIFS(Trades!$Y$2:$Y$1146,Trades!$E$2:$E$1146,$A123)</f>
        <v>2.97322975872811</v>
      </c>
      <c r="M123" s="31" t="n">
        <f aca="false">P122</f>
        <v>14966.32</v>
      </c>
      <c r="N123" s="30" t="n">
        <f aca="false">IFERROR(F123/M123,0)</f>
        <v>0.00107040341246211</v>
      </c>
      <c r="O123" s="29" t="str">
        <f aca="false">IF(F123&lt;0,"down week","")</f>
        <v/>
      </c>
      <c r="P123" s="31" t="n">
        <f aca="false">M123+F123</f>
        <v>14982.34</v>
      </c>
      <c r="Q123" s="31" t="n">
        <f aca="false">P123-Summary!$C$5</f>
        <v>4982.34</v>
      </c>
    </row>
    <row r="124" customFormat="false" ht="15" hidden="false" customHeight="false" outlineLevel="0" collapsed="false">
      <c r="A124" s="43" t="n">
        <v>45509</v>
      </c>
      <c r="B124" s="29" t="n">
        <f aca="false">COUNTIFS(Trades!$E$2:$E$1146,$A124)</f>
        <v>6</v>
      </c>
      <c r="C124" s="29" t="n">
        <f aca="false">COUNTIFS(Trades!$E$2:$E$1146,$A124,Trades!$Z$2:$Z$1146,"Win")</f>
        <v>1</v>
      </c>
      <c r="D124" s="29" t="n">
        <f aca="false">COUNTIFS(Trades!$E$2:$E$1146,$A124,Trades!$Z$2:$Z$1146,"Loss")</f>
        <v>5</v>
      </c>
      <c r="E124" s="30" t="n">
        <f aca="false">IFERROR(C124/B124,0)</f>
        <v>0.166666666666667</v>
      </c>
      <c r="F124" s="31" t="n">
        <f aca="false">SUMIFS(Trades!$X$2:$X$1146,Trades!$E$2:$E$1146,$A124)</f>
        <v>-460.1</v>
      </c>
      <c r="G124" s="31" t="n">
        <f aca="false">SUMIFS(Trades!$X$2:$X$1146,Trades!$E$2:$E$1146,$A124,Trades!$X$2:$X$1146,"&gt;0")</f>
        <v>62.85</v>
      </c>
      <c r="H124" s="31" t="n">
        <f aca="false">SUMIFS(Trades!$X$2:$X$1146,Trades!$E$2:$E$1146,$A124,Trades!$X$2:$X$1146,"&lt;0")</f>
        <v>-522.95</v>
      </c>
      <c r="I124" s="32" t="n">
        <f aca="false">IFERROR(G124/-H124,"no loss")</f>
        <v>0.120183573955445</v>
      </c>
      <c r="J124" s="31" t="n">
        <f aca="false">_xlfn.MAXIFS(Trades!$X$2:$X$1146,Trades!$E$2:$E$1146,$A124)</f>
        <v>62.85</v>
      </c>
      <c r="K124" s="31" t="n">
        <f aca="false">_xlfn.MINIFS(Trades!$X$2:$X$1146,Trades!$E$2:$E$1146,$A124)</f>
        <v>-253.8</v>
      </c>
      <c r="L124" s="33" t="n">
        <f aca="false">SUMIFS(Trades!$Y$2:$Y$1146,Trades!$E$2:$E$1146,$A124)</f>
        <v>-1.77693093767867</v>
      </c>
      <c r="M124" s="31" t="n">
        <f aca="false">P123</f>
        <v>14982.34</v>
      </c>
      <c r="N124" s="30" t="n">
        <f aca="false">IFERROR(F124/M124,0)</f>
        <v>-0.0307094886379564</v>
      </c>
      <c r="O124" s="29" t="str">
        <f aca="false">IF(F124&lt;0,"down week","")</f>
        <v>down week</v>
      </c>
      <c r="P124" s="31" t="n">
        <f aca="false">M124+F124</f>
        <v>14522.24</v>
      </c>
      <c r="Q124" s="31" t="n">
        <f aca="false">P124-Summary!$C$5</f>
        <v>4522.24</v>
      </c>
    </row>
    <row r="125" customFormat="false" ht="15" hidden="false" customHeight="false" outlineLevel="0" collapsed="false">
      <c r="A125" s="43" t="n">
        <v>45516</v>
      </c>
      <c r="B125" s="29" t="n">
        <f aca="false">COUNTIFS(Trades!$E$2:$E$1146,$A125)</f>
        <v>5</v>
      </c>
      <c r="C125" s="29" t="n">
        <f aca="false">COUNTIFS(Trades!$E$2:$E$1146,$A125,Trades!$Z$2:$Z$1146,"Win")</f>
        <v>1</v>
      </c>
      <c r="D125" s="29" t="n">
        <f aca="false">COUNTIFS(Trades!$E$2:$E$1146,$A125,Trades!$Z$2:$Z$1146,"Loss")</f>
        <v>4</v>
      </c>
      <c r="E125" s="30" t="n">
        <f aca="false">IFERROR(C125/B125,0)</f>
        <v>0.2</v>
      </c>
      <c r="F125" s="31" t="n">
        <f aca="false">SUMIFS(Trades!$X$2:$X$1146,Trades!$E$2:$E$1146,$A125)</f>
        <v>-27.06</v>
      </c>
      <c r="G125" s="31" t="n">
        <f aca="false">SUMIFS(Trades!$X$2:$X$1146,Trades!$E$2:$E$1146,$A125,Trades!$X$2:$X$1146,"&gt;0")</f>
        <v>65.28</v>
      </c>
      <c r="H125" s="31" t="n">
        <f aca="false">SUMIFS(Trades!$X$2:$X$1146,Trades!$E$2:$E$1146,$A125,Trades!$X$2:$X$1146,"&lt;0")</f>
        <v>-92.34</v>
      </c>
      <c r="I125" s="32" t="n">
        <f aca="false">IFERROR(G125/-H125,"no loss")</f>
        <v>0.706952566601689</v>
      </c>
      <c r="J125" s="31" t="n">
        <f aca="false">_xlfn.MAXIFS(Trades!$X$2:$X$1146,Trades!$E$2:$E$1146,$A125)</f>
        <v>65.28</v>
      </c>
      <c r="K125" s="31" t="n">
        <f aca="false">_xlfn.MINIFS(Trades!$X$2:$X$1146,Trades!$E$2:$E$1146,$A125)</f>
        <v>-29.55</v>
      </c>
      <c r="L125" s="33" t="n">
        <f aca="false">SUMIFS(Trades!$Y$2:$Y$1146,Trades!$E$2:$E$1146,$A125)</f>
        <v>-1.52626564562415</v>
      </c>
      <c r="M125" s="31" t="n">
        <f aca="false">P124</f>
        <v>14522.24</v>
      </c>
      <c r="N125" s="30" t="n">
        <f aca="false">IFERROR(F125/M125,0)</f>
        <v>-0.00186334890485214</v>
      </c>
      <c r="O125" s="29" t="str">
        <f aca="false">IF(F125&lt;0,"down week","")</f>
        <v>down week</v>
      </c>
      <c r="P125" s="31" t="n">
        <f aca="false">M125+F125</f>
        <v>14495.18</v>
      </c>
      <c r="Q125" s="31" t="n">
        <f aca="false">P125-Summary!$C$5</f>
        <v>4495.18</v>
      </c>
    </row>
    <row r="126" customFormat="false" ht="15" hidden="false" customHeight="false" outlineLevel="0" collapsed="false">
      <c r="A126" s="43" t="n">
        <v>45523</v>
      </c>
      <c r="B126" s="29" t="n">
        <f aca="false">COUNTIFS(Trades!$E$2:$E$1146,$A126)</f>
        <v>5</v>
      </c>
      <c r="C126" s="29" t="n">
        <f aca="false">COUNTIFS(Trades!$E$2:$E$1146,$A126,Trades!$Z$2:$Z$1146,"Win")</f>
        <v>1</v>
      </c>
      <c r="D126" s="29" t="n">
        <f aca="false">COUNTIFS(Trades!$E$2:$E$1146,$A126,Trades!$Z$2:$Z$1146,"Loss")</f>
        <v>4</v>
      </c>
      <c r="E126" s="30" t="n">
        <f aca="false">IFERROR(C126/B126,0)</f>
        <v>0.2</v>
      </c>
      <c r="F126" s="31" t="n">
        <f aca="false">SUMIFS(Trades!$X$2:$X$1146,Trades!$E$2:$E$1146,$A126)</f>
        <v>51.45</v>
      </c>
      <c r="G126" s="31" t="n">
        <f aca="false">SUMIFS(Trades!$X$2:$X$1146,Trades!$E$2:$E$1146,$A126,Trades!$X$2:$X$1146,"&gt;0")</f>
        <v>117.66</v>
      </c>
      <c r="H126" s="31" t="n">
        <f aca="false">SUMIFS(Trades!$X$2:$X$1146,Trades!$E$2:$E$1146,$A126,Trades!$X$2:$X$1146,"&lt;0")</f>
        <v>-66.21</v>
      </c>
      <c r="I126" s="32" t="n">
        <f aca="false">IFERROR(G126/-H126,"no loss")</f>
        <v>1.77707294970548</v>
      </c>
      <c r="J126" s="31" t="n">
        <f aca="false">_xlfn.MAXIFS(Trades!$X$2:$X$1146,Trades!$E$2:$E$1146,$A126)</f>
        <v>117.66</v>
      </c>
      <c r="K126" s="31" t="n">
        <f aca="false">_xlfn.MINIFS(Trades!$X$2:$X$1146,Trades!$E$2:$E$1146,$A126)</f>
        <v>-25.47</v>
      </c>
      <c r="L126" s="33" t="n">
        <f aca="false">SUMIFS(Trades!$Y$2:$Y$1146,Trades!$E$2:$E$1146,$A126)</f>
        <v>-0.709746594387874</v>
      </c>
      <c r="M126" s="31" t="n">
        <f aca="false">P125</f>
        <v>14495.18</v>
      </c>
      <c r="N126" s="30" t="n">
        <f aca="false">IFERROR(F126/M126,0)</f>
        <v>0.00354945575011831</v>
      </c>
      <c r="O126" s="29" t="str">
        <f aca="false">IF(F126&lt;0,"down week","")</f>
        <v/>
      </c>
      <c r="P126" s="31" t="n">
        <f aca="false">M126+F126</f>
        <v>14546.63</v>
      </c>
      <c r="Q126" s="31" t="n">
        <f aca="false">P126-Summary!$C$5</f>
        <v>4546.63000000001</v>
      </c>
    </row>
    <row r="127" customFormat="false" ht="15" hidden="false" customHeight="false" outlineLevel="0" collapsed="false">
      <c r="A127" s="43" t="n">
        <v>45530</v>
      </c>
      <c r="B127" s="29" t="n">
        <f aca="false">COUNTIFS(Trades!$E$2:$E$1146,$A127)</f>
        <v>5</v>
      </c>
      <c r="C127" s="29" t="n">
        <f aca="false">COUNTIFS(Trades!$E$2:$E$1146,$A127,Trades!$Z$2:$Z$1146,"Win")</f>
        <v>1</v>
      </c>
      <c r="D127" s="29" t="n">
        <f aca="false">COUNTIFS(Trades!$E$2:$E$1146,$A127,Trades!$Z$2:$Z$1146,"Loss")</f>
        <v>4</v>
      </c>
      <c r="E127" s="30" t="n">
        <f aca="false">IFERROR(C127/B127,0)</f>
        <v>0.2</v>
      </c>
      <c r="F127" s="31" t="n">
        <f aca="false">SUMIFS(Trades!$X$2:$X$1146,Trades!$E$2:$E$1146,$A127)</f>
        <v>12.33</v>
      </c>
      <c r="G127" s="31" t="n">
        <f aca="false">SUMIFS(Trades!$X$2:$X$1146,Trades!$E$2:$E$1146,$A127,Trades!$X$2:$X$1146,"&gt;0")</f>
        <v>145.17</v>
      </c>
      <c r="H127" s="31" t="n">
        <f aca="false">SUMIFS(Trades!$X$2:$X$1146,Trades!$E$2:$E$1146,$A127,Trades!$X$2:$X$1146,"&lt;0")</f>
        <v>-132.84</v>
      </c>
      <c r="I127" s="32" t="n">
        <f aca="false">IFERROR(G127/-H127,"no loss")</f>
        <v>1.09281842818428</v>
      </c>
      <c r="J127" s="31" t="n">
        <f aca="false">_xlfn.MAXIFS(Trades!$X$2:$X$1146,Trades!$E$2:$E$1146,$A127)</f>
        <v>145.17</v>
      </c>
      <c r="K127" s="31" t="n">
        <f aca="false">_xlfn.MINIFS(Trades!$X$2:$X$1146,Trades!$E$2:$E$1146,$A127)</f>
        <v>-56.67</v>
      </c>
      <c r="L127" s="33" t="n">
        <f aca="false">SUMIFS(Trades!$Y$2:$Y$1146,Trades!$E$2:$E$1146,$A127)</f>
        <v>-0.63625627082746</v>
      </c>
      <c r="M127" s="31" t="n">
        <f aca="false">P126</f>
        <v>14546.63</v>
      </c>
      <c r="N127" s="30" t="n">
        <f aca="false">IFERROR(F127/M127,0)</f>
        <v>0.000847619001789417</v>
      </c>
      <c r="O127" s="29" t="str">
        <f aca="false">IF(F127&lt;0,"down week","")</f>
        <v/>
      </c>
      <c r="P127" s="31" t="n">
        <f aca="false">M127+F127</f>
        <v>14558.96</v>
      </c>
      <c r="Q127" s="31" t="n">
        <f aca="false">P127-Summary!$C$5</f>
        <v>4558.96000000001</v>
      </c>
    </row>
    <row r="128" customFormat="false" ht="15" hidden="false" customHeight="false" outlineLevel="0" collapsed="false">
      <c r="A128" s="43" t="n">
        <v>45537</v>
      </c>
      <c r="B128" s="29" t="n">
        <f aca="false">COUNTIFS(Trades!$E$2:$E$1146,$A128)</f>
        <v>6</v>
      </c>
      <c r="C128" s="29" t="n">
        <f aca="false">COUNTIFS(Trades!$E$2:$E$1146,$A128,Trades!$Z$2:$Z$1146,"Win")</f>
        <v>1</v>
      </c>
      <c r="D128" s="29" t="n">
        <f aca="false">COUNTIFS(Trades!$E$2:$E$1146,$A128,Trades!$Z$2:$Z$1146,"Loss")</f>
        <v>5</v>
      </c>
      <c r="E128" s="30" t="n">
        <f aca="false">IFERROR(C128/B128,0)</f>
        <v>0.166666666666667</v>
      </c>
      <c r="F128" s="31" t="n">
        <f aca="false">SUMIFS(Trades!$X$2:$X$1146,Trades!$E$2:$E$1146,$A128)</f>
        <v>42.6</v>
      </c>
      <c r="G128" s="31" t="n">
        <f aca="false">SUMIFS(Trades!$X$2:$X$1146,Trades!$E$2:$E$1146,$A128,Trades!$X$2:$X$1146,"&gt;0")</f>
        <v>119.22</v>
      </c>
      <c r="H128" s="31" t="n">
        <f aca="false">SUMIFS(Trades!$X$2:$X$1146,Trades!$E$2:$E$1146,$A128,Trades!$X$2:$X$1146,"&lt;0")</f>
        <v>-76.62</v>
      </c>
      <c r="I128" s="32" t="n">
        <f aca="false">IFERROR(G128/-H128,"no loss")</f>
        <v>1.55599060297572</v>
      </c>
      <c r="J128" s="31" t="n">
        <f aca="false">_xlfn.MAXIFS(Trades!$X$2:$X$1146,Trades!$E$2:$E$1146,$A128)</f>
        <v>119.22</v>
      </c>
      <c r="K128" s="31" t="n">
        <f aca="false">_xlfn.MINIFS(Trades!$X$2:$X$1146,Trades!$E$2:$E$1146,$A128)</f>
        <v>-38.58</v>
      </c>
      <c r="L128" s="33" t="n">
        <f aca="false">SUMIFS(Trades!$Y$2:$Y$1146,Trades!$E$2:$E$1146,$A128)</f>
        <v>0.478318555190764</v>
      </c>
      <c r="M128" s="31" t="n">
        <f aca="false">P127</f>
        <v>14558.96</v>
      </c>
      <c r="N128" s="30" t="n">
        <f aca="false">IFERROR(F128/M128,0)</f>
        <v>0.00292603317819405</v>
      </c>
      <c r="O128" s="29" t="str">
        <f aca="false">IF(F128&lt;0,"down week","")</f>
        <v/>
      </c>
      <c r="P128" s="31" t="n">
        <f aca="false">M128+F128</f>
        <v>14601.56</v>
      </c>
      <c r="Q128" s="31" t="n">
        <f aca="false">P128-Summary!$C$5</f>
        <v>4601.56000000001</v>
      </c>
    </row>
    <row r="129" customFormat="false" ht="15" hidden="false" customHeight="false" outlineLevel="0" collapsed="false">
      <c r="A129" s="43" t="n">
        <v>45544</v>
      </c>
      <c r="B129" s="29" t="n">
        <f aca="false">COUNTIFS(Trades!$E$2:$E$1146,$A129)</f>
        <v>6</v>
      </c>
      <c r="C129" s="29" t="n">
        <f aca="false">COUNTIFS(Trades!$E$2:$E$1146,$A129,Trades!$Z$2:$Z$1146,"Win")</f>
        <v>1</v>
      </c>
      <c r="D129" s="29" t="n">
        <f aca="false">COUNTIFS(Trades!$E$2:$E$1146,$A129,Trades!$Z$2:$Z$1146,"Loss")</f>
        <v>5</v>
      </c>
      <c r="E129" s="30" t="n">
        <f aca="false">IFERROR(C129/B129,0)</f>
        <v>0.166666666666667</v>
      </c>
      <c r="F129" s="31" t="n">
        <f aca="false">SUMIFS(Trades!$X$2:$X$1146,Trades!$E$2:$E$1146,$A129)</f>
        <v>-101.37</v>
      </c>
      <c r="G129" s="31" t="n">
        <f aca="false">SUMIFS(Trades!$X$2:$X$1146,Trades!$E$2:$E$1146,$A129,Trades!$X$2:$X$1146,"&gt;0")</f>
        <v>28.83</v>
      </c>
      <c r="H129" s="31" t="n">
        <f aca="false">SUMIFS(Trades!$X$2:$X$1146,Trades!$E$2:$E$1146,$A129,Trades!$X$2:$X$1146,"&lt;0")</f>
        <v>-130.2</v>
      </c>
      <c r="I129" s="32" t="n">
        <f aca="false">IFERROR(G129/-H129,"no loss")</f>
        <v>0.221428571428571</v>
      </c>
      <c r="J129" s="31" t="n">
        <f aca="false">_xlfn.MAXIFS(Trades!$X$2:$X$1146,Trades!$E$2:$E$1146,$A129)</f>
        <v>28.83</v>
      </c>
      <c r="K129" s="31" t="n">
        <f aca="false">_xlfn.MINIFS(Trades!$X$2:$X$1146,Trades!$E$2:$E$1146,$A129)</f>
        <v>-70.38</v>
      </c>
      <c r="L129" s="33" t="n">
        <f aca="false">SUMIFS(Trades!$Y$2:$Y$1146,Trades!$E$2:$E$1146,$A129)</f>
        <v>-0.504393586463732</v>
      </c>
      <c r="M129" s="31" t="n">
        <f aca="false">P128</f>
        <v>14601.56</v>
      </c>
      <c r="N129" s="30" t="n">
        <f aca="false">IFERROR(F129/M129,0)</f>
        <v>-0.00694240889329633</v>
      </c>
      <c r="O129" s="29" t="str">
        <f aca="false">IF(F129&lt;0,"down week","")</f>
        <v>down week</v>
      </c>
      <c r="P129" s="31" t="n">
        <f aca="false">M129+F129</f>
        <v>14500.19</v>
      </c>
      <c r="Q129" s="31" t="n">
        <f aca="false">P129-Summary!$C$5</f>
        <v>4500.19</v>
      </c>
    </row>
    <row r="130" customFormat="false" ht="15" hidden="false" customHeight="false" outlineLevel="0" collapsed="false">
      <c r="A130" s="43" t="n">
        <v>45551</v>
      </c>
      <c r="B130" s="29" t="n">
        <f aca="false">COUNTIFS(Trades!$E$2:$E$1146,$A130)</f>
        <v>4</v>
      </c>
      <c r="C130" s="29" t="n">
        <f aca="false">COUNTIFS(Trades!$E$2:$E$1146,$A130,Trades!$Z$2:$Z$1146,"Win")</f>
        <v>2</v>
      </c>
      <c r="D130" s="29" t="n">
        <f aca="false">COUNTIFS(Trades!$E$2:$E$1146,$A130,Trades!$Z$2:$Z$1146,"Loss")</f>
        <v>2</v>
      </c>
      <c r="E130" s="30" t="n">
        <f aca="false">IFERROR(C130/B130,0)</f>
        <v>0.5</v>
      </c>
      <c r="F130" s="31" t="n">
        <f aca="false">SUMIFS(Trades!$X$2:$X$1146,Trades!$E$2:$E$1146,$A130)</f>
        <v>74.64</v>
      </c>
      <c r="G130" s="31" t="n">
        <f aca="false">SUMIFS(Trades!$X$2:$X$1146,Trades!$E$2:$E$1146,$A130,Trades!$X$2:$X$1146,"&gt;0")</f>
        <v>163.71</v>
      </c>
      <c r="H130" s="31" t="n">
        <f aca="false">SUMIFS(Trades!$X$2:$X$1146,Trades!$E$2:$E$1146,$A130,Trades!$X$2:$X$1146,"&lt;0")</f>
        <v>-89.07</v>
      </c>
      <c r="I130" s="32" t="n">
        <f aca="false">IFERROR(G130/-H130,"no loss")</f>
        <v>1.83799259009768</v>
      </c>
      <c r="J130" s="31" t="n">
        <f aca="false">_xlfn.MAXIFS(Trades!$X$2:$X$1146,Trades!$E$2:$E$1146,$A130)</f>
        <v>143.07</v>
      </c>
      <c r="K130" s="31" t="n">
        <f aca="false">_xlfn.MINIFS(Trades!$X$2:$X$1146,Trades!$E$2:$E$1146,$A130)</f>
        <v>-60.27</v>
      </c>
      <c r="L130" s="33" t="n">
        <f aca="false">SUMIFS(Trades!$Y$2:$Y$1146,Trades!$E$2:$E$1146,$A130)</f>
        <v>3.20228468703137</v>
      </c>
      <c r="M130" s="31" t="n">
        <f aca="false">P129</f>
        <v>14500.19</v>
      </c>
      <c r="N130" s="30" t="n">
        <f aca="false">IFERROR(F130/M130,0)</f>
        <v>0.00514751875665077</v>
      </c>
      <c r="O130" s="29" t="str">
        <f aca="false">IF(F130&lt;0,"down week","")</f>
        <v/>
      </c>
      <c r="P130" s="31" t="n">
        <f aca="false">M130+F130</f>
        <v>14574.83</v>
      </c>
      <c r="Q130" s="31" t="n">
        <f aca="false">P130-Summary!$C$5</f>
        <v>4574.83</v>
      </c>
    </row>
    <row r="131" customFormat="false" ht="15" hidden="false" customHeight="false" outlineLevel="0" collapsed="false">
      <c r="A131" s="43" t="n">
        <v>45558</v>
      </c>
      <c r="B131" s="29" t="n">
        <f aca="false">COUNTIFS(Trades!$E$2:$E$1146,$A131)</f>
        <v>4</v>
      </c>
      <c r="C131" s="29" t="n">
        <f aca="false">COUNTIFS(Trades!$E$2:$E$1146,$A131,Trades!$Z$2:$Z$1146,"Win")</f>
        <v>3</v>
      </c>
      <c r="D131" s="29" t="n">
        <f aca="false">COUNTIFS(Trades!$E$2:$E$1146,$A131,Trades!$Z$2:$Z$1146,"Loss")</f>
        <v>1</v>
      </c>
      <c r="E131" s="30" t="n">
        <f aca="false">IFERROR(C131/B131,0)</f>
        <v>0.75</v>
      </c>
      <c r="F131" s="31" t="n">
        <f aca="false">SUMIFS(Trades!$X$2:$X$1146,Trades!$E$2:$E$1146,$A131)</f>
        <v>186.75</v>
      </c>
      <c r="G131" s="31" t="n">
        <f aca="false">SUMIFS(Trades!$X$2:$X$1146,Trades!$E$2:$E$1146,$A131,Trades!$X$2:$X$1146,"&gt;0")</f>
        <v>187.5</v>
      </c>
      <c r="H131" s="31" t="n">
        <f aca="false">SUMIFS(Trades!$X$2:$X$1146,Trades!$E$2:$E$1146,$A131,Trades!$X$2:$X$1146,"&lt;0")</f>
        <v>-0.75</v>
      </c>
      <c r="I131" s="32" t="n">
        <f aca="false">IFERROR(G131/-H131,"no loss")</f>
        <v>250</v>
      </c>
      <c r="J131" s="31" t="n">
        <f aca="false">_xlfn.MAXIFS(Trades!$X$2:$X$1146,Trades!$E$2:$E$1146,$A131)</f>
        <v>98.4</v>
      </c>
      <c r="K131" s="31" t="n">
        <f aca="false">_xlfn.MINIFS(Trades!$X$2:$X$1146,Trades!$E$2:$E$1146,$A131)</f>
        <v>-0.75</v>
      </c>
      <c r="L131" s="33" t="n">
        <f aca="false">SUMIFS(Trades!$Y$2:$Y$1146,Trades!$E$2:$E$1146,$A131)</f>
        <v>7.54271758154077</v>
      </c>
      <c r="M131" s="31" t="n">
        <f aca="false">P130</f>
        <v>14574.83</v>
      </c>
      <c r="N131" s="30" t="n">
        <f aca="false">IFERROR(F131/M131,0)</f>
        <v>0.012813185471117</v>
      </c>
      <c r="O131" s="29" t="str">
        <f aca="false">IF(F131&lt;0,"down week","")</f>
        <v/>
      </c>
      <c r="P131" s="31" t="n">
        <f aca="false">M131+F131</f>
        <v>14761.58</v>
      </c>
      <c r="Q131" s="31" t="n">
        <f aca="false">P131-Summary!$C$5</f>
        <v>4761.58</v>
      </c>
    </row>
    <row r="132" customFormat="false" ht="15" hidden="false" customHeight="false" outlineLevel="0" collapsed="false">
      <c r="A132" s="43" t="n">
        <v>45565</v>
      </c>
      <c r="B132" s="29" t="n">
        <f aca="false">COUNTIFS(Trades!$E$2:$E$1146,$A132)</f>
        <v>5</v>
      </c>
      <c r="C132" s="29" t="n">
        <f aca="false">COUNTIFS(Trades!$E$2:$E$1146,$A132,Trades!$Z$2:$Z$1146,"Win")</f>
        <v>1</v>
      </c>
      <c r="D132" s="29" t="n">
        <f aca="false">COUNTIFS(Trades!$E$2:$E$1146,$A132,Trades!$Z$2:$Z$1146,"Loss")</f>
        <v>4</v>
      </c>
      <c r="E132" s="30" t="n">
        <f aca="false">IFERROR(C132/B132,0)</f>
        <v>0.2</v>
      </c>
      <c r="F132" s="31" t="n">
        <f aca="false">SUMIFS(Trades!$X$2:$X$1146,Trades!$E$2:$E$1146,$A132)</f>
        <v>-147.96</v>
      </c>
      <c r="G132" s="31" t="n">
        <f aca="false">SUMIFS(Trades!$X$2:$X$1146,Trades!$E$2:$E$1146,$A132,Trades!$X$2:$X$1146,"&gt;0")</f>
        <v>41.97</v>
      </c>
      <c r="H132" s="31" t="n">
        <f aca="false">SUMIFS(Trades!$X$2:$X$1146,Trades!$E$2:$E$1146,$A132,Trades!$X$2:$X$1146,"&lt;0")</f>
        <v>-189.93</v>
      </c>
      <c r="I132" s="32" t="n">
        <f aca="false">IFERROR(G132/-H132,"no loss")</f>
        <v>0.220976149107566</v>
      </c>
      <c r="J132" s="31" t="n">
        <f aca="false">_xlfn.MAXIFS(Trades!$X$2:$X$1146,Trades!$E$2:$E$1146,$A132)</f>
        <v>41.97</v>
      </c>
      <c r="K132" s="31" t="n">
        <f aca="false">_xlfn.MINIFS(Trades!$X$2:$X$1146,Trades!$E$2:$E$1146,$A132)</f>
        <v>-91.26</v>
      </c>
      <c r="L132" s="33" t="n">
        <f aca="false">SUMIFS(Trades!$Y$2:$Y$1146,Trades!$E$2:$E$1146,$A132)</f>
        <v>-0.596557531132779</v>
      </c>
      <c r="M132" s="31" t="n">
        <f aca="false">P131</f>
        <v>14761.58</v>
      </c>
      <c r="N132" s="30" t="n">
        <f aca="false">IFERROR(F132/M132,0)</f>
        <v>-0.0100233172871739</v>
      </c>
      <c r="O132" s="29" t="str">
        <f aca="false">IF(F132&lt;0,"down week","")</f>
        <v>down week</v>
      </c>
      <c r="P132" s="31" t="n">
        <f aca="false">M132+F132</f>
        <v>14613.62</v>
      </c>
      <c r="Q132" s="31" t="n">
        <f aca="false">P132-Summary!$C$5</f>
        <v>4613.62</v>
      </c>
    </row>
    <row r="133" customFormat="false" ht="15" hidden="false" customHeight="false" outlineLevel="0" collapsed="false">
      <c r="A133" s="43" t="n">
        <v>45572</v>
      </c>
      <c r="B133" s="29" t="n">
        <f aca="false">COUNTIFS(Trades!$E$2:$E$1146,$A133)</f>
        <v>5</v>
      </c>
      <c r="C133" s="29" t="n">
        <f aca="false">COUNTIFS(Trades!$E$2:$E$1146,$A133,Trades!$Z$2:$Z$1146,"Win")</f>
        <v>0</v>
      </c>
      <c r="D133" s="29" t="n">
        <f aca="false">COUNTIFS(Trades!$E$2:$E$1146,$A133,Trades!$Z$2:$Z$1146,"Loss")</f>
        <v>5</v>
      </c>
      <c r="E133" s="30" t="n">
        <f aca="false">IFERROR(C133/B133,0)</f>
        <v>0</v>
      </c>
      <c r="F133" s="31" t="n">
        <f aca="false">SUMIFS(Trades!$X$2:$X$1146,Trades!$E$2:$E$1146,$A133)</f>
        <v>-231.75</v>
      </c>
      <c r="G133" s="31" t="n">
        <f aca="false">SUMIFS(Trades!$X$2:$X$1146,Trades!$E$2:$E$1146,$A133,Trades!$X$2:$X$1146,"&gt;0")</f>
        <v>0</v>
      </c>
      <c r="H133" s="31" t="n">
        <f aca="false">SUMIFS(Trades!$X$2:$X$1146,Trades!$E$2:$E$1146,$A133,Trades!$X$2:$X$1146,"&lt;0")</f>
        <v>-231.75</v>
      </c>
      <c r="I133" s="32" t="n">
        <f aca="false">IFERROR(G133/-H133,"no loss")</f>
        <v>0</v>
      </c>
      <c r="J133" s="31" t="n">
        <f aca="false">_xlfn.MAXIFS(Trades!$X$2:$X$1146,Trades!$E$2:$E$1146,$A133)</f>
        <v>-0.57</v>
      </c>
      <c r="K133" s="31" t="n">
        <f aca="false">_xlfn.MINIFS(Trades!$X$2:$X$1146,Trades!$E$2:$E$1146,$A133)</f>
        <v>-110.97</v>
      </c>
      <c r="L133" s="33" t="n">
        <f aca="false">SUMIFS(Trades!$Y$2:$Y$1146,Trades!$E$2:$E$1146,$A133)</f>
        <v>-4.46261607933896</v>
      </c>
      <c r="M133" s="31" t="n">
        <f aca="false">P132</f>
        <v>14613.62</v>
      </c>
      <c r="N133" s="30" t="n">
        <f aca="false">IFERROR(F133/M133,0)</f>
        <v>-0.0158584936518125</v>
      </c>
      <c r="O133" s="29" t="str">
        <f aca="false">IF(F133&lt;0,"down week","")</f>
        <v>down week</v>
      </c>
      <c r="P133" s="31" t="n">
        <f aca="false">M133+F133</f>
        <v>14381.87</v>
      </c>
      <c r="Q133" s="31" t="n">
        <f aca="false">P133-Summary!$C$5</f>
        <v>4381.87</v>
      </c>
    </row>
    <row r="134" customFormat="false" ht="15" hidden="false" customHeight="false" outlineLevel="0" collapsed="false">
      <c r="A134" s="43" t="n">
        <v>45579</v>
      </c>
      <c r="B134" s="29" t="n">
        <f aca="false">COUNTIFS(Trades!$E$2:$E$1146,$A134)</f>
        <v>4</v>
      </c>
      <c r="C134" s="29" t="n">
        <f aca="false">COUNTIFS(Trades!$E$2:$E$1146,$A134,Trades!$Z$2:$Z$1146,"Win")</f>
        <v>0</v>
      </c>
      <c r="D134" s="29" t="n">
        <f aca="false">COUNTIFS(Trades!$E$2:$E$1146,$A134,Trades!$Z$2:$Z$1146,"Loss")</f>
        <v>4</v>
      </c>
      <c r="E134" s="30" t="n">
        <f aca="false">IFERROR(C134/B134,0)</f>
        <v>0</v>
      </c>
      <c r="F134" s="31" t="n">
        <f aca="false">SUMIFS(Trades!$X$2:$X$1146,Trades!$E$2:$E$1146,$A134)</f>
        <v>-17.25</v>
      </c>
      <c r="G134" s="31" t="n">
        <f aca="false">SUMIFS(Trades!$X$2:$X$1146,Trades!$E$2:$E$1146,$A134,Trades!$X$2:$X$1146,"&gt;0")</f>
        <v>0</v>
      </c>
      <c r="H134" s="31" t="n">
        <f aca="false">SUMIFS(Trades!$X$2:$X$1146,Trades!$E$2:$E$1146,$A134,Trades!$X$2:$X$1146,"&lt;0")</f>
        <v>-17.25</v>
      </c>
      <c r="I134" s="32" t="n">
        <f aca="false">IFERROR(G134/-H134,"no loss")</f>
        <v>0</v>
      </c>
      <c r="J134" s="31" t="n">
        <f aca="false">_xlfn.MAXIFS(Trades!$X$2:$X$1146,Trades!$E$2:$E$1146,$A134)</f>
        <v>-0.42</v>
      </c>
      <c r="K134" s="31" t="n">
        <f aca="false">_xlfn.MINIFS(Trades!$X$2:$X$1146,Trades!$E$2:$E$1146,$A134)</f>
        <v>-13.56</v>
      </c>
      <c r="L134" s="33" t="n">
        <f aca="false">SUMIFS(Trades!$Y$2:$Y$1146,Trades!$E$2:$E$1146,$A134)</f>
        <v>-1.15115268961907</v>
      </c>
      <c r="M134" s="31" t="n">
        <f aca="false">P133</f>
        <v>14381.87</v>
      </c>
      <c r="N134" s="30" t="n">
        <f aca="false">IFERROR(F134/M134,0)</f>
        <v>-0.00119942677829795</v>
      </c>
      <c r="O134" s="29" t="str">
        <f aca="false">IF(F134&lt;0,"down week","")</f>
        <v>down week</v>
      </c>
      <c r="P134" s="31" t="n">
        <f aca="false">M134+F134</f>
        <v>14364.62</v>
      </c>
      <c r="Q134" s="31" t="n">
        <f aca="false">P134-Summary!$C$5</f>
        <v>4364.62</v>
      </c>
    </row>
    <row r="135" customFormat="false" ht="15" hidden="false" customHeight="false" outlineLevel="0" collapsed="false">
      <c r="A135" s="43" t="n">
        <v>45586</v>
      </c>
      <c r="B135" s="29" t="n">
        <f aca="false">COUNTIFS(Trades!$E$2:$E$1146,$A135)</f>
        <v>4</v>
      </c>
      <c r="C135" s="29" t="n">
        <f aca="false">COUNTIFS(Trades!$E$2:$E$1146,$A135,Trades!$Z$2:$Z$1146,"Win")</f>
        <v>0</v>
      </c>
      <c r="D135" s="29" t="n">
        <f aca="false">COUNTIFS(Trades!$E$2:$E$1146,$A135,Trades!$Z$2:$Z$1146,"Loss")</f>
        <v>4</v>
      </c>
      <c r="E135" s="30" t="n">
        <f aca="false">IFERROR(C135/B135,0)</f>
        <v>0</v>
      </c>
      <c r="F135" s="31" t="n">
        <f aca="false">SUMIFS(Trades!$X$2:$X$1146,Trades!$E$2:$E$1146,$A135)</f>
        <v>-158.04</v>
      </c>
      <c r="G135" s="31" t="n">
        <f aca="false">SUMIFS(Trades!$X$2:$X$1146,Trades!$E$2:$E$1146,$A135,Trades!$X$2:$X$1146,"&gt;0")</f>
        <v>0</v>
      </c>
      <c r="H135" s="31" t="n">
        <f aca="false">SUMIFS(Trades!$X$2:$X$1146,Trades!$E$2:$E$1146,$A135,Trades!$X$2:$X$1146,"&lt;0")</f>
        <v>-158.04</v>
      </c>
      <c r="I135" s="32" t="n">
        <f aca="false">IFERROR(G135/-H135,"no loss")</f>
        <v>0</v>
      </c>
      <c r="J135" s="31" t="n">
        <f aca="false">_xlfn.MAXIFS(Trades!$X$2:$X$1146,Trades!$E$2:$E$1146,$A135)</f>
        <v>-17.91</v>
      </c>
      <c r="K135" s="31" t="n">
        <f aca="false">_xlfn.MINIFS(Trades!$X$2:$X$1146,Trades!$E$2:$E$1146,$A135)</f>
        <v>-58.35</v>
      </c>
      <c r="L135" s="33" t="n">
        <f aca="false">SUMIFS(Trades!$Y$2:$Y$1146,Trades!$E$2:$E$1146,$A135)</f>
        <v>-4.02667607043881</v>
      </c>
      <c r="M135" s="31" t="n">
        <f aca="false">P134</f>
        <v>14364.62</v>
      </c>
      <c r="N135" s="30" t="n">
        <f aca="false">IFERROR(F135/M135,0)</f>
        <v>-0.0110020313798764</v>
      </c>
      <c r="O135" s="29" t="str">
        <f aca="false">IF(F135&lt;0,"down week","")</f>
        <v>down week</v>
      </c>
      <c r="P135" s="31" t="n">
        <f aca="false">M135+F135</f>
        <v>14206.58</v>
      </c>
      <c r="Q135" s="31" t="n">
        <f aca="false">P135-Summary!$C$5</f>
        <v>4206.58</v>
      </c>
    </row>
    <row r="136" customFormat="false" ht="15" hidden="false" customHeight="false" outlineLevel="0" collapsed="false">
      <c r="A136" s="43" t="n">
        <v>45593</v>
      </c>
      <c r="B136" s="29" t="n">
        <f aca="false">COUNTIFS(Trades!$E$2:$E$1146,$A136)</f>
        <v>4</v>
      </c>
      <c r="C136" s="29" t="n">
        <f aca="false">COUNTIFS(Trades!$E$2:$E$1146,$A136,Trades!$Z$2:$Z$1146,"Win")</f>
        <v>0</v>
      </c>
      <c r="D136" s="29" t="n">
        <f aca="false">COUNTIFS(Trades!$E$2:$E$1146,$A136,Trades!$Z$2:$Z$1146,"Loss")</f>
        <v>4</v>
      </c>
      <c r="E136" s="30" t="n">
        <f aca="false">IFERROR(C136/B136,0)</f>
        <v>0</v>
      </c>
      <c r="F136" s="31" t="n">
        <f aca="false">SUMIFS(Trades!$X$2:$X$1146,Trades!$E$2:$E$1146,$A136)</f>
        <v>-80.01</v>
      </c>
      <c r="G136" s="31" t="n">
        <f aca="false">SUMIFS(Trades!$X$2:$X$1146,Trades!$E$2:$E$1146,$A136,Trades!$X$2:$X$1146,"&gt;0")</f>
        <v>0</v>
      </c>
      <c r="H136" s="31" t="n">
        <f aca="false">SUMIFS(Trades!$X$2:$X$1146,Trades!$E$2:$E$1146,$A136,Trades!$X$2:$X$1146,"&lt;0")</f>
        <v>-80.01</v>
      </c>
      <c r="I136" s="32" t="n">
        <f aca="false">IFERROR(G136/-H136,"no loss")</f>
        <v>0</v>
      </c>
      <c r="J136" s="31" t="n">
        <f aca="false">_xlfn.MAXIFS(Trades!$X$2:$X$1146,Trades!$E$2:$E$1146,$A136)</f>
        <v>-1.02</v>
      </c>
      <c r="K136" s="31" t="n">
        <f aca="false">_xlfn.MINIFS(Trades!$X$2:$X$1146,Trades!$E$2:$E$1146,$A136)</f>
        <v>-34.08</v>
      </c>
      <c r="L136" s="33" t="n">
        <f aca="false">SUMIFS(Trades!$Y$2:$Y$1146,Trades!$E$2:$E$1146,$A136)</f>
        <v>-3.41431945749523</v>
      </c>
      <c r="M136" s="31" t="n">
        <f aca="false">P135</f>
        <v>14206.58</v>
      </c>
      <c r="N136" s="30" t="n">
        <f aca="false">IFERROR(F136/M136,0)</f>
        <v>-0.00563189733208133</v>
      </c>
      <c r="O136" s="29" t="str">
        <f aca="false">IF(F136&lt;0,"down week","")</f>
        <v>down week</v>
      </c>
      <c r="P136" s="31" t="n">
        <f aca="false">M136+F136</f>
        <v>14126.57</v>
      </c>
      <c r="Q136" s="31" t="n">
        <f aca="false">P136-Summary!$C$5</f>
        <v>4126.57</v>
      </c>
    </row>
    <row r="137" customFormat="false" ht="15" hidden="false" customHeight="false" outlineLevel="0" collapsed="false">
      <c r="A137" s="43" t="n">
        <v>45600</v>
      </c>
      <c r="B137" s="29" t="n">
        <f aca="false">COUNTIFS(Trades!$E$2:$E$1146,$A137)</f>
        <v>4</v>
      </c>
      <c r="C137" s="29" t="n">
        <f aca="false">COUNTIFS(Trades!$E$2:$E$1146,$A137,Trades!$Z$2:$Z$1146,"Win")</f>
        <v>2</v>
      </c>
      <c r="D137" s="29" t="n">
        <f aca="false">COUNTIFS(Trades!$E$2:$E$1146,$A137,Trades!$Z$2:$Z$1146,"Loss")</f>
        <v>2</v>
      </c>
      <c r="E137" s="30" t="n">
        <f aca="false">IFERROR(C137/B137,0)</f>
        <v>0.5</v>
      </c>
      <c r="F137" s="31" t="n">
        <f aca="false">SUMIFS(Trades!$X$2:$X$1146,Trades!$E$2:$E$1146,$A137)</f>
        <v>186.18</v>
      </c>
      <c r="G137" s="31" t="n">
        <f aca="false">SUMIFS(Trades!$X$2:$X$1146,Trades!$E$2:$E$1146,$A137,Trades!$X$2:$X$1146,"&gt;0")</f>
        <v>203.13</v>
      </c>
      <c r="H137" s="31" t="n">
        <f aca="false">SUMIFS(Trades!$X$2:$X$1146,Trades!$E$2:$E$1146,$A137,Trades!$X$2:$X$1146,"&lt;0")</f>
        <v>-16.95</v>
      </c>
      <c r="I137" s="32" t="n">
        <f aca="false">IFERROR(G137/-H137,"no loss")</f>
        <v>11.9840707964602</v>
      </c>
      <c r="J137" s="31" t="n">
        <f aca="false">_xlfn.MAXIFS(Trades!$X$2:$X$1146,Trades!$E$2:$E$1146,$A137)</f>
        <v>134.91</v>
      </c>
      <c r="K137" s="31" t="n">
        <f aca="false">_xlfn.MINIFS(Trades!$X$2:$X$1146,Trades!$E$2:$E$1146,$A137)</f>
        <v>-16.02</v>
      </c>
      <c r="L137" s="33" t="n">
        <f aca="false">SUMIFS(Trades!$Y$2:$Y$1146,Trades!$E$2:$E$1146,$A137)</f>
        <v>3.89784287796023</v>
      </c>
      <c r="M137" s="31" t="n">
        <f aca="false">P136</f>
        <v>14126.57</v>
      </c>
      <c r="N137" s="30" t="n">
        <f aca="false">IFERROR(F137/M137,0)</f>
        <v>0.0131794200573812</v>
      </c>
      <c r="O137" s="29" t="str">
        <f aca="false">IF(F137&lt;0,"down week","")</f>
        <v/>
      </c>
      <c r="P137" s="31" t="n">
        <f aca="false">M137+F137</f>
        <v>14312.75</v>
      </c>
      <c r="Q137" s="31" t="n">
        <f aca="false">P137-Summary!$C$5</f>
        <v>4312.75</v>
      </c>
    </row>
    <row r="138" customFormat="false" ht="15" hidden="false" customHeight="false" outlineLevel="0" collapsed="false">
      <c r="A138" s="43" t="n">
        <v>45607</v>
      </c>
      <c r="B138" s="29" t="n">
        <f aca="false">COUNTIFS(Trades!$E$2:$E$1146,$A138)</f>
        <v>6</v>
      </c>
      <c r="C138" s="29" t="n">
        <f aca="false">COUNTIFS(Trades!$E$2:$E$1146,$A138,Trades!$Z$2:$Z$1146,"Win")</f>
        <v>2</v>
      </c>
      <c r="D138" s="29" t="n">
        <f aca="false">COUNTIFS(Trades!$E$2:$E$1146,$A138,Trades!$Z$2:$Z$1146,"Loss")</f>
        <v>4</v>
      </c>
      <c r="E138" s="30" t="n">
        <f aca="false">IFERROR(C138/B138,0)</f>
        <v>0.333333333333333</v>
      </c>
      <c r="F138" s="31" t="n">
        <f aca="false">SUMIFS(Trades!$X$2:$X$1146,Trades!$E$2:$E$1146,$A138)</f>
        <v>86.85</v>
      </c>
      <c r="G138" s="31" t="n">
        <f aca="false">SUMIFS(Trades!$X$2:$X$1146,Trades!$E$2:$E$1146,$A138,Trades!$X$2:$X$1146,"&gt;0")</f>
        <v>192.27</v>
      </c>
      <c r="H138" s="31" t="n">
        <f aca="false">SUMIFS(Trades!$X$2:$X$1146,Trades!$E$2:$E$1146,$A138,Trades!$X$2:$X$1146,"&lt;0")</f>
        <v>-105.42</v>
      </c>
      <c r="I138" s="32" t="n">
        <f aca="false">IFERROR(G138/-H138,"no loss")</f>
        <v>1.82384746727376</v>
      </c>
      <c r="J138" s="31" t="n">
        <f aca="false">_xlfn.MAXIFS(Trades!$X$2:$X$1146,Trades!$E$2:$E$1146,$A138)</f>
        <v>97.74</v>
      </c>
      <c r="K138" s="31" t="n">
        <f aca="false">_xlfn.MINIFS(Trades!$X$2:$X$1146,Trades!$E$2:$E$1146,$A138)</f>
        <v>-56.97</v>
      </c>
      <c r="L138" s="33" t="n">
        <f aca="false">SUMIFS(Trades!$Y$2:$Y$1146,Trades!$E$2:$E$1146,$A138)</f>
        <v>1.80255496736447</v>
      </c>
      <c r="M138" s="31" t="n">
        <f aca="false">P137</f>
        <v>14312.75</v>
      </c>
      <c r="N138" s="30" t="n">
        <f aca="false">IFERROR(F138/M138,0)</f>
        <v>0.00606801627919163</v>
      </c>
      <c r="O138" s="29" t="str">
        <f aca="false">IF(F138&lt;0,"down week","")</f>
        <v/>
      </c>
      <c r="P138" s="31" t="n">
        <f aca="false">M138+F138</f>
        <v>14399.6</v>
      </c>
      <c r="Q138" s="31" t="n">
        <f aca="false">P138-Summary!$C$5</f>
        <v>4399.6</v>
      </c>
    </row>
    <row r="139" customFormat="false" ht="15" hidden="false" customHeight="false" outlineLevel="0" collapsed="false">
      <c r="A139" s="43" t="n">
        <v>45614</v>
      </c>
      <c r="B139" s="29" t="n">
        <f aca="false">COUNTIFS(Trades!$E$2:$E$1146,$A139)</f>
        <v>4</v>
      </c>
      <c r="C139" s="29" t="n">
        <f aca="false">COUNTIFS(Trades!$E$2:$E$1146,$A139,Trades!$Z$2:$Z$1146,"Win")</f>
        <v>2</v>
      </c>
      <c r="D139" s="29" t="n">
        <f aca="false">COUNTIFS(Trades!$E$2:$E$1146,$A139,Trades!$Z$2:$Z$1146,"Loss")</f>
        <v>2</v>
      </c>
      <c r="E139" s="30" t="n">
        <f aca="false">IFERROR(C139/B139,0)</f>
        <v>0.5</v>
      </c>
      <c r="F139" s="31" t="n">
        <f aca="false">SUMIFS(Trades!$X$2:$X$1146,Trades!$E$2:$E$1146,$A139)</f>
        <v>122.31</v>
      </c>
      <c r="G139" s="31" t="n">
        <f aca="false">SUMIFS(Trades!$X$2:$X$1146,Trades!$E$2:$E$1146,$A139,Trades!$X$2:$X$1146,"&gt;0")</f>
        <v>142.74</v>
      </c>
      <c r="H139" s="31" t="n">
        <f aca="false">SUMIFS(Trades!$X$2:$X$1146,Trades!$E$2:$E$1146,$A139,Trades!$X$2:$X$1146,"&lt;0")</f>
        <v>-20.43</v>
      </c>
      <c r="I139" s="32" t="n">
        <f aca="false">IFERROR(G139/-H139,"no loss")</f>
        <v>6.98678414096916</v>
      </c>
      <c r="J139" s="31" t="n">
        <f aca="false">_xlfn.MAXIFS(Trades!$X$2:$X$1146,Trades!$E$2:$E$1146,$A139)</f>
        <v>109.77</v>
      </c>
      <c r="K139" s="31" t="n">
        <f aca="false">_xlfn.MINIFS(Trades!$X$2:$X$1146,Trades!$E$2:$E$1146,$A139)</f>
        <v>-19.5</v>
      </c>
      <c r="L139" s="33" t="n">
        <f aca="false">SUMIFS(Trades!$Y$2:$Y$1146,Trades!$E$2:$E$1146,$A139)</f>
        <v>3.98218968289865</v>
      </c>
      <c r="M139" s="31" t="n">
        <f aca="false">P138</f>
        <v>14399.6</v>
      </c>
      <c r="N139" s="30" t="n">
        <f aca="false">IFERROR(F139/M139,0)</f>
        <v>0.008493985944054</v>
      </c>
      <c r="O139" s="29" t="str">
        <f aca="false">IF(F139&lt;0,"down week","")</f>
        <v/>
      </c>
      <c r="P139" s="31" t="n">
        <f aca="false">M139+F139</f>
        <v>14521.91</v>
      </c>
      <c r="Q139" s="31" t="n">
        <f aca="false">P139-Summary!$C$5</f>
        <v>4521.91</v>
      </c>
    </row>
    <row r="140" customFormat="false" ht="15" hidden="false" customHeight="false" outlineLevel="0" collapsed="false">
      <c r="A140" s="43" t="n">
        <v>45621</v>
      </c>
      <c r="B140" s="29" t="n">
        <f aca="false">COUNTIFS(Trades!$E$2:$E$1146,$A140)</f>
        <v>4</v>
      </c>
      <c r="C140" s="29" t="n">
        <f aca="false">COUNTIFS(Trades!$E$2:$E$1146,$A140,Trades!$Z$2:$Z$1146,"Win")</f>
        <v>1</v>
      </c>
      <c r="D140" s="29" t="n">
        <f aca="false">COUNTIFS(Trades!$E$2:$E$1146,$A140,Trades!$Z$2:$Z$1146,"Loss")</f>
        <v>3</v>
      </c>
      <c r="E140" s="30" t="n">
        <f aca="false">IFERROR(C140/B140,0)</f>
        <v>0.25</v>
      </c>
      <c r="F140" s="31" t="n">
        <f aca="false">SUMIFS(Trades!$X$2:$X$1146,Trades!$E$2:$E$1146,$A140)</f>
        <v>-67.41</v>
      </c>
      <c r="G140" s="31" t="n">
        <f aca="false">SUMIFS(Trades!$X$2:$X$1146,Trades!$E$2:$E$1146,$A140,Trades!$X$2:$X$1146,"&gt;0")</f>
        <v>28.17</v>
      </c>
      <c r="H140" s="31" t="n">
        <f aca="false">SUMIFS(Trades!$X$2:$X$1146,Trades!$E$2:$E$1146,$A140,Trades!$X$2:$X$1146,"&lt;0")</f>
        <v>-95.58</v>
      </c>
      <c r="I140" s="32" t="n">
        <f aca="false">IFERROR(G140/-H140,"no loss")</f>
        <v>0.294726930320151</v>
      </c>
      <c r="J140" s="31" t="n">
        <f aca="false">_xlfn.MAXIFS(Trades!$X$2:$X$1146,Trades!$E$2:$E$1146,$A140)</f>
        <v>28.17</v>
      </c>
      <c r="K140" s="31" t="n">
        <f aca="false">_xlfn.MINIFS(Trades!$X$2:$X$1146,Trades!$E$2:$E$1146,$A140)</f>
        <v>-51.15</v>
      </c>
      <c r="L140" s="33" t="n">
        <f aca="false">SUMIFS(Trades!$Y$2:$Y$1146,Trades!$E$2:$E$1146,$A140)</f>
        <v>0.526745836598383</v>
      </c>
      <c r="M140" s="31" t="n">
        <f aca="false">P139</f>
        <v>14521.91</v>
      </c>
      <c r="N140" s="30" t="n">
        <f aca="false">IFERROR(F140/M140,0)</f>
        <v>-0.00464195136865605</v>
      </c>
      <c r="O140" s="29" t="str">
        <f aca="false">IF(F140&lt;0,"down week","")</f>
        <v>down week</v>
      </c>
      <c r="P140" s="31" t="n">
        <f aca="false">M140+F140</f>
        <v>14454.5</v>
      </c>
      <c r="Q140" s="31" t="n">
        <f aca="false">P140-Summary!$C$5</f>
        <v>4454.5</v>
      </c>
    </row>
    <row r="141" customFormat="false" ht="15" hidden="false" customHeight="false" outlineLevel="0" collapsed="false">
      <c r="A141" s="43" t="n">
        <v>45628</v>
      </c>
      <c r="B141" s="29" t="n">
        <f aca="false">COUNTIFS(Trades!$E$2:$E$1146,$A141)</f>
        <v>6</v>
      </c>
      <c r="C141" s="29" t="n">
        <f aca="false">COUNTIFS(Trades!$E$2:$E$1146,$A141,Trades!$Z$2:$Z$1146,"Win")</f>
        <v>4</v>
      </c>
      <c r="D141" s="29" t="n">
        <f aca="false">COUNTIFS(Trades!$E$2:$E$1146,$A141,Trades!$Z$2:$Z$1146,"Loss")</f>
        <v>2</v>
      </c>
      <c r="E141" s="30" t="n">
        <f aca="false">IFERROR(C141/B141,0)</f>
        <v>0.666666666666667</v>
      </c>
      <c r="F141" s="31" t="n">
        <f aca="false">SUMIFS(Trades!$X$2:$X$1146,Trades!$E$2:$E$1146,$A141)</f>
        <v>206.97</v>
      </c>
      <c r="G141" s="31" t="n">
        <f aca="false">SUMIFS(Trades!$X$2:$X$1146,Trades!$E$2:$E$1146,$A141,Trades!$X$2:$X$1146,"&gt;0")</f>
        <v>234.24</v>
      </c>
      <c r="H141" s="31" t="n">
        <f aca="false">SUMIFS(Trades!$X$2:$X$1146,Trades!$E$2:$E$1146,$A141,Trades!$X$2:$X$1146,"&lt;0")</f>
        <v>-27.27</v>
      </c>
      <c r="I141" s="32" t="n">
        <f aca="false">IFERROR(G141/-H141,"no loss")</f>
        <v>8.58965896589659</v>
      </c>
      <c r="J141" s="31" t="n">
        <f aca="false">_xlfn.MAXIFS(Trades!$X$2:$X$1146,Trades!$E$2:$E$1146,$A141)</f>
        <v>103.68</v>
      </c>
      <c r="K141" s="31" t="n">
        <f aca="false">_xlfn.MINIFS(Trades!$X$2:$X$1146,Trades!$E$2:$E$1146,$A141)</f>
        <v>-26.88</v>
      </c>
      <c r="L141" s="33" t="n">
        <f aca="false">SUMIFS(Trades!$Y$2:$Y$1146,Trades!$E$2:$E$1146,$A141)</f>
        <v>8.94547473258773</v>
      </c>
      <c r="M141" s="31" t="n">
        <f aca="false">P140</f>
        <v>14454.5</v>
      </c>
      <c r="N141" s="30" t="n">
        <f aca="false">IFERROR(F141/M141,0)</f>
        <v>0.0143187242727178</v>
      </c>
      <c r="O141" s="29" t="str">
        <f aca="false">IF(F141&lt;0,"down week","")</f>
        <v/>
      </c>
      <c r="P141" s="31" t="n">
        <f aca="false">M141+F141</f>
        <v>14661.47</v>
      </c>
      <c r="Q141" s="31" t="n">
        <f aca="false">P141-Summary!$C$5</f>
        <v>4661.47</v>
      </c>
    </row>
    <row r="142" customFormat="false" ht="15" hidden="false" customHeight="false" outlineLevel="0" collapsed="false">
      <c r="A142" s="43" t="n">
        <v>45635</v>
      </c>
      <c r="B142" s="29" t="n">
        <f aca="false">COUNTIFS(Trades!$E$2:$E$1146,$A142)</f>
        <v>4</v>
      </c>
      <c r="C142" s="29" t="n">
        <f aca="false">COUNTIFS(Trades!$E$2:$E$1146,$A142,Trades!$Z$2:$Z$1146,"Win")</f>
        <v>0</v>
      </c>
      <c r="D142" s="29" t="n">
        <f aca="false">COUNTIFS(Trades!$E$2:$E$1146,$A142,Trades!$Z$2:$Z$1146,"Loss")</f>
        <v>4</v>
      </c>
      <c r="E142" s="30" t="n">
        <f aca="false">IFERROR(C142/B142,0)</f>
        <v>0</v>
      </c>
      <c r="F142" s="31" t="n">
        <f aca="false">SUMIFS(Trades!$X$2:$X$1146,Trades!$E$2:$E$1146,$A142)</f>
        <v>-83.91</v>
      </c>
      <c r="G142" s="31" t="n">
        <f aca="false">SUMIFS(Trades!$X$2:$X$1146,Trades!$E$2:$E$1146,$A142,Trades!$X$2:$X$1146,"&gt;0")</f>
        <v>0</v>
      </c>
      <c r="H142" s="31" t="n">
        <f aca="false">SUMIFS(Trades!$X$2:$X$1146,Trades!$E$2:$E$1146,$A142,Trades!$X$2:$X$1146,"&lt;0")</f>
        <v>-83.91</v>
      </c>
      <c r="I142" s="32" t="n">
        <f aca="false">IFERROR(G142/-H142,"no loss")</f>
        <v>0</v>
      </c>
      <c r="J142" s="31" t="n">
        <f aca="false">_xlfn.MAXIFS(Trades!$X$2:$X$1146,Trades!$E$2:$E$1146,$A142)</f>
        <v>-2.28</v>
      </c>
      <c r="K142" s="31" t="n">
        <f aca="false">_xlfn.MINIFS(Trades!$X$2:$X$1146,Trades!$E$2:$E$1146,$A142)</f>
        <v>-50.64</v>
      </c>
      <c r="L142" s="33" t="n">
        <f aca="false">SUMIFS(Trades!$Y$2:$Y$1146,Trades!$E$2:$E$1146,$A142)</f>
        <v>-3.38312904921219</v>
      </c>
      <c r="M142" s="31" t="n">
        <f aca="false">P141</f>
        <v>14661.47</v>
      </c>
      <c r="N142" s="30" t="n">
        <f aca="false">IFERROR(F142/M142,0)</f>
        <v>-0.00572316418476455</v>
      </c>
      <c r="O142" s="29" t="str">
        <f aca="false">IF(F142&lt;0,"down week","")</f>
        <v>down week</v>
      </c>
      <c r="P142" s="31" t="n">
        <f aca="false">M142+F142</f>
        <v>14577.56</v>
      </c>
      <c r="Q142" s="31" t="n">
        <f aca="false">P142-Summary!$C$5</f>
        <v>4577.56</v>
      </c>
    </row>
    <row r="143" customFormat="false" ht="15" hidden="false" customHeight="false" outlineLevel="0" collapsed="false">
      <c r="A143" s="43" t="n">
        <v>45642</v>
      </c>
      <c r="B143" s="29" t="n">
        <f aca="false">COUNTIFS(Trades!$E$2:$E$1146,$A143)</f>
        <v>4</v>
      </c>
      <c r="C143" s="29" t="n">
        <f aca="false">COUNTIFS(Trades!$E$2:$E$1146,$A143,Trades!$Z$2:$Z$1146,"Win")</f>
        <v>1</v>
      </c>
      <c r="D143" s="29" t="n">
        <f aca="false">COUNTIFS(Trades!$E$2:$E$1146,$A143,Trades!$Z$2:$Z$1146,"Loss")</f>
        <v>3</v>
      </c>
      <c r="E143" s="30" t="n">
        <f aca="false">IFERROR(C143/B143,0)</f>
        <v>0.25</v>
      </c>
      <c r="F143" s="31" t="n">
        <f aca="false">SUMIFS(Trades!$X$2:$X$1146,Trades!$E$2:$E$1146,$A143)</f>
        <v>120.24</v>
      </c>
      <c r="G143" s="31" t="n">
        <f aca="false">SUMIFS(Trades!$X$2:$X$1146,Trades!$E$2:$E$1146,$A143,Trades!$X$2:$X$1146,"&gt;0")</f>
        <v>141.21</v>
      </c>
      <c r="H143" s="31" t="n">
        <f aca="false">SUMIFS(Trades!$X$2:$X$1146,Trades!$E$2:$E$1146,$A143,Trades!$X$2:$X$1146,"&lt;0")</f>
        <v>-20.97</v>
      </c>
      <c r="I143" s="32" t="n">
        <f aca="false">IFERROR(G143/-H143,"no loss")</f>
        <v>6.73390557939914</v>
      </c>
      <c r="J143" s="31" t="n">
        <f aca="false">_xlfn.MAXIFS(Trades!$X$2:$X$1146,Trades!$E$2:$E$1146,$A143)</f>
        <v>141.21</v>
      </c>
      <c r="K143" s="31" t="n">
        <f aca="false">_xlfn.MINIFS(Trades!$X$2:$X$1146,Trades!$E$2:$E$1146,$A143)</f>
        <v>-14.97</v>
      </c>
      <c r="L143" s="33" t="n">
        <f aca="false">SUMIFS(Trades!$Y$2:$Y$1146,Trades!$E$2:$E$1146,$A143)</f>
        <v>1.46488211488172</v>
      </c>
      <c r="M143" s="31" t="n">
        <f aca="false">P142</f>
        <v>14577.56</v>
      </c>
      <c r="N143" s="30" t="n">
        <f aca="false">IFERROR(F143/M143,0)</f>
        <v>0.00824829395317186</v>
      </c>
      <c r="O143" s="29" t="str">
        <f aca="false">IF(F143&lt;0,"down week","")</f>
        <v/>
      </c>
      <c r="P143" s="31" t="n">
        <f aca="false">M143+F143</f>
        <v>14697.8</v>
      </c>
      <c r="Q143" s="31" t="n">
        <f aca="false">P143-Summary!$C$5</f>
        <v>4697.8</v>
      </c>
    </row>
    <row r="144" customFormat="false" ht="15" hidden="false" customHeight="false" outlineLevel="0" collapsed="false">
      <c r="A144" s="43" t="n">
        <v>45649</v>
      </c>
      <c r="B144" s="29" t="n">
        <f aca="false">COUNTIFS(Trades!$E$2:$E$1146,$A144)</f>
        <v>3</v>
      </c>
      <c r="C144" s="29" t="n">
        <f aca="false">COUNTIFS(Trades!$E$2:$E$1146,$A144,Trades!$Z$2:$Z$1146,"Win")</f>
        <v>1</v>
      </c>
      <c r="D144" s="29" t="n">
        <f aca="false">COUNTIFS(Trades!$E$2:$E$1146,$A144,Trades!$Z$2:$Z$1146,"Loss")</f>
        <v>2</v>
      </c>
      <c r="E144" s="30" t="n">
        <f aca="false">IFERROR(C144/B144,0)</f>
        <v>0.333333333333333</v>
      </c>
      <c r="F144" s="31" t="n">
        <f aca="false">SUMIFS(Trades!$X$2:$X$1146,Trades!$E$2:$E$1146,$A144)</f>
        <v>20.19</v>
      </c>
      <c r="G144" s="31" t="n">
        <f aca="false">SUMIFS(Trades!$X$2:$X$1146,Trades!$E$2:$E$1146,$A144,Trades!$X$2:$X$1146,"&gt;0")</f>
        <v>56.04</v>
      </c>
      <c r="H144" s="31" t="n">
        <f aca="false">SUMIFS(Trades!$X$2:$X$1146,Trades!$E$2:$E$1146,$A144,Trades!$X$2:$X$1146,"&lt;0")</f>
        <v>-35.85</v>
      </c>
      <c r="I144" s="32" t="n">
        <f aca="false">IFERROR(G144/-H144,"no loss")</f>
        <v>1.56317991631799</v>
      </c>
      <c r="J144" s="31" t="n">
        <f aca="false">_xlfn.MAXIFS(Trades!$X$2:$X$1146,Trades!$E$2:$E$1146,$A144)</f>
        <v>56.04</v>
      </c>
      <c r="K144" s="31" t="n">
        <f aca="false">_xlfn.MINIFS(Trades!$X$2:$X$1146,Trades!$E$2:$E$1146,$A144)</f>
        <v>-24.84</v>
      </c>
      <c r="L144" s="33" t="n">
        <f aca="false">SUMIFS(Trades!$Y$2:$Y$1146,Trades!$E$2:$E$1146,$A144)</f>
        <v>0.500312384817899</v>
      </c>
      <c r="M144" s="31" t="n">
        <f aca="false">P143</f>
        <v>14697.8</v>
      </c>
      <c r="N144" s="30" t="n">
        <f aca="false">IFERROR(F144/M144,0)</f>
        <v>0.00137367497176448</v>
      </c>
      <c r="O144" s="29" t="str">
        <f aca="false">IF(F144&lt;0,"down week","")</f>
        <v/>
      </c>
      <c r="P144" s="31" t="n">
        <f aca="false">M144+F144</f>
        <v>14717.99</v>
      </c>
      <c r="Q144" s="31" t="n">
        <f aca="false">P144-Summary!$C$5</f>
        <v>4717.99</v>
      </c>
    </row>
    <row r="145" customFormat="false" ht="15" hidden="false" customHeight="false" outlineLevel="0" collapsed="false">
      <c r="A145" s="43" t="n">
        <v>45656</v>
      </c>
      <c r="B145" s="29" t="n">
        <f aca="false">COUNTIFS(Trades!$E$2:$E$1146,$A145)</f>
        <v>4</v>
      </c>
      <c r="C145" s="29" t="n">
        <f aca="false">COUNTIFS(Trades!$E$2:$E$1146,$A145,Trades!$Z$2:$Z$1146,"Win")</f>
        <v>1</v>
      </c>
      <c r="D145" s="29" t="n">
        <f aca="false">COUNTIFS(Trades!$E$2:$E$1146,$A145,Trades!$Z$2:$Z$1146,"Loss")</f>
        <v>3</v>
      </c>
      <c r="E145" s="30" t="n">
        <f aca="false">IFERROR(C145/B145,0)</f>
        <v>0.25</v>
      </c>
      <c r="F145" s="31" t="n">
        <f aca="false">SUMIFS(Trades!$X$2:$X$1146,Trades!$E$2:$E$1146,$A145)</f>
        <v>118.74</v>
      </c>
      <c r="G145" s="31" t="n">
        <f aca="false">SUMIFS(Trades!$X$2:$X$1146,Trades!$E$2:$E$1146,$A145,Trades!$X$2:$X$1146,"&gt;0")</f>
        <v>148.65</v>
      </c>
      <c r="H145" s="31" t="n">
        <f aca="false">SUMIFS(Trades!$X$2:$X$1146,Trades!$E$2:$E$1146,$A145,Trades!$X$2:$X$1146,"&lt;0")</f>
        <v>-29.91</v>
      </c>
      <c r="I145" s="32" t="n">
        <f aca="false">IFERROR(G145/-H145,"no loss")</f>
        <v>4.96990972918756</v>
      </c>
      <c r="J145" s="31" t="n">
        <f aca="false">_xlfn.MAXIFS(Trades!$X$2:$X$1146,Trades!$E$2:$E$1146,$A145)</f>
        <v>148.65</v>
      </c>
      <c r="K145" s="31" t="n">
        <f aca="false">_xlfn.MINIFS(Trades!$X$2:$X$1146,Trades!$E$2:$E$1146,$A145)</f>
        <v>-26.22</v>
      </c>
      <c r="L145" s="33" t="n">
        <f aca="false">SUMIFS(Trades!$Y$2:$Y$1146,Trades!$E$2:$E$1146,$A145)</f>
        <v>1.64566984954009</v>
      </c>
      <c r="M145" s="31" t="n">
        <f aca="false">P144</f>
        <v>14717.99</v>
      </c>
      <c r="N145" s="30" t="n">
        <f aca="false">IFERROR(F145/M145,0)</f>
        <v>0.00806767771957991</v>
      </c>
      <c r="O145" s="29" t="str">
        <f aca="false">IF(F145&lt;0,"down week","")</f>
        <v/>
      </c>
      <c r="P145" s="31" t="n">
        <f aca="false">M145+F145</f>
        <v>14836.73</v>
      </c>
      <c r="Q145" s="31" t="n">
        <f aca="false">P145-Summary!$C$5</f>
        <v>4836.73</v>
      </c>
    </row>
    <row r="146" customFormat="false" ht="15" hidden="false" customHeight="false" outlineLevel="0" collapsed="false">
      <c r="A146" s="43" t="n">
        <v>45663</v>
      </c>
      <c r="B146" s="29" t="n">
        <f aca="false">COUNTIFS(Trades!$E$2:$E$1146,$A146)</f>
        <v>5</v>
      </c>
      <c r="C146" s="29" t="n">
        <f aca="false">COUNTIFS(Trades!$E$2:$E$1146,$A146,Trades!$Z$2:$Z$1146,"Win")</f>
        <v>1</v>
      </c>
      <c r="D146" s="29" t="n">
        <f aca="false">COUNTIFS(Trades!$E$2:$E$1146,$A146,Trades!$Z$2:$Z$1146,"Loss")</f>
        <v>4</v>
      </c>
      <c r="E146" s="30" t="n">
        <f aca="false">IFERROR(C146/B146,0)</f>
        <v>0.2</v>
      </c>
      <c r="F146" s="31" t="n">
        <f aca="false">SUMIFS(Trades!$X$2:$X$1146,Trades!$E$2:$E$1146,$A146)</f>
        <v>39.57</v>
      </c>
      <c r="G146" s="31" t="n">
        <f aca="false">SUMIFS(Trades!$X$2:$X$1146,Trades!$E$2:$E$1146,$A146,Trades!$X$2:$X$1146,"&gt;0")</f>
        <v>49.44</v>
      </c>
      <c r="H146" s="31" t="n">
        <f aca="false">SUMIFS(Trades!$X$2:$X$1146,Trades!$E$2:$E$1146,$A146,Trades!$X$2:$X$1146,"&lt;0")</f>
        <v>-9.87</v>
      </c>
      <c r="I146" s="32" t="n">
        <f aca="false">IFERROR(G146/-H146,"no loss")</f>
        <v>5.00911854103343</v>
      </c>
      <c r="J146" s="31" t="n">
        <f aca="false">_xlfn.MAXIFS(Trades!$X$2:$X$1146,Trades!$E$2:$E$1146,$A146)</f>
        <v>49.44</v>
      </c>
      <c r="K146" s="31" t="n">
        <f aca="false">_xlfn.MINIFS(Trades!$X$2:$X$1146,Trades!$E$2:$E$1146,$A146)</f>
        <v>-5.46</v>
      </c>
      <c r="L146" s="33" t="n">
        <f aca="false">SUMIFS(Trades!$Y$2:$Y$1146,Trades!$E$2:$E$1146,$A146)</f>
        <v>2.18063187719941</v>
      </c>
      <c r="M146" s="31" t="n">
        <f aca="false">P145</f>
        <v>14836.73</v>
      </c>
      <c r="N146" s="30" t="n">
        <f aca="false">IFERROR(F146/M146,0)</f>
        <v>0.00266702972959675</v>
      </c>
      <c r="O146" s="29" t="str">
        <f aca="false">IF(F146&lt;0,"down week","")</f>
        <v/>
      </c>
      <c r="P146" s="31" t="n">
        <f aca="false">M146+F146</f>
        <v>14876.3</v>
      </c>
      <c r="Q146" s="31" t="n">
        <f aca="false">P146-Summary!$C$5</f>
        <v>4876.3</v>
      </c>
    </row>
    <row r="147" customFormat="false" ht="15" hidden="false" customHeight="false" outlineLevel="0" collapsed="false">
      <c r="A147" s="43" t="n">
        <v>45670</v>
      </c>
      <c r="B147" s="29" t="n">
        <f aca="false">COUNTIFS(Trades!$E$2:$E$1146,$A147)</f>
        <v>5</v>
      </c>
      <c r="C147" s="29" t="n">
        <f aca="false">COUNTIFS(Trades!$E$2:$E$1146,$A147,Trades!$Z$2:$Z$1146,"Win")</f>
        <v>4</v>
      </c>
      <c r="D147" s="29" t="n">
        <f aca="false">COUNTIFS(Trades!$E$2:$E$1146,$A147,Trades!$Z$2:$Z$1146,"Loss")</f>
        <v>1</v>
      </c>
      <c r="E147" s="30" t="n">
        <f aca="false">IFERROR(C147/B147,0)</f>
        <v>0.8</v>
      </c>
      <c r="F147" s="31" t="n">
        <f aca="false">SUMIFS(Trades!$X$2:$X$1146,Trades!$E$2:$E$1146,$A147)</f>
        <v>577.35</v>
      </c>
      <c r="G147" s="31" t="n">
        <f aca="false">SUMIFS(Trades!$X$2:$X$1146,Trades!$E$2:$E$1146,$A147,Trades!$X$2:$X$1146,"&gt;0")</f>
        <v>630.09</v>
      </c>
      <c r="H147" s="31" t="n">
        <f aca="false">SUMIFS(Trades!$X$2:$X$1146,Trades!$E$2:$E$1146,$A147,Trades!$X$2:$X$1146,"&lt;0")</f>
        <v>-52.74</v>
      </c>
      <c r="I147" s="32" t="n">
        <f aca="false">IFERROR(G147/-H147,"no loss")</f>
        <v>11.9470989761092</v>
      </c>
      <c r="J147" s="31" t="n">
        <f aca="false">_xlfn.MAXIFS(Trades!$X$2:$X$1146,Trades!$E$2:$E$1146,$A147)</f>
        <v>389.67</v>
      </c>
      <c r="K147" s="31" t="n">
        <f aca="false">_xlfn.MINIFS(Trades!$X$2:$X$1146,Trades!$E$2:$E$1146,$A147)</f>
        <v>-52.74</v>
      </c>
      <c r="L147" s="33" t="n">
        <f aca="false">SUMIFS(Trades!$Y$2:$Y$1146,Trades!$E$2:$E$1146,$A147)</f>
        <v>9.0438715450745</v>
      </c>
      <c r="M147" s="31" t="n">
        <f aca="false">P146</f>
        <v>14876.3</v>
      </c>
      <c r="N147" s="30" t="n">
        <f aca="false">IFERROR(F147/M147,0)</f>
        <v>0.0388100535751497</v>
      </c>
      <c r="O147" s="29" t="str">
        <f aca="false">IF(F147&lt;0,"down week","")</f>
        <v/>
      </c>
      <c r="P147" s="31" t="n">
        <f aca="false">M147+F147</f>
        <v>15453.65</v>
      </c>
      <c r="Q147" s="31" t="n">
        <f aca="false">P147-Summary!$C$5</f>
        <v>5453.65</v>
      </c>
    </row>
    <row r="148" customFormat="false" ht="15" hidden="false" customHeight="false" outlineLevel="0" collapsed="false">
      <c r="A148" s="43" t="n">
        <v>45677</v>
      </c>
      <c r="B148" s="29" t="n">
        <f aca="false">COUNTIFS(Trades!$E$2:$E$1146,$A148)</f>
        <v>4</v>
      </c>
      <c r="C148" s="29" t="n">
        <f aca="false">COUNTIFS(Trades!$E$2:$E$1146,$A148,Trades!$Z$2:$Z$1146,"Win")</f>
        <v>1</v>
      </c>
      <c r="D148" s="29" t="n">
        <f aca="false">COUNTIFS(Trades!$E$2:$E$1146,$A148,Trades!$Z$2:$Z$1146,"Loss")</f>
        <v>3</v>
      </c>
      <c r="E148" s="30" t="n">
        <f aca="false">IFERROR(C148/B148,0)</f>
        <v>0.25</v>
      </c>
      <c r="F148" s="31" t="n">
        <f aca="false">SUMIFS(Trades!$X$2:$X$1146,Trades!$E$2:$E$1146,$A148)</f>
        <v>302.31</v>
      </c>
      <c r="G148" s="31" t="n">
        <f aca="false">SUMIFS(Trades!$X$2:$X$1146,Trades!$E$2:$E$1146,$A148,Trades!$X$2:$X$1146,"&gt;0")</f>
        <v>307.35</v>
      </c>
      <c r="H148" s="31" t="n">
        <f aca="false">SUMIFS(Trades!$X$2:$X$1146,Trades!$E$2:$E$1146,$A148,Trades!$X$2:$X$1146,"&lt;0")</f>
        <v>-5.04</v>
      </c>
      <c r="I148" s="32" t="n">
        <f aca="false">IFERROR(G148/-H148,"no loss")</f>
        <v>60.9821428571429</v>
      </c>
      <c r="J148" s="31" t="n">
        <f aca="false">_xlfn.MAXIFS(Trades!$X$2:$X$1146,Trades!$E$2:$E$1146,$A148)</f>
        <v>307.35</v>
      </c>
      <c r="K148" s="31" t="n">
        <f aca="false">_xlfn.MINIFS(Trades!$X$2:$X$1146,Trades!$E$2:$E$1146,$A148)</f>
        <v>-4.05</v>
      </c>
      <c r="L148" s="33" t="n">
        <f aca="false">SUMIFS(Trades!$Y$2:$Y$1146,Trades!$E$2:$E$1146,$A148)</f>
        <v>2.40297188347616</v>
      </c>
      <c r="M148" s="31" t="n">
        <f aca="false">P147</f>
        <v>15453.65</v>
      </c>
      <c r="N148" s="30" t="n">
        <f aca="false">IFERROR(F148/M148,0)</f>
        <v>0.0195623687607782</v>
      </c>
      <c r="O148" s="29" t="str">
        <f aca="false">IF(F148&lt;0,"down week","")</f>
        <v/>
      </c>
      <c r="P148" s="31" t="n">
        <f aca="false">M148+F148</f>
        <v>15755.96</v>
      </c>
      <c r="Q148" s="31" t="n">
        <f aca="false">P148-Summary!$C$5</f>
        <v>5755.96</v>
      </c>
    </row>
    <row r="149" customFormat="false" ht="15" hidden="false" customHeight="false" outlineLevel="0" collapsed="false">
      <c r="A149" s="43" t="n">
        <v>45684</v>
      </c>
      <c r="B149" s="29" t="n">
        <f aca="false">COUNTIFS(Trades!$E$2:$E$1146,$A149)</f>
        <v>4</v>
      </c>
      <c r="C149" s="29" t="n">
        <f aca="false">COUNTIFS(Trades!$E$2:$E$1146,$A149,Trades!$Z$2:$Z$1146,"Win")</f>
        <v>2</v>
      </c>
      <c r="D149" s="29" t="n">
        <f aca="false">COUNTIFS(Trades!$E$2:$E$1146,$A149,Trades!$Z$2:$Z$1146,"Loss")</f>
        <v>2</v>
      </c>
      <c r="E149" s="30" t="n">
        <f aca="false">IFERROR(C149/B149,0)</f>
        <v>0.5</v>
      </c>
      <c r="F149" s="31" t="n">
        <f aca="false">SUMIFS(Trades!$X$2:$X$1146,Trades!$E$2:$E$1146,$A149)</f>
        <v>395.73</v>
      </c>
      <c r="G149" s="31" t="n">
        <f aca="false">SUMIFS(Trades!$X$2:$X$1146,Trades!$E$2:$E$1146,$A149,Trades!$X$2:$X$1146,"&gt;0")</f>
        <v>396.72</v>
      </c>
      <c r="H149" s="31" t="n">
        <f aca="false">SUMIFS(Trades!$X$2:$X$1146,Trades!$E$2:$E$1146,$A149,Trades!$X$2:$X$1146,"&lt;0")</f>
        <v>-0.99</v>
      </c>
      <c r="I149" s="32" t="n">
        <f aca="false">IFERROR(G149/-H149,"no loss")</f>
        <v>400.727272727273</v>
      </c>
      <c r="J149" s="31" t="n">
        <f aca="false">_xlfn.MAXIFS(Trades!$X$2:$X$1146,Trades!$E$2:$E$1146,$A149)</f>
        <v>343.56</v>
      </c>
      <c r="K149" s="31" t="n">
        <f aca="false">_xlfn.MINIFS(Trades!$X$2:$X$1146,Trades!$E$2:$E$1146,$A149)</f>
        <v>-0.9</v>
      </c>
      <c r="L149" s="33" t="n">
        <f aca="false">SUMIFS(Trades!$Y$2:$Y$1146,Trades!$E$2:$E$1146,$A149)</f>
        <v>4.9181001315231</v>
      </c>
      <c r="M149" s="31" t="n">
        <f aca="false">P148</f>
        <v>15755.96</v>
      </c>
      <c r="N149" s="30" t="n">
        <f aca="false">IFERROR(F149/M149,0)</f>
        <v>0.025116209992917</v>
      </c>
      <c r="O149" s="29" t="str">
        <f aca="false">IF(F149&lt;0,"down week","")</f>
        <v/>
      </c>
      <c r="P149" s="31" t="n">
        <f aca="false">M149+F149</f>
        <v>16151.69</v>
      </c>
      <c r="Q149" s="31" t="n">
        <f aca="false">P149-Summary!$C$5</f>
        <v>6151.69</v>
      </c>
    </row>
    <row r="150" customFormat="false" ht="15" hidden="false" customHeight="false" outlineLevel="0" collapsed="false">
      <c r="A150" s="43" t="n">
        <v>45691</v>
      </c>
      <c r="B150" s="29" t="n">
        <f aca="false">COUNTIFS(Trades!$E$2:$E$1146,$A150)</f>
        <v>6</v>
      </c>
      <c r="C150" s="29" t="n">
        <f aca="false">COUNTIFS(Trades!$E$2:$E$1146,$A150,Trades!$Z$2:$Z$1146,"Win")</f>
        <v>2</v>
      </c>
      <c r="D150" s="29" t="n">
        <f aca="false">COUNTIFS(Trades!$E$2:$E$1146,$A150,Trades!$Z$2:$Z$1146,"Loss")</f>
        <v>4</v>
      </c>
      <c r="E150" s="30" t="n">
        <f aca="false">IFERROR(C150/B150,0)</f>
        <v>0.333333333333333</v>
      </c>
      <c r="F150" s="31" t="n">
        <f aca="false">SUMIFS(Trades!$X$2:$X$1146,Trades!$E$2:$E$1146,$A150)</f>
        <v>-529.65</v>
      </c>
      <c r="G150" s="31" t="n">
        <f aca="false">SUMIFS(Trades!$X$2:$X$1146,Trades!$E$2:$E$1146,$A150,Trades!$X$2:$X$1146,"&gt;0")</f>
        <v>97.47</v>
      </c>
      <c r="H150" s="31" t="n">
        <f aca="false">SUMIFS(Trades!$X$2:$X$1146,Trades!$E$2:$E$1146,$A150,Trades!$X$2:$X$1146,"&lt;0")</f>
        <v>-627.12</v>
      </c>
      <c r="I150" s="32" t="n">
        <f aca="false">IFERROR(G150/-H150,"no loss")</f>
        <v>0.155424799081516</v>
      </c>
      <c r="J150" s="31" t="n">
        <f aca="false">_xlfn.MAXIFS(Trades!$X$2:$X$1146,Trades!$E$2:$E$1146,$A150)</f>
        <v>72.57</v>
      </c>
      <c r="K150" s="31" t="n">
        <f aca="false">_xlfn.MINIFS(Trades!$X$2:$X$1146,Trades!$E$2:$E$1146,$A150)</f>
        <v>-406.26</v>
      </c>
      <c r="L150" s="33" t="n">
        <f aca="false">SUMIFS(Trades!$Y$2:$Y$1146,Trades!$E$2:$E$1146,$A150)</f>
        <v>2.10404127005321</v>
      </c>
      <c r="M150" s="31" t="n">
        <f aca="false">P149</f>
        <v>16151.69</v>
      </c>
      <c r="N150" s="30" t="n">
        <f aca="false">IFERROR(F150/M150,0)</f>
        <v>-0.0327922341253454</v>
      </c>
      <c r="O150" s="29" t="str">
        <f aca="false">IF(F150&lt;0,"down week","")</f>
        <v>down week</v>
      </c>
      <c r="P150" s="31" t="n">
        <f aca="false">M150+F150</f>
        <v>15622.04</v>
      </c>
      <c r="Q150" s="31" t="n">
        <f aca="false">P150-Summary!$C$5</f>
        <v>5622.04</v>
      </c>
    </row>
    <row r="151" customFormat="false" ht="15" hidden="false" customHeight="false" outlineLevel="0" collapsed="false">
      <c r="A151" s="43" t="n">
        <v>45698</v>
      </c>
      <c r="B151" s="29" t="n">
        <f aca="false">COUNTIFS(Trades!$E$2:$E$1146,$A151)</f>
        <v>4</v>
      </c>
      <c r="C151" s="29" t="n">
        <f aca="false">COUNTIFS(Trades!$E$2:$E$1146,$A151,Trades!$Z$2:$Z$1146,"Win")</f>
        <v>2</v>
      </c>
      <c r="D151" s="29" t="n">
        <f aca="false">COUNTIFS(Trades!$E$2:$E$1146,$A151,Trades!$Z$2:$Z$1146,"Loss")</f>
        <v>2</v>
      </c>
      <c r="E151" s="30" t="n">
        <f aca="false">IFERROR(C151/B151,0)</f>
        <v>0.5</v>
      </c>
      <c r="F151" s="31" t="n">
        <f aca="false">SUMIFS(Trades!$X$2:$X$1146,Trades!$E$2:$E$1146,$A151)</f>
        <v>50.52</v>
      </c>
      <c r="G151" s="31" t="n">
        <f aca="false">SUMIFS(Trades!$X$2:$X$1146,Trades!$E$2:$E$1146,$A151,Trades!$X$2:$X$1146,"&gt;0")</f>
        <v>175.02</v>
      </c>
      <c r="H151" s="31" t="n">
        <f aca="false">SUMIFS(Trades!$X$2:$X$1146,Trades!$E$2:$E$1146,$A151,Trades!$X$2:$X$1146,"&lt;0")</f>
        <v>-124.5</v>
      </c>
      <c r="I151" s="32" t="n">
        <f aca="false">IFERROR(G151/-H151,"no loss")</f>
        <v>1.40578313253012</v>
      </c>
      <c r="J151" s="31" t="n">
        <f aca="false">_xlfn.MAXIFS(Trades!$X$2:$X$1146,Trades!$E$2:$E$1146,$A151)</f>
        <v>118.95</v>
      </c>
      <c r="K151" s="31" t="n">
        <f aca="false">_xlfn.MINIFS(Trades!$X$2:$X$1146,Trades!$E$2:$E$1146,$A151)</f>
        <v>-123.84</v>
      </c>
      <c r="L151" s="33" t="n">
        <f aca="false">SUMIFS(Trades!$Y$2:$Y$1146,Trades!$E$2:$E$1146,$A151)</f>
        <v>4.05732153397679</v>
      </c>
      <c r="M151" s="31" t="n">
        <f aca="false">P150</f>
        <v>15622.04</v>
      </c>
      <c r="N151" s="30" t="n">
        <f aca="false">IFERROR(F151/M151,0)</f>
        <v>0.00323389262861957</v>
      </c>
      <c r="O151" s="29" t="str">
        <f aca="false">IF(F151&lt;0,"down week","")</f>
        <v/>
      </c>
      <c r="P151" s="31" t="n">
        <f aca="false">M151+F151</f>
        <v>15672.56</v>
      </c>
      <c r="Q151" s="31" t="n">
        <f aca="false">P151-Summary!$C$5</f>
        <v>5672.56</v>
      </c>
    </row>
    <row r="152" customFormat="false" ht="15" hidden="false" customHeight="false" outlineLevel="0" collapsed="false">
      <c r="A152" s="43" t="n">
        <v>45705</v>
      </c>
      <c r="B152" s="29" t="n">
        <f aca="false">COUNTIFS(Trades!$E$2:$E$1146,$A152)</f>
        <v>6</v>
      </c>
      <c r="C152" s="29" t="n">
        <f aca="false">COUNTIFS(Trades!$E$2:$E$1146,$A152,Trades!$Z$2:$Z$1146,"Win")</f>
        <v>2</v>
      </c>
      <c r="D152" s="29" t="n">
        <f aca="false">COUNTIFS(Trades!$E$2:$E$1146,$A152,Trades!$Z$2:$Z$1146,"Loss")</f>
        <v>4</v>
      </c>
      <c r="E152" s="30" t="n">
        <f aca="false">IFERROR(C152/B152,0)</f>
        <v>0.333333333333333</v>
      </c>
      <c r="F152" s="31" t="n">
        <f aca="false">SUMIFS(Trades!$X$2:$X$1146,Trades!$E$2:$E$1146,$A152)</f>
        <v>17.97</v>
      </c>
      <c r="G152" s="31" t="n">
        <f aca="false">SUMIFS(Trades!$X$2:$X$1146,Trades!$E$2:$E$1146,$A152,Trades!$X$2:$X$1146,"&gt;0")</f>
        <v>187.11</v>
      </c>
      <c r="H152" s="31" t="n">
        <f aca="false">SUMIFS(Trades!$X$2:$X$1146,Trades!$E$2:$E$1146,$A152,Trades!$X$2:$X$1146,"&lt;0")</f>
        <v>-169.14</v>
      </c>
      <c r="I152" s="32" t="n">
        <f aca="false">IFERROR(G152/-H152,"no loss")</f>
        <v>1.10624334870521</v>
      </c>
      <c r="J152" s="31" t="n">
        <f aca="false">_xlfn.MAXIFS(Trades!$X$2:$X$1146,Trades!$E$2:$E$1146,$A152)</f>
        <v>141.93</v>
      </c>
      <c r="K152" s="31" t="n">
        <f aca="false">_xlfn.MINIFS(Trades!$X$2:$X$1146,Trades!$E$2:$E$1146,$A152)</f>
        <v>-71.07</v>
      </c>
      <c r="L152" s="33" t="n">
        <f aca="false">SUMIFS(Trades!$Y$2:$Y$1146,Trades!$E$2:$E$1146,$A152)</f>
        <v>0.784657750655605</v>
      </c>
      <c r="M152" s="31" t="n">
        <f aca="false">P151</f>
        <v>15672.56</v>
      </c>
      <c r="N152" s="30" t="n">
        <f aca="false">IFERROR(F152/M152,0)</f>
        <v>0.00114658996360518</v>
      </c>
      <c r="O152" s="29" t="str">
        <f aca="false">IF(F152&lt;0,"down week","")</f>
        <v/>
      </c>
      <c r="P152" s="31" t="n">
        <f aca="false">M152+F152</f>
        <v>15690.53</v>
      </c>
      <c r="Q152" s="31" t="n">
        <f aca="false">P152-Summary!$C$5</f>
        <v>5690.53</v>
      </c>
    </row>
    <row r="153" customFormat="false" ht="15" hidden="false" customHeight="false" outlineLevel="0" collapsed="false">
      <c r="A153" s="43" t="n">
        <v>45712</v>
      </c>
      <c r="B153" s="29" t="n">
        <f aca="false">COUNTIFS(Trades!$E$2:$E$1146,$A153)</f>
        <v>4</v>
      </c>
      <c r="C153" s="29" t="n">
        <f aca="false">COUNTIFS(Trades!$E$2:$E$1146,$A153,Trades!$Z$2:$Z$1146,"Win")</f>
        <v>2</v>
      </c>
      <c r="D153" s="29" t="n">
        <f aca="false">COUNTIFS(Trades!$E$2:$E$1146,$A153,Trades!$Z$2:$Z$1146,"Loss")</f>
        <v>2</v>
      </c>
      <c r="E153" s="30" t="n">
        <f aca="false">IFERROR(C153/B153,0)</f>
        <v>0.5</v>
      </c>
      <c r="F153" s="31" t="n">
        <f aca="false">SUMIFS(Trades!$X$2:$X$1146,Trades!$E$2:$E$1146,$A153)</f>
        <v>337.41</v>
      </c>
      <c r="G153" s="31" t="n">
        <f aca="false">SUMIFS(Trades!$X$2:$X$1146,Trades!$E$2:$E$1146,$A153,Trades!$X$2:$X$1146,"&gt;0")</f>
        <v>441.72</v>
      </c>
      <c r="H153" s="31" t="n">
        <f aca="false">SUMIFS(Trades!$X$2:$X$1146,Trades!$E$2:$E$1146,$A153,Trades!$X$2:$X$1146,"&lt;0")</f>
        <v>-104.31</v>
      </c>
      <c r="I153" s="32" t="n">
        <f aca="false">IFERROR(G153/-H153,"no loss")</f>
        <v>4.23468507333909</v>
      </c>
      <c r="J153" s="31" t="n">
        <f aca="false">_xlfn.MAXIFS(Trades!$X$2:$X$1146,Trades!$E$2:$E$1146,$A153)</f>
        <v>264.21</v>
      </c>
      <c r="K153" s="31" t="n">
        <f aca="false">_xlfn.MINIFS(Trades!$X$2:$X$1146,Trades!$E$2:$E$1146,$A153)</f>
        <v>-76.35</v>
      </c>
      <c r="L153" s="33" t="n">
        <f aca="false">SUMIFS(Trades!$Y$2:$Y$1146,Trades!$E$2:$E$1146,$A153)</f>
        <v>2.86828772902005</v>
      </c>
      <c r="M153" s="31" t="n">
        <f aca="false">P152</f>
        <v>15690.53</v>
      </c>
      <c r="N153" s="30" t="n">
        <f aca="false">IFERROR(F153/M153,0)</f>
        <v>0.0215040537190267</v>
      </c>
      <c r="O153" s="29" t="str">
        <f aca="false">IF(F153&lt;0,"down week","")</f>
        <v/>
      </c>
      <c r="P153" s="31" t="n">
        <f aca="false">M153+F153</f>
        <v>16027.94</v>
      </c>
      <c r="Q153" s="31" t="n">
        <f aca="false">P153-Summary!$C$5</f>
        <v>6027.94</v>
      </c>
    </row>
    <row r="154" customFormat="false" ht="15" hidden="false" customHeight="false" outlineLevel="0" collapsed="false">
      <c r="A154" s="43" t="n">
        <v>45719</v>
      </c>
      <c r="B154" s="29" t="n">
        <f aca="false">COUNTIFS(Trades!$E$2:$E$1146,$A154)</f>
        <v>5</v>
      </c>
      <c r="C154" s="29" t="n">
        <f aca="false">COUNTIFS(Trades!$E$2:$E$1146,$A154,Trades!$Z$2:$Z$1146,"Win")</f>
        <v>1</v>
      </c>
      <c r="D154" s="29" t="n">
        <f aca="false">COUNTIFS(Trades!$E$2:$E$1146,$A154,Trades!$Z$2:$Z$1146,"Loss")</f>
        <v>4</v>
      </c>
      <c r="E154" s="30" t="n">
        <f aca="false">IFERROR(C154/B154,0)</f>
        <v>0.2</v>
      </c>
      <c r="F154" s="31" t="n">
        <f aca="false">SUMIFS(Trades!$X$2:$X$1146,Trades!$E$2:$E$1146,$A154)</f>
        <v>-6.57</v>
      </c>
      <c r="G154" s="31" t="n">
        <f aca="false">SUMIFS(Trades!$X$2:$X$1146,Trades!$E$2:$E$1146,$A154,Trades!$X$2:$X$1146,"&gt;0")</f>
        <v>264.81</v>
      </c>
      <c r="H154" s="31" t="n">
        <f aca="false">SUMIFS(Trades!$X$2:$X$1146,Trades!$E$2:$E$1146,$A154,Trades!$X$2:$X$1146,"&lt;0")</f>
        <v>-271.38</v>
      </c>
      <c r="I154" s="32" t="n">
        <f aca="false">IFERROR(G154/-H154,"no loss")</f>
        <v>0.975790404598718</v>
      </c>
      <c r="J154" s="31" t="n">
        <f aca="false">_xlfn.MAXIFS(Trades!$X$2:$X$1146,Trades!$E$2:$E$1146,$A154)</f>
        <v>264.81</v>
      </c>
      <c r="K154" s="31" t="n">
        <f aca="false">_xlfn.MINIFS(Trades!$X$2:$X$1146,Trades!$E$2:$E$1146,$A154)</f>
        <v>-104.94</v>
      </c>
      <c r="L154" s="33" t="n">
        <f aca="false">SUMIFS(Trades!$Y$2:$Y$1146,Trades!$E$2:$E$1146,$A154)</f>
        <v>-0.696783714349358</v>
      </c>
      <c r="M154" s="31" t="n">
        <f aca="false">P153</f>
        <v>16027.94</v>
      </c>
      <c r="N154" s="30" t="n">
        <f aca="false">IFERROR(F154/M154,0)</f>
        <v>-0.000409909196066369</v>
      </c>
      <c r="O154" s="29" t="str">
        <f aca="false">IF(F154&lt;0,"down week","")</f>
        <v>down week</v>
      </c>
      <c r="P154" s="31" t="n">
        <f aca="false">M154+F154</f>
        <v>16021.37</v>
      </c>
      <c r="Q154" s="31" t="n">
        <f aca="false">P154-Summary!$C$5</f>
        <v>6021.37</v>
      </c>
    </row>
    <row r="155" customFormat="false" ht="15" hidden="false" customHeight="false" outlineLevel="0" collapsed="false">
      <c r="A155" s="43" t="n">
        <v>45726</v>
      </c>
      <c r="B155" s="29" t="n">
        <f aca="false">COUNTIFS(Trades!$E$2:$E$1146,$A155)</f>
        <v>5</v>
      </c>
      <c r="C155" s="29" t="n">
        <f aca="false">COUNTIFS(Trades!$E$2:$E$1146,$A155,Trades!$Z$2:$Z$1146,"Win")</f>
        <v>0</v>
      </c>
      <c r="D155" s="29" t="n">
        <f aca="false">COUNTIFS(Trades!$E$2:$E$1146,$A155,Trades!$Z$2:$Z$1146,"Loss")</f>
        <v>5</v>
      </c>
      <c r="E155" s="30" t="n">
        <f aca="false">IFERROR(C155/B155,0)</f>
        <v>0</v>
      </c>
      <c r="F155" s="31" t="n">
        <f aca="false">SUMIFS(Trades!$X$2:$X$1146,Trades!$E$2:$E$1146,$A155)</f>
        <v>-443.09</v>
      </c>
      <c r="G155" s="31" t="n">
        <f aca="false">SUMIFS(Trades!$X$2:$X$1146,Trades!$E$2:$E$1146,$A155,Trades!$X$2:$X$1146,"&gt;0")</f>
        <v>0</v>
      </c>
      <c r="H155" s="31" t="n">
        <f aca="false">SUMIFS(Trades!$X$2:$X$1146,Trades!$E$2:$E$1146,$A155,Trades!$X$2:$X$1146,"&lt;0")</f>
        <v>-443.09</v>
      </c>
      <c r="I155" s="32" t="n">
        <f aca="false">IFERROR(G155/-H155,"no loss")</f>
        <v>0</v>
      </c>
      <c r="J155" s="31" t="n">
        <f aca="false">_xlfn.MAXIFS(Trades!$X$2:$X$1146,Trades!$E$2:$E$1146,$A155)</f>
        <v>-11.44</v>
      </c>
      <c r="K155" s="31" t="n">
        <f aca="false">_xlfn.MINIFS(Trades!$X$2:$X$1146,Trades!$E$2:$E$1146,$A155)</f>
        <v>-150.24</v>
      </c>
      <c r="L155" s="33" t="n">
        <f aca="false">SUMIFS(Trades!$Y$2:$Y$1146,Trades!$E$2:$E$1146,$A155)</f>
        <v>-4.15933259709453</v>
      </c>
      <c r="M155" s="31" t="n">
        <f aca="false">P154</f>
        <v>16021.37</v>
      </c>
      <c r="N155" s="30" t="n">
        <f aca="false">IFERROR(F155/M155,0)</f>
        <v>-0.0276561867056313</v>
      </c>
      <c r="O155" s="29" t="str">
        <f aca="false">IF(F155&lt;0,"down week","")</f>
        <v>down week</v>
      </c>
      <c r="P155" s="31" t="n">
        <f aca="false">M155+F155</f>
        <v>15578.28</v>
      </c>
      <c r="Q155" s="31" t="n">
        <f aca="false">P155-Summary!$C$5</f>
        <v>5578.28</v>
      </c>
    </row>
    <row r="156" customFormat="false" ht="15" hidden="false" customHeight="false" outlineLevel="0" collapsed="false">
      <c r="A156" s="43" t="n">
        <v>45733</v>
      </c>
      <c r="B156" s="29" t="n">
        <f aca="false">COUNTIFS(Trades!$E$2:$E$1146,$A156)</f>
        <v>4</v>
      </c>
      <c r="C156" s="29" t="n">
        <f aca="false">COUNTIFS(Trades!$E$2:$E$1146,$A156,Trades!$Z$2:$Z$1146,"Win")</f>
        <v>1</v>
      </c>
      <c r="D156" s="29" t="n">
        <f aca="false">COUNTIFS(Trades!$E$2:$E$1146,$A156,Trades!$Z$2:$Z$1146,"Loss")</f>
        <v>3</v>
      </c>
      <c r="E156" s="30" t="n">
        <f aca="false">IFERROR(C156/B156,0)</f>
        <v>0.25</v>
      </c>
      <c r="F156" s="31" t="n">
        <f aca="false">SUMIFS(Trades!$X$2:$X$1146,Trades!$E$2:$E$1146,$A156)</f>
        <v>57.15</v>
      </c>
      <c r="G156" s="31" t="n">
        <f aca="false">SUMIFS(Trades!$X$2:$X$1146,Trades!$E$2:$E$1146,$A156,Trades!$X$2:$X$1146,"&gt;0")</f>
        <v>163.47</v>
      </c>
      <c r="H156" s="31" t="n">
        <f aca="false">SUMIFS(Trades!$X$2:$X$1146,Trades!$E$2:$E$1146,$A156,Trades!$X$2:$X$1146,"&lt;0")</f>
        <v>-106.32</v>
      </c>
      <c r="I156" s="32" t="n">
        <f aca="false">IFERROR(G156/-H156,"no loss")</f>
        <v>1.53752821670429</v>
      </c>
      <c r="J156" s="31" t="n">
        <f aca="false">_xlfn.MAXIFS(Trades!$X$2:$X$1146,Trades!$E$2:$E$1146,$A156)</f>
        <v>163.47</v>
      </c>
      <c r="K156" s="31" t="n">
        <f aca="false">_xlfn.MINIFS(Trades!$X$2:$X$1146,Trades!$E$2:$E$1146,$A156)</f>
        <v>-100.23</v>
      </c>
      <c r="L156" s="33" t="n">
        <f aca="false">SUMIFS(Trades!$Y$2:$Y$1146,Trades!$E$2:$E$1146,$A156)</f>
        <v>1.19883147461624</v>
      </c>
      <c r="M156" s="31" t="n">
        <f aca="false">P155</f>
        <v>15578.28</v>
      </c>
      <c r="N156" s="30" t="n">
        <f aca="false">IFERROR(F156/M156,0)</f>
        <v>0.00366856931573961</v>
      </c>
      <c r="O156" s="29" t="str">
        <f aca="false">IF(F156&lt;0,"down week","")</f>
        <v/>
      </c>
      <c r="P156" s="31" t="n">
        <f aca="false">M156+F156</f>
        <v>15635.43</v>
      </c>
      <c r="Q156" s="31" t="n">
        <f aca="false">P156-Summary!$C$5</f>
        <v>5635.43</v>
      </c>
    </row>
    <row r="157" customFormat="false" ht="15" hidden="false" customHeight="false" outlineLevel="0" collapsed="false">
      <c r="A157" s="43" t="n">
        <v>45740</v>
      </c>
      <c r="B157" s="29" t="n">
        <f aca="false">COUNTIFS(Trades!$E$2:$E$1146,$A157)</f>
        <v>6</v>
      </c>
      <c r="C157" s="29" t="n">
        <f aca="false">COUNTIFS(Trades!$E$2:$E$1146,$A157,Trades!$Z$2:$Z$1146,"Win")</f>
        <v>4</v>
      </c>
      <c r="D157" s="29" t="n">
        <f aca="false">COUNTIFS(Trades!$E$2:$E$1146,$A157,Trades!$Z$2:$Z$1146,"Loss")</f>
        <v>2</v>
      </c>
      <c r="E157" s="30" t="n">
        <f aca="false">IFERROR(C157/B157,0)</f>
        <v>0.666666666666667</v>
      </c>
      <c r="F157" s="31" t="n">
        <f aca="false">SUMIFS(Trades!$X$2:$X$1146,Trades!$E$2:$E$1146,$A157)</f>
        <v>632.19</v>
      </c>
      <c r="G157" s="31" t="n">
        <f aca="false">SUMIFS(Trades!$X$2:$X$1146,Trades!$E$2:$E$1146,$A157,Trades!$X$2:$X$1146,"&gt;0")</f>
        <v>635.55</v>
      </c>
      <c r="H157" s="31" t="n">
        <f aca="false">SUMIFS(Trades!$X$2:$X$1146,Trades!$E$2:$E$1146,$A157,Trades!$X$2:$X$1146,"&lt;0")</f>
        <v>-3.36</v>
      </c>
      <c r="I157" s="32" t="n">
        <f aca="false">IFERROR(G157/-H157,"no loss")</f>
        <v>189.151785714286</v>
      </c>
      <c r="J157" s="31" t="n">
        <f aca="false">_xlfn.MAXIFS(Trades!$X$2:$X$1146,Trades!$E$2:$E$1146,$A157)</f>
        <v>241.23</v>
      </c>
      <c r="K157" s="31" t="n">
        <f aca="false">_xlfn.MINIFS(Trades!$X$2:$X$1146,Trades!$E$2:$E$1146,$A157)</f>
        <v>-2.4</v>
      </c>
      <c r="L157" s="33" t="n">
        <f aca="false">SUMIFS(Trades!$Y$2:$Y$1146,Trades!$E$2:$E$1146,$A157)</f>
        <v>9.96153073223312</v>
      </c>
      <c r="M157" s="31" t="n">
        <f aca="false">P156</f>
        <v>15635.43</v>
      </c>
      <c r="N157" s="30" t="n">
        <f aca="false">IFERROR(F157/M157,0)</f>
        <v>0.040433170050328</v>
      </c>
      <c r="O157" s="29" t="str">
        <f aca="false">IF(F157&lt;0,"down week","")</f>
        <v/>
      </c>
      <c r="P157" s="31" t="n">
        <f aca="false">M157+F157</f>
        <v>16267.62</v>
      </c>
      <c r="Q157" s="31" t="n">
        <f aca="false">P157-Summary!$C$5</f>
        <v>6267.62</v>
      </c>
    </row>
    <row r="158" customFormat="false" ht="15" hidden="false" customHeight="false" outlineLevel="0" collapsed="false">
      <c r="A158" s="43" t="n">
        <v>45747</v>
      </c>
      <c r="B158" s="29" t="n">
        <f aca="false">COUNTIFS(Trades!$E$2:$E$1146,$A158)</f>
        <v>5</v>
      </c>
      <c r="C158" s="29" t="n">
        <f aca="false">COUNTIFS(Trades!$E$2:$E$1146,$A158,Trades!$Z$2:$Z$1146,"Win")</f>
        <v>1</v>
      </c>
      <c r="D158" s="29" t="n">
        <f aca="false">COUNTIFS(Trades!$E$2:$E$1146,$A158,Trades!$Z$2:$Z$1146,"Loss")</f>
        <v>4</v>
      </c>
      <c r="E158" s="30" t="n">
        <f aca="false">IFERROR(C158/B158,0)</f>
        <v>0.2</v>
      </c>
      <c r="F158" s="31" t="n">
        <f aca="false">SUMIFS(Trades!$X$2:$X$1146,Trades!$E$2:$E$1146,$A158)</f>
        <v>-301.34</v>
      </c>
      <c r="G158" s="31" t="n">
        <f aca="false">SUMIFS(Trades!$X$2:$X$1146,Trades!$E$2:$E$1146,$A158,Trades!$X$2:$X$1146,"&gt;0")</f>
        <v>288.04</v>
      </c>
      <c r="H158" s="31" t="n">
        <f aca="false">SUMIFS(Trades!$X$2:$X$1146,Trades!$E$2:$E$1146,$A158,Trades!$X$2:$X$1146,"&lt;0")</f>
        <v>-589.38</v>
      </c>
      <c r="I158" s="32" t="n">
        <f aca="false">IFERROR(G158/-H158,"no loss")</f>
        <v>0.488716956802063</v>
      </c>
      <c r="J158" s="31" t="n">
        <f aca="false">_xlfn.MAXIFS(Trades!$X$2:$X$1146,Trades!$E$2:$E$1146,$A158)</f>
        <v>288.04</v>
      </c>
      <c r="K158" s="31" t="n">
        <f aca="false">_xlfn.MINIFS(Trades!$X$2:$X$1146,Trades!$E$2:$E$1146,$A158)</f>
        <v>-421.82</v>
      </c>
      <c r="L158" s="33" t="n">
        <f aca="false">SUMIFS(Trades!$Y$2:$Y$1146,Trades!$E$2:$E$1146,$A158)</f>
        <v>-1.29318414754242</v>
      </c>
      <c r="M158" s="31" t="n">
        <f aca="false">P157</f>
        <v>16267.62</v>
      </c>
      <c r="N158" s="30" t="n">
        <f aca="false">IFERROR(F158/M158,0)</f>
        <v>-0.0185239143771492</v>
      </c>
      <c r="O158" s="29" t="str">
        <f aca="false">IF(F158&lt;0,"down week","")</f>
        <v>down week</v>
      </c>
      <c r="P158" s="31" t="n">
        <f aca="false">M158+F158</f>
        <v>15966.28</v>
      </c>
      <c r="Q158" s="31" t="n">
        <f aca="false">P158-Summary!$C$5</f>
        <v>5966.28</v>
      </c>
    </row>
    <row r="159" customFormat="false" ht="15" hidden="false" customHeight="false" outlineLevel="0" collapsed="false">
      <c r="A159" s="43" t="n">
        <v>45754</v>
      </c>
      <c r="B159" s="29" t="n">
        <f aca="false">COUNTIFS(Trades!$E$2:$E$1146,$A159)</f>
        <v>4</v>
      </c>
      <c r="C159" s="29" t="n">
        <f aca="false">COUNTIFS(Trades!$E$2:$E$1146,$A159,Trades!$Z$2:$Z$1146,"Win")</f>
        <v>2</v>
      </c>
      <c r="D159" s="29" t="n">
        <f aca="false">COUNTIFS(Trades!$E$2:$E$1146,$A159,Trades!$Z$2:$Z$1146,"Loss")</f>
        <v>2</v>
      </c>
      <c r="E159" s="30" t="n">
        <f aca="false">IFERROR(C159/B159,0)</f>
        <v>0.5</v>
      </c>
      <c r="F159" s="31" t="n">
        <f aca="false">SUMIFS(Trades!$X$2:$X$1146,Trades!$E$2:$E$1146,$A159)</f>
        <v>1155.24</v>
      </c>
      <c r="G159" s="31" t="n">
        <f aca="false">SUMIFS(Trades!$X$2:$X$1146,Trades!$E$2:$E$1146,$A159,Trades!$X$2:$X$1146,"&gt;0")</f>
        <v>1637.2</v>
      </c>
      <c r="H159" s="31" t="n">
        <f aca="false">SUMIFS(Trades!$X$2:$X$1146,Trades!$E$2:$E$1146,$A159,Trades!$X$2:$X$1146,"&lt;0")</f>
        <v>-481.96</v>
      </c>
      <c r="I159" s="32" t="n">
        <f aca="false">IFERROR(G159/-H159,"no loss")</f>
        <v>3.39696240351896</v>
      </c>
      <c r="J159" s="31" t="n">
        <f aca="false">_xlfn.MAXIFS(Trades!$X$2:$X$1146,Trades!$E$2:$E$1146,$A159)</f>
        <v>1500.76</v>
      </c>
      <c r="K159" s="31" t="n">
        <f aca="false">_xlfn.MINIFS(Trades!$X$2:$X$1146,Trades!$E$2:$E$1146,$A159)</f>
        <v>-425.64</v>
      </c>
      <c r="L159" s="33" t="n">
        <f aca="false">SUMIFS(Trades!$Y$2:$Y$1146,Trades!$E$2:$E$1146,$A159)</f>
        <v>3.30220253599297</v>
      </c>
      <c r="M159" s="31" t="n">
        <f aca="false">P158</f>
        <v>15966.28</v>
      </c>
      <c r="N159" s="30" t="n">
        <f aca="false">IFERROR(F159/M159,0)</f>
        <v>0.0723549881374998</v>
      </c>
      <c r="O159" s="29" t="str">
        <f aca="false">IF(F159&lt;0,"down week","")</f>
        <v/>
      </c>
      <c r="P159" s="31" t="n">
        <f aca="false">M159+F159</f>
        <v>17121.52</v>
      </c>
      <c r="Q159" s="31" t="n">
        <f aca="false">P159-Summary!$C$5</f>
        <v>7121.52</v>
      </c>
    </row>
    <row r="160" customFormat="false" ht="15" hidden="false" customHeight="false" outlineLevel="0" collapsed="false">
      <c r="A160" s="43" t="n">
        <v>45761</v>
      </c>
      <c r="B160" s="29" t="n">
        <f aca="false">COUNTIFS(Trades!$E$2:$E$1146,$A160)</f>
        <v>2</v>
      </c>
      <c r="C160" s="29" t="n">
        <f aca="false">COUNTIFS(Trades!$E$2:$E$1146,$A160,Trades!$Z$2:$Z$1146,"Win")</f>
        <v>1</v>
      </c>
      <c r="D160" s="29" t="n">
        <f aca="false">COUNTIFS(Trades!$E$2:$E$1146,$A160,Trades!$Z$2:$Z$1146,"Loss")</f>
        <v>1</v>
      </c>
      <c r="E160" s="30" t="n">
        <f aca="false">IFERROR(C160/B160,0)</f>
        <v>0.5</v>
      </c>
      <c r="F160" s="31" t="n">
        <f aca="false">SUMIFS(Trades!$X$2:$X$1146,Trades!$E$2:$E$1146,$A160)</f>
        <v>485.8</v>
      </c>
      <c r="G160" s="31" t="n">
        <f aca="false">SUMIFS(Trades!$X$2:$X$1146,Trades!$E$2:$E$1146,$A160,Trades!$X$2:$X$1146,"&gt;0")</f>
        <v>486.24</v>
      </c>
      <c r="H160" s="31" t="n">
        <f aca="false">SUMIFS(Trades!$X$2:$X$1146,Trades!$E$2:$E$1146,$A160,Trades!$X$2:$X$1146,"&lt;0")</f>
        <v>-0.44</v>
      </c>
      <c r="I160" s="32" t="n">
        <f aca="false">IFERROR(G160/-H160,"no loss")</f>
        <v>1105.09090909091</v>
      </c>
      <c r="J160" s="31" t="n">
        <f aca="false">_xlfn.MAXIFS(Trades!$X$2:$X$1146,Trades!$E$2:$E$1146,$A160)</f>
        <v>486.24</v>
      </c>
      <c r="K160" s="31" t="n">
        <f aca="false">_xlfn.MINIFS(Trades!$X$2:$X$1146,Trades!$E$2:$E$1146,$A160)</f>
        <v>-0.44</v>
      </c>
      <c r="L160" s="33" t="n">
        <f aca="false">SUMIFS(Trades!$Y$2:$Y$1146,Trades!$E$2:$E$1146,$A160)</f>
        <v>2.47085850507708</v>
      </c>
      <c r="M160" s="31" t="n">
        <f aca="false">P159</f>
        <v>17121.52</v>
      </c>
      <c r="N160" s="30" t="n">
        <f aca="false">IFERROR(F160/M160,0)</f>
        <v>0.0283736490685406</v>
      </c>
      <c r="O160" s="29" t="str">
        <f aca="false">IF(F160&lt;0,"down week","")</f>
        <v/>
      </c>
      <c r="P160" s="31" t="n">
        <f aca="false">M160+F160</f>
        <v>17607.32</v>
      </c>
      <c r="Q160" s="31" t="n">
        <f aca="false">P160-Summary!$C$5</f>
        <v>7607.32</v>
      </c>
    </row>
    <row r="161" customFormat="false" ht="15" hidden="false" customHeight="false" outlineLevel="0" collapsed="false">
      <c r="A161" s="43" t="n">
        <v>45768</v>
      </c>
      <c r="B161" s="29" t="n">
        <f aca="false">COUNTIFS(Trades!$E$2:$E$1146,$A161)</f>
        <v>6</v>
      </c>
      <c r="C161" s="29" t="n">
        <f aca="false">COUNTIFS(Trades!$E$2:$E$1146,$A161,Trades!$Z$2:$Z$1146,"Win")</f>
        <v>0</v>
      </c>
      <c r="D161" s="29" t="n">
        <f aca="false">COUNTIFS(Trades!$E$2:$E$1146,$A161,Trades!$Z$2:$Z$1146,"Loss")</f>
        <v>6</v>
      </c>
      <c r="E161" s="30" t="n">
        <f aca="false">IFERROR(C161/B161,0)</f>
        <v>0</v>
      </c>
      <c r="F161" s="31" t="n">
        <f aca="false">SUMIFS(Trades!$X$2:$X$1146,Trades!$E$2:$E$1146,$A161)</f>
        <v>-301.84</v>
      </c>
      <c r="G161" s="31" t="n">
        <f aca="false">SUMIFS(Trades!$X$2:$X$1146,Trades!$E$2:$E$1146,$A161,Trades!$X$2:$X$1146,"&gt;0")</f>
        <v>0</v>
      </c>
      <c r="H161" s="31" t="n">
        <f aca="false">SUMIFS(Trades!$X$2:$X$1146,Trades!$E$2:$E$1146,$A161,Trades!$X$2:$X$1146,"&lt;0")</f>
        <v>-301.84</v>
      </c>
      <c r="I161" s="32" t="n">
        <f aca="false">IFERROR(G161/-H161,"no loss")</f>
        <v>0</v>
      </c>
      <c r="J161" s="31" t="n">
        <f aca="false">_xlfn.MAXIFS(Trades!$X$2:$X$1146,Trades!$E$2:$E$1146,$A161)</f>
        <v>-1.64</v>
      </c>
      <c r="K161" s="31" t="n">
        <f aca="false">_xlfn.MINIFS(Trades!$X$2:$X$1146,Trades!$E$2:$E$1146,$A161)</f>
        <v>-160</v>
      </c>
      <c r="L161" s="33" t="n">
        <f aca="false">SUMIFS(Trades!$Y$2:$Y$1146,Trades!$E$2:$E$1146,$A161)</f>
        <v>-4.54106617542676</v>
      </c>
      <c r="M161" s="31" t="n">
        <f aca="false">P160</f>
        <v>17607.32</v>
      </c>
      <c r="N161" s="30" t="n">
        <f aca="false">IFERROR(F161/M161,0)</f>
        <v>-0.017142870124471</v>
      </c>
      <c r="O161" s="29" t="str">
        <f aca="false">IF(F161&lt;0,"down week","")</f>
        <v>down week</v>
      </c>
      <c r="P161" s="31" t="n">
        <f aca="false">M161+F161</f>
        <v>17305.48</v>
      </c>
      <c r="Q161" s="31" t="n">
        <f aca="false">P161-Summary!$C$5</f>
        <v>7305.48</v>
      </c>
    </row>
    <row r="162" customFormat="false" ht="15" hidden="false" customHeight="false" outlineLevel="0" collapsed="false">
      <c r="A162" s="43" t="n">
        <v>45775</v>
      </c>
      <c r="B162" s="29" t="n">
        <f aca="false">COUNTIFS(Trades!$E$2:$E$1146,$A162)</f>
        <v>7</v>
      </c>
      <c r="C162" s="29" t="n">
        <f aca="false">COUNTIFS(Trades!$E$2:$E$1146,$A162,Trades!$Z$2:$Z$1146,"Win")</f>
        <v>2</v>
      </c>
      <c r="D162" s="29" t="n">
        <f aca="false">COUNTIFS(Trades!$E$2:$E$1146,$A162,Trades!$Z$2:$Z$1146,"Loss")</f>
        <v>5</v>
      </c>
      <c r="E162" s="30" t="n">
        <f aca="false">IFERROR(C162/B162,0)</f>
        <v>0.285714285714286</v>
      </c>
      <c r="F162" s="31" t="n">
        <f aca="false">SUMIFS(Trades!$X$2:$X$1146,Trades!$E$2:$E$1146,$A162)</f>
        <v>343.36</v>
      </c>
      <c r="G162" s="31" t="n">
        <f aca="false">SUMIFS(Trades!$X$2:$X$1146,Trades!$E$2:$E$1146,$A162,Trades!$X$2:$X$1146,"&gt;0")</f>
        <v>623.92</v>
      </c>
      <c r="H162" s="31" t="n">
        <f aca="false">SUMIFS(Trades!$X$2:$X$1146,Trades!$E$2:$E$1146,$A162,Trades!$X$2:$X$1146,"&lt;0")</f>
        <v>-280.56</v>
      </c>
      <c r="I162" s="32" t="n">
        <f aca="false">IFERROR(G162/-H162,"no loss")</f>
        <v>2.2238380382093</v>
      </c>
      <c r="J162" s="31" t="n">
        <f aca="false">_xlfn.MAXIFS(Trades!$X$2:$X$1146,Trades!$E$2:$E$1146,$A162)</f>
        <v>321.72</v>
      </c>
      <c r="K162" s="31" t="n">
        <f aca="false">_xlfn.MINIFS(Trades!$X$2:$X$1146,Trades!$E$2:$E$1146,$A162)</f>
        <v>-133.56</v>
      </c>
      <c r="L162" s="33" t="n">
        <f aca="false">SUMIFS(Trades!$Y$2:$Y$1146,Trades!$E$2:$E$1146,$A162)</f>
        <v>0.492817092605315</v>
      </c>
      <c r="M162" s="31" t="n">
        <f aca="false">P161</f>
        <v>17305.48</v>
      </c>
      <c r="N162" s="30" t="n">
        <f aca="false">IFERROR(F162/M162,0)</f>
        <v>0.0198411139130495</v>
      </c>
      <c r="O162" s="29" t="str">
        <f aca="false">IF(F162&lt;0,"down week","")</f>
        <v/>
      </c>
      <c r="P162" s="31" t="n">
        <f aca="false">M162+F162</f>
        <v>17648.84</v>
      </c>
      <c r="Q162" s="31" t="n">
        <f aca="false">P162-Summary!$C$5</f>
        <v>7648.84</v>
      </c>
    </row>
    <row r="163" customFormat="false" ht="15" hidden="false" customHeight="false" outlineLevel="0" collapsed="false">
      <c r="A163" s="43" t="n">
        <v>45782</v>
      </c>
      <c r="B163" s="29" t="n">
        <f aca="false">COUNTIFS(Trades!$E$2:$E$1146,$A163)</f>
        <v>4</v>
      </c>
      <c r="C163" s="29" t="n">
        <f aca="false">COUNTIFS(Trades!$E$2:$E$1146,$A163,Trades!$Z$2:$Z$1146,"Win")</f>
        <v>1</v>
      </c>
      <c r="D163" s="29" t="n">
        <f aca="false">COUNTIFS(Trades!$E$2:$E$1146,$A163,Trades!$Z$2:$Z$1146,"Loss")</f>
        <v>3</v>
      </c>
      <c r="E163" s="30" t="n">
        <f aca="false">IFERROR(C163/B163,0)</f>
        <v>0.25</v>
      </c>
      <c r="F163" s="31" t="n">
        <f aca="false">SUMIFS(Trades!$X$2:$X$1146,Trades!$E$2:$E$1146,$A163)</f>
        <v>-182.2</v>
      </c>
      <c r="G163" s="31" t="n">
        <f aca="false">SUMIFS(Trades!$X$2:$X$1146,Trades!$E$2:$E$1146,$A163,Trades!$X$2:$X$1146,"&gt;0")</f>
        <v>55.24</v>
      </c>
      <c r="H163" s="31" t="n">
        <f aca="false">SUMIFS(Trades!$X$2:$X$1146,Trades!$E$2:$E$1146,$A163,Trades!$X$2:$X$1146,"&lt;0")</f>
        <v>-237.44</v>
      </c>
      <c r="I163" s="32" t="n">
        <f aca="false">IFERROR(G163/-H163,"no loss")</f>
        <v>0.232648247978437</v>
      </c>
      <c r="J163" s="31" t="n">
        <f aca="false">_xlfn.MAXIFS(Trades!$X$2:$X$1146,Trades!$E$2:$E$1146,$A163)</f>
        <v>55.24</v>
      </c>
      <c r="K163" s="31" t="n">
        <f aca="false">_xlfn.MINIFS(Trades!$X$2:$X$1146,Trades!$E$2:$E$1146,$A163)</f>
        <v>-201.08</v>
      </c>
      <c r="L163" s="33" t="n">
        <f aca="false">SUMIFS(Trades!$Y$2:$Y$1146,Trades!$E$2:$E$1146,$A163)</f>
        <v>0.501185512812359</v>
      </c>
      <c r="M163" s="31" t="n">
        <f aca="false">P162</f>
        <v>17648.84</v>
      </c>
      <c r="N163" s="30" t="n">
        <f aca="false">IFERROR(F163/M163,0)</f>
        <v>-0.0103236246688168</v>
      </c>
      <c r="O163" s="29" t="str">
        <f aca="false">IF(F163&lt;0,"down week","")</f>
        <v>down week</v>
      </c>
      <c r="P163" s="31" t="n">
        <f aca="false">M163+F163</f>
        <v>17466.64</v>
      </c>
      <c r="Q163" s="31" t="n">
        <f aca="false">P163-Summary!$C$5</f>
        <v>7466.64</v>
      </c>
    </row>
    <row r="164" customFormat="false" ht="15" hidden="false" customHeight="false" outlineLevel="0" collapsed="false">
      <c r="A164" s="43" t="n">
        <v>45789</v>
      </c>
      <c r="B164" s="29" t="n">
        <f aca="false">COUNTIFS(Trades!$E$2:$E$1146,$A164)</f>
        <v>5</v>
      </c>
      <c r="C164" s="29" t="n">
        <f aca="false">COUNTIFS(Trades!$E$2:$E$1146,$A164,Trades!$Z$2:$Z$1146,"Win")</f>
        <v>1</v>
      </c>
      <c r="D164" s="29" t="n">
        <f aca="false">COUNTIFS(Trades!$E$2:$E$1146,$A164,Trades!$Z$2:$Z$1146,"Loss")</f>
        <v>4</v>
      </c>
      <c r="E164" s="30" t="n">
        <f aca="false">IFERROR(C164/B164,0)</f>
        <v>0.2</v>
      </c>
      <c r="F164" s="31" t="n">
        <f aca="false">SUMIFS(Trades!$X$2:$X$1146,Trades!$E$2:$E$1146,$A164)</f>
        <v>405.96</v>
      </c>
      <c r="G164" s="31" t="n">
        <f aca="false">SUMIFS(Trades!$X$2:$X$1146,Trades!$E$2:$E$1146,$A164,Trades!$X$2:$X$1146,"&gt;0")</f>
        <v>591.64</v>
      </c>
      <c r="H164" s="31" t="n">
        <f aca="false">SUMIFS(Trades!$X$2:$X$1146,Trades!$E$2:$E$1146,$A164,Trades!$X$2:$X$1146,"&lt;0")</f>
        <v>-185.68</v>
      </c>
      <c r="I164" s="32" t="n">
        <f aca="false">IFERROR(G164/-H164,"no loss")</f>
        <v>3.18634209392503</v>
      </c>
      <c r="J164" s="31" t="n">
        <f aca="false">_xlfn.MAXIFS(Trades!$X$2:$X$1146,Trades!$E$2:$E$1146,$A164)</f>
        <v>591.64</v>
      </c>
      <c r="K164" s="31" t="n">
        <f aca="false">_xlfn.MINIFS(Trades!$X$2:$X$1146,Trades!$E$2:$E$1146,$A164)</f>
        <v>-99.92</v>
      </c>
      <c r="L164" s="33" t="n">
        <f aca="false">SUMIFS(Trades!$Y$2:$Y$1146,Trades!$E$2:$E$1146,$A164)</f>
        <v>-0.728708244280707</v>
      </c>
      <c r="M164" s="31" t="n">
        <f aca="false">P163</f>
        <v>17466.64</v>
      </c>
      <c r="N164" s="30" t="n">
        <f aca="false">IFERROR(F164/M164,0)</f>
        <v>0.0232420202168248</v>
      </c>
      <c r="O164" s="29" t="str">
        <f aca="false">IF(F164&lt;0,"down week","")</f>
        <v/>
      </c>
      <c r="P164" s="31" t="n">
        <f aca="false">M164+F164</f>
        <v>17872.6</v>
      </c>
      <c r="Q164" s="31" t="n">
        <f aca="false">P164-Summary!$C$5</f>
        <v>7872.6</v>
      </c>
    </row>
    <row r="165" customFormat="false" ht="15" hidden="false" customHeight="false" outlineLevel="0" collapsed="false">
      <c r="A165" s="43" t="n">
        <v>45796</v>
      </c>
      <c r="B165" s="29" t="n">
        <f aca="false">COUNTIFS(Trades!$E$2:$E$1146,$A165)</f>
        <v>6</v>
      </c>
      <c r="C165" s="29" t="n">
        <f aca="false">COUNTIFS(Trades!$E$2:$E$1146,$A165,Trades!$Z$2:$Z$1146,"Win")</f>
        <v>3</v>
      </c>
      <c r="D165" s="29" t="n">
        <f aca="false">COUNTIFS(Trades!$E$2:$E$1146,$A165,Trades!$Z$2:$Z$1146,"Loss")</f>
        <v>3</v>
      </c>
      <c r="E165" s="30" t="n">
        <f aca="false">IFERROR(C165/B165,0)</f>
        <v>0.5</v>
      </c>
      <c r="F165" s="31" t="n">
        <f aca="false">SUMIFS(Trades!$X$2:$X$1146,Trades!$E$2:$E$1146,$A165)</f>
        <v>298.24</v>
      </c>
      <c r="G165" s="31" t="n">
        <f aca="false">SUMIFS(Trades!$X$2:$X$1146,Trades!$E$2:$E$1146,$A165,Trades!$X$2:$X$1146,"&gt;0")</f>
        <v>381.08</v>
      </c>
      <c r="H165" s="31" t="n">
        <f aca="false">SUMIFS(Trades!$X$2:$X$1146,Trades!$E$2:$E$1146,$A165,Trades!$X$2:$X$1146,"&lt;0")</f>
        <v>-82.84</v>
      </c>
      <c r="I165" s="32" t="n">
        <f aca="false">IFERROR(G165/-H165,"no loss")</f>
        <v>4.60019314340898</v>
      </c>
      <c r="J165" s="31" t="n">
        <f aca="false">_xlfn.MAXIFS(Trades!$X$2:$X$1146,Trades!$E$2:$E$1146,$A165)</f>
        <v>240.12</v>
      </c>
      <c r="K165" s="31" t="n">
        <f aca="false">_xlfn.MINIFS(Trades!$X$2:$X$1146,Trades!$E$2:$E$1146,$A165)</f>
        <v>-44.52</v>
      </c>
      <c r="L165" s="33" t="n">
        <f aca="false">SUMIFS(Trades!$Y$2:$Y$1146,Trades!$E$2:$E$1146,$A165)</f>
        <v>5.09178458923643</v>
      </c>
      <c r="M165" s="31" t="n">
        <f aca="false">P164</f>
        <v>17872.6</v>
      </c>
      <c r="N165" s="30" t="n">
        <f aca="false">IFERROR(F165/M165,0)</f>
        <v>0.0166869957364905</v>
      </c>
      <c r="O165" s="29" t="str">
        <f aca="false">IF(F165&lt;0,"down week","")</f>
        <v/>
      </c>
      <c r="P165" s="31" t="n">
        <f aca="false">M165+F165</f>
        <v>18170.84</v>
      </c>
      <c r="Q165" s="31" t="n">
        <f aca="false">P165-Summary!$C$5</f>
        <v>8170.84</v>
      </c>
    </row>
    <row r="166" customFormat="false" ht="15" hidden="false" customHeight="false" outlineLevel="0" collapsed="false">
      <c r="A166" s="43" t="n">
        <v>45803</v>
      </c>
      <c r="B166" s="29" t="n">
        <f aca="false">COUNTIFS(Trades!$E$2:$E$1146,$A166)</f>
        <v>6</v>
      </c>
      <c r="C166" s="29" t="n">
        <f aca="false">COUNTIFS(Trades!$E$2:$E$1146,$A166,Trades!$Z$2:$Z$1146,"Win")</f>
        <v>3</v>
      </c>
      <c r="D166" s="29" t="n">
        <f aca="false">COUNTIFS(Trades!$E$2:$E$1146,$A166,Trades!$Z$2:$Z$1146,"Loss")</f>
        <v>3</v>
      </c>
      <c r="E166" s="30" t="n">
        <f aca="false">IFERROR(C166/B166,0)</f>
        <v>0.5</v>
      </c>
      <c r="F166" s="31" t="n">
        <f aca="false">SUMIFS(Trades!$X$2:$X$1146,Trades!$E$2:$E$1146,$A166)</f>
        <v>115.8</v>
      </c>
      <c r="G166" s="31" t="n">
        <f aca="false">SUMIFS(Trades!$X$2:$X$1146,Trades!$E$2:$E$1146,$A166,Trades!$X$2:$X$1146,"&gt;0")</f>
        <v>286.72</v>
      </c>
      <c r="H166" s="31" t="n">
        <f aca="false">SUMIFS(Trades!$X$2:$X$1146,Trades!$E$2:$E$1146,$A166,Trades!$X$2:$X$1146,"&lt;0")</f>
        <v>-170.92</v>
      </c>
      <c r="I166" s="32" t="n">
        <f aca="false">IFERROR(G166/-H166,"no loss")</f>
        <v>1.67750994617365</v>
      </c>
      <c r="J166" s="31" t="n">
        <f aca="false">_xlfn.MAXIFS(Trades!$X$2:$X$1146,Trades!$E$2:$E$1146,$A166)</f>
        <v>118.08</v>
      </c>
      <c r="K166" s="31" t="n">
        <f aca="false">_xlfn.MINIFS(Trades!$X$2:$X$1146,Trades!$E$2:$E$1146,$A166)</f>
        <v>-161.08</v>
      </c>
      <c r="L166" s="33" t="n">
        <f aca="false">SUMIFS(Trades!$Y$2:$Y$1146,Trades!$E$2:$E$1146,$A166)</f>
        <v>6.34220698324501</v>
      </c>
      <c r="M166" s="31" t="n">
        <f aca="false">P165</f>
        <v>18170.84</v>
      </c>
      <c r="N166" s="30" t="n">
        <f aca="false">IFERROR(F166/M166,0)</f>
        <v>0.00637284792557746</v>
      </c>
      <c r="O166" s="29" t="str">
        <f aca="false">IF(F166&lt;0,"down week","")</f>
        <v/>
      </c>
      <c r="P166" s="31" t="n">
        <f aca="false">M166+F166</f>
        <v>18286.64</v>
      </c>
      <c r="Q166" s="31" t="n">
        <f aca="false">P166-Summary!$C$5</f>
        <v>8286.64</v>
      </c>
    </row>
    <row r="167" customFormat="false" ht="15" hidden="false" customHeight="false" outlineLevel="0" collapsed="false">
      <c r="A167" s="43" t="n">
        <v>45810</v>
      </c>
      <c r="B167" s="29" t="n">
        <f aca="false">COUNTIFS(Trades!$E$2:$E$1146,$A167)</f>
        <v>6</v>
      </c>
      <c r="C167" s="29" t="n">
        <f aca="false">COUNTIFS(Trades!$E$2:$E$1146,$A167,Trades!$Z$2:$Z$1146,"Win")</f>
        <v>0</v>
      </c>
      <c r="D167" s="29" t="n">
        <f aca="false">COUNTIFS(Trades!$E$2:$E$1146,$A167,Trades!$Z$2:$Z$1146,"Loss")</f>
        <v>6</v>
      </c>
      <c r="E167" s="30" t="n">
        <f aca="false">IFERROR(C167/B167,0)</f>
        <v>0</v>
      </c>
      <c r="F167" s="31" t="n">
        <f aca="false">SUMIFS(Trades!$X$2:$X$1146,Trades!$E$2:$E$1146,$A167)</f>
        <v>-350.12</v>
      </c>
      <c r="G167" s="31" t="n">
        <f aca="false">SUMIFS(Trades!$X$2:$X$1146,Trades!$E$2:$E$1146,$A167,Trades!$X$2:$X$1146,"&gt;0")</f>
        <v>0</v>
      </c>
      <c r="H167" s="31" t="n">
        <f aca="false">SUMIFS(Trades!$X$2:$X$1146,Trades!$E$2:$E$1146,$A167,Trades!$X$2:$X$1146,"&lt;0")</f>
        <v>-350.12</v>
      </c>
      <c r="I167" s="32" t="n">
        <f aca="false">IFERROR(G167/-H167,"no loss")</f>
        <v>0</v>
      </c>
      <c r="J167" s="31" t="n">
        <f aca="false">_xlfn.MAXIFS(Trades!$X$2:$X$1146,Trades!$E$2:$E$1146,$A167)</f>
        <v>-0.24</v>
      </c>
      <c r="K167" s="31" t="n">
        <f aca="false">_xlfn.MINIFS(Trades!$X$2:$X$1146,Trades!$E$2:$E$1146,$A167)</f>
        <v>-99.2</v>
      </c>
      <c r="L167" s="33" t="n">
        <f aca="false">SUMIFS(Trades!$Y$2:$Y$1146,Trades!$E$2:$E$1146,$A167)</f>
        <v>-4.06433229944982</v>
      </c>
      <c r="M167" s="31" t="n">
        <f aca="false">P166</f>
        <v>18286.64</v>
      </c>
      <c r="N167" s="30" t="n">
        <f aca="false">IFERROR(F167/M167,0)</f>
        <v>-0.0191462182227025</v>
      </c>
      <c r="O167" s="29" t="str">
        <f aca="false">IF(F167&lt;0,"down week","")</f>
        <v>down week</v>
      </c>
      <c r="P167" s="31" t="n">
        <f aca="false">M167+F167</f>
        <v>17936.52</v>
      </c>
      <c r="Q167" s="31" t="n">
        <f aca="false">P167-Summary!$C$5</f>
        <v>7936.52</v>
      </c>
    </row>
    <row r="168" customFormat="false" ht="15" hidden="false" customHeight="false" outlineLevel="0" collapsed="false">
      <c r="A168" s="43" t="n">
        <v>45817</v>
      </c>
      <c r="B168" s="29" t="n">
        <f aca="false">COUNTIFS(Trades!$E$2:$E$1146,$A168)</f>
        <v>5</v>
      </c>
      <c r="C168" s="29" t="n">
        <f aca="false">COUNTIFS(Trades!$E$2:$E$1146,$A168,Trades!$Z$2:$Z$1146,"Win")</f>
        <v>2</v>
      </c>
      <c r="D168" s="29" t="n">
        <f aca="false">COUNTIFS(Trades!$E$2:$E$1146,$A168,Trades!$Z$2:$Z$1146,"Loss")</f>
        <v>3</v>
      </c>
      <c r="E168" s="30" t="n">
        <f aca="false">IFERROR(C168/B168,0)</f>
        <v>0.4</v>
      </c>
      <c r="F168" s="31" t="n">
        <f aca="false">SUMIFS(Trades!$X$2:$X$1146,Trades!$E$2:$E$1146,$A168)</f>
        <v>29.32</v>
      </c>
      <c r="G168" s="31" t="n">
        <f aca="false">SUMIFS(Trades!$X$2:$X$1146,Trades!$E$2:$E$1146,$A168,Trades!$X$2:$X$1146,"&gt;0")</f>
        <v>155.04</v>
      </c>
      <c r="H168" s="31" t="n">
        <f aca="false">SUMIFS(Trades!$X$2:$X$1146,Trades!$E$2:$E$1146,$A168,Trades!$X$2:$X$1146,"&lt;0")</f>
        <v>-125.72</v>
      </c>
      <c r="I168" s="32" t="n">
        <f aca="false">IFERROR(G168/-H168,"no loss")</f>
        <v>1.23321667196946</v>
      </c>
      <c r="J168" s="31" t="n">
        <f aca="false">_xlfn.MAXIFS(Trades!$X$2:$X$1146,Trades!$E$2:$E$1146,$A168)</f>
        <v>91.72</v>
      </c>
      <c r="K168" s="31" t="n">
        <f aca="false">_xlfn.MINIFS(Trades!$X$2:$X$1146,Trades!$E$2:$E$1146,$A168)</f>
        <v>-66.16</v>
      </c>
      <c r="L168" s="33" t="n">
        <f aca="false">SUMIFS(Trades!$Y$2:$Y$1146,Trades!$E$2:$E$1146,$A168)</f>
        <v>3.28093063437969</v>
      </c>
      <c r="M168" s="31" t="n">
        <f aca="false">P167</f>
        <v>17936.52</v>
      </c>
      <c r="N168" s="30" t="n">
        <f aca="false">IFERROR(F168/M168,0)</f>
        <v>0.00163465376784348</v>
      </c>
      <c r="O168" s="29" t="str">
        <f aca="false">IF(F168&lt;0,"down week","")</f>
        <v/>
      </c>
      <c r="P168" s="31" t="n">
        <f aca="false">M168+F168</f>
        <v>17965.84</v>
      </c>
      <c r="Q168" s="31" t="n">
        <f aca="false">P168-Summary!$C$5</f>
        <v>7965.84</v>
      </c>
    </row>
    <row r="169" customFormat="false" ht="15" hidden="false" customHeight="false" outlineLevel="0" collapsed="false">
      <c r="A169" s="43" t="n">
        <v>45824</v>
      </c>
      <c r="B169" s="29" t="n">
        <f aca="false">COUNTIFS(Trades!$E$2:$E$1146,$A169)</f>
        <v>4</v>
      </c>
      <c r="C169" s="29" t="n">
        <f aca="false">COUNTIFS(Trades!$E$2:$E$1146,$A169,Trades!$Z$2:$Z$1146,"Win")</f>
        <v>3</v>
      </c>
      <c r="D169" s="29" t="n">
        <f aca="false">COUNTIFS(Trades!$E$2:$E$1146,$A169,Trades!$Z$2:$Z$1146,"Loss")</f>
        <v>1</v>
      </c>
      <c r="E169" s="30" t="n">
        <f aca="false">IFERROR(C169/B169,0)</f>
        <v>0.75</v>
      </c>
      <c r="F169" s="31" t="n">
        <f aca="false">SUMIFS(Trades!$X$2:$X$1146,Trades!$E$2:$E$1146,$A169)</f>
        <v>325.88</v>
      </c>
      <c r="G169" s="31" t="n">
        <f aca="false">SUMIFS(Trades!$X$2:$X$1146,Trades!$E$2:$E$1146,$A169,Trades!$X$2:$X$1146,"&gt;0")</f>
        <v>388.28</v>
      </c>
      <c r="H169" s="31" t="n">
        <f aca="false">SUMIFS(Trades!$X$2:$X$1146,Trades!$E$2:$E$1146,$A169,Trades!$X$2:$X$1146,"&lt;0")</f>
        <v>-62.4</v>
      </c>
      <c r="I169" s="32" t="n">
        <f aca="false">IFERROR(G169/-H169,"no loss")</f>
        <v>6.2224358974359</v>
      </c>
      <c r="J169" s="31" t="n">
        <f aca="false">_xlfn.MAXIFS(Trades!$X$2:$X$1146,Trades!$E$2:$E$1146,$A169)</f>
        <v>236.12</v>
      </c>
      <c r="K169" s="31" t="n">
        <f aca="false">_xlfn.MINIFS(Trades!$X$2:$X$1146,Trades!$E$2:$E$1146,$A169)</f>
        <v>-62.4</v>
      </c>
      <c r="L169" s="33" t="n">
        <f aca="false">SUMIFS(Trades!$Y$2:$Y$1146,Trades!$E$2:$E$1146,$A169)</f>
        <v>5.80988203179313</v>
      </c>
      <c r="M169" s="31" t="n">
        <f aca="false">P168</f>
        <v>17965.84</v>
      </c>
      <c r="N169" s="30" t="n">
        <f aca="false">IFERROR(F169/M169,0)</f>
        <v>0.0181388679850205</v>
      </c>
      <c r="O169" s="29" t="str">
        <f aca="false">IF(F169&lt;0,"down week","")</f>
        <v/>
      </c>
      <c r="P169" s="31" t="n">
        <f aca="false">M169+F169</f>
        <v>18291.72</v>
      </c>
      <c r="Q169" s="31" t="n">
        <f aca="false">P169-Summary!$C$5</f>
        <v>8291.72000000001</v>
      </c>
    </row>
    <row r="170" customFormat="false" ht="15" hidden="false" customHeight="false" outlineLevel="0" collapsed="false">
      <c r="A170" s="43" t="n">
        <v>45831</v>
      </c>
      <c r="B170" s="29" t="n">
        <f aca="false">COUNTIFS(Trades!$E$2:$E$1146,$A170)</f>
        <v>5</v>
      </c>
      <c r="C170" s="29" t="n">
        <f aca="false">COUNTIFS(Trades!$E$2:$E$1146,$A170,Trades!$Z$2:$Z$1146,"Win")</f>
        <v>1</v>
      </c>
      <c r="D170" s="29" t="n">
        <f aca="false">COUNTIFS(Trades!$E$2:$E$1146,$A170,Trades!$Z$2:$Z$1146,"Loss")</f>
        <v>4</v>
      </c>
      <c r="E170" s="30" t="n">
        <f aca="false">IFERROR(C170/B170,0)</f>
        <v>0.2</v>
      </c>
      <c r="F170" s="31" t="n">
        <f aca="false">SUMIFS(Trades!$X$2:$X$1146,Trades!$E$2:$E$1146,$A170)</f>
        <v>-30.04</v>
      </c>
      <c r="G170" s="31" t="n">
        <f aca="false">SUMIFS(Trades!$X$2:$X$1146,Trades!$E$2:$E$1146,$A170,Trades!$X$2:$X$1146,"&gt;0")</f>
        <v>156</v>
      </c>
      <c r="H170" s="31" t="n">
        <f aca="false">SUMIFS(Trades!$X$2:$X$1146,Trades!$E$2:$E$1146,$A170,Trades!$X$2:$X$1146,"&lt;0")</f>
        <v>-186.04</v>
      </c>
      <c r="I170" s="32" t="n">
        <f aca="false">IFERROR(G170/-H170,"no loss")</f>
        <v>0.838529348527199</v>
      </c>
      <c r="J170" s="31" t="n">
        <f aca="false">_xlfn.MAXIFS(Trades!$X$2:$X$1146,Trades!$E$2:$E$1146,$A170)</f>
        <v>156</v>
      </c>
      <c r="K170" s="31" t="n">
        <f aca="false">_xlfn.MINIFS(Trades!$X$2:$X$1146,Trades!$E$2:$E$1146,$A170)</f>
        <v>-134.72</v>
      </c>
      <c r="L170" s="33" t="n">
        <f aca="false">SUMIFS(Trades!$Y$2:$Y$1146,Trades!$E$2:$E$1146,$A170)</f>
        <v>0.279998367870875</v>
      </c>
      <c r="M170" s="31" t="n">
        <f aca="false">P169</f>
        <v>18291.72</v>
      </c>
      <c r="N170" s="30" t="n">
        <f aca="false">IFERROR(F170/M170,0)</f>
        <v>-0.00164227311592349</v>
      </c>
      <c r="O170" s="29" t="str">
        <f aca="false">IF(F170&lt;0,"down week","")</f>
        <v>down week</v>
      </c>
      <c r="P170" s="31" t="n">
        <f aca="false">M170+F170</f>
        <v>18261.68</v>
      </c>
      <c r="Q170" s="31" t="n">
        <f aca="false">P170-Summary!$C$5</f>
        <v>8261.68</v>
      </c>
    </row>
    <row r="171" customFormat="false" ht="15" hidden="false" customHeight="false" outlineLevel="0" collapsed="false">
      <c r="A171" s="43" t="n">
        <v>45838</v>
      </c>
      <c r="B171" s="29" t="n">
        <f aca="false">COUNTIFS(Trades!$E$2:$E$1146,$A171)</f>
        <v>4</v>
      </c>
      <c r="C171" s="29" t="n">
        <f aca="false">COUNTIFS(Trades!$E$2:$E$1146,$A171,Trades!$Z$2:$Z$1146,"Win")</f>
        <v>1</v>
      </c>
      <c r="D171" s="29" t="n">
        <f aca="false">COUNTIFS(Trades!$E$2:$E$1146,$A171,Trades!$Z$2:$Z$1146,"Loss")</f>
        <v>3</v>
      </c>
      <c r="E171" s="30" t="n">
        <f aca="false">IFERROR(C171/B171,0)</f>
        <v>0.25</v>
      </c>
      <c r="F171" s="31" t="n">
        <f aca="false">SUMIFS(Trades!$X$2:$X$1146,Trades!$E$2:$E$1146,$A171)</f>
        <v>61.28</v>
      </c>
      <c r="G171" s="31" t="n">
        <f aca="false">SUMIFS(Trades!$X$2:$X$1146,Trades!$E$2:$E$1146,$A171,Trades!$X$2:$X$1146,"&gt;0")</f>
        <v>170.04</v>
      </c>
      <c r="H171" s="31" t="n">
        <f aca="false">SUMIFS(Trades!$X$2:$X$1146,Trades!$E$2:$E$1146,$A171,Trades!$X$2:$X$1146,"&lt;0")</f>
        <v>-108.76</v>
      </c>
      <c r="I171" s="32" t="n">
        <f aca="false">IFERROR(G171/-H171,"no loss")</f>
        <v>1.56344244207429</v>
      </c>
      <c r="J171" s="31" t="n">
        <f aca="false">_xlfn.MAXIFS(Trades!$X$2:$X$1146,Trades!$E$2:$E$1146,$A171)</f>
        <v>170.04</v>
      </c>
      <c r="K171" s="31" t="n">
        <f aca="false">_xlfn.MINIFS(Trades!$X$2:$X$1146,Trades!$E$2:$E$1146,$A171)</f>
        <v>-48.6</v>
      </c>
      <c r="L171" s="33" t="n">
        <f aca="false">SUMIFS(Trades!$Y$2:$Y$1146,Trades!$E$2:$E$1146,$A171)</f>
        <v>-0.48023264840023</v>
      </c>
      <c r="M171" s="31" t="n">
        <f aca="false">P170</f>
        <v>18261.68</v>
      </c>
      <c r="N171" s="30" t="n">
        <f aca="false">IFERROR(F171/M171,0)</f>
        <v>0.00335566059639639</v>
      </c>
      <c r="O171" s="29" t="str">
        <f aca="false">IF(F171&lt;0,"down week","")</f>
        <v/>
      </c>
      <c r="P171" s="31" t="n">
        <f aca="false">M171+F171</f>
        <v>18322.96</v>
      </c>
      <c r="Q171" s="31" t="n">
        <f aca="false">P171-Summary!$C$5</f>
        <v>8322.96</v>
      </c>
    </row>
    <row r="172" customFormat="false" ht="15" hidden="false" customHeight="false" outlineLevel="0" collapsed="false">
      <c r="A172" s="43" t="n">
        <v>45845</v>
      </c>
      <c r="B172" s="29" t="n">
        <f aca="false">COUNTIFS(Trades!$E$2:$E$1146,$A172)</f>
        <v>3</v>
      </c>
      <c r="C172" s="29" t="n">
        <f aca="false">COUNTIFS(Trades!$E$2:$E$1146,$A172,Trades!$Z$2:$Z$1146,"Win")</f>
        <v>2</v>
      </c>
      <c r="D172" s="29" t="n">
        <f aca="false">COUNTIFS(Trades!$E$2:$E$1146,$A172,Trades!$Z$2:$Z$1146,"Loss")</f>
        <v>1</v>
      </c>
      <c r="E172" s="30" t="n">
        <f aca="false">IFERROR(C172/B172,0)</f>
        <v>0.666666666666667</v>
      </c>
      <c r="F172" s="31" t="n">
        <f aca="false">SUMIFS(Trades!$X$2:$X$1146,Trades!$E$2:$E$1146,$A172)</f>
        <v>252.2</v>
      </c>
      <c r="G172" s="31" t="n">
        <f aca="false">SUMIFS(Trades!$X$2:$X$1146,Trades!$E$2:$E$1146,$A172,Trades!$X$2:$X$1146,"&gt;0")</f>
        <v>252.84</v>
      </c>
      <c r="H172" s="31" t="n">
        <f aca="false">SUMIFS(Trades!$X$2:$X$1146,Trades!$E$2:$E$1146,$A172,Trades!$X$2:$X$1146,"&lt;0")</f>
        <v>-0.64</v>
      </c>
      <c r="I172" s="32" t="n">
        <f aca="false">IFERROR(G172/-H172,"no loss")</f>
        <v>395.0625</v>
      </c>
      <c r="J172" s="31" t="n">
        <f aca="false">_xlfn.MAXIFS(Trades!$X$2:$X$1146,Trades!$E$2:$E$1146,$A172)</f>
        <v>187.4</v>
      </c>
      <c r="K172" s="31" t="n">
        <f aca="false">_xlfn.MINIFS(Trades!$X$2:$X$1146,Trades!$E$2:$E$1146,$A172)</f>
        <v>-0.64</v>
      </c>
      <c r="L172" s="33" t="n">
        <f aca="false">SUMIFS(Trades!$Y$2:$Y$1146,Trades!$E$2:$E$1146,$A172)</f>
        <v>4.53795113308694</v>
      </c>
      <c r="M172" s="31" t="n">
        <f aca="false">P171</f>
        <v>18322.96</v>
      </c>
      <c r="N172" s="30" t="n">
        <f aca="false">IFERROR(F172/M172,0)</f>
        <v>0.0137641516436209</v>
      </c>
      <c r="O172" s="29" t="str">
        <f aca="false">IF(F172&lt;0,"down week","")</f>
        <v/>
      </c>
      <c r="P172" s="31" t="n">
        <f aca="false">M172+F172</f>
        <v>18575.16</v>
      </c>
      <c r="Q172" s="31" t="n">
        <f aca="false">P172-Summary!$C$5</f>
        <v>8575.16</v>
      </c>
    </row>
    <row r="173" customFormat="false" ht="15" hidden="false" customHeight="false" outlineLevel="0" collapsed="false">
      <c r="A173" s="43" t="n">
        <v>45852</v>
      </c>
      <c r="B173" s="29" t="n">
        <f aca="false">COUNTIFS(Trades!$E$2:$E$1146,$A173)</f>
        <v>6</v>
      </c>
      <c r="C173" s="29" t="n">
        <f aca="false">COUNTIFS(Trades!$E$2:$E$1146,$A173,Trades!$Z$2:$Z$1146,"Win")</f>
        <v>2</v>
      </c>
      <c r="D173" s="29" t="n">
        <f aca="false">COUNTIFS(Trades!$E$2:$E$1146,$A173,Trades!$Z$2:$Z$1146,"Loss")</f>
        <v>3</v>
      </c>
      <c r="E173" s="30" t="n">
        <f aca="false">IFERROR(C173/B173,0)</f>
        <v>0.333333333333333</v>
      </c>
      <c r="F173" s="31" t="n">
        <f aca="false">SUMIFS(Trades!$X$2:$X$1146,Trades!$E$2:$E$1146,$A173)</f>
        <v>98.56</v>
      </c>
      <c r="G173" s="31" t="n">
        <f aca="false">SUMIFS(Trades!$X$2:$X$1146,Trades!$E$2:$E$1146,$A173,Trades!$X$2:$X$1146,"&gt;0")</f>
        <v>208.24</v>
      </c>
      <c r="H173" s="31" t="n">
        <f aca="false">SUMIFS(Trades!$X$2:$X$1146,Trades!$E$2:$E$1146,$A173,Trades!$X$2:$X$1146,"&lt;0")</f>
        <v>-109.68</v>
      </c>
      <c r="I173" s="32" t="n">
        <f aca="false">IFERROR(G173/-H173,"no loss")</f>
        <v>1.89861415025529</v>
      </c>
      <c r="J173" s="31" t="n">
        <f aca="false">_xlfn.MAXIFS(Trades!$X$2:$X$1146,Trades!$E$2:$E$1146,$A173)</f>
        <v>155.72</v>
      </c>
      <c r="K173" s="31" t="n">
        <f aca="false">_xlfn.MINIFS(Trades!$X$2:$X$1146,Trades!$E$2:$E$1146,$A173)</f>
        <v>-55.16</v>
      </c>
      <c r="L173" s="33" t="n">
        <f aca="false">SUMIFS(Trades!$Y$2:$Y$1146,Trades!$E$2:$E$1146,$A173)</f>
        <v>2.02125622533437</v>
      </c>
      <c r="M173" s="31" t="n">
        <f aca="false">P172</f>
        <v>18575.16</v>
      </c>
      <c r="N173" s="30" t="n">
        <f aca="false">IFERROR(F173/M173,0)</f>
        <v>0.00530601082305617</v>
      </c>
      <c r="O173" s="29" t="str">
        <f aca="false">IF(F173&lt;0,"down week","")</f>
        <v/>
      </c>
      <c r="P173" s="31" t="n">
        <f aca="false">M173+F173</f>
        <v>18673.72</v>
      </c>
      <c r="Q173" s="31" t="n">
        <f aca="false">P173-Summary!$C$5</f>
        <v>8673.72000000001</v>
      </c>
    </row>
    <row r="174" customFormat="false" ht="15" hidden="false" customHeight="false" outlineLevel="0" collapsed="false">
      <c r="A174" s="43" t="n">
        <v>45859</v>
      </c>
      <c r="B174" s="29" t="n">
        <f aca="false">COUNTIFS(Trades!$E$2:$E$1146,$A174)</f>
        <v>5</v>
      </c>
      <c r="C174" s="29" t="n">
        <f aca="false">COUNTIFS(Trades!$E$2:$E$1146,$A174,Trades!$Z$2:$Z$1146,"Win")</f>
        <v>1</v>
      </c>
      <c r="D174" s="29" t="n">
        <f aca="false">COUNTIFS(Trades!$E$2:$E$1146,$A174,Trades!$Z$2:$Z$1146,"Loss")</f>
        <v>4</v>
      </c>
      <c r="E174" s="30" t="n">
        <f aca="false">IFERROR(C174/B174,0)</f>
        <v>0.2</v>
      </c>
      <c r="F174" s="31" t="n">
        <f aca="false">SUMIFS(Trades!$X$2:$X$1146,Trades!$E$2:$E$1146,$A174)</f>
        <v>7.75999999999998</v>
      </c>
      <c r="G174" s="31" t="n">
        <f aca="false">SUMIFS(Trades!$X$2:$X$1146,Trades!$E$2:$E$1146,$A174,Trades!$X$2:$X$1146,"&gt;0")</f>
        <v>184.32</v>
      </c>
      <c r="H174" s="31" t="n">
        <f aca="false">SUMIFS(Trades!$X$2:$X$1146,Trades!$E$2:$E$1146,$A174,Trades!$X$2:$X$1146,"&lt;0")</f>
        <v>-176.56</v>
      </c>
      <c r="I174" s="32" t="n">
        <f aca="false">IFERROR(G174/-H174,"no loss")</f>
        <v>1.04395106479384</v>
      </c>
      <c r="J174" s="31" t="n">
        <f aca="false">_xlfn.MAXIFS(Trades!$X$2:$X$1146,Trades!$E$2:$E$1146,$A174)</f>
        <v>184.32</v>
      </c>
      <c r="K174" s="31" t="n">
        <f aca="false">_xlfn.MINIFS(Trades!$X$2:$X$1146,Trades!$E$2:$E$1146,$A174)</f>
        <v>-116.68</v>
      </c>
      <c r="L174" s="33" t="n">
        <f aca="false">SUMIFS(Trades!$Y$2:$Y$1146,Trades!$E$2:$E$1146,$A174)</f>
        <v>-0.657945567127485</v>
      </c>
      <c r="M174" s="31" t="n">
        <f aca="false">P173</f>
        <v>18673.72</v>
      </c>
      <c r="N174" s="30" t="n">
        <f aca="false">IFERROR(F174/M174,0)</f>
        <v>0.000415557264433652</v>
      </c>
      <c r="O174" s="29" t="str">
        <f aca="false">IF(F174&lt;0,"down week","")</f>
        <v/>
      </c>
      <c r="P174" s="31" t="n">
        <f aca="false">M174+F174</f>
        <v>18681.48</v>
      </c>
      <c r="Q174" s="31" t="n">
        <f aca="false">P174-Summary!$C$5</f>
        <v>8681.48</v>
      </c>
    </row>
    <row r="175" customFormat="false" ht="15" hidden="false" customHeight="false" outlineLevel="0" collapsed="false">
      <c r="A175" s="43" t="n">
        <v>45866</v>
      </c>
      <c r="B175" s="29" t="n">
        <f aca="false">COUNTIFS(Trades!$E$2:$E$1146,$A175)</f>
        <v>7</v>
      </c>
      <c r="C175" s="29" t="n">
        <f aca="false">COUNTIFS(Trades!$E$2:$E$1146,$A175,Trades!$Z$2:$Z$1146,"Win")</f>
        <v>3</v>
      </c>
      <c r="D175" s="29" t="n">
        <f aca="false">COUNTIFS(Trades!$E$2:$E$1146,$A175,Trades!$Z$2:$Z$1146,"Loss")</f>
        <v>4</v>
      </c>
      <c r="E175" s="30" t="n">
        <f aca="false">IFERROR(C175/B175,0)</f>
        <v>0.428571428571429</v>
      </c>
      <c r="F175" s="31" t="n">
        <f aca="false">SUMIFS(Trades!$X$2:$X$1146,Trades!$E$2:$E$1146,$A175)</f>
        <v>401.72</v>
      </c>
      <c r="G175" s="31" t="n">
        <f aca="false">SUMIFS(Trades!$X$2:$X$1146,Trades!$E$2:$E$1146,$A175,Trades!$X$2:$X$1146,"&gt;0")</f>
        <v>471.8</v>
      </c>
      <c r="H175" s="31" t="n">
        <f aca="false">SUMIFS(Trades!$X$2:$X$1146,Trades!$E$2:$E$1146,$A175,Trades!$X$2:$X$1146,"&lt;0")</f>
        <v>-70.08</v>
      </c>
      <c r="I175" s="32" t="n">
        <f aca="false">IFERROR(G175/-H175,"no loss")</f>
        <v>6.73230593607306</v>
      </c>
      <c r="J175" s="31" t="n">
        <f aca="false">_xlfn.MAXIFS(Trades!$X$2:$X$1146,Trades!$E$2:$E$1146,$A175)</f>
        <v>262.68</v>
      </c>
      <c r="K175" s="31" t="n">
        <f aca="false">_xlfn.MINIFS(Trades!$X$2:$X$1146,Trades!$E$2:$E$1146,$A175)</f>
        <v>-38.92</v>
      </c>
      <c r="L175" s="33" t="n">
        <f aca="false">SUMIFS(Trades!$Y$2:$Y$1146,Trades!$E$2:$E$1146,$A175)</f>
        <v>5.1443712965574</v>
      </c>
      <c r="M175" s="31" t="n">
        <f aca="false">P174</f>
        <v>18681.48</v>
      </c>
      <c r="N175" s="30" t="n">
        <f aca="false">IFERROR(F175/M175,0)</f>
        <v>0.0215036496037787</v>
      </c>
      <c r="O175" s="29" t="str">
        <f aca="false">IF(F175&lt;0,"down week","")</f>
        <v/>
      </c>
      <c r="P175" s="31" t="n">
        <f aca="false">M175+F175</f>
        <v>19083.2</v>
      </c>
      <c r="Q175" s="31" t="n">
        <f aca="false">P175-Summary!$C$5</f>
        <v>9083.2</v>
      </c>
    </row>
    <row r="176" customFormat="false" ht="15" hidden="false" customHeight="false" outlineLevel="0" collapsed="false">
      <c r="A176" s="43" t="n">
        <v>45873</v>
      </c>
      <c r="B176" s="29" t="n">
        <f aca="false">COUNTIFS(Trades!$E$2:$E$1146,$A176)</f>
        <v>5</v>
      </c>
      <c r="C176" s="29" t="n">
        <f aca="false">COUNTIFS(Trades!$E$2:$E$1146,$A176,Trades!$Z$2:$Z$1146,"Win")</f>
        <v>1</v>
      </c>
      <c r="D176" s="29" t="n">
        <f aca="false">COUNTIFS(Trades!$E$2:$E$1146,$A176,Trades!$Z$2:$Z$1146,"Loss")</f>
        <v>4</v>
      </c>
      <c r="E176" s="30" t="n">
        <f aca="false">IFERROR(C176/B176,0)</f>
        <v>0.2</v>
      </c>
      <c r="F176" s="31" t="n">
        <f aca="false">SUMIFS(Trades!$X$2:$X$1146,Trades!$E$2:$E$1146,$A176)</f>
        <v>-53.04</v>
      </c>
      <c r="G176" s="31" t="n">
        <f aca="false">SUMIFS(Trades!$X$2:$X$1146,Trades!$E$2:$E$1146,$A176,Trades!$X$2:$X$1146,"&gt;0")</f>
        <v>75.16</v>
      </c>
      <c r="H176" s="31" t="n">
        <f aca="false">SUMIFS(Trades!$X$2:$X$1146,Trades!$E$2:$E$1146,$A176,Trades!$X$2:$X$1146,"&lt;0")</f>
        <v>-128.2</v>
      </c>
      <c r="I176" s="32" t="n">
        <f aca="false">IFERROR(G176/-H176,"no loss")</f>
        <v>0.586271450858034</v>
      </c>
      <c r="J176" s="31" t="n">
        <f aca="false">_xlfn.MAXIFS(Trades!$X$2:$X$1146,Trades!$E$2:$E$1146,$A176)</f>
        <v>75.16</v>
      </c>
      <c r="K176" s="31" t="n">
        <f aca="false">_xlfn.MINIFS(Trades!$X$2:$X$1146,Trades!$E$2:$E$1146,$A176)</f>
        <v>-69.64</v>
      </c>
      <c r="L176" s="33" t="n">
        <f aca="false">SUMIFS(Trades!$Y$2:$Y$1146,Trades!$E$2:$E$1146,$A176)</f>
        <v>0.394032961160397</v>
      </c>
      <c r="M176" s="31" t="n">
        <f aca="false">P175</f>
        <v>19083.2</v>
      </c>
      <c r="N176" s="30" t="n">
        <f aca="false">IFERROR(F176/M176,0)</f>
        <v>-0.00277940806573321</v>
      </c>
      <c r="O176" s="29" t="str">
        <f aca="false">IF(F176&lt;0,"down week","")</f>
        <v>down week</v>
      </c>
      <c r="P176" s="31" t="n">
        <f aca="false">M176+F176</f>
        <v>19030.16</v>
      </c>
      <c r="Q176" s="31" t="n">
        <f aca="false">P176-Summary!$C$5</f>
        <v>9030.16</v>
      </c>
    </row>
    <row r="177" customFormat="false" ht="15" hidden="false" customHeight="false" outlineLevel="0" collapsed="false">
      <c r="A177" s="43" t="n">
        <v>45880</v>
      </c>
      <c r="B177" s="29" t="n">
        <f aca="false">COUNTIFS(Trades!$E$2:$E$1146,$A177)</f>
        <v>5</v>
      </c>
      <c r="C177" s="29" t="n">
        <f aca="false">COUNTIFS(Trades!$E$2:$E$1146,$A177,Trades!$Z$2:$Z$1146,"Win")</f>
        <v>1</v>
      </c>
      <c r="D177" s="29" t="n">
        <f aca="false">COUNTIFS(Trades!$E$2:$E$1146,$A177,Trades!$Z$2:$Z$1146,"Loss")</f>
        <v>4</v>
      </c>
      <c r="E177" s="30" t="n">
        <f aca="false">IFERROR(C177/B177,0)</f>
        <v>0.2</v>
      </c>
      <c r="F177" s="31" t="n">
        <f aca="false">SUMIFS(Trades!$X$2:$X$1146,Trades!$E$2:$E$1146,$A177)</f>
        <v>23.79</v>
      </c>
      <c r="G177" s="31" t="n">
        <f aca="false">SUMIFS(Trades!$X$2:$X$1146,Trades!$E$2:$E$1146,$A177,Trades!$X$2:$X$1146,"&gt;0")</f>
        <v>193.44</v>
      </c>
      <c r="H177" s="31" t="n">
        <f aca="false">SUMIFS(Trades!$X$2:$X$1146,Trades!$E$2:$E$1146,$A177,Trades!$X$2:$X$1146,"&lt;0")</f>
        <v>-169.65</v>
      </c>
      <c r="I177" s="32" t="n">
        <f aca="false">IFERROR(G177/-H177,"no loss")</f>
        <v>1.14022988505747</v>
      </c>
      <c r="J177" s="31" t="n">
        <f aca="false">_xlfn.MAXIFS(Trades!$X$2:$X$1146,Trades!$E$2:$E$1146,$A177)</f>
        <v>193.44</v>
      </c>
      <c r="K177" s="31" t="n">
        <f aca="false">_xlfn.MINIFS(Trades!$X$2:$X$1146,Trades!$E$2:$E$1146,$A177)</f>
        <v>-88.52</v>
      </c>
      <c r="L177" s="33" t="n">
        <f aca="false">SUMIFS(Trades!$Y$2:$Y$1146,Trades!$E$2:$E$1146,$A177)</f>
        <v>-1.68178979660911</v>
      </c>
      <c r="M177" s="31" t="n">
        <f aca="false">P176</f>
        <v>19030.16</v>
      </c>
      <c r="N177" s="30" t="n">
        <f aca="false">IFERROR(F177/M177,0)</f>
        <v>0.00125012086078099</v>
      </c>
      <c r="O177" s="29" t="str">
        <f aca="false">IF(F177&lt;0,"down week","")</f>
        <v/>
      </c>
      <c r="P177" s="31" t="n">
        <f aca="false">M177+F177</f>
        <v>19053.95</v>
      </c>
      <c r="Q177" s="31" t="n">
        <f aca="false">P177-Summary!$C$5</f>
        <v>9053.95</v>
      </c>
    </row>
    <row r="178" customFormat="false" ht="15" hidden="false" customHeight="false" outlineLevel="0" collapsed="false">
      <c r="A178" s="43" t="n">
        <v>45887</v>
      </c>
      <c r="B178" s="29" t="n">
        <f aca="false">COUNTIFS(Trades!$E$2:$E$1146,$A178)</f>
        <v>5</v>
      </c>
      <c r="C178" s="29" t="n">
        <f aca="false">COUNTIFS(Trades!$E$2:$E$1146,$A178,Trades!$Z$2:$Z$1146,"Win")</f>
        <v>1</v>
      </c>
      <c r="D178" s="29" t="n">
        <f aca="false">COUNTIFS(Trades!$E$2:$E$1146,$A178,Trades!$Z$2:$Z$1146,"Loss")</f>
        <v>4</v>
      </c>
      <c r="E178" s="30" t="n">
        <f aca="false">IFERROR(C178/B178,0)</f>
        <v>0.2</v>
      </c>
      <c r="F178" s="31" t="n">
        <f aca="false">SUMIFS(Trades!$X$2:$X$1146,Trades!$E$2:$E$1146,$A178)</f>
        <v>355.36</v>
      </c>
      <c r="G178" s="31" t="n">
        <f aca="false">SUMIFS(Trades!$X$2:$X$1146,Trades!$E$2:$E$1146,$A178,Trades!$X$2:$X$1146,"&gt;0")</f>
        <v>443.8</v>
      </c>
      <c r="H178" s="31" t="n">
        <f aca="false">SUMIFS(Trades!$X$2:$X$1146,Trades!$E$2:$E$1146,$A178,Trades!$X$2:$X$1146,"&lt;0")</f>
        <v>-88.44</v>
      </c>
      <c r="I178" s="32" t="n">
        <f aca="false">IFERROR(G178/-H178,"no loss")</f>
        <v>5.01809136137494</v>
      </c>
      <c r="J178" s="31" t="n">
        <f aca="false">_xlfn.MAXIFS(Trades!$X$2:$X$1146,Trades!$E$2:$E$1146,$A178)</f>
        <v>443.8</v>
      </c>
      <c r="K178" s="31" t="n">
        <f aca="false">_xlfn.MINIFS(Trades!$X$2:$X$1146,Trades!$E$2:$E$1146,$A178)</f>
        <v>-49.76</v>
      </c>
      <c r="L178" s="33" t="n">
        <f aca="false">SUMIFS(Trades!$Y$2:$Y$1146,Trades!$E$2:$E$1146,$A178)</f>
        <v>0.311497687819313</v>
      </c>
      <c r="M178" s="31" t="n">
        <f aca="false">P177</f>
        <v>19053.95</v>
      </c>
      <c r="N178" s="30" t="n">
        <f aca="false">IFERROR(F178/M178,0)</f>
        <v>0.0186502011393963</v>
      </c>
      <c r="O178" s="29" t="str">
        <f aca="false">IF(F178&lt;0,"down week","")</f>
        <v/>
      </c>
      <c r="P178" s="31" t="n">
        <f aca="false">M178+F178</f>
        <v>19409.31</v>
      </c>
      <c r="Q178" s="31" t="n">
        <f aca="false">P178-Summary!$C$5</f>
        <v>9409.31000000001</v>
      </c>
    </row>
    <row r="179" customFormat="false" ht="15" hidden="false" customHeight="false" outlineLevel="0" collapsed="false">
      <c r="A179" s="43" t="n">
        <v>45894</v>
      </c>
      <c r="B179" s="29" t="n">
        <f aca="false">COUNTIFS(Trades!$E$2:$E$1146,$A179)</f>
        <v>5</v>
      </c>
      <c r="C179" s="29" t="n">
        <f aca="false">COUNTIFS(Trades!$E$2:$E$1146,$A179,Trades!$Z$2:$Z$1146,"Win")</f>
        <v>1</v>
      </c>
      <c r="D179" s="29" t="n">
        <f aca="false">COUNTIFS(Trades!$E$2:$E$1146,$A179,Trades!$Z$2:$Z$1146,"Loss")</f>
        <v>4</v>
      </c>
      <c r="E179" s="30" t="n">
        <f aca="false">IFERROR(C179/B179,0)</f>
        <v>0.2</v>
      </c>
      <c r="F179" s="31" t="n">
        <f aca="false">SUMIFS(Trades!$X$2:$X$1146,Trades!$E$2:$E$1146,$A179)</f>
        <v>60.64</v>
      </c>
      <c r="G179" s="31" t="n">
        <f aca="false">SUMIFS(Trades!$X$2:$X$1146,Trades!$E$2:$E$1146,$A179,Trades!$X$2:$X$1146,"&gt;0")</f>
        <v>206.68</v>
      </c>
      <c r="H179" s="31" t="n">
        <f aca="false">SUMIFS(Trades!$X$2:$X$1146,Trades!$E$2:$E$1146,$A179,Trades!$X$2:$X$1146,"&lt;0")</f>
        <v>-146.04</v>
      </c>
      <c r="I179" s="32" t="n">
        <f aca="false">IFERROR(G179/-H179,"no loss")</f>
        <v>1.41522870446453</v>
      </c>
      <c r="J179" s="31" t="n">
        <f aca="false">_xlfn.MAXIFS(Trades!$X$2:$X$1146,Trades!$E$2:$E$1146,$A179)</f>
        <v>206.68</v>
      </c>
      <c r="K179" s="31" t="n">
        <f aca="false">_xlfn.MINIFS(Trades!$X$2:$X$1146,Trades!$E$2:$E$1146,$A179)</f>
        <v>-102.84</v>
      </c>
      <c r="L179" s="33" t="n">
        <f aca="false">SUMIFS(Trades!$Y$2:$Y$1146,Trades!$E$2:$E$1146,$A179)</f>
        <v>-0.541306515304759</v>
      </c>
      <c r="M179" s="31" t="n">
        <f aca="false">P178</f>
        <v>19409.31</v>
      </c>
      <c r="N179" s="30" t="n">
        <f aca="false">IFERROR(F179/M179,0)</f>
        <v>0.00312427386651045</v>
      </c>
      <c r="O179" s="29" t="str">
        <f aca="false">IF(F179&lt;0,"down week","")</f>
        <v/>
      </c>
      <c r="P179" s="31" t="n">
        <f aca="false">M179+F179</f>
        <v>19469.95</v>
      </c>
      <c r="Q179" s="31" t="n">
        <f aca="false">P179-Summary!$C$5</f>
        <v>9469.95</v>
      </c>
    </row>
    <row r="180" customFormat="false" ht="15" hidden="false" customHeight="false" outlineLevel="0" collapsed="false">
      <c r="A180" s="43" t="n">
        <v>45901</v>
      </c>
      <c r="B180" s="29" t="n">
        <f aca="false">COUNTIFS(Trades!$E$2:$E$1146,$A180)</f>
        <v>5</v>
      </c>
      <c r="C180" s="29" t="n">
        <f aca="false">COUNTIFS(Trades!$E$2:$E$1146,$A180,Trades!$Z$2:$Z$1146,"Win")</f>
        <v>2</v>
      </c>
      <c r="D180" s="29" t="n">
        <f aca="false">COUNTIFS(Trades!$E$2:$E$1146,$A180,Trades!$Z$2:$Z$1146,"Loss")</f>
        <v>3</v>
      </c>
      <c r="E180" s="30" t="n">
        <f aca="false">IFERROR(C180/B180,0)</f>
        <v>0.4</v>
      </c>
      <c r="F180" s="31" t="n">
        <f aca="false">SUMIFS(Trades!$X$2:$X$1146,Trades!$E$2:$E$1146,$A180)</f>
        <v>106.8</v>
      </c>
      <c r="G180" s="31" t="n">
        <f aca="false">SUMIFS(Trades!$X$2:$X$1146,Trades!$E$2:$E$1146,$A180,Trades!$X$2:$X$1146,"&gt;0")</f>
        <v>173</v>
      </c>
      <c r="H180" s="31" t="n">
        <f aca="false">SUMIFS(Trades!$X$2:$X$1146,Trades!$E$2:$E$1146,$A180,Trades!$X$2:$X$1146,"&lt;0")</f>
        <v>-66.2</v>
      </c>
      <c r="I180" s="32" t="n">
        <f aca="false">IFERROR(G180/-H180,"no loss")</f>
        <v>2.61329305135952</v>
      </c>
      <c r="J180" s="31" t="n">
        <f aca="false">_xlfn.MAXIFS(Trades!$X$2:$X$1146,Trades!$E$2:$E$1146,$A180)</f>
        <v>91.8</v>
      </c>
      <c r="K180" s="31" t="n">
        <f aca="false">_xlfn.MINIFS(Trades!$X$2:$X$1146,Trades!$E$2:$E$1146,$A180)</f>
        <v>-39</v>
      </c>
      <c r="L180" s="33" t="n">
        <f aca="false">SUMIFS(Trades!$Y$2:$Y$1146,Trades!$E$2:$E$1146,$A180)</f>
        <v>2.90876248315344</v>
      </c>
      <c r="M180" s="31" t="n">
        <f aca="false">P179</f>
        <v>19469.95</v>
      </c>
      <c r="N180" s="30" t="n">
        <f aca="false">IFERROR(F180/M180,0)</f>
        <v>0.00548537618227063</v>
      </c>
      <c r="O180" s="29" t="str">
        <f aca="false">IF(F180&lt;0,"down week","")</f>
        <v/>
      </c>
      <c r="P180" s="31" t="n">
        <f aca="false">M180+F180</f>
        <v>19576.75</v>
      </c>
      <c r="Q180" s="31" t="n">
        <f aca="false">P180-Summary!$C$5</f>
        <v>9576.75</v>
      </c>
    </row>
    <row r="181" customFormat="false" ht="15" hidden="false" customHeight="false" outlineLevel="0" collapsed="false">
      <c r="A181" s="43" t="n">
        <v>45908</v>
      </c>
      <c r="B181" s="29" t="n">
        <f aca="false">COUNTIFS(Trades!$E$2:$E$1146,$A181)</f>
        <v>4</v>
      </c>
      <c r="C181" s="29" t="n">
        <f aca="false">COUNTIFS(Trades!$E$2:$E$1146,$A181,Trades!$Z$2:$Z$1146,"Win")</f>
        <v>0</v>
      </c>
      <c r="D181" s="29" t="n">
        <f aca="false">COUNTIFS(Trades!$E$2:$E$1146,$A181,Trades!$Z$2:$Z$1146,"Loss")</f>
        <v>4</v>
      </c>
      <c r="E181" s="30" t="n">
        <f aca="false">IFERROR(C181/B181,0)</f>
        <v>0</v>
      </c>
      <c r="F181" s="31" t="n">
        <f aca="false">SUMIFS(Trades!$X$2:$X$1146,Trades!$E$2:$E$1146,$A181)</f>
        <v>-128.84</v>
      </c>
      <c r="G181" s="31" t="n">
        <f aca="false">SUMIFS(Trades!$X$2:$X$1146,Trades!$E$2:$E$1146,$A181,Trades!$X$2:$X$1146,"&gt;0")</f>
        <v>0</v>
      </c>
      <c r="H181" s="31" t="n">
        <f aca="false">SUMIFS(Trades!$X$2:$X$1146,Trades!$E$2:$E$1146,$A181,Trades!$X$2:$X$1146,"&lt;0")</f>
        <v>-128.84</v>
      </c>
      <c r="I181" s="32" t="n">
        <f aca="false">IFERROR(G181/-H181,"no loss")</f>
        <v>0</v>
      </c>
      <c r="J181" s="31" t="n">
        <f aca="false">_xlfn.MAXIFS(Trades!$X$2:$X$1146,Trades!$E$2:$E$1146,$A181)</f>
        <v>-10.12</v>
      </c>
      <c r="K181" s="31" t="n">
        <f aca="false">_xlfn.MINIFS(Trades!$X$2:$X$1146,Trades!$E$2:$E$1146,$A181)</f>
        <v>-42.32</v>
      </c>
      <c r="L181" s="33" t="n">
        <f aca="false">SUMIFS(Trades!$Y$2:$Y$1146,Trades!$E$2:$E$1146,$A181)</f>
        <v>-4.29470789895138</v>
      </c>
      <c r="M181" s="31" t="n">
        <f aca="false">P180</f>
        <v>19576.75</v>
      </c>
      <c r="N181" s="30" t="n">
        <f aca="false">IFERROR(F181/M181,0)</f>
        <v>-0.00658127625882744</v>
      </c>
      <c r="O181" s="29" t="str">
        <f aca="false">IF(F181&lt;0,"down week","")</f>
        <v>down week</v>
      </c>
      <c r="P181" s="31" t="n">
        <f aca="false">M181+F181</f>
        <v>19447.91</v>
      </c>
      <c r="Q181" s="31" t="n">
        <f aca="false">P181-Summary!$C$5</f>
        <v>9447.91</v>
      </c>
    </row>
    <row r="182" customFormat="false" ht="15" hidden="false" customHeight="false" outlineLevel="0" collapsed="false">
      <c r="A182" s="43" t="n">
        <v>45915</v>
      </c>
      <c r="B182" s="29" t="n">
        <f aca="false">COUNTIFS(Trades!$E$2:$E$1146,$A182)</f>
        <v>5</v>
      </c>
      <c r="C182" s="29" t="n">
        <f aca="false">COUNTIFS(Trades!$E$2:$E$1146,$A182,Trades!$Z$2:$Z$1146,"Win")</f>
        <v>1</v>
      </c>
      <c r="D182" s="29" t="n">
        <f aca="false">COUNTIFS(Trades!$E$2:$E$1146,$A182,Trades!$Z$2:$Z$1146,"Loss")</f>
        <v>4</v>
      </c>
      <c r="E182" s="30" t="n">
        <f aca="false">IFERROR(C182/B182,0)</f>
        <v>0.2</v>
      </c>
      <c r="F182" s="31" t="n">
        <f aca="false">SUMIFS(Trades!$X$2:$X$1146,Trades!$E$2:$E$1146,$A182)</f>
        <v>-87.51</v>
      </c>
      <c r="G182" s="31" t="n">
        <f aca="false">SUMIFS(Trades!$X$2:$X$1146,Trades!$E$2:$E$1146,$A182,Trades!$X$2:$X$1146,"&gt;0")</f>
        <v>37.71</v>
      </c>
      <c r="H182" s="31" t="n">
        <f aca="false">SUMIFS(Trades!$X$2:$X$1146,Trades!$E$2:$E$1146,$A182,Trades!$X$2:$X$1146,"&lt;0")</f>
        <v>-125.22</v>
      </c>
      <c r="I182" s="32" t="n">
        <f aca="false">IFERROR(G182/-H182,"no loss")</f>
        <v>0.301149976042166</v>
      </c>
      <c r="J182" s="31" t="n">
        <f aca="false">_xlfn.MAXIFS(Trades!$X$2:$X$1146,Trades!$E$2:$E$1146,$A182)</f>
        <v>37.71</v>
      </c>
      <c r="K182" s="31" t="n">
        <f aca="false">_xlfn.MINIFS(Trades!$X$2:$X$1146,Trades!$E$2:$E$1146,$A182)</f>
        <v>-55.32</v>
      </c>
      <c r="L182" s="33" t="n">
        <f aca="false">SUMIFS(Trades!$Y$2:$Y$1146,Trades!$E$2:$E$1146,$A182)</f>
        <v>-0.473919924262274</v>
      </c>
      <c r="M182" s="31" t="n">
        <f aca="false">P181</f>
        <v>19447.91</v>
      </c>
      <c r="N182" s="30" t="n">
        <f aca="false">IFERROR(F182/M182,0)</f>
        <v>-0.00449971230841772</v>
      </c>
      <c r="O182" s="29" t="str">
        <f aca="false">IF(F182&lt;0,"down week","")</f>
        <v>down week</v>
      </c>
      <c r="P182" s="31" t="n">
        <f aca="false">M182+F182</f>
        <v>19360.4</v>
      </c>
      <c r="Q182" s="31" t="n">
        <f aca="false">P182-Summary!$C$5</f>
        <v>9360.40000000001</v>
      </c>
    </row>
    <row r="183" customFormat="false" ht="15" hidden="false" customHeight="false" outlineLevel="0" collapsed="false">
      <c r="A183" s="43" t="n">
        <v>45922</v>
      </c>
      <c r="B183" s="29" t="n">
        <f aca="false">COUNTIFS(Trades!$E$2:$E$1146,$A183)</f>
        <v>4</v>
      </c>
      <c r="C183" s="29" t="n">
        <f aca="false">COUNTIFS(Trades!$E$2:$E$1146,$A183,Trades!$Z$2:$Z$1146,"Win")</f>
        <v>0</v>
      </c>
      <c r="D183" s="29" t="n">
        <f aca="false">COUNTIFS(Trades!$E$2:$E$1146,$A183,Trades!$Z$2:$Z$1146,"Loss")</f>
        <v>4</v>
      </c>
      <c r="E183" s="30" t="n">
        <f aca="false">IFERROR(C183/B183,0)</f>
        <v>0</v>
      </c>
      <c r="F183" s="31" t="n">
        <f aca="false">SUMIFS(Trades!$X$2:$X$1146,Trades!$E$2:$E$1146,$A183)</f>
        <v>-66.24</v>
      </c>
      <c r="G183" s="31" t="n">
        <f aca="false">SUMIFS(Trades!$X$2:$X$1146,Trades!$E$2:$E$1146,$A183,Trades!$X$2:$X$1146,"&gt;0")</f>
        <v>0</v>
      </c>
      <c r="H183" s="31" t="n">
        <f aca="false">SUMIFS(Trades!$X$2:$X$1146,Trades!$E$2:$E$1146,$A183,Trades!$X$2:$X$1146,"&lt;0")</f>
        <v>-66.24</v>
      </c>
      <c r="I183" s="32" t="n">
        <f aca="false">IFERROR(G183/-H183,"no loss")</f>
        <v>0</v>
      </c>
      <c r="J183" s="31" t="n">
        <f aca="false">_xlfn.MAXIFS(Trades!$X$2:$X$1146,Trades!$E$2:$E$1146,$A183)</f>
        <v>-0.72</v>
      </c>
      <c r="K183" s="31" t="n">
        <f aca="false">_xlfn.MINIFS(Trades!$X$2:$X$1146,Trades!$E$2:$E$1146,$A183)</f>
        <v>-29.79</v>
      </c>
      <c r="L183" s="33" t="n">
        <f aca="false">SUMIFS(Trades!$Y$2:$Y$1146,Trades!$E$2:$E$1146,$A183)</f>
        <v>-3.15132993491783</v>
      </c>
      <c r="M183" s="31" t="n">
        <f aca="false">P182</f>
        <v>19360.4</v>
      </c>
      <c r="N183" s="30" t="n">
        <f aca="false">IFERROR(F183/M183,0)</f>
        <v>-0.0034214169128737</v>
      </c>
      <c r="O183" s="29" t="str">
        <f aca="false">IF(F183&lt;0,"down week","")</f>
        <v>down week</v>
      </c>
      <c r="P183" s="31" t="n">
        <f aca="false">M183+F183</f>
        <v>19294.16</v>
      </c>
      <c r="Q183" s="31" t="n">
        <f aca="false">P183-Summary!$C$5</f>
        <v>9294.16</v>
      </c>
    </row>
    <row r="184" customFormat="false" ht="15" hidden="false" customHeight="false" outlineLevel="0" collapsed="false">
      <c r="A184" s="43" t="n">
        <v>45929</v>
      </c>
      <c r="B184" s="29" t="n">
        <f aca="false">COUNTIFS(Trades!$E$2:$E$1146,$A184)</f>
        <v>6</v>
      </c>
      <c r="C184" s="29" t="n">
        <f aca="false">COUNTIFS(Trades!$E$2:$E$1146,$A184,Trades!$Z$2:$Z$1146,"Win")</f>
        <v>2</v>
      </c>
      <c r="D184" s="29" t="n">
        <f aca="false">COUNTIFS(Trades!$E$2:$E$1146,$A184,Trades!$Z$2:$Z$1146,"Loss")</f>
        <v>4</v>
      </c>
      <c r="E184" s="30" t="n">
        <f aca="false">IFERROR(C184/B184,0)</f>
        <v>0.333333333333333</v>
      </c>
      <c r="F184" s="31" t="n">
        <f aca="false">SUMIFS(Trades!$X$2:$X$1146,Trades!$E$2:$E$1146,$A184)</f>
        <v>186.72</v>
      </c>
      <c r="G184" s="31" t="n">
        <f aca="false">SUMIFS(Trades!$X$2:$X$1146,Trades!$E$2:$E$1146,$A184,Trades!$X$2:$X$1146,"&gt;0")</f>
        <v>218.79</v>
      </c>
      <c r="H184" s="31" t="n">
        <f aca="false">SUMIFS(Trades!$X$2:$X$1146,Trades!$E$2:$E$1146,$A184,Trades!$X$2:$X$1146,"&lt;0")</f>
        <v>-32.07</v>
      </c>
      <c r="I184" s="32" t="n">
        <f aca="false">IFERROR(G184/-H184,"no loss")</f>
        <v>6.822263797942</v>
      </c>
      <c r="J184" s="31" t="n">
        <f aca="false">_xlfn.MAXIFS(Trades!$X$2:$X$1146,Trades!$E$2:$E$1146,$A184)</f>
        <v>130.11</v>
      </c>
      <c r="K184" s="31" t="n">
        <f aca="false">_xlfn.MINIFS(Trades!$X$2:$X$1146,Trades!$E$2:$E$1146,$A184)</f>
        <v>-17.55</v>
      </c>
      <c r="L184" s="33" t="n">
        <f aca="false">SUMIFS(Trades!$Y$2:$Y$1146,Trades!$E$2:$E$1146,$A184)</f>
        <v>3.84956364209179</v>
      </c>
      <c r="M184" s="31" t="n">
        <f aca="false">P183</f>
        <v>19294.16</v>
      </c>
      <c r="N184" s="30" t="n">
        <f aca="false">IFERROR(F184/M184,0)</f>
        <v>0.00967753973222986</v>
      </c>
      <c r="O184" s="29" t="str">
        <f aca="false">IF(F184&lt;0,"down week","")</f>
        <v/>
      </c>
      <c r="P184" s="31" t="n">
        <f aca="false">M184+F184</f>
        <v>19480.88</v>
      </c>
      <c r="Q184" s="31" t="n">
        <f aca="false">P184-Summary!$C$5</f>
        <v>9480.88000000001</v>
      </c>
    </row>
    <row r="185" customFormat="false" ht="15" hidden="false" customHeight="false" outlineLevel="0" collapsed="false">
      <c r="A185" s="43" t="n">
        <v>45936</v>
      </c>
      <c r="B185" s="29" t="n">
        <f aca="false">COUNTIFS(Trades!$E$2:$E$1146,$A185)</f>
        <v>7</v>
      </c>
      <c r="C185" s="29" t="n">
        <f aca="false">COUNTIFS(Trades!$E$2:$E$1146,$A185,Trades!$Z$2:$Z$1146,"Win")</f>
        <v>3</v>
      </c>
      <c r="D185" s="29" t="n">
        <f aca="false">COUNTIFS(Trades!$E$2:$E$1146,$A185,Trades!$Z$2:$Z$1146,"Loss")</f>
        <v>4</v>
      </c>
      <c r="E185" s="30" t="n">
        <f aca="false">IFERROR(C185/B185,0)</f>
        <v>0.428571428571429</v>
      </c>
      <c r="F185" s="31" t="n">
        <f aca="false">SUMIFS(Trades!$X$2:$X$1146,Trades!$E$2:$E$1146,$A185)</f>
        <v>452.19</v>
      </c>
      <c r="G185" s="31" t="n">
        <f aca="false">SUMIFS(Trades!$X$2:$X$1146,Trades!$E$2:$E$1146,$A185,Trades!$X$2:$X$1146,"&gt;0")</f>
        <v>562.77</v>
      </c>
      <c r="H185" s="31" t="n">
        <f aca="false">SUMIFS(Trades!$X$2:$X$1146,Trades!$E$2:$E$1146,$A185,Trades!$X$2:$X$1146,"&lt;0")</f>
        <v>-110.58</v>
      </c>
      <c r="I185" s="32" t="n">
        <f aca="false">IFERROR(G185/-H185,"no loss")</f>
        <v>5.08925664677157</v>
      </c>
      <c r="J185" s="31" t="n">
        <f aca="false">_xlfn.MAXIFS(Trades!$X$2:$X$1146,Trades!$E$2:$E$1146,$A185)</f>
        <v>462.75</v>
      </c>
      <c r="K185" s="31" t="n">
        <f aca="false">_xlfn.MINIFS(Trades!$X$2:$X$1146,Trades!$E$2:$E$1146,$A185)</f>
        <v>-61.11</v>
      </c>
      <c r="L185" s="33" t="n">
        <f aca="false">SUMIFS(Trades!$Y$2:$Y$1146,Trades!$E$2:$E$1146,$A185)</f>
        <v>3.99610303359649</v>
      </c>
      <c r="M185" s="31" t="n">
        <f aca="false">P184</f>
        <v>19480.88</v>
      </c>
      <c r="N185" s="30" t="n">
        <f aca="false">IFERROR(F185/M185,0)</f>
        <v>0.0232119904234306</v>
      </c>
      <c r="O185" s="29" t="str">
        <f aca="false">IF(F185&lt;0,"down week","")</f>
        <v/>
      </c>
      <c r="P185" s="31" t="n">
        <f aca="false">M185+F185</f>
        <v>19933.07</v>
      </c>
      <c r="Q185" s="31" t="n">
        <f aca="false">P185-Summary!$C$5</f>
        <v>9933.07</v>
      </c>
    </row>
    <row r="186" customFormat="false" ht="15" hidden="false" customHeight="false" outlineLevel="0" collapsed="false">
      <c r="A186" s="43" t="n">
        <v>45943</v>
      </c>
      <c r="B186" s="29" t="n">
        <f aca="false">COUNTIFS(Trades!$E$2:$E$1146,$A186)</f>
        <v>6</v>
      </c>
      <c r="C186" s="29" t="n">
        <f aca="false">COUNTIFS(Trades!$E$2:$E$1146,$A186,Trades!$Z$2:$Z$1146,"Win")</f>
        <v>2</v>
      </c>
      <c r="D186" s="29" t="n">
        <f aca="false">COUNTIFS(Trades!$E$2:$E$1146,$A186,Trades!$Z$2:$Z$1146,"Loss")</f>
        <v>4</v>
      </c>
      <c r="E186" s="30" t="n">
        <f aca="false">IFERROR(C186/B186,0)</f>
        <v>0.333333333333333</v>
      </c>
      <c r="F186" s="31" t="n">
        <f aca="false">SUMIFS(Trades!$X$2:$X$1146,Trades!$E$2:$E$1146,$A186)</f>
        <v>-55.8</v>
      </c>
      <c r="G186" s="31" t="n">
        <f aca="false">SUMIFS(Trades!$X$2:$X$1146,Trades!$E$2:$E$1146,$A186,Trades!$X$2:$X$1146,"&gt;0")</f>
        <v>231.64</v>
      </c>
      <c r="H186" s="31" t="n">
        <f aca="false">SUMIFS(Trades!$X$2:$X$1146,Trades!$E$2:$E$1146,$A186,Trades!$X$2:$X$1146,"&lt;0")</f>
        <v>-287.44</v>
      </c>
      <c r="I186" s="32" t="n">
        <f aca="false">IFERROR(G186/-H186,"no loss")</f>
        <v>0.805872529919288</v>
      </c>
      <c r="J186" s="31" t="n">
        <f aca="false">_xlfn.MAXIFS(Trades!$X$2:$X$1146,Trades!$E$2:$E$1146,$A186)</f>
        <v>128.36</v>
      </c>
      <c r="K186" s="31" t="n">
        <f aca="false">_xlfn.MINIFS(Trades!$X$2:$X$1146,Trades!$E$2:$E$1146,$A186)</f>
        <v>-106.48</v>
      </c>
      <c r="L186" s="33" t="n">
        <f aca="false">SUMIFS(Trades!$Y$2:$Y$1146,Trades!$E$2:$E$1146,$A186)</f>
        <v>1.82268970578286</v>
      </c>
      <c r="M186" s="31" t="n">
        <f aca="false">P185</f>
        <v>19933.07</v>
      </c>
      <c r="N186" s="30" t="n">
        <f aca="false">IFERROR(F186/M186,0)</f>
        <v>-0.00279936808529745</v>
      </c>
      <c r="O186" s="29" t="str">
        <f aca="false">IF(F186&lt;0,"down week","")</f>
        <v>down week</v>
      </c>
      <c r="P186" s="31" t="n">
        <f aca="false">M186+F186</f>
        <v>19877.27</v>
      </c>
      <c r="Q186" s="31" t="n">
        <f aca="false">P186-Summary!$C$5</f>
        <v>9877.27</v>
      </c>
    </row>
    <row r="187" customFormat="false" ht="15" hidden="false" customHeight="false" outlineLevel="0" collapsed="false">
      <c r="A187" s="43" t="n">
        <v>45950</v>
      </c>
      <c r="B187" s="29" t="n">
        <f aca="false">COUNTIFS(Trades!$E$2:$E$1146,$A187)</f>
        <v>4</v>
      </c>
      <c r="C187" s="29" t="n">
        <f aca="false">COUNTIFS(Trades!$E$2:$E$1146,$A187,Trades!$Z$2:$Z$1146,"Win")</f>
        <v>0</v>
      </c>
      <c r="D187" s="29" t="n">
        <f aca="false">COUNTIFS(Trades!$E$2:$E$1146,$A187,Trades!$Z$2:$Z$1146,"Loss")</f>
        <v>4</v>
      </c>
      <c r="E187" s="30" t="n">
        <f aca="false">IFERROR(C187/B187,0)</f>
        <v>0</v>
      </c>
      <c r="F187" s="31" t="n">
        <f aca="false">SUMIFS(Trades!$X$2:$X$1146,Trades!$E$2:$E$1146,$A187)</f>
        <v>-155.25</v>
      </c>
      <c r="G187" s="31" t="n">
        <f aca="false">SUMIFS(Trades!$X$2:$X$1146,Trades!$E$2:$E$1146,$A187,Trades!$X$2:$X$1146,"&gt;0")</f>
        <v>0</v>
      </c>
      <c r="H187" s="31" t="n">
        <f aca="false">SUMIFS(Trades!$X$2:$X$1146,Trades!$E$2:$E$1146,$A187,Trades!$X$2:$X$1146,"&lt;0")</f>
        <v>-155.25</v>
      </c>
      <c r="I187" s="32" t="n">
        <f aca="false">IFERROR(G187/-H187,"no loss")</f>
        <v>0</v>
      </c>
      <c r="J187" s="31" t="n">
        <f aca="false">_xlfn.MAXIFS(Trades!$X$2:$X$1146,Trades!$E$2:$E$1146,$A187)</f>
        <v>-0.72</v>
      </c>
      <c r="K187" s="31" t="n">
        <f aca="false">_xlfn.MINIFS(Trades!$X$2:$X$1146,Trades!$E$2:$E$1146,$A187)</f>
        <v>-76.74</v>
      </c>
      <c r="L187" s="33" t="n">
        <f aca="false">SUMIFS(Trades!$Y$2:$Y$1146,Trades!$E$2:$E$1146,$A187)</f>
        <v>-3.12393313142806</v>
      </c>
      <c r="M187" s="31" t="n">
        <f aca="false">P186</f>
        <v>19877.27</v>
      </c>
      <c r="N187" s="30" t="n">
        <f aca="false">IFERROR(F187/M187,0)</f>
        <v>-0.00781042869569111</v>
      </c>
      <c r="O187" s="29" t="str">
        <f aca="false">IF(F187&lt;0,"down week","")</f>
        <v>down week</v>
      </c>
      <c r="P187" s="31" t="n">
        <f aca="false">M187+F187</f>
        <v>19722.02</v>
      </c>
      <c r="Q187" s="31" t="n">
        <f aca="false">P187-Summary!$C$5</f>
        <v>9722.02</v>
      </c>
    </row>
    <row r="188" customFormat="false" ht="15" hidden="false" customHeight="false" outlineLevel="0" collapsed="false">
      <c r="A188" s="43" t="n">
        <v>45957</v>
      </c>
      <c r="B188" s="29" t="n">
        <f aca="false">COUNTIFS(Trades!$E$2:$E$1146,$A188)</f>
        <v>5</v>
      </c>
      <c r="C188" s="29" t="n">
        <f aca="false">COUNTIFS(Trades!$E$2:$E$1146,$A188,Trades!$Z$2:$Z$1146,"Win")</f>
        <v>3</v>
      </c>
      <c r="D188" s="29" t="n">
        <f aca="false">COUNTIFS(Trades!$E$2:$E$1146,$A188,Trades!$Z$2:$Z$1146,"Loss")</f>
        <v>2</v>
      </c>
      <c r="E188" s="30" t="n">
        <f aca="false">IFERROR(C188/B188,0)</f>
        <v>0.6</v>
      </c>
      <c r="F188" s="31" t="n">
        <f aca="false">SUMIFS(Trades!$X$2:$X$1146,Trades!$E$2:$E$1146,$A188)</f>
        <v>667.29</v>
      </c>
      <c r="G188" s="31" t="n">
        <f aca="false">SUMIFS(Trades!$X$2:$X$1146,Trades!$E$2:$E$1146,$A188,Trades!$X$2:$X$1146,"&gt;0")</f>
        <v>705.69</v>
      </c>
      <c r="H188" s="31" t="n">
        <f aca="false">SUMIFS(Trades!$X$2:$X$1146,Trades!$E$2:$E$1146,$A188,Trades!$X$2:$X$1146,"&lt;0")</f>
        <v>-38.4</v>
      </c>
      <c r="I188" s="32" t="n">
        <f aca="false">IFERROR(G188/-H188,"no loss")</f>
        <v>18.37734375</v>
      </c>
      <c r="J188" s="31" t="n">
        <f aca="false">_xlfn.MAXIFS(Trades!$X$2:$X$1146,Trades!$E$2:$E$1146,$A188)</f>
        <v>400.17</v>
      </c>
      <c r="K188" s="31" t="n">
        <f aca="false">_xlfn.MINIFS(Trades!$X$2:$X$1146,Trades!$E$2:$E$1146,$A188)</f>
        <v>-19.56</v>
      </c>
      <c r="L188" s="33" t="n">
        <f aca="false">SUMIFS(Trades!$Y$2:$Y$1146,Trades!$E$2:$E$1146,$A188)</f>
        <v>5.4223513459225</v>
      </c>
      <c r="M188" s="31" t="n">
        <f aca="false">P187</f>
        <v>19722.02</v>
      </c>
      <c r="N188" s="30" t="n">
        <f aca="false">IFERROR(F188/M188,0)</f>
        <v>0.0338347694607347</v>
      </c>
      <c r="O188" s="29" t="str">
        <f aca="false">IF(F188&lt;0,"down week","")</f>
        <v/>
      </c>
      <c r="P188" s="31" t="n">
        <f aca="false">M188+F188</f>
        <v>20389.31</v>
      </c>
      <c r="Q188" s="31" t="n">
        <f aca="false">P188-Summary!$C$5</f>
        <v>10389.31</v>
      </c>
    </row>
    <row r="189" customFormat="false" ht="15" hidden="false" customHeight="false" outlineLevel="0" collapsed="false">
      <c r="A189" s="43" t="n">
        <v>45964</v>
      </c>
      <c r="B189" s="29" t="n">
        <f aca="false">COUNTIFS(Trades!$E$2:$E$1146,$A189)</f>
        <v>4</v>
      </c>
      <c r="C189" s="29" t="n">
        <f aca="false">COUNTIFS(Trades!$E$2:$E$1146,$A189,Trades!$Z$2:$Z$1146,"Win")</f>
        <v>2</v>
      </c>
      <c r="D189" s="29" t="n">
        <f aca="false">COUNTIFS(Trades!$E$2:$E$1146,$A189,Trades!$Z$2:$Z$1146,"Loss")</f>
        <v>2</v>
      </c>
      <c r="E189" s="30" t="n">
        <f aca="false">IFERROR(C189/B189,0)</f>
        <v>0.5</v>
      </c>
      <c r="F189" s="31" t="n">
        <f aca="false">SUMIFS(Trades!$X$2:$X$1146,Trades!$E$2:$E$1146,$A189)</f>
        <v>52.15</v>
      </c>
      <c r="G189" s="31" t="n">
        <f aca="false">SUMIFS(Trades!$X$2:$X$1146,Trades!$E$2:$E$1146,$A189,Trades!$X$2:$X$1146,"&gt;0")</f>
        <v>232.15</v>
      </c>
      <c r="H189" s="31" t="n">
        <f aca="false">SUMIFS(Trades!$X$2:$X$1146,Trades!$E$2:$E$1146,$A189,Trades!$X$2:$X$1146,"&lt;0")</f>
        <v>-180</v>
      </c>
      <c r="I189" s="32" t="n">
        <f aca="false">IFERROR(G189/-H189,"no loss")</f>
        <v>1.28972222222222</v>
      </c>
      <c r="J189" s="31" t="n">
        <f aca="false">_xlfn.MAXIFS(Trades!$X$2:$X$1146,Trades!$E$2:$E$1146,$A189)</f>
        <v>163.48</v>
      </c>
      <c r="K189" s="31" t="n">
        <f aca="false">_xlfn.MINIFS(Trades!$X$2:$X$1146,Trades!$E$2:$E$1146,$A189)</f>
        <v>-110.36</v>
      </c>
      <c r="L189" s="33" t="n">
        <f aca="false">SUMIFS(Trades!$Y$2:$Y$1146,Trades!$E$2:$E$1146,$A189)</f>
        <v>2.53243102033414</v>
      </c>
      <c r="M189" s="31" t="n">
        <f aca="false">P188</f>
        <v>20389.31</v>
      </c>
      <c r="N189" s="30" t="n">
        <f aca="false">IFERROR(F189/M189,0)</f>
        <v>0.00255771284069937</v>
      </c>
      <c r="O189" s="29" t="str">
        <f aca="false">IF(F189&lt;0,"down week","")</f>
        <v/>
      </c>
      <c r="P189" s="31" t="n">
        <f aca="false">M189+F189</f>
        <v>20441.46</v>
      </c>
      <c r="Q189" s="31" t="n">
        <f aca="false">P189-Summary!$C$5</f>
        <v>10441.46</v>
      </c>
    </row>
    <row r="190" customFormat="false" ht="15" hidden="false" customHeight="false" outlineLevel="0" collapsed="false">
      <c r="A190" s="43" t="n">
        <v>45971</v>
      </c>
      <c r="B190" s="29" t="n">
        <f aca="false">COUNTIFS(Trades!$E$2:$E$1146,$A190)</f>
        <v>5</v>
      </c>
      <c r="C190" s="29" t="n">
        <f aca="false">COUNTIFS(Trades!$E$2:$E$1146,$A190,Trades!$Z$2:$Z$1146,"Win")</f>
        <v>1</v>
      </c>
      <c r="D190" s="29" t="n">
        <f aca="false">COUNTIFS(Trades!$E$2:$E$1146,$A190,Trades!$Z$2:$Z$1146,"Loss")</f>
        <v>4</v>
      </c>
      <c r="E190" s="30" t="n">
        <f aca="false">IFERROR(C190/B190,0)</f>
        <v>0.2</v>
      </c>
      <c r="F190" s="31" t="n">
        <f aca="false">SUMIFS(Trades!$X$2:$X$1146,Trades!$E$2:$E$1146,$A190)</f>
        <v>-163.5</v>
      </c>
      <c r="G190" s="31" t="n">
        <f aca="false">SUMIFS(Trades!$X$2:$X$1146,Trades!$E$2:$E$1146,$A190,Trades!$X$2:$X$1146,"&gt;0")</f>
        <v>95.61</v>
      </c>
      <c r="H190" s="31" t="n">
        <f aca="false">SUMIFS(Trades!$X$2:$X$1146,Trades!$E$2:$E$1146,$A190,Trades!$X$2:$X$1146,"&lt;0")</f>
        <v>-259.11</v>
      </c>
      <c r="I190" s="32" t="n">
        <f aca="false">IFERROR(G190/-H190,"no loss")</f>
        <v>0.36899386361005</v>
      </c>
      <c r="J190" s="31" t="n">
        <f aca="false">_xlfn.MAXIFS(Trades!$X$2:$X$1146,Trades!$E$2:$E$1146,$A190)</f>
        <v>95.61</v>
      </c>
      <c r="K190" s="31" t="n">
        <f aca="false">_xlfn.MINIFS(Trades!$X$2:$X$1146,Trades!$E$2:$E$1146,$A190)</f>
        <v>-170</v>
      </c>
      <c r="L190" s="33" t="n">
        <f aca="false">SUMIFS(Trades!$Y$2:$Y$1146,Trades!$E$2:$E$1146,$A190)</f>
        <v>-1.29315718375459</v>
      </c>
      <c r="M190" s="31" t="n">
        <f aca="false">P189</f>
        <v>20441.46</v>
      </c>
      <c r="N190" s="30" t="n">
        <f aca="false">IFERROR(F190/M190,0)</f>
        <v>-0.00799845020854675</v>
      </c>
      <c r="O190" s="29" t="str">
        <f aca="false">IF(F190&lt;0,"down week","")</f>
        <v>down week</v>
      </c>
      <c r="P190" s="31" t="n">
        <f aca="false">M190+F190</f>
        <v>20277.96</v>
      </c>
      <c r="Q190" s="31" t="n">
        <f aca="false">P190-Summary!$C$5</f>
        <v>10277.96</v>
      </c>
    </row>
    <row r="191" customFormat="false" ht="15" hidden="false" customHeight="false" outlineLevel="0" collapsed="false">
      <c r="A191" s="43" t="n">
        <v>45978</v>
      </c>
      <c r="B191" s="29" t="n">
        <f aca="false">COUNTIFS(Trades!$E$2:$E$1146,$A191)</f>
        <v>6</v>
      </c>
      <c r="C191" s="29" t="n">
        <f aca="false">COUNTIFS(Trades!$E$2:$E$1146,$A191,Trades!$Z$2:$Z$1146,"Win")</f>
        <v>2</v>
      </c>
      <c r="D191" s="29" t="n">
        <f aca="false">COUNTIFS(Trades!$E$2:$E$1146,$A191,Trades!$Z$2:$Z$1146,"Loss")</f>
        <v>4</v>
      </c>
      <c r="E191" s="30" t="n">
        <f aca="false">IFERROR(C191/B191,0)</f>
        <v>0.333333333333333</v>
      </c>
      <c r="F191" s="31" t="n">
        <f aca="false">SUMIFS(Trades!$X$2:$X$1146,Trades!$E$2:$E$1146,$A191)</f>
        <v>310.88</v>
      </c>
      <c r="G191" s="31" t="n">
        <f aca="false">SUMIFS(Trades!$X$2:$X$1146,Trades!$E$2:$E$1146,$A191,Trades!$X$2:$X$1146,"&gt;0")</f>
        <v>777.04</v>
      </c>
      <c r="H191" s="31" t="n">
        <f aca="false">SUMIFS(Trades!$X$2:$X$1146,Trades!$E$2:$E$1146,$A191,Trades!$X$2:$X$1146,"&lt;0")</f>
        <v>-466.16</v>
      </c>
      <c r="I191" s="32" t="n">
        <f aca="false">IFERROR(G191/-H191,"no loss")</f>
        <v>1.66689548652823</v>
      </c>
      <c r="J191" s="31" t="n">
        <f aca="false">_xlfn.MAXIFS(Trades!$X$2:$X$1146,Trades!$E$2:$E$1146,$A191)</f>
        <v>680.84</v>
      </c>
      <c r="K191" s="31" t="n">
        <f aca="false">_xlfn.MINIFS(Trades!$X$2:$X$1146,Trades!$E$2:$E$1146,$A191)</f>
        <v>-195.96</v>
      </c>
      <c r="L191" s="33" t="n">
        <f aca="false">SUMIFS(Trades!$Y$2:$Y$1146,Trades!$E$2:$E$1146,$A191)</f>
        <v>0.874071873614788</v>
      </c>
      <c r="M191" s="31" t="n">
        <f aca="false">P190</f>
        <v>20277.96</v>
      </c>
      <c r="N191" s="30" t="n">
        <f aca="false">IFERROR(F191/M191,0)</f>
        <v>0.0153309307247869</v>
      </c>
      <c r="O191" s="29" t="str">
        <f aca="false">IF(F191&lt;0,"down week","")</f>
        <v/>
      </c>
      <c r="P191" s="31" t="n">
        <f aca="false">M191+F191</f>
        <v>20588.84</v>
      </c>
      <c r="Q191" s="31" t="n">
        <f aca="false">P191-Summary!$C$5</f>
        <v>10588.84</v>
      </c>
    </row>
    <row r="192" customFormat="false" ht="15" hidden="false" customHeight="false" outlineLevel="0" collapsed="false">
      <c r="A192" s="43" t="n">
        <v>45985</v>
      </c>
      <c r="B192" s="29" t="n">
        <f aca="false">COUNTIFS(Trades!$E$2:$E$1146,$A192)</f>
        <v>4</v>
      </c>
      <c r="C192" s="29" t="n">
        <f aca="false">COUNTIFS(Trades!$E$2:$E$1146,$A192,Trades!$Z$2:$Z$1146,"Win")</f>
        <v>3</v>
      </c>
      <c r="D192" s="29" t="n">
        <f aca="false">COUNTIFS(Trades!$E$2:$E$1146,$A192,Trades!$Z$2:$Z$1146,"Loss")</f>
        <v>1</v>
      </c>
      <c r="E192" s="30" t="n">
        <f aca="false">IFERROR(C192/B192,0)</f>
        <v>0.75</v>
      </c>
      <c r="F192" s="31" t="n">
        <f aca="false">SUMIFS(Trades!$X$2:$X$1146,Trades!$E$2:$E$1146,$A192)</f>
        <v>369.08</v>
      </c>
      <c r="G192" s="31" t="n">
        <f aca="false">SUMIFS(Trades!$X$2:$X$1146,Trades!$E$2:$E$1146,$A192,Trades!$X$2:$X$1146,"&gt;0")</f>
        <v>381.44</v>
      </c>
      <c r="H192" s="31" t="n">
        <f aca="false">SUMIFS(Trades!$X$2:$X$1146,Trades!$E$2:$E$1146,$A192,Trades!$X$2:$X$1146,"&lt;0")</f>
        <v>-12.36</v>
      </c>
      <c r="I192" s="32" t="n">
        <f aca="false">IFERROR(G192/-H192,"no loss")</f>
        <v>30.8608414239482</v>
      </c>
      <c r="J192" s="31" t="n">
        <f aca="false">_xlfn.MAXIFS(Trades!$X$2:$X$1146,Trades!$E$2:$E$1146,$A192)</f>
        <v>290.52</v>
      </c>
      <c r="K192" s="31" t="n">
        <f aca="false">_xlfn.MINIFS(Trades!$X$2:$X$1146,Trades!$E$2:$E$1146,$A192)</f>
        <v>-12.36</v>
      </c>
      <c r="L192" s="33" t="n">
        <f aca="false">SUMIFS(Trades!$Y$2:$Y$1146,Trades!$E$2:$E$1146,$A192)</f>
        <v>7.24764192087813</v>
      </c>
      <c r="M192" s="31" t="n">
        <f aca="false">P191</f>
        <v>20588.84</v>
      </c>
      <c r="N192" s="30" t="n">
        <f aca="false">IFERROR(F192/M192,0)</f>
        <v>0.0179262163385601</v>
      </c>
      <c r="O192" s="29" t="str">
        <f aca="false">IF(F192&lt;0,"down week","")</f>
        <v/>
      </c>
      <c r="P192" s="31" t="n">
        <f aca="false">M192+F192</f>
        <v>20957.92</v>
      </c>
      <c r="Q192" s="31" t="n">
        <f aca="false">P192-Summary!$C$5</f>
        <v>10957.92</v>
      </c>
    </row>
    <row r="193" customFormat="false" ht="15" hidden="false" customHeight="false" outlineLevel="0" collapsed="false">
      <c r="A193" s="43" t="n">
        <v>45992</v>
      </c>
      <c r="B193" s="29" t="n">
        <f aca="false">COUNTIFS(Trades!$E$2:$E$1146,$A193)</f>
        <v>6</v>
      </c>
      <c r="C193" s="29" t="n">
        <f aca="false">COUNTIFS(Trades!$E$2:$E$1146,$A193,Trades!$Z$2:$Z$1146,"Win")</f>
        <v>1</v>
      </c>
      <c r="D193" s="29" t="n">
        <f aca="false">COUNTIFS(Trades!$E$2:$E$1146,$A193,Trades!$Z$2:$Z$1146,"Loss")</f>
        <v>5</v>
      </c>
      <c r="E193" s="30" t="n">
        <f aca="false">IFERROR(C193/B193,0)</f>
        <v>0.166666666666667</v>
      </c>
      <c r="F193" s="31" t="n">
        <f aca="false">SUMIFS(Trades!$X$2:$X$1146,Trades!$E$2:$E$1146,$A193)</f>
        <v>58.6</v>
      </c>
      <c r="G193" s="31" t="n">
        <f aca="false">SUMIFS(Trades!$X$2:$X$1146,Trades!$E$2:$E$1146,$A193,Trades!$X$2:$X$1146,"&gt;0")</f>
        <v>238.28</v>
      </c>
      <c r="H193" s="31" t="n">
        <f aca="false">SUMIFS(Trades!$X$2:$X$1146,Trades!$E$2:$E$1146,$A193,Trades!$X$2:$X$1146,"&lt;0")</f>
        <v>-179.68</v>
      </c>
      <c r="I193" s="32" t="n">
        <f aca="false">IFERROR(G193/-H193,"no loss")</f>
        <v>1.32613535173642</v>
      </c>
      <c r="J193" s="31" t="n">
        <f aca="false">_xlfn.MAXIFS(Trades!$X$2:$X$1146,Trades!$E$2:$E$1146,$A193)</f>
        <v>238.28</v>
      </c>
      <c r="K193" s="31" t="n">
        <f aca="false">_xlfn.MINIFS(Trades!$X$2:$X$1146,Trades!$E$2:$E$1146,$A193)</f>
        <v>-72.2</v>
      </c>
      <c r="L193" s="33" t="n">
        <f aca="false">SUMIFS(Trades!$Y$2:$Y$1146,Trades!$E$2:$E$1146,$A193)</f>
        <v>-1.6567399914319</v>
      </c>
      <c r="M193" s="31" t="n">
        <f aca="false">P192</f>
        <v>20957.92</v>
      </c>
      <c r="N193" s="30" t="n">
        <f aca="false">IFERROR(F193/M193,0)</f>
        <v>0.00279607900020613</v>
      </c>
      <c r="O193" s="29" t="str">
        <f aca="false">IF(F193&lt;0,"down week","")</f>
        <v/>
      </c>
      <c r="P193" s="31" t="n">
        <f aca="false">M193+F193</f>
        <v>21016.52</v>
      </c>
      <c r="Q193" s="31" t="n">
        <f aca="false">P193-Summary!$C$5</f>
        <v>11016.52</v>
      </c>
    </row>
    <row r="194" customFormat="false" ht="15" hidden="false" customHeight="false" outlineLevel="0" collapsed="false">
      <c r="A194" s="43" t="n">
        <v>45999</v>
      </c>
      <c r="B194" s="29" t="n">
        <f aca="false">COUNTIFS(Trades!$E$2:$E$1146,$A194)</f>
        <v>5</v>
      </c>
      <c r="C194" s="29" t="n">
        <f aca="false">COUNTIFS(Trades!$E$2:$E$1146,$A194,Trades!$Z$2:$Z$1146,"Win")</f>
        <v>2</v>
      </c>
      <c r="D194" s="29" t="n">
        <f aca="false">COUNTIFS(Trades!$E$2:$E$1146,$A194,Trades!$Z$2:$Z$1146,"Loss")</f>
        <v>3</v>
      </c>
      <c r="E194" s="30" t="n">
        <f aca="false">IFERROR(C194/B194,0)</f>
        <v>0.4</v>
      </c>
      <c r="F194" s="31" t="n">
        <f aca="false">SUMIFS(Trades!$X$2:$X$1146,Trades!$E$2:$E$1146,$A194)</f>
        <v>320.32</v>
      </c>
      <c r="G194" s="31" t="n">
        <f aca="false">SUMIFS(Trades!$X$2:$X$1146,Trades!$E$2:$E$1146,$A194,Trades!$X$2:$X$1146,"&gt;0")</f>
        <v>457.92</v>
      </c>
      <c r="H194" s="31" t="n">
        <f aca="false">SUMIFS(Trades!$X$2:$X$1146,Trades!$E$2:$E$1146,$A194,Trades!$X$2:$X$1146,"&lt;0")</f>
        <v>-137.6</v>
      </c>
      <c r="I194" s="32" t="n">
        <f aca="false">IFERROR(G194/-H194,"no loss")</f>
        <v>3.32790697674419</v>
      </c>
      <c r="J194" s="31" t="n">
        <f aca="false">_xlfn.MAXIFS(Trades!$X$2:$X$1146,Trades!$E$2:$E$1146,$A194)</f>
        <v>274.48</v>
      </c>
      <c r="K194" s="31" t="n">
        <f aca="false">_xlfn.MINIFS(Trades!$X$2:$X$1146,Trades!$E$2:$E$1146,$A194)</f>
        <v>-69.72</v>
      </c>
      <c r="L194" s="33" t="n">
        <f aca="false">SUMIFS(Trades!$Y$2:$Y$1146,Trades!$E$2:$E$1146,$A194)</f>
        <v>4.2870301838717</v>
      </c>
      <c r="M194" s="31" t="n">
        <f aca="false">P193</f>
        <v>21016.52</v>
      </c>
      <c r="N194" s="30" t="n">
        <f aca="false">IFERROR(F194/M194,0)</f>
        <v>0.0152413434764652</v>
      </c>
      <c r="O194" s="29" t="str">
        <f aca="false">IF(F194&lt;0,"down week","")</f>
        <v/>
      </c>
      <c r="P194" s="31" t="n">
        <f aca="false">M194+F194</f>
        <v>21336.84</v>
      </c>
      <c r="Q194" s="31" t="n">
        <f aca="false">P194-Summary!$C$5</f>
        <v>11336.84</v>
      </c>
    </row>
    <row r="195" customFormat="false" ht="15" hidden="false" customHeight="false" outlineLevel="0" collapsed="false">
      <c r="A195" s="43" t="n">
        <v>46006</v>
      </c>
      <c r="B195" s="29" t="n">
        <f aca="false">COUNTIFS(Trades!$E$2:$E$1146,$A195)</f>
        <v>5</v>
      </c>
      <c r="C195" s="29" t="n">
        <f aca="false">COUNTIFS(Trades!$E$2:$E$1146,$A195,Trades!$Z$2:$Z$1146,"Win")</f>
        <v>1</v>
      </c>
      <c r="D195" s="29" t="n">
        <f aca="false">COUNTIFS(Trades!$E$2:$E$1146,$A195,Trades!$Z$2:$Z$1146,"Loss")</f>
        <v>4</v>
      </c>
      <c r="E195" s="30" t="n">
        <f aca="false">IFERROR(C195/B195,0)</f>
        <v>0.2</v>
      </c>
      <c r="F195" s="31" t="n">
        <f aca="false">SUMIFS(Trades!$X$2:$X$1146,Trades!$E$2:$E$1146,$A195)</f>
        <v>-48.44</v>
      </c>
      <c r="G195" s="31" t="n">
        <f aca="false">SUMIFS(Trades!$X$2:$X$1146,Trades!$E$2:$E$1146,$A195,Trades!$X$2:$X$1146,"&gt;0")</f>
        <v>120.72</v>
      </c>
      <c r="H195" s="31" t="n">
        <f aca="false">SUMIFS(Trades!$X$2:$X$1146,Trades!$E$2:$E$1146,$A195,Trades!$X$2:$X$1146,"&lt;0")</f>
        <v>-169.16</v>
      </c>
      <c r="I195" s="32" t="n">
        <f aca="false">IFERROR(G195/-H195,"no loss")</f>
        <v>0.71364388744384</v>
      </c>
      <c r="J195" s="31" t="n">
        <f aca="false">_xlfn.MAXIFS(Trades!$X$2:$X$1146,Trades!$E$2:$E$1146,$A195)</f>
        <v>120.72</v>
      </c>
      <c r="K195" s="31" t="n">
        <f aca="false">_xlfn.MINIFS(Trades!$X$2:$X$1146,Trades!$E$2:$E$1146,$A195)</f>
        <v>-124.96</v>
      </c>
      <c r="L195" s="33" t="n">
        <f aca="false">SUMIFS(Trades!$Y$2:$Y$1146,Trades!$E$2:$E$1146,$A195)</f>
        <v>0.424227261445248</v>
      </c>
      <c r="M195" s="31" t="n">
        <f aca="false">P194</f>
        <v>21336.84</v>
      </c>
      <c r="N195" s="30" t="n">
        <f aca="false">IFERROR(F195/M195,0)</f>
        <v>-0.00227025182735588</v>
      </c>
      <c r="O195" s="29" t="str">
        <f aca="false">IF(F195&lt;0,"down week","")</f>
        <v>down week</v>
      </c>
      <c r="P195" s="31" t="n">
        <f aca="false">M195+F195</f>
        <v>21288.4</v>
      </c>
      <c r="Q195" s="31" t="n">
        <f aca="false">P195-Summary!$C$5</f>
        <v>11288.4</v>
      </c>
    </row>
    <row r="196" customFormat="false" ht="15" hidden="false" customHeight="false" outlineLevel="0" collapsed="false">
      <c r="A196" s="43" t="n">
        <v>46013</v>
      </c>
      <c r="B196" s="29" t="n">
        <f aca="false">COUNTIFS(Trades!$E$2:$E$1146,$A196)</f>
        <v>5</v>
      </c>
      <c r="C196" s="29" t="n">
        <f aca="false">COUNTIFS(Trades!$E$2:$E$1146,$A196,Trades!$Z$2:$Z$1146,"Win")</f>
        <v>1</v>
      </c>
      <c r="D196" s="29" t="n">
        <f aca="false">COUNTIFS(Trades!$E$2:$E$1146,$A196,Trades!$Z$2:$Z$1146,"Loss")</f>
        <v>4</v>
      </c>
      <c r="E196" s="30" t="n">
        <f aca="false">IFERROR(C196/B196,0)</f>
        <v>0.2</v>
      </c>
      <c r="F196" s="31" t="n">
        <f aca="false">SUMIFS(Trades!$X$2:$X$1146,Trades!$E$2:$E$1146,$A196)</f>
        <v>-156.36</v>
      </c>
      <c r="G196" s="31" t="n">
        <f aca="false">SUMIFS(Trades!$X$2:$X$1146,Trades!$E$2:$E$1146,$A196,Trades!$X$2:$X$1146,"&gt;0")</f>
        <v>30.64</v>
      </c>
      <c r="H196" s="31" t="n">
        <f aca="false">SUMIFS(Trades!$X$2:$X$1146,Trades!$E$2:$E$1146,$A196,Trades!$X$2:$X$1146,"&lt;0")</f>
        <v>-187</v>
      </c>
      <c r="I196" s="32" t="n">
        <f aca="false">IFERROR(G196/-H196,"no loss")</f>
        <v>0.163850267379679</v>
      </c>
      <c r="J196" s="31" t="n">
        <f aca="false">_xlfn.MAXIFS(Trades!$X$2:$X$1146,Trades!$E$2:$E$1146,$A196)</f>
        <v>30.64</v>
      </c>
      <c r="K196" s="31" t="n">
        <f aca="false">_xlfn.MINIFS(Trades!$X$2:$X$1146,Trades!$E$2:$E$1146,$A196)</f>
        <v>-87.12</v>
      </c>
      <c r="L196" s="33" t="n">
        <f aca="false">SUMIFS(Trades!$Y$2:$Y$1146,Trades!$E$2:$E$1146,$A196)</f>
        <v>-0.620295381795364</v>
      </c>
      <c r="M196" s="31" t="n">
        <f aca="false">P195</f>
        <v>21288.4</v>
      </c>
      <c r="N196" s="30" t="n">
        <f aca="false">IFERROR(F196/M196,0)</f>
        <v>-0.00734484507994964</v>
      </c>
      <c r="O196" s="29" t="str">
        <f aca="false">IF(F196&lt;0,"down week","")</f>
        <v>down week</v>
      </c>
      <c r="P196" s="31" t="n">
        <f aca="false">M196+F196</f>
        <v>21132.04</v>
      </c>
      <c r="Q196" s="31" t="n">
        <f aca="false">P196-Summary!$C$5</f>
        <v>11132.04</v>
      </c>
    </row>
    <row r="197" customFormat="false" ht="15" hidden="false" customHeight="false" outlineLevel="0" collapsed="false">
      <c r="A197" s="43" t="n">
        <v>46020</v>
      </c>
      <c r="B197" s="29" t="n">
        <f aca="false">COUNTIFS(Trades!$E$2:$E$1146,$A197)</f>
        <v>4</v>
      </c>
      <c r="C197" s="29" t="n">
        <f aca="false">COUNTIFS(Trades!$E$2:$E$1146,$A197,Trades!$Z$2:$Z$1146,"Win")</f>
        <v>1</v>
      </c>
      <c r="D197" s="29" t="n">
        <f aca="false">COUNTIFS(Trades!$E$2:$E$1146,$A197,Trades!$Z$2:$Z$1146,"Loss")</f>
        <v>3</v>
      </c>
      <c r="E197" s="30" t="n">
        <f aca="false">IFERROR(C197/B197,0)</f>
        <v>0.25</v>
      </c>
      <c r="F197" s="31" t="n">
        <f aca="false">SUMIFS(Trades!$X$2:$X$1146,Trades!$E$2:$E$1146,$A197)</f>
        <v>285.12</v>
      </c>
      <c r="G197" s="31" t="n">
        <f aca="false">SUMIFS(Trades!$X$2:$X$1146,Trades!$E$2:$E$1146,$A197,Trades!$X$2:$X$1146,"&gt;0")</f>
        <v>344.16</v>
      </c>
      <c r="H197" s="31" t="n">
        <f aca="false">SUMIFS(Trades!$X$2:$X$1146,Trades!$E$2:$E$1146,$A197,Trades!$X$2:$X$1146,"&lt;0")</f>
        <v>-59.04</v>
      </c>
      <c r="I197" s="32" t="n">
        <f aca="false">IFERROR(G197/-H197,"no loss")</f>
        <v>5.82926829268293</v>
      </c>
      <c r="J197" s="31" t="n">
        <f aca="false">_xlfn.MAXIFS(Trades!$X$2:$X$1146,Trades!$E$2:$E$1146,$A197)</f>
        <v>344.16</v>
      </c>
      <c r="K197" s="31" t="n">
        <f aca="false">_xlfn.MINIFS(Trades!$X$2:$X$1146,Trades!$E$2:$E$1146,$A197)</f>
        <v>-33.88</v>
      </c>
      <c r="L197" s="33" t="n">
        <f aca="false">SUMIFS(Trades!$Y$2:$Y$1146,Trades!$E$2:$E$1146,$A197)</f>
        <v>0.140212176807525</v>
      </c>
      <c r="M197" s="31" t="n">
        <f aca="false">P196</f>
        <v>21132.04</v>
      </c>
      <c r="N197" s="30" t="n">
        <f aca="false">IFERROR(F197/M197,0)</f>
        <v>0.013492308362089</v>
      </c>
      <c r="O197" s="29" t="str">
        <f aca="false">IF(F197&lt;0,"down week","")</f>
        <v/>
      </c>
      <c r="P197" s="31" t="n">
        <f aca="false">M197+F197</f>
        <v>21417.16</v>
      </c>
      <c r="Q197" s="31" t="n">
        <f aca="false">P197-Summary!$C$5</f>
        <v>11417.16</v>
      </c>
    </row>
    <row r="198" customFormat="false" ht="15" hidden="false" customHeight="false" outlineLevel="0" collapsed="false">
      <c r="A198" s="43" t="n">
        <v>46027</v>
      </c>
      <c r="B198" s="29" t="n">
        <f aca="false">COUNTIFS(Trades!$E$2:$E$1146,$A198)</f>
        <v>4</v>
      </c>
      <c r="C198" s="29" t="n">
        <f aca="false">COUNTIFS(Trades!$E$2:$E$1146,$A198,Trades!$Z$2:$Z$1146,"Win")</f>
        <v>1</v>
      </c>
      <c r="D198" s="29" t="n">
        <f aca="false">COUNTIFS(Trades!$E$2:$E$1146,$A198,Trades!$Z$2:$Z$1146,"Loss")</f>
        <v>3</v>
      </c>
      <c r="E198" s="30" t="n">
        <f aca="false">IFERROR(C198/B198,0)</f>
        <v>0.25</v>
      </c>
      <c r="F198" s="31" t="n">
        <f aca="false">SUMIFS(Trades!$X$2:$X$1146,Trades!$E$2:$E$1146,$A198)</f>
        <v>-100.72</v>
      </c>
      <c r="G198" s="31" t="n">
        <f aca="false">SUMIFS(Trades!$X$2:$X$1146,Trades!$E$2:$E$1146,$A198,Trades!$X$2:$X$1146,"&gt;0")</f>
        <v>99.84</v>
      </c>
      <c r="H198" s="31" t="n">
        <f aca="false">SUMIFS(Trades!$X$2:$X$1146,Trades!$E$2:$E$1146,$A198,Trades!$X$2:$X$1146,"&lt;0")</f>
        <v>-200.56</v>
      </c>
      <c r="I198" s="32" t="n">
        <f aca="false">IFERROR(G198/-H198,"no loss")</f>
        <v>0.49780614280016</v>
      </c>
      <c r="J198" s="31" t="n">
        <f aca="false">_xlfn.MAXIFS(Trades!$X$2:$X$1146,Trades!$E$2:$E$1146,$A198)</f>
        <v>99.84</v>
      </c>
      <c r="K198" s="31" t="n">
        <f aca="false">_xlfn.MINIFS(Trades!$X$2:$X$1146,Trades!$E$2:$E$1146,$A198)</f>
        <v>-89.64</v>
      </c>
      <c r="L198" s="33" t="n">
        <f aca="false">SUMIFS(Trades!$Y$2:$Y$1146,Trades!$E$2:$E$1146,$A198)</f>
        <v>0.310753898212252</v>
      </c>
      <c r="M198" s="31" t="n">
        <f aca="false">P197</f>
        <v>21417.16</v>
      </c>
      <c r="N198" s="30" t="n">
        <f aca="false">IFERROR(F198/M198,0)</f>
        <v>-0.0047027710490093</v>
      </c>
      <c r="O198" s="29" t="str">
        <f aca="false">IF(F198&lt;0,"down week","")</f>
        <v>down week</v>
      </c>
      <c r="P198" s="31" t="n">
        <f aca="false">M198+F198</f>
        <v>21316.44</v>
      </c>
      <c r="Q198" s="31" t="n">
        <f aca="false">P198-Summary!$C$5</f>
        <v>11316.44</v>
      </c>
    </row>
    <row r="199" customFormat="false" ht="15" hidden="false" customHeight="false" outlineLevel="0" collapsed="false">
      <c r="A199" s="43" t="n">
        <v>46034</v>
      </c>
      <c r="B199" s="29" t="n">
        <f aca="false">COUNTIFS(Trades!$E$2:$E$1146,$A199)</f>
        <v>4</v>
      </c>
      <c r="C199" s="29" t="n">
        <f aca="false">COUNTIFS(Trades!$E$2:$E$1146,$A199,Trades!$Z$2:$Z$1146,"Win")</f>
        <v>2</v>
      </c>
      <c r="D199" s="29" t="n">
        <f aca="false">COUNTIFS(Trades!$E$2:$E$1146,$A199,Trades!$Z$2:$Z$1146,"Loss")</f>
        <v>2</v>
      </c>
      <c r="E199" s="30" t="n">
        <f aca="false">IFERROR(C199/B199,0)</f>
        <v>0.5</v>
      </c>
      <c r="F199" s="31" t="n">
        <f aca="false">SUMIFS(Trades!$X$2:$X$1146,Trades!$E$2:$E$1146,$A199)</f>
        <v>54.6</v>
      </c>
      <c r="G199" s="31" t="n">
        <f aca="false">SUMIFS(Trades!$X$2:$X$1146,Trades!$E$2:$E$1146,$A199,Trades!$X$2:$X$1146,"&gt;0")</f>
        <v>195.68</v>
      </c>
      <c r="H199" s="31" t="n">
        <f aca="false">SUMIFS(Trades!$X$2:$X$1146,Trades!$E$2:$E$1146,$A199,Trades!$X$2:$X$1146,"&lt;0")</f>
        <v>-141.08</v>
      </c>
      <c r="I199" s="32" t="n">
        <f aca="false">IFERROR(G199/-H199,"no loss")</f>
        <v>1.38701445988092</v>
      </c>
      <c r="J199" s="31" t="n">
        <f aca="false">_xlfn.MAXIFS(Trades!$X$2:$X$1146,Trades!$E$2:$E$1146,$A199)</f>
        <v>103.8</v>
      </c>
      <c r="K199" s="31" t="n">
        <f aca="false">_xlfn.MINIFS(Trades!$X$2:$X$1146,Trades!$E$2:$E$1146,$A199)</f>
        <v>-138.56</v>
      </c>
      <c r="L199" s="33" t="n">
        <f aca="false">SUMIFS(Trades!$Y$2:$Y$1146,Trades!$E$2:$E$1146,$A199)</f>
        <v>3.62414580607441</v>
      </c>
      <c r="M199" s="31" t="n">
        <f aca="false">P198</f>
        <v>21316.44</v>
      </c>
      <c r="N199" s="30" t="n">
        <f aca="false">IFERROR(F199/M199,0)</f>
        <v>0.00256140331124709</v>
      </c>
      <c r="O199" s="29" t="str">
        <f aca="false">IF(F199&lt;0,"down week","")</f>
        <v/>
      </c>
      <c r="P199" s="31" t="n">
        <f aca="false">M199+F199</f>
        <v>21371.04</v>
      </c>
      <c r="Q199" s="31" t="n">
        <f aca="false">P199-Summary!$C$5</f>
        <v>11371.04</v>
      </c>
    </row>
    <row r="200" customFormat="false" ht="15" hidden="false" customHeight="false" outlineLevel="0" collapsed="false">
      <c r="A200" s="43" t="n">
        <v>46041</v>
      </c>
      <c r="B200" s="29" t="n">
        <f aca="false">COUNTIFS(Trades!$E$2:$E$1146,$A200)</f>
        <v>6</v>
      </c>
      <c r="C200" s="29" t="n">
        <f aca="false">COUNTIFS(Trades!$E$2:$E$1146,$A200,Trades!$Z$2:$Z$1146,"Win")</f>
        <v>4</v>
      </c>
      <c r="D200" s="29" t="n">
        <f aca="false">COUNTIFS(Trades!$E$2:$E$1146,$A200,Trades!$Z$2:$Z$1146,"Loss")</f>
        <v>2</v>
      </c>
      <c r="E200" s="30" t="n">
        <f aca="false">IFERROR(C200/B200,0)</f>
        <v>0.666666666666667</v>
      </c>
      <c r="F200" s="31" t="n">
        <f aca="false">SUMIFS(Trades!$X$2:$X$1146,Trades!$E$2:$E$1146,$A200)</f>
        <v>1022.96</v>
      </c>
      <c r="G200" s="31" t="n">
        <f aca="false">SUMIFS(Trades!$X$2:$X$1146,Trades!$E$2:$E$1146,$A200,Trades!$X$2:$X$1146,"&gt;0")</f>
        <v>1147.36</v>
      </c>
      <c r="H200" s="31" t="n">
        <f aca="false">SUMIFS(Trades!$X$2:$X$1146,Trades!$E$2:$E$1146,$A200,Trades!$X$2:$X$1146,"&lt;0")</f>
        <v>-124.4</v>
      </c>
      <c r="I200" s="32" t="n">
        <f aca="false">IFERROR(G200/-H200,"no loss")</f>
        <v>9.22315112540193</v>
      </c>
      <c r="J200" s="31" t="n">
        <f aca="false">_xlfn.MAXIFS(Trades!$X$2:$X$1146,Trades!$E$2:$E$1146,$A200)</f>
        <v>594.4</v>
      </c>
      <c r="K200" s="31" t="n">
        <f aca="false">_xlfn.MINIFS(Trades!$X$2:$X$1146,Trades!$E$2:$E$1146,$A200)</f>
        <v>-80.2</v>
      </c>
      <c r="L200" s="33" t="n">
        <f aca="false">SUMIFS(Trades!$Y$2:$Y$1146,Trades!$E$2:$E$1146,$A200)</f>
        <v>7.83001620530813</v>
      </c>
      <c r="M200" s="31" t="n">
        <f aca="false">P199</f>
        <v>21371.04</v>
      </c>
      <c r="N200" s="30" t="n">
        <f aca="false">IFERROR(F200/M200,0)</f>
        <v>0.0478666457037187</v>
      </c>
      <c r="O200" s="29" t="str">
        <f aca="false">IF(F200&lt;0,"down week","")</f>
        <v/>
      </c>
      <c r="P200" s="31" t="n">
        <f aca="false">M200+F200</f>
        <v>22394</v>
      </c>
      <c r="Q200" s="31" t="n">
        <f aca="false">P200-Summary!$C$5</f>
        <v>12394</v>
      </c>
    </row>
    <row r="201" customFormat="false" ht="15" hidden="false" customHeight="false" outlineLevel="0" collapsed="false">
      <c r="A201" s="43" t="n">
        <v>46048</v>
      </c>
      <c r="B201" s="29" t="n">
        <f aca="false">COUNTIFS(Trades!$E$2:$E$1146,$A201)</f>
        <v>5</v>
      </c>
      <c r="C201" s="29" t="n">
        <f aca="false">COUNTIFS(Trades!$E$2:$E$1146,$A201,Trades!$Z$2:$Z$1146,"Win")</f>
        <v>3</v>
      </c>
      <c r="D201" s="29" t="n">
        <f aca="false">COUNTIFS(Trades!$E$2:$E$1146,$A201,Trades!$Z$2:$Z$1146,"Loss")</f>
        <v>2</v>
      </c>
      <c r="E201" s="30" t="n">
        <f aca="false">IFERROR(C201/B201,0)</f>
        <v>0.6</v>
      </c>
      <c r="F201" s="31" t="n">
        <f aca="false">SUMIFS(Trades!$X$2:$X$1146,Trades!$E$2:$E$1146,$A201)</f>
        <v>155.96</v>
      </c>
      <c r="G201" s="31" t="n">
        <f aca="false">SUMIFS(Trades!$X$2:$X$1146,Trades!$E$2:$E$1146,$A201,Trades!$X$2:$X$1146,"&gt;0")</f>
        <v>476.6</v>
      </c>
      <c r="H201" s="31" t="n">
        <f aca="false">SUMIFS(Trades!$X$2:$X$1146,Trades!$E$2:$E$1146,$A201,Trades!$X$2:$X$1146,"&lt;0")</f>
        <v>-320.64</v>
      </c>
      <c r="I201" s="32" t="n">
        <f aca="false">IFERROR(G201/-H201,"no loss")</f>
        <v>1.48640219560878</v>
      </c>
      <c r="J201" s="31" t="n">
        <f aca="false">_xlfn.MAXIFS(Trades!$X$2:$X$1146,Trades!$E$2:$E$1146,$A201)</f>
        <v>292.4</v>
      </c>
      <c r="K201" s="31" t="n">
        <f aca="false">_xlfn.MINIFS(Trades!$X$2:$X$1146,Trades!$E$2:$E$1146,$A201)</f>
        <v>-248.08</v>
      </c>
      <c r="L201" s="33" t="n">
        <f aca="false">SUMIFS(Trades!$Y$2:$Y$1146,Trades!$E$2:$E$1146,$A201)</f>
        <v>5.80642360757763</v>
      </c>
      <c r="M201" s="31" t="n">
        <f aca="false">P200</f>
        <v>22394</v>
      </c>
      <c r="N201" s="30" t="n">
        <f aca="false">IFERROR(F201/M201,0)</f>
        <v>0.0069643654550326</v>
      </c>
      <c r="O201" s="29" t="str">
        <f aca="false">IF(F201&lt;0,"down week","")</f>
        <v/>
      </c>
      <c r="P201" s="31" t="n">
        <f aca="false">M201+F201</f>
        <v>22549.96</v>
      </c>
      <c r="Q201" s="31" t="n">
        <f aca="false">P201-Summary!$C$5</f>
        <v>12549.96</v>
      </c>
    </row>
    <row r="202" customFormat="false" ht="15" hidden="false" customHeight="false" outlineLevel="0" collapsed="false">
      <c r="A202" s="43" t="n">
        <v>46055</v>
      </c>
      <c r="B202" s="29" t="n">
        <f aca="false">COUNTIFS(Trades!$E$2:$E$1146,$A202)</f>
        <v>6</v>
      </c>
      <c r="C202" s="29" t="n">
        <f aca="false">COUNTIFS(Trades!$E$2:$E$1146,$A202,Trades!$Z$2:$Z$1146,"Win")</f>
        <v>2</v>
      </c>
      <c r="D202" s="29" t="n">
        <f aca="false">COUNTIFS(Trades!$E$2:$E$1146,$A202,Trades!$Z$2:$Z$1146,"Loss")</f>
        <v>4</v>
      </c>
      <c r="E202" s="30" t="n">
        <f aca="false">IFERROR(C202/B202,0)</f>
        <v>0.333333333333333</v>
      </c>
      <c r="F202" s="31" t="n">
        <f aca="false">SUMIFS(Trades!$X$2:$X$1146,Trades!$E$2:$E$1146,$A202)</f>
        <v>335.8</v>
      </c>
      <c r="G202" s="31" t="n">
        <f aca="false">SUMIFS(Trades!$X$2:$X$1146,Trades!$E$2:$E$1146,$A202,Trades!$X$2:$X$1146,"&gt;0")</f>
        <v>488.64</v>
      </c>
      <c r="H202" s="31" t="n">
        <f aca="false">SUMIFS(Trades!$X$2:$X$1146,Trades!$E$2:$E$1146,$A202,Trades!$X$2:$X$1146,"&lt;0")</f>
        <v>-152.84</v>
      </c>
      <c r="I202" s="32" t="n">
        <f aca="false">IFERROR(G202/-H202,"no loss")</f>
        <v>3.19706883014918</v>
      </c>
      <c r="J202" s="31" t="n">
        <f aca="false">_xlfn.MAXIFS(Trades!$X$2:$X$1146,Trades!$E$2:$E$1146,$A202)</f>
        <v>365.04</v>
      </c>
      <c r="K202" s="31" t="n">
        <f aca="false">_xlfn.MINIFS(Trades!$X$2:$X$1146,Trades!$E$2:$E$1146,$A202)</f>
        <v>-118.04</v>
      </c>
      <c r="L202" s="33" t="n">
        <f aca="false">SUMIFS(Trades!$Y$2:$Y$1146,Trades!$E$2:$E$1146,$A202)</f>
        <v>2.68500946837867</v>
      </c>
      <c r="M202" s="31" t="n">
        <f aca="false">P201</f>
        <v>22549.96</v>
      </c>
      <c r="N202" s="30" t="n">
        <f aca="false">IFERROR(F202/M202,0)</f>
        <v>0.014891378964752</v>
      </c>
      <c r="O202" s="29" t="str">
        <f aca="false">IF(F202&lt;0,"down week","")</f>
        <v/>
      </c>
      <c r="P202" s="31" t="n">
        <f aca="false">M202+F202</f>
        <v>22885.76</v>
      </c>
      <c r="Q202" s="31" t="n">
        <f aca="false">P202-Summary!$C$5</f>
        <v>12885.76</v>
      </c>
    </row>
    <row r="203" customFormat="false" ht="15" hidden="false" customHeight="false" outlineLevel="0" collapsed="false">
      <c r="A203" s="43" t="n">
        <v>46062</v>
      </c>
      <c r="B203" s="29" t="n">
        <f aca="false">COUNTIFS(Trades!$E$2:$E$1146,$A203)</f>
        <v>6</v>
      </c>
      <c r="C203" s="29" t="n">
        <f aca="false">COUNTIFS(Trades!$E$2:$E$1146,$A203,Trades!$Z$2:$Z$1146,"Win")</f>
        <v>2</v>
      </c>
      <c r="D203" s="29" t="n">
        <f aca="false">COUNTIFS(Trades!$E$2:$E$1146,$A203,Trades!$Z$2:$Z$1146,"Loss")</f>
        <v>4</v>
      </c>
      <c r="E203" s="30" t="n">
        <f aca="false">IFERROR(C203/B203,0)</f>
        <v>0.333333333333333</v>
      </c>
      <c r="F203" s="31" t="n">
        <f aca="false">SUMIFS(Trades!$X$2:$X$1146,Trades!$E$2:$E$1146,$A203)</f>
        <v>234.36</v>
      </c>
      <c r="G203" s="31" t="n">
        <f aca="false">SUMIFS(Trades!$X$2:$X$1146,Trades!$E$2:$E$1146,$A203,Trades!$X$2:$X$1146,"&gt;0")</f>
        <v>383.68</v>
      </c>
      <c r="H203" s="31" t="n">
        <f aca="false">SUMIFS(Trades!$X$2:$X$1146,Trades!$E$2:$E$1146,$A203,Trades!$X$2:$X$1146,"&lt;0")</f>
        <v>-149.32</v>
      </c>
      <c r="I203" s="32" t="n">
        <f aca="false">IFERROR(G203/-H203,"no loss")</f>
        <v>2.56951513527994</v>
      </c>
      <c r="J203" s="31" t="n">
        <f aca="false">_xlfn.MAXIFS(Trades!$X$2:$X$1146,Trades!$E$2:$E$1146,$A203)</f>
        <v>267.04</v>
      </c>
      <c r="K203" s="31" t="n">
        <f aca="false">_xlfn.MINIFS(Trades!$X$2:$X$1146,Trades!$E$2:$E$1146,$A203)</f>
        <v>-84.4</v>
      </c>
      <c r="L203" s="33" t="n">
        <f aca="false">SUMIFS(Trades!$Y$2:$Y$1146,Trades!$E$2:$E$1146,$A203)</f>
        <v>3.12924467549008</v>
      </c>
      <c r="M203" s="31" t="n">
        <f aca="false">P202</f>
        <v>22885.76</v>
      </c>
      <c r="N203" s="30" t="n">
        <f aca="false">IFERROR(F203/M203,0)</f>
        <v>0.0102404289829134</v>
      </c>
      <c r="O203" s="29" t="str">
        <f aca="false">IF(F203&lt;0,"down week","")</f>
        <v/>
      </c>
      <c r="P203" s="31" t="n">
        <f aca="false">M203+F203</f>
        <v>23120.12</v>
      </c>
      <c r="Q203" s="31" t="n">
        <f aca="false">P203-Summary!$C$5</f>
        <v>13120.12</v>
      </c>
    </row>
    <row r="204" customFormat="false" ht="15" hidden="false" customHeight="false" outlineLevel="0" collapsed="false">
      <c r="A204" s="43" t="n">
        <v>46069</v>
      </c>
      <c r="B204" s="29" t="n">
        <f aca="false">COUNTIFS(Trades!$E$2:$E$1146,$A204)</f>
        <v>4</v>
      </c>
      <c r="C204" s="29" t="n">
        <f aca="false">COUNTIFS(Trades!$E$2:$E$1146,$A204,Trades!$Z$2:$Z$1146,"Win")</f>
        <v>0</v>
      </c>
      <c r="D204" s="29" t="n">
        <f aca="false">COUNTIFS(Trades!$E$2:$E$1146,$A204,Trades!$Z$2:$Z$1146,"Loss")</f>
        <v>4</v>
      </c>
      <c r="E204" s="30" t="n">
        <f aca="false">IFERROR(C204/B204,0)</f>
        <v>0</v>
      </c>
      <c r="F204" s="31" t="n">
        <f aca="false">SUMIFS(Trades!$X$2:$X$1146,Trades!$E$2:$E$1146,$A204)</f>
        <v>-407.08</v>
      </c>
      <c r="G204" s="31" t="n">
        <f aca="false">SUMIFS(Trades!$X$2:$X$1146,Trades!$E$2:$E$1146,$A204,Trades!$X$2:$X$1146,"&gt;0")</f>
        <v>0</v>
      </c>
      <c r="H204" s="31" t="n">
        <f aca="false">SUMIFS(Trades!$X$2:$X$1146,Trades!$E$2:$E$1146,$A204,Trades!$X$2:$X$1146,"&lt;0")</f>
        <v>-407.08</v>
      </c>
      <c r="I204" s="32" t="n">
        <f aca="false">IFERROR(G204/-H204,"no loss")</f>
        <v>0</v>
      </c>
      <c r="J204" s="31" t="n">
        <f aca="false">_xlfn.MAXIFS(Trades!$X$2:$X$1146,Trades!$E$2:$E$1146,$A204)</f>
        <v>-0.44</v>
      </c>
      <c r="K204" s="31" t="n">
        <f aca="false">_xlfn.MINIFS(Trades!$X$2:$X$1146,Trades!$E$2:$E$1146,$A204)</f>
        <v>-245</v>
      </c>
      <c r="L204" s="33" t="n">
        <f aca="false">SUMIFS(Trades!$Y$2:$Y$1146,Trades!$E$2:$E$1146,$A204)</f>
        <v>-3.07385200158598</v>
      </c>
      <c r="M204" s="31" t="n">
        <f aca="false">P203</f>
        <v>23120.12</v>
      </c>
      <c r="N204" s="30" t="n">
        <f aca="false">IFERROR(F204/M204,0)</f>
        <v>-0.0176071750492644</v>
      </c>
      <c r="O204" s="29" t="str">
        <f aca="false">IF(F204&lt;0,"down week","")</f>
        <v>down week</v>
      </c>
      <c r="P204" s="31" t="n">
        <f aca="false">M204+F204</f>
        <v>22713.04</v>
      </c>
      <c r="Q204" s="31" t="n">
        <f aca="false">P204-Summary!$C$5</f>
        <v>12713.04</v>
      </c>
    </row>
    <row r="205" customFormat="false" ht="15" hidden="false" customHeight="false" outlineLevel="0" collapsed="false">
      <c r="A205" s="43" t="n">
        <v>46076</v>
      </c>
      <c r="B205" s="29" t="n">
        <f aca="false">COUNTIFS(Trades!$E$2:$E$1146,$A205)</f>
        <v>6</v>
      </c>
      <c r="C205" s="29" t="n">
        <f aca="false">COUNTIFS(Trades!$E$2:$E$1146,$A205,Trades!$Z$2:$Z$1146,"Win")</f>
        <v>1</v>
      </c>
      <c r="D205" s="29" t="n">
        <f aca="false">COUNTIFS(Trades!$E$2:$E$1146,$A205,Trades!$Z$2:$Z$1146,"Loss")</f>
        <v>5</v>
      </c>
      <c r="E205" s="30" t="n">
        <f aca="false">IFERROR(C205/B205,0)</f>
        <v>0.166666666666667</v>
      </c>
      <c r="F205" s="31" t="n">
        <f aca="false">SUMIFS(Trades!$X$2:$X$1146,Trades!$E$2:$E$1146,$A205)</f>
        <v>218.6</v>
      </c>
      <c r="G205" s="31" t="n">
        <f aca="false">SUMIFS(Trades!$X$2:$X$1146,Trades!$E$2:$E$1146,$A205,Trades!$X$2:$X$1146,"&gt;0")</f>
        <v>360.76</v>
      </c>
      <c r="H205" s="31" t="n">
        <f aca="false">SUMIFS(Trades!$X$2:$X$1146,Trades!$E$2:$E$1146,$A205,Trades!$X$2:$X$1146,"&lt;0")</f>
        <v>-142.16</v>
      </c>
      <c r="I205" s="32" t="n">
        <f aca="false">IFERROR(G205/-H205,"no loss")</f>
        <v>2.53770399549803</v>
      </c>
      <c r="J205" s="31" t="n">
        <f aca="false">_xlfn.MAXIFS(Trades!$X$2:$X$1146,Trades!$E$2:$E$1146,$A205)</f>
        <v>360.76</v>
      </c>
      <c r="K205" s="31" t="n">
        <f aca="false">_xlfn.MINIFS(Trades!$X$2:$X$1146,Trades!$E$2:$E$1146,$A205)</f>
        <v>-69.92</v>
      </c>
      <c r="L205" s="33" t="n">
        <f aca="false">SUMIFS(Trades!$Y$2:$Y$1146,Trades!$E$2:$E$1146,$A205)</f>
        <v>-0.52264810653083</v>
      </c>
      <c r="M205" s="31" t="n">
        <f aca="false">P204</f>
        <v>22713.04</v>
      </c>
      <c r="N205" s="30" t="n">
        <f aca="false">IFERROR(F205/M205,0)</f>
        <v>0.00962442720129054</v>
      </c>
      <c r="O205" s="29" t="str">
        <f aca="false">IF(F205&lt;0,"down week","")</f>
        <v/>
      </c>
      <c r="P205" s="31" t="n">
        <f aca="false">M205+F205</f>
        <v>22931.64</v>
      </c>
      <c r="Q205" s="31" t="n">
        <f aca="false">P205-Summary!$C$5</f>
        <v>12931.64</v>
      </c>
    </row>
    <row r="206" customFormat="false" ht="15" hidden="false" customHeight="false" outlineLevel="0" collapsed="false">
      <c r="A206" s="43" t="n">
        <v>46083</v>
      </c>
      <c r="B206" s="29" t="n">
        <f aca="false">COUNTIFS(Trades!$E$2:$E$1146,$A206)</f>
        <v>5</v>
      </c>
      <c r="C206" s="29" t="n">
        <f aca="false">COUNTIFS(Trades!$E$2:$E$1146,$A206,Trades!$Z$2:$Z$1146,"Win")</f>
        <v>1</v>
      </c>
      <c r="D206" s="29" t="n">
        <f aca="false">COUNTIFS(Trades!$E$2:$E$1146,$A206,Trades!$Z$2:$Z$1146,"Loss")</f>
        <v>4</v>
      </c>
      <c r="E206" s="30" t="n">
        <f aca="false">IFERROR(C206/B206,0)</f>
        <v>0.2</v>
      </c>
      <c r="F206" s="31" t="n">
        <f aca="false">SUMIFS(Trades!$X$2:$X$1146,Trades!$E$2:$E$1146,$A206)</f>
        <v>-231.84</v>
      </c>
      <c r="G206" s="31" t="n">
        <f aca="false">SUMIFS(Trades!$X$2:$X$1146,Trades!$E$2:$E$1146,$A206,Trades!$X$2:$X$1146,"&gt;0")</f>
        <v>243.16</v>
      </c>
      <c r="H206" s="31" t="n">
        <f aca="false">SUMIFS(Trades!$X$2:$X$1146,Trades!$E$2:$E$1146,$A206,Trades!$X$2:$X$1146,"&lt;0")</f>
        <v>-475</v>
      </c>
      <c r="I206" s="32" t="n">
        <f aca="false">IFERROR(G206/-H206,"no loss")</f>
        <v>0.511915789473684</v>
      </c>
      <c r="J206" s="31" t="n">
        <f aca="false">_xlfn.MAXIFS(Trades!$X$2:$X$1146,Trades!$E$2:$E$1146,$A206)</f>
        <v>243.16</v>
      </c>
      <c r="K206" s="31" t="n">
        <f aca="false">_xlfn.MINIFS(Trades!$X$2:$X$1146,Trades!$E$2:$E$1146,$A206)</f>
        <v>-290.12</v>
      </c>
      <c r="L206" s="33" t="n">
        <f aca="false">SUMIFS(Trades!$Y$2:$Y$1146,Trades!$E$2:$E$1146,$A206)</f>
        <v>-0.67935213100908</v>
      </c>
      <c r="M206" s="31" t="n">
        <f aca="false">P205</f>
        <v>22931.64</v>
      </c>
      <c r="N206" s="30" t="n">
        <f aca="false">IFERROR(F206/M206,0)</f>
        <v>-0.0101100488233724</v>
      </c>
      <c r="O206" s="29" t="str">
        <f aca="false">IF(F206&lt;0,"down week","")</f>
        <v>down week</v>
      </c>
      <c r="P206" s="31" t="n">
        <f aca="false">M206+F206</f>
        <v>22699.8</v>
      </c>
      <c r="Q206" s="31" t="n">
        <f aca="false">P206-Summary!$C$5</f>
        <v>12699.8</v>
      </c>
    </row>
    <row r="207" customFormat="false" ht="15" hidden="false" customHeight="false" outlineLevel="0" collapsed="false">
      <c r="A207" s="43" t="n">
        <v>46090</v>
      </c>
      <c r="B207" s="29" t="n">
        <f aca="false">COUNTIFS(Trades!$E$2:$E$1146,$A207)</f>
        <v>4</v>
      </c>
      <c r="C207" s="29" t="n">
        <f aca="false">COUNTIFS(Trades!$E$2:$E$1146,$A207,Trades!$Z$2:$Z$1146,"Win")</f>
        <v>2</v>
      </c>
      <c r="D207" s="29" t="n">
        <f aca="false">COUNTIFS(Trades!$E$2:$E$1146,$A207,Trades!$Z$2:$Z$1146,"Loss")</f>
        <v>1</v>
      </c>
      <c r="E207" s="30" t="n">
        <f aca="false">IFERROR(C207/B207,0)</f>
        <v>0.5</v>
      </c>
      <c r="F207" s="31" t="n">
        <f aca="false">SUMIFS(Trades!$X$2:$X$1146,Trades!$E$2:$E$1146,$A207)</f>
        <v>912.04</v>
      </c>
      <c r="G207" s="31" t="n">
        <f aca="false">SUMIFS(Trades!$X$2:$X$1146,Trades!$E$2:$E$1146,$A207,Trades!$X$2:$X$1146,"&gt;0")</f>
        <v>913.96</v>
      </c>
      <c r="H207" s="31" t="n">
        <f aca="false">SUMIFS(Trades!$X$2:$X$1146,Trades!$E$2:$E$1146,$A207,Trades!$X$2:$X$1146,"&lt;0")</f>
        <v>-1.92</v>
      </c>
      <c r="I207" s="32" t="n">
        <f aca="false">IFERROR(G207/-H207,"no loss")</f>
        <v>476.020833333333</v>
      </c>
      <c r="J207" s="31" t="n">
        <f aca="false">_xlfn.MAXIFS(Trades!$X$2:$X$1146,Trades!$E$2:$E$1146,$A207)</f>
        <v>734.68</v>
      </c>
      <c r="K207" s="31" t="n">
        <f aca="false">_xlfn.MINIFS(Trades!$X$2:$X$1146,Trades!$E$2:$E$1146,$A207)</f>
        <v>-1.92</v>
      </c>
      <c r="L207" s="33" t="n">
        <f aca="false">SUMIFS(Trades!$Y$2:$Y$1146,Trades!$E$2:$E$1146,$A207)</f>
        <v>5.15803772919021</v>
      </c>
      <c r="M207" s="31" t="n">
        <f aca="false">P206</f>
        <v>22699.8</v>
      </c>
      <c r="N207" s="30" t="n">
        <f aca="false">IFERROR(F207/M207,0)</f>
        <v>0.0401783275623574</v>
      </c>
      <c r="O207" s="29" t="str">
        <f aca="false">IF(F207&lt;0,"down week","")</f>
        <v/>
      </c>
      <c r="P207" s="31" t="n">
        <f aca="false">M207+F207</f>
        <v>23611.84</v>
      </c>
      <c r="Q207" s="31" t="n">
        <f aca="false">P207-Summary!$C$5</f>
        <v>13611.84</v>
      </c>
    </row>
    <row r="208" customFormat="false" ht="15" hidden="false" customHeight="false" outlineLevel="0" collapsed="false">
      <c r="A208" s="43" t="n">
        <v>46097</v>
      </c>
      <c r="B208" s="29" t="n">
        <f aca="false">COUNTIFS(Trades!$E$2:$E$1146,$A208)</f>
        <v>6</v>
      </c>
      <c r="C208" s="29" t="n">
        <f aca="false">COUNTIFS(Trades!$E$2:$E$1146,$A208,Trades!$Z$2:$Z$1146,"Win")</f>
        <v>1</v>
      </c>
      <c r="D208" s="29" t="n">
        <f aca="false">COUNTIFS(Trades!$E$2:$E$1146,$A208,Trades!$Z$2:$Z$1146,"Loss")</f>
        <v>5</v>
      </c>
      <c r="E208" s="30" t="n">
        <f aca="false">IFERROR(C208/B208,0)</f>
        <v>0.166666666666667</v>
      </c>
      <c r="F208" s="31" t="n">
        <f aca="false">SUMIFS(Trades!$X$2:$X$1146,Trades!$E$2:$E$1146,$A208)</f>
        <v>-39.24</v>
      </c>
      <c r="G208" s="31" t="n">
        <f aca="false">SUMIFS(Trades!$X$2:$X$1146,Trades!$E$2:$E$1146,$A208,Trades!$X$2:$X$1146,"&gt;0")</f>
        <v>52.08</v>
      </c>
      <c r="H208" s="31" t="n">
        <f aca="false">SUMIFS(Trades!$X$2:$X$1146,Trades!$E$2:$E$1146,$A208,Trades!$X$2:$X$1146,"&lt;0")</f>
        <v>-91.32</v>
      </c>
      <c r="I208" s="32" t="n">
        <f aca="false">IFERROR(G208/-H208,"no loss")</f>
        <v>0.57030223390276</v>
      </c>
      <c r="J208" s="31" t="n">
        <f aca="false">_xlfn.MAXIFS(Trades!$X$2:$X$1146,Trades!$E$2:$E$1146,$A208)</f>
        <v>52.08</v>
      </c>
      <c r="K208" s="31" t="n">
        <f aca="false">_xlfn.MINIFS(Trades!$X$2:$X$1146,Trades!$E$2:$E$1146,$A208)</f>
        <v>-78.96</v>
      </c>
      <c r="L208" s="33" t="n">
        <f aca="false">SUMIFS(Trades!$Y$2:$Y$1146,Trades!$E$2:$E$1146,$A208)</f>
        <v>1.17515625363484</v>
      </c>
      <c r="M208" s="31" t="n">
        <f aca="false">P207</f>
        <v>23611.84</v>
      </c>
      <c r="N208" s="30" t="n">
        <f aca="false">IFERROR(F208/M208,0)</f>
        <v>-0.00166187810860992</v>
      </c>
      <c r="O208" s="29" t="str">
        <f aca="false">IF(F208&lt;0,"down week","")</f>
        <v>down week</v>
      </c>
      <c r="P208" s="31" t="n">
        <f aca="false">M208+F208</f>
        <v>23572.6</v>
      </c>
      <c r="Q208" s="31" t="n">
        <f aca="false">P208-Summary!$C$5</f>
        <v>13572.6</v>
      </c>
    </row>
    <row r="209" customFormat="false" ht="15" hidden="false" customHeight="false" outlineLevel="0" collapsed="false">
      <c r="A209" s="43" t="n">
        <v>46104</v>
      </c>
      <c r="B209" s="29" t="n">
        <f aca="false">COUNTIFS(Trades!$E$2:$E$1146,$A209)</f>
        <v>5</v>
      </c>
      <c r="C209" s="29" t="n">
        <f aca="false">COUNTIFS(Trades!$E$2:$E$1146,$A209,Trades!$Z$2:$Z$1146,"Win")</f>
        <v>1</v>
      </c>
      <c r="D209" s="29" t="n">
        <f aca="false">COUNTIFS(Trades!$E$2:$E$1146,$A209,Trades!$Z$2:$Z$1146,"Loss")</f>
        <v>4</v>
      </c>
      <c r="E209" s="30" t="n">
        <f aca="false">IFERROR(C209/B209,0)</f>
        <v>0.2</v>
      </c>
      <c r="F209" s="31" t="n">
        <f aca="false">SUMIFS(Trades!$X$2:$X$1146,Trades!$E$2:$E$1146,$A209)</f>
        <v>-448.28</v>
      </c>
      <c r="G209" s="31" t="n">
        <f aca="false">SUMIFS(Trades!$X$2:$X$1146,Trades!$E$2:$E$1146,$A209,Trades!$X$2:$X$1146,"&gt;0")</f>
        <v>149.2</v>
      </c>
      <c r="H209" s="31" t="n">
        <f aca="false">SUMIFS(Trades!$X$2:$X$1146,Trades!$E$2:$E$1146,$A209,Trades!$X$2:$X$1146,"&lt;0")</f>
        <v>-597.48</v>
      </c>
      <c r="I209" s="32" t="n">
        <f aca="false">IFERROR(G209/-H209,"no loss")</f>
        <v>0.249715471647587</v>
      </c>
      <c r="J209" s="31" t="n">
        <f aca="false">_xlfn.MAXIFS(Trades!$X$2:$X$1146,Trades!$E$2:$E$1146,$A209)</f>
        <v>149.2</v>
      </c>
      <c r="K209" s="31" t="n">
        <f aca="false">_xlfn.MINIFS(Trades!$X$2:$X$1146,Trades!$E$2:$E$1146,$A209)</f>
        <v>-377.32</v>
      </c>
      <c r="L209" s="33" t="n">
        <f aca="false">SUMIFS(Trades!$Y$2:$Y$1146,Trades!$E$2:$E$1146,$A209)</f>
        <v>0.829381156311288</v>
      </c>
      <c r="M209" s="31" t="n">
        <f aca="false">P208</f>
        <v>23572.6</v>
      </c>
      <c r="N209" s="30" t="n">
        <f aca="false">IFERROR(F209/M209,0)</f>
        <v>-0.0190169943069496</v>
      </c>
      <c r="O209" s="29" t="str">
        <f aca="false">IF(F209&lt;0,"down week","")</f>
        <v>down week</v>
      </c>
      <c r="P209" s="31" t="n">
        <f aca="false">M209+F209</f>
        <v>23124.32</v>
      </c>
      <c r="Q209" s="31" t="n">
        <f aca="false">P209-Summary!$C$5</f>
        <v>13124.32</v>
      </c>
    </row>
    <row r="210" customFormat="false" ht="15" hidden="false" customHeight="false" outlineLevel="0" collapsed="false">
      <c r="A210" s="43" t="n">
        <v>46111</v>
      </c>
      <c r="B210" s="29" t="n">
        <f aca="false">COUNTIFS(Trades!$E$2:$E$1146,$A210)</f>
        <v>5</v>
      </c>
      <c r="C210" s="29" t="n">
        <f aca="false">COUNTIFS(Trades!$E$2:$E$1146,$A210,Trades!$Z$2:$Z$1146,"Win")</f>
        <v>1</v>
      </c>
      <c r="D210" s="29" t="n">
        <f aca="false">COUNTIFS(Trades!$E$2:$E$1146,$A210,Trades!$Z$2:$Z$1146,"Loss")</f>
        <v>4</v>
      </c>
      <c r="E210" s="30" t="n">
        <f aca="false">IFERROR(C210/B210,0)</f>
        <v>0.2</v>
      </c>
      <c r="F210" s="31" t="n">
        <f aca="false">SUMIFS(Trades!$X$2:$X$1146,Trades!$E$2:$E$1146,$A210)</f>
        <v>-161.31</v>
      </c>
      <c r="G210" s="31" t="n">
        <f aca="false">SUMIFS(Trades!$X$2:$X$1146,Trades!$E$2:$E$1146,$A210,Trades!$X$2:$X$1146,"&gt;0")</f>
        <v>206.45</v>
      </c>
      <c r="H210" s="31" t="n">
        <f aca="false">SUMIFS(Trades!$X$2:$X$1146,Trades!$E$2:$E$1146,$A210,Trades!$X$2:$X$1146,"&lt;0")</f>
        <v>-367.76</v>
      </c>
      <c r="I210" s="32" t="n">
        <f aca="false">IFERROR(G210/-H210,"no loss")</f>
        <v>0.561371546660866</v>
      </c>
      <c r="J210" s="31" t="n">
        <f aca="false">_xlfn.MAXIFS(Trades!$X$2:$X$1146,Trades!$E$2:$E$1146,$A210)</f>
        <v>206.45</v>
      </c>
      <c r="K210" s="31" t="n">
        <f aca="false">_xlfn.MINIFS(Trades!$X$2:$X$1146,Trades!$E$2:$E$1146,$A210)</f>
        <v>-137.6</v>
      </c>
      <c r="L210" s="33" t="n">
        <f aca="false">SUMIFS(Trades!$Y$2:$Y$1146,Trades!$E$2:$E$1146,$A210)</f>
        <v>-1.67527274014551</v>
      </c>
      <c r="M210" s="31" t="n">
        <f aca="false">P209</f>
        <v>23124.32</v>
      </c>
      <c r="N210" s="30" t="n">
        <f aca="false">IFERROR(F210/M210,0)</f>
        <v>-0.00697577269299162</v>
      </c>
      <c r="O210" s="29" t="str">
        <f aca="false">IF(F210&lt;0,"down week","")</f>
        <v>down week</v>
      </c>
      <c r="P210" s="31" t="n">
        <f aca="false">M210+F210</f>
        <v>22963.01</v>
      </c>
      <c r="Q210" s="31" t="n">
        <f aca="false">P210-Summary!$C$5</f>
        <v>12963.01</v>
      </c>
    </row>
    <row r="211" customFormat="false" ht="15" hidden="false" customHeight="false" outlineLevel="0" collapsed="false">
      <c r="A211" s="43" t="n">
        <v>46118</v>
      </c>
      <c r="B211" s="29" t="n">
        <f aca="false">COUNTIFS(Trades!$E$2:$E$1146,$A211)</f>
        <v>5</v>
      </c>
      <c r="C211" s="29" t="n">
        <f aca="false">COUNTIFS(Trades!$E$2:$E$1146,$A211,Trades!$Z$2:$Z$1146,"Win")</f>
        <v>0</v>
      </c>
      <c r="D211" s="29" t="n">
        <f aca="false">COUNTIFS(Trades!$E$2:$E$1146,$A211,Trades!$Z$2:$Z$1146,"Loss")</f>
        <v>5</v>
      </c>
      <c r="E211" s="30" t="n">
        <f aca="false">IFERROR(C211/B211,0)</f>
        <v>0</v>
      </c>
      <c r="F211" s="31" t="n">
        <f aca="false">SUMIFS(Trades!$X$2:$X$1146,Trades!$E$2:$E$1146,$A211)</f>
        <v>-631.52</v>
      </c>
      <c r="G211" s="31" t="n">
        <f aca="false">SUMIFS(Trades!$X$2:$X$1146,Trades!$E$2:$E$1146,$A211,Trades!$X$2:$X$1146,"&gt;0")</f>
        <v>0</v>
      </c>
      <c r="H211" s="31" t="n">
        <f aca="false">SUMIFS(Trades!$X$2:$X$1146,Trades!$E$2:$E$1146,$A211,Trades!$X$2:$X$1146,"&lt;0")</f>
        <v>-631.52</v>
      </c>
      <c r="I211" s="32" t="n">
        <f aca="false">IFERROR(G211/-H211,"no loss")</f>
        <v>0</v>
      </c>
      <c r="J211" s="31" t="n">
        <f aca="false">_xlfn.MAXIFS(Trades!$X$2:$X$1146,Trades!$E$2:$E$1146,$A211)</f>
        <v>-0.28</v>
      </c>
      <c r="K211" s="31" t="n">
        <f aca="false">_xlfn.MINIFS(Trades!$X$2:$X$1146,Trades!$E$2:$E$1146,$A211)</f>
        <v>-461.04</v>
      </c>
      <c r="L211" s="33" t="n">
        <f aca="false">SUMIFS(Trades!$Y$2:$Y$1146,Trades!$E$2:$E$1146,$A211)</f>
        <v>-4.94656200382204</v>
      </c>
      <c r="M211" s="31" t="n">
        <f aca="false">P210</f>
        <v>22963.01</v>
      </c>
      <c r="N211" s="30" t="n">
        <f aca="false">IFERROR(F211/M211,0)</f>
        <v>-0.0275016210853891</v>
      </c>
      <c r="O211" s="29" t="str">
        <f aca="false">IF(F211&lt;0,"down week","")</f>
        <v>down week</v>
      </c>
      <c r="P211" s="31" t="n">
        <f aca="false">M211+F211</f>
        <v>22331.49</v>
      </c>
      <c r="Q211" s="31" t="n">
        <f aca="false">P211-Summary!$C$5</f>
        <v>12331.49</v>
      </c>
    </row>
    <row r="212" customFormat="false" ht="15" hidden="false" customHeight="false" outlineLevel="0" collapsed="false">
      <c r="A212" s="43" t="n">
        <v>46125</v>
      </c>
      <c r="B212" s="29" t="n">
        <f aca="false">COUNTIFS(Trades!$E$2:$E$1146,$A212)</f>
        <v>6</v>
      </c>
      <c r="C212" s="29" t="n">
        <f aca="false">COUNTIFS(Trades!$E$2:$E$1146,$A212,Trades!$Z$2:$Z$1146,"Win")</f>
        <v>1</v>
      </c>
      <c r="D212" s="29" t="n">
        <f aca="false">COUNTIFS(Trades!$E$2:$E$1146,$A212,Trades!$Z$2:$Z$1146,"Loss")</f>
        <v>5</v>
      </c>
      <c r="E212" s="30" t="n">
        <f aca="false">IFERROR(C212/B212,0)</f>
        <v>0.166666666666667</v>
      </c>
      <c r="F212" s="31" t="n">
        <f aca="false">SUMIFS(Trades!$X$2:$X$1146,Trades!$E$2:$E$1146,$A212)</f>
        <v>-345.8</v>
      </c>
      <c r="G212" s="31" t="n">
        <f aca="false">SUMIFS(Trades!$X$2:$X$1146,Trades!$E$2:$E$1146,$A212,Trades!$X$2:$X$1146,"&gt;0")</f>
        <v>84.24</v>
      </c>
      <c r="H212" s="31" t="n">
        <f aca="false">SUMIFS(Trades!$X$2:$X$1146,Trades!$E$2:$E$1146,$A212,Trades!$X$2:$X$1146,"&lt;0")</f>
        <v>-430.04</v>
      </c>
      <c r="I212" s="32" t="n">
        <f aca="false">IFERROR(G212/-H212,"no loss")</f>
        <v>0.195888754534462</v>
      </c>
      <c r="J212" s="31" t="n">
        <f aca="false">_xlfn.MAXIFS(Trades!$X$2:$X$1146,Trades!$E$2:$E$1146,$A212)</f>
        <v>84.24</v>
      </c>
      <c r="K212" s="31" t="n">
        <f aca="false">_xlfn.MINIFS(Trades!$X$2:$X$1146,Trades!$E$2:$E$1146,$A212)</f>
        <v>-297.28</v>
      </c>
      <c r="L212" s="33" t="n">
        <f aca="false">SUMIFS(Trades!$Y$2:$Y$1146,Trades!$E$2:$E$1146,$A212)</f>
        <v>-1.98635637362292</v>
      </c>
      <c r="M212" s="31" t="n">
        <f aca="false">P211</f>
        <v>22331.49</v>
      </c>
      <c r="N212" s="30" t="n">
        <f aca="false">IFERROR(F212/M212,0)</f>
        <v>-0.0154848601683094</v>
      </c>
      <c r="O212" s="29" t="str">
        <f aca="false">IF(F212&lt;0,"down week","")</f>
        <v>down week</v>
      </c>
      <c r="P212" s="31" t="n">
        <f aca="false">M212+F212</f>
        <v>21985.69</v>
      </c>
      <c r="Q212" s="31" t="n">
        <f aca="false">P212-Summary!$C$5</f>
        <v>11985.69</v>
      </c>
    </row>
    <row r="213" customFormat="false" ht="15" hidden="false" customHeight="false" outlineLevel="0" collapsed="false">
      <c r="A213" s="43" t="n">
        <v>46132</v>
      </c>
      <c r="B213" s="29" t="n">
        <f aca="false">COUNTIFS(Trades!$E$2:$E$1146,$A213)</f>
        <v>5</v>
      </c>
      <c r="C213" s="29" t="n">
        <f aca="false">COUNTIFS(Trades!$E$2:$E$1146,$A213,Trades!$Z$2:$Z$1146,"Win")</f>
        <v>1</v>
      </c>
      <c r="D213" s="29" t="n">
        <f aca="false">COUNTIFS(Trades!$E$2:$E$1146,$A213,Trades!$Z$2:$Z$1146,"Loss")</f>
        <v>3</v>
      </c>
      <c r="E213" s="30" t="n">
        <f aca="false">IFERROR(C213/B213,0)</f>
        <v>0.2</v>
      </c>
      <c r="F213" s="31" t="n">
        <f aca="false">SUMIFS(Trades!$X$2:$X$1146,Trades!$E$2:$E$1146,$A213)</f>
        <v>20.12</v>
      </c>
      <c r="G213" s="31" t="n">
        <f aca="false">SUMIFS(Trades!$X$2:$X$1146,Trades!$E$2:$E$1146,$A213,Trades!$X$2:$X$1146,"&gt;0")</f>
        <v>231.12</v>
      </c>
      <c r="H213" s="31" t="n">
        <f aca="false">SUMIFS(Trades!$X$2:$X$1146,Trades!$E$2:$E$1146,$A213,Trades!$X$2:$X$1146,"&lt;0")</f>
        <v>-211</v>
      </c>
      <c r="I213" s="32" t="n">
        <f aca="false">IFERROR(G213/-H213,"no loss")</f>
        <v>1.09535545023697</v>
      </c>
      <c r="J213" s="31" t="n">
        <f aca="false">_xlfn.MAXIFS(Trades!$X$2:$X$1146,Trades!$E$2:$E$1146,$A213)</f>
        <v>231.12</v>
      </c>
      <c r="K213" s="31" t="n">
        <f aca="false">_xlfn.MINIFS(Trades!$X$2:$X$1146,Trades!$E$2:$E$1146,$A213)</f>
        <v>-165.52</v>
      </c>
      <c r="L213" s="33" t="n">
        <f aca="false">SUMIFS(Trades!$Y$2:$Y$1146,Trades!$E$2:$E$1146,$A213)</f>
        <v>0.54590157798959</v>
      </c>
      <c r="M213" s="31" t="n">
        <f aca="false">P212</f>
        <v>21985.69</v>
      </c>
      <c r="N213" s="30" t="n">
        <f aca="false">IFERROR(F213/M213,0)</f>
        <v>0.000915140711981293</v>
      </c>
      <c r="O213" s="29" t="str">
        <f aca="false">IF(F213&lt;0,"down week","")</f>
        <v/>
      </c>
      <c r="P213" s="31" t="n">
        <f aca="false">M213+F213</f>
        <v>22005.81</v>
      </c>
      <c r="Q213" s="31" t="n">
        <f aca="false">P213-Summary!$C$5</f>
        <v>12005.81</v>
      </c>
    </row>
    <row r="214" customFormat="false" ht="15" hidden="false" customHeight="false" outlineLevel="0" collapsed="false">
      <c r="A214" s="43" t="n">
        <v>46139</v>
      </c>
      <c r="B214" s="29" t="n">
        <f aca="false">COUNTIFS(Trades!$E$2:$E$1146,$A214)</f>
        <v>4</v>
      </c>
      <c r="C214" s="29" t="n">
        <f aca="false">COUNTIFS(Trades!$E$2:$E$1146,$A214,Trades!$Z$2:$Z$1146,"Win")</f>
        <v>2</v>
      </c>
      <c r="D214" s="29" t="n">
        <f aca="false">COUNTIFS(Trades!$E$2:$E$1146,$A214,Trades!$Z$2:$Z$1146,"Loss")</f>
        <v>2</v>
      </c>
      <c r="E214" s="30" t="n">
        <f aca="false">IFERROR(C214/B214,0)</f>
        <v>0.5</v>
      </c>
      <c r="F214" s="31" t="n">
        <f aca="false">SUMIFS(Trades!$X$2:$X$1146,Trades!$E$2:$E$1146,$A214)</f>
        <v>207.84</v>
      </c>
      <c r="G214" s="31" t="n">
        <f aca="false">SUMIFS(Trades!$X$2:$X$1146,Trades!$E$2:$E$1146,$A214,Trades!$X$2:$X$1146,"&gt;0")</f>
        <v>277.56</v>
      </c>
      <c r="H214" s="31" t="n">
        <f aca="false">SUMIFS(Trades!$X$2:$X$1146,Trades!$E$2:$E$1146,$A214,Trades!$X$2:$X$1146,"&lt;0")</f>
        <v>-69.72</v>
      </c>
      <c r="I214" s="32" t="n">
        <f aca="false">IFERROR(G214/-H214,"no loss")</f>
        <v>3.98106712564544</v>
      </c>
      <c r="J214" s="31" t="n">
        <f aca="false">_xlfn.MAXIFS(Trades!$X$2:$X$1146,Trades!$E$2:$E$1146,$A214)</f>
        <v>195.2</v>
      </c>
      <c r="K214" s="31" t="n">
        <f aca="false">_xlfn.MINIFS(Trades!$X$2:$X$1146,Trades!$E$2:$E$1146,$A214)</f>
        <v>-69</v>
      </c>
      <c r="L214" s="33" t="n">
        <f aca="false">SUMIFS(Trades!$Y$2:$Y$1146,Trades!$E$2:$E$1146,$A214)</f>
        <v>4.80418998484806</v>
      </c>
      <c r="M214" s="31" t="n">
        <f aca="false">P213</f>
        <v>22005.81</v>
      </c>
      <c r="N214" s="30" t="n">
        <f aca="false">IFERROR(F214/M214,0)</f>
        <v>0.00944477844714646</v>
      </c>
      <c r="O214" s="29" t="str">
        <f aca="false">IF(F214&lt;0,"down week","")</f>
        <v/>
      </c>
      <c r="P214" s="31" t="n">
        <f aca="false">M214+F214</f>
        <v>22213.65</v>
      </c>
      <c r="Q214" s="31" t="n">
        <f aca="false">P214-Summary!$C$5</f>
        <v>12213.65</v>
      </c>
    </row>
    <row r="215" customFormat="false" ht="15" hidden="false" customHeight="false" outlineLevel="0" collapsed="false">
      <c r="A215" s="43" t="n">
        <v>46146</v>
      </c>
      <c r="B215" s="29" t="n">
        <f aca="false">COUNTIFS(Trades!$E$2:$E$1146,$A215)</f>
        <v>5</v>
      </c>
      <c r="C215" s="29" t="n">
        <f aca="false">COUNTIFS(Trades!$E$2:$E$1146,$A215,Trades!$Z$2:$Z$1146,"Win")</f>
        <v>2</v>
      </c>
      <c r="D215" s="29" t="n">
        <f aca="false">COUNTIFS(Trades!$E$2:$E$1146,$A215,Trades!$Z$2:$Z$1146,"Loss")</f>
        <v>3</v>
      </c>
      <c r="E215" s="30" t="n">
        <f aca="false">IFERROR(C215/B215,0)</f>
        <v>0.4</v>
      </c>
      <c r="F215" s="31" t="n">
        <f aca="false">SUMIFS(Trades!$X$2:$X$1146,Trades!$E$2:$E$1146,$A215)</f>
        <v>403.17</v>
      </c>
      <c r="G215" s="31" t="n">
        <f aca="false">SUMIFS(Trades!$X$2:$X$1146,Trades!$E$2:$E$1146,$A215,Trades!$X$2:$X$1146,"&gt;0")</f>
        <v>499.71</v>
      </c>
      <c r="H215" s="31" t="n">
        <f aca="false">SUMIFS(Trades!$X$2:$X$1146,Trades!$E$2:$E$1146,$A215,Trades!$X$2:$X$1146,"&lt;0")</f>
        <v>-96.54</v>
      </c>
      <c r="I215" s="32" t="n">
        <f aca="false">IFERROR(G215/-H215,"no loss")</f>
        <v>5.17619639527657</v>
      </c>
      <c r="J215" s="31" t="n">
        <f aca="false">_xlfn.MAXIFS(Trades!$X$2:$X$1146,Trades!$E$2:$E$1146,$A215)</f>
        <v>406.05</v>
      </c>
      <c r="K215" s="31" t="n">
        <f aca="false">_xlfn.MINIFS(Trades!$X$2:$X$1146,Trades!$E$2:$E$1146,$A215)</f>
        <v>-55.26</v>
      </c>
      <c r="L215" s="33" t="n">
        <f aca="false">SUMIFS(Trades!$Y$2:$Y$1146,Trades!$E$2:$E$1146,$A215)</f>
        <v>5.90691300536097</v>
      </c>
      <c r="M215" s="31" t="n">
        <f aca="false">P214</f>
        <v>22213.65</v>
      </c>
      <c r="N215" s="30" t="n">
        <f aca="false">IFERROR(F215/M215,0)</f>
        <v>0.0181496512279612</v>
      </c>
      <c r="O215" s="29" t="str">
        <f aca="false">IF(F215&lt;0,"down week","")</f>
        <v/>
      </c>
      <c r="P215" s="31" t="n">
        <f aca="false">M215+F215</f>
        <v>22616.82</v>
      </c>
      <c r="Q215" s="31" t="n">
        <f aca="false">P215-Summary!$C$5</f>
        <v>12616.82</v>
      </c>
    </row>
    <row r="216" customFormat="false" ht="15" hidden="false" customHeight="false" outlineLevel="0" collapsed="false">
      <c r="A216" s="43" t="n">
        <v>46153</v>
      </c>
      <c r="B216" s="29" t="n">
        <f aca="false">COUNTIFS(Trades!$E$2:$E$1146,$A216)</f>
        <v>5</v>
      </c>
      <c r="C216" s="29" t="n">
        <f aca="false">COUNTIFS(Trades!$E$2:$E$1146,$A216,Trades!$Z$2:$Z$1146,"Win")</f>
        <v>0</v>
      </c>
      <c r="D216" s="29" t="n">
        <f aca="false">COUNTIFS(Trades!$E$2:$E$1146,$A216,Trades!$Z$2:$Z$1146,"Loss")</f>
        <v>5</v>
      </c>
      <c r="E216" s="30" t="n">
        <f aca="false">IFERROR(C216/B216,0)</f>
        <v>0</v>
      </c>
      <c r="F216" s="31" t="n">
        <f aca="false">SUMIFS(Trades!$X$2:$X$1146,Trades!$E$2:$E$1146,$A216)</f>
        <v>-123.87</v>
      </c>
      <c r="G216" s="31" t="n">
        <f aca="false">SUMIFS(Trades!$X$2:$X$1146,Trades!$E$2:$E$1146,$A216,Trades!$X$2:$X$1146,"&gt;0")</f>
        <v>0</v>
      </c>
      <c r="H216" s="31" t="n">
        <f aca="false">SUMIFS(Trades!$X$2:$X$1146,Trades!$E$2:$E$1146,$A216,Trades!$X$2:$X$1146,"&lt;0")</f>
        <v>-123.87</v>
      </c>
      <c r="I216" s="32" t="n">
        <f aca="false">IFERROR(G216/-H216,"no loss")</f>
        <v>0</v>
      </c>
      <c r="J216" s="31" t="n">
        <f aca="false">_xlfn.MAXIFS(Trades!$X$2:$X$1146,Trades!$E$2:$E$1146,$A216)</f>
        <v>-0.03</v>
      </c>
      <c r="K216" s="31" t="n">
        <f aca="false">_xlfn.MINIFS(Trades!$X$2:$X$1146,Trades!$E$2:$E$1146,$A216)</f>
        <v>-59.52</v>
      </c>
      <c r="L216" s="33" t="n">
        <f aca="false">SUMIFS(Trades!$Y$2:$Y$1146,Trades!$E$2:$E$1146,$A216)</f>
        <v>-3.22605155070506</v>
      </c>
      <c r="M216" s="31" t="n">
        <f aca="false">P215</f>
        <v>22616.82</v>
      </c>
      <c r="N216" s="30" t="n">
        <f aca="false">IFERROR(F216/M216,0)</f>
        <v>-0.00547689728264186</v>
      </c>
      <c r="O216" s="29" t="str">
        <f aca="false">IF(F216&lt;0,"down week","")</f>
        <v>down week</v>
      </c>
      <c r="P216" s="31" t="n">
        <f aca="false">M216+F216</f>
        <v>22492.95</v>
      </c>
      <c r="Q216" s="31" t="n">
        <f aca="false">P216-Summary!$C$5</f>
        <v>12492.95</v>
      </c>
    </row>
    <row r="217" customFormat="false" ht="15" hidden="false" customHeight="false" outlineLevel="0" collapsed="false">
      <c r="A217" s="43" t="n">
        <v>46160</v>
      </c>
      <c r="B217" s="29" t="n">
        <f aca="false">COUNTIFS(Trades!$E$2:$E$1146,$A217)</f>
        <v>5</v>
      </c>
      <c r="C217" s="29" t="n">
        <f aca="false">COUNTIFS(Trades!$E$2:$E$1146,$A217,Trades!$Z$2:$Z$1146,"Win")</f>
        <v>0</v>
      </c>
      <c r="D217" s="29" t="n">
        <f aca="false">COUNTIFS(Trades!$E$2:$E$1146,$A217,Trades!$Z$2:$Z$1146,"Loss")</f>
        <v>5</v>
      </c>
      <c r="E217" s="30" t="n">
        <f aca="false">IFERROR(C217/B217,0)</f>
        <v>0</v>
      </c>
      <c r="F217" s="31" t="n">
        <f aca="false">SUMIFS(Trades!$X$2:$X$1146,Trades!$E$2:$E$1146,$A217)</f>
        <v>-213.09</v>
      </c>
      <c r="G217" s="31" t="n">
        <f aca="false">SUMIFS(Trades!$X$2:$X$1146,Trades!$E$2:$E$1146,$A217,Trades!$X$2:$X$1146,"&gt;0")</f>
        <v>0</v>
      </c>
      <c r="H217" s="31" t="n">
        <f aca="false">SUMIFS(Trades!$X$2:$X$1146,Trades!$E$2:$E$1146,$A217,Trades!$X$2:$X$1146,"&lt;0")</f>
        <v>-213.09</v>
      </c>
      <c r="I217" s="32" t="n">
        <f aca="false">IFERROR(G217/-H217,"no loss")</f>
        <v>0</v>
      </c>
      <c r="J217" s="31" t="n">
        <f aca="false">_xlfn.MAXIFS(Trades!$X$2:$X$1146,Trades!$E$2:$E$1146,$A217)</f>
        <v>-0.48</v>
      </c>
      <c r="K217" s="31" t="n">
        <f aca="false">_xlfn.MINIFS(Trades!$X$2:$X$1146,Trades!$E$2:$E$1146,$A217)</f>
        <v>-137.01</v>
      </c>
      <c r="L217" s="33" t="n">
        <f aca="false">SUMIFS(Trades!$Y$2:$Y$1146,Trades!$E$2:$E$1146,$A217)</f>
        <v>-3.32078779179395</v>
      </c>
      <c r="M217" s="31" t="n">
        <f aca="false">P216</f>
        <v>22492.95</v>
      </c>
      <c r="N217" s="30" t="n">
        <f aca="false">IFERROR(F217/M217,0)</f>
        <v>-0.00947363507232266</v>
      </c>
      <c r="O217" s="29" t="str">
        <f aca="false">IF(F217&lt;0,"down week","")</f>
        <v>down week</v>
      </c>
      <c r="P217" s="31" t="n">
        <f aca="false">M217+F217</f>
        <v>22279.86</v>
      </c>
      <c r="Q217" s="31" t="n">
        <f aca="false">P217-Summary!$C$5</f>
        <v>12279.86</v>
      </c>
    </row>
    <row r="218" customFormat="false" ht="15" hidden="false" customHeight="false" outlineLevel="0" collapsed="false">
      <c r="A218" s="43" t="n">
        <v>46167</v>
      </c>
      <c r="B218" s="29" t="n">
        <f aca="false">COUNTIFS(Trades!$E$2:$E$1146,$A218)</f>
        <v>5</v>
      </c>
      <c r="C218" s="29" t="n">
        <f aca="false">COUNTIFS(Trades!$E$2:$E$1146,$A218,Trades!$Z$2:$Z$1146,"Win")</f>
        <v>3</v>
      </c>
      <c r="D218" s="29" t="n">
        <f aca="false">COUNTIFS(Trades!$E$2:$E$1146,$A218,Trades!$Z$2:$Z$1146,"Loss")</f>
        <v>2</v>
      </c>
      <c r="E218" s="30" t="n">
        <f aca="false">IFERROR(C218/B218,0)</f>
        <v>0.6</v>
      </c>
      <c r="F218" s="31" t="n">
        <f aca="false">SUMIFS(Trades!$X$2:$X$1146,Trades!$E$2:$E$1146,$A218)</f>
        <v>542.13</v>
      </c>
      <c r="G218" s="31" t="n">
        <f aca="false">SUMIFS(Trades!$X$2:$X$1146,Trades!$E$2:$E$1146,$A218,Trades!$X$2:$X$1146,"&gt;0")</f>
        <v>612.54</v>
      </c>
      <c r="H218" s="31" t="n">
        <f aca="false">SUMIFS(Trades!$X$2:$X$1146,Trades!$E$2:$E$1146,$A218,Trades!$X$2:$X$1146,"&lt;0")</f>
        <v>-70.41</v>
      </c>
      <c r="I218" s="32" t="n">
        <f aca="false">IFERROR(G218/-H218,"no loss")</f>
        <v>8.69961653174265</v>
      </c>
      <c r="J218" s="31" t="n">
        <f aca="false">_xlfn.MAXIFS(Trades!$X$2:$X$1146,Trades!$E$2:$E$1146,$A218)</f>
        <v>330.96</v>
      </c>
      <c r="K218" s="31" t="n">
        <f aca="false">_xlfn.MINIFS(Trades!$X$2:$X$1146,Trades!$E$2:$E$1146,$A218)</f>
        <v>-39.39</v>
      </c>
      <c r="L218" s="33" t="n">
        <f aca="false">SUMIFS(Trades!$Y$2:$Y$1146,Trades!$E$2:$E$1146,$A218)</f>
        <v>5.42858894662327</v>
      </c>
      <c r="M218" s="31" t="n">
        <f aca="false">P217</f>
        <v>22279.86</v>
      </c>
      <c r="N218" s="30" t="n">
        <f aca="false">IFERROR(F218/M218,0)</f>
        <v>0.0243327381769903</v>
      </c>
      <c r="O218" s="29" t="str">
        <f aca="false">IF(F218&lt;0,"down week","")</f>
        <v/>
      </c>
      <c r="P218" s="31" t="n">
        <f aca="false">M218+F218</f>
        <v>22821.99</v>
      </c>
      <c r="Q218" s="31" t="n">
        <f aca="false">P218-Summary!$C$5</f>
        <v>12821.99</v>
      </c>
    </row>
    <row r="219" customFormat="false" ht="15" hidden="false" customHeight="false" outlineLevel="0" collapsed="false">
      <c r="A219" s="43" t="n">
        <v>46174</v>
      </c>
      <c r="B219" s="29" t="n">
        <f aca="false">COUNTIFS(Trades!$E$2:$E$1146,$A219)</f>
        <v>5</v>
      </c>
      <c r="C219" s="29" t="n">
        <f aca="false">COUNTIFS(Trades!$E$2:$E$1146,$A219,Trades!$Z$2:$Z$1146,"Win")</f>
        <v>1</v>
      </c>
      <c r="D219" s="29" t="n">
        <f aca="false">COUNTIFS(Trades!$E$2:$E$1146,$A219,Trades!$Z$2:$Z$1146,"Loss")</f>
        <v>4</v>
      </c>
      <c r="E219" s="30" t="n">
        <f aca="false">IFERROR(C219/B219,0)</f>
        <v>0.2</v>
      </c>
      <c r="F219" s="31" t="n">
        <f aca="false">SUMIFS(Trades!$X$2:$X$1146,Trades!$E$2:$E$1146,$A219)</f>
        <v>14.79</v>
      </c>
      <c r="G219" s="31" t="n">
        <f aca="false">SUMIFS(Trades!$X$2:$X$1146,Trades!$E$2:$E$1146,$A219,Trades!$X$2:$X$1146,"&gt;0")</f>
        <v>48.69</v>
      </c>
      <c r="H219" s="31" t="n">
        <f aca="false">SUMIFS(Trades!$X$2:$X$1146,Trades!$E$2:$E$1146,$A219,Trades!$X$2:$X$1146,"&lt;0")</f>
        <v>-33.9</v>
      </c>
      <c r="I219" s="32" t="n">
        <f aca="false">IFERROR(G219/-H219,"no loss")</f>
        <v>1.43628318584071</v>
      </c>
      <c r="J219" s="31" t="n">
        <f aca="false">_xlfn.MAXIFS(Trades!$X$2:$X$1146,Trades!$E$2:$E$1146,$A219)</f>
        <v>48.69</v>
      </c>
      <c r="K219" s="31" t="n">
        <f aca="false">_xlfn.MINIFS(Trades!$X$2:$X$1146,Trades!$E$2:$E$1146,$A219)</f>
        <v>-29.97</v>
      </c>
      <c r="L219" s="33" t="n">
        <f aca="false">SUMIFS(Trades!$Y$2:$Y$1146,Trades!$E$2:$E$1146,$A219)</f>
        <v>1.34292861771383</v>
      </c>
      <c r="M219" s="31" t="n">
        <f aca="false">P218</f>
        <v>22821.99</v>
      </c>
      <c r="N219" s="30" t="n">
        <f aca="false">IFERROR(F219/M219,0)</f>
        <v>0.000648059174506693</v>
      </c>
      <c r="O219" s="29" t="str">
        <f aca="false">IF(F219&lt;0,"down week","")</f>
        <v/>
      </c>
      <c r="P219" s="31" t="n">
        <f aca="false">M219+F219</f>
        <v>22836.78</v>
      </c>
      <c r="Q219" s="31" t="n">
        <f aca="false">P219-Summary!$C$5</f>
        <v>12836.78</v>
      </c>
    </row>
    <row r="220" customFormat="false" ht="15" hidden="false" customHeight="false" outlineLevel="0" collapsed="false">
      <c r="A220" s="43" t="n">
        <v>46181</v>
      </c>
      <c r="B220" s="29" t="n">
        <f aca="false">COUNTIFS(Trades!$E$2:$E$1146,$A220)</f>
        <v>5</v>
      </c>
      <c r="C220" s="29" t="n">
        <f aca="false">COUNTIFS(Trades!$E$2:$E$1146,$A220,Trades!$Z$2:$Z$1146,"Win")</f>
        <v>0</v>
      </c>
      <c r="D220" s="29" t="n">
        <f aca="false">COUNTIFS(Trades!$E$2:$E$1146,$A220,Trades!$Z$2:$Z$1146,"Loss")</f>
        <v>5</v>
      </c>
      <c r="E220" s="30" t="n">
        <f aca="false">IFERROR(C220/B220,0)</f>
        <v>0</v>
      </c>
      <c r="F220" s="31" t="n">
        <f aca="false">SUMIFS(Trades!$X$2:$X$1146,Trades!$E$2:$E$1146,$A220)</f>
        <v>-386.1</v>
      </c>
      <c r="G220" s="31" t="n">
        <f aca="false">SUMIFS(Trades!$X$2:$X$1146,Trades!$E$2:$E$1146,$A220,Trades!$X$2:$X$1146,"&gt;0")</f>
        <v>0</v>
      </c>
      <c r="H220" s="31" t="n">
        <f aca="false">SUMIFS(Trades!$X$2:$X$1146,Trades!$E$2:$E$1146,$A220,Trades!$X$2:$X$1146,"&lt;0")</f>
        <v>-386.1</v>
      </c>
      <c r="I220" s="32" t="n">
        <f aca="false">IFERROR(G220/-H220,"no loss")</f>
        <v>0</v>
      </c>
      <c r="J220" s="31" t="n">
        <f aca="false">_xlfn.MAXIFS(Trades!$X$2:$X$1146,Trades!$E$2:$E$1146,$A220)</f>
        <v>-4.26</v>
      </c>
      <c r="K220" s="31" t="n">
        <f aca="false">_xlfn.MINIFS(Trades!$X$2:$X$1146,Trades!$E$2:$E$1146,$A220)</f>
        <v>-148.77</v>
      </c>
      <c r="L220" s="33" t="n">
        <f aca="false">SUMIFS(Trades!$Y$2:$Y$1146,Trades!$E$2:$E$1146,$A220)</f>
        <v>-4.25646692183603</v>
      </c>
      <c r="M220" s="31" t="n">
        <f aca="false">P219</f>
        <v>22836.78</v>
      </c>
      <c r="N220" s="30" t="n">
        <f aca="false">IFERROR(F220/M220,0)</f>
        <v>-0.0169069369674709</v>
      </c>
      <c r="O220" s="29" t="str">
        <f aca="false">IF(F220&lt;0,"down week","")</f>
        <v>down week</v>
      </c>
      <c r="P220" s="31" t="n">
        <f aca="false">M220+F220</f>
        <v>22450.68</v>
      </c>
      <c r="Q220" s="31" t="n">
        <f aca="false">P220-Summary!$C$5</f>
        <v>12450.68</v>
      </c>
    </row>
    <row r="221" customFormat="false" ht="15" hidden="false" customHeight="false" outlineLevel="0" collapsed="false">
      <c r="A221" s="43" t="n">
        <v>46188</v>
      </c>
      <c r="B221" s="29" t="n">
        <f aca="false">COUNTIFS(Trades!$E$2:$E$1146,$A221)</f>
        <v>4</v>
      </c>
      <c r="C221" s="29" t="n">
        <f aca="false">COUNTIFS(Trades!$E$2:$E$1146,$A221,Trades!$Z$2:$Z$1146,"Win")</f>
        <v>2</v>
      </c>
      <c r="D221" s="29" t="n">
        <f aca="false">COUNTIFS(Trades!$E$2:$E$1146,$A221,Trades!$Z$2:$Z$1146,"Loss")</f>
        <v>2</v>
      </c>
      <c r="E221" s="30" t="n">
        <f aca="false">IFERROR(C221/B221,0)</f>
        <v>0.5</v>
      </c>
      <c r="F221" s="31" t="n">
        <f aca="false">SUMIFS(Trades!$X$2:$X$1146,Trades!$E$2:$E$1146,$A221)</f>
        <v>985.95</v>
      </c>
      <c r="G221" s="31" t="n">
        <f aca="false">SUMIFS(Trades!$X$2:$X$1146,Trades!$E$2:$E$1146,$A221,Trades!$X$2:$X$1146,"&gt;0")</f>
        <v>1064.49</v>
      </c>
      <c r="H221" s="31" t="n">
        <f aca="false">SUMIFS(Trades!$X$2:$X$1146,Trades!$E$2:$E$1146,$A221,Trades!$X$2:$X$1146,"&lt;0")</f>
        <v>-78.54</v>
      </c>
      <c r="I221" s="32" t="n">
        <f aca="false">IFERROR(G221/-H221,"no loss")</f>
        <v>13.5534759358289</v>
      </c>
      <c r="J221" s="31" t="n">
        <f aca="false">_xlfn.MAXIFS(Trades!$X$2:$X$1146,Trades!$E$2:$E$1146,$A221)</f>
        <v>564.9</v>
      </c>
      <c r="K221" s="31" t="n">
        <f aca="false">_xlfn.MINIFS(Trades!$X$2:$X$1146,Trades!$E$2:$E$1146,$A221)</f>
        <v>-74.07</v>
      </c>
      <c r="L221" s="33" t="n">
        <f aca="false">SUMIFS(Trades!$Y$2:$Y$1146,Trades!$E$2:$E$1146,$A221)</f>
        <v>3.774072031403</v>
      </c>
      <c r="M221" s="31" t="n">
        <f aca="false">P220</f>
        <v>22450.68</v>
      </c>
      <c r="N221" s="30" t="n">
        <f aca="false">IFERROR(F221/M221,0)</f>
        <v>0.0439162644516781</v>
      </c>
      <c r="O221" s="29" t="str">
        <f aca="false">IF(F221&lt;0,"down week","")</f>
        <v/>
      </c>
      <c r="P221" s="31" t="n">
        <f aca="false">M221+F221</f>
        <v>23436.63</v>
      </c>
      <c r="Q221" s="31" t="n">
        <f aca="false">P221-Summary!$C$5</f>
        <v>13436.63</v>
      </c>
    </row>
    <row r="222" customFormat="false" ht="15" hidden="false" customHeight="false" outlineLevel="0" collapsed="false">
      <c r="A222" s="43" t="n">
        <v>46195</v>
      </c>
      <c r="B222" s="29" t="n">
        <f aca="false">COUNTIFS(Trades!$E$2:$E$1146,$A222)</f>
        <v>6</v>
      </c>
      <c r="C222" s="29" t="n">
        <f aca="false">COUNTIFS(Trades!$E$2:$E$1146,$A222,Trades!$Z$2:$Z$1146,"Win")</f>
        <v>2</v>
      </c>
      <c r="D222" s="29" t="n">
        <f aca="false">COUNTIFS(Trades!$E$2:$E$1146,$A222,Trades!$Z$2:$Z$1146,"Loss")</f>
        <v>4</v>
      </c>
      <c r="E222" s="30" t="n">
        <f aca="false">IFERROR(C222/B222,0)</f>
        <v>0.333333333333333</v>
      </c>
      <c r="F222" s="31" t="n">
        <f aca="false">SUMIFS(Trades!$X$2:$X$1146,Trades!$E$2:$E$1146,$A222)</f>
        <v>-193.26</v>
      </c>
      <c r="G222" s="31" t="n">
        <f aca="false">SUMIFS(Trades!$X$2:$X$1146,Trades!$E$2:$E$1146,$A222,Trades!$X$2:$X$1146,"&gt;0")</f>
        <v>259.44</v>
      </c>
      <c r="H222" s="31" t="n">
        <f aca="false">SUMIFS(Trades!$X$2:$X$1146,Trades!$E$2:$E$1146,$A222,Trades!$X$2:$X$1146,"&lt;0")</f>
        <v>-452.7</v>
      </c>
      <c r="I222" s="32" t="n">
        <f aca="false">IFERROR(G222/-H222,"no loss")</f>
        <v>0.573094764744864</v>
      </c>
      <c r="J222" s="31" t="n">
        <f aca="false">_xlfn.MAXIFS(Trades!$X$2:$X$1146,Trades!$E$2:$E$1146,$A222)</f>
        <v>134.46</v>
      </c>
      <c r="K222" s="31" t="n">
        <f aca="false">_xlfn.MINIFS(Trades!$X$2:$X$1146,Trades!$E$2:$E$1146,$A222)</f>
        <v>-254.76</v>
      </c>
      <c r="L222" s="33" t="n">
        <f aca="false">SUMIFS(Trades!$Y$2:$Y$1146,Trades!$E$2:$E$1146,$A222)</f>
        <v>1.81226465827793</v>
      </c>
      <c r="M222" s="31" t="n">
        <f aca="false">P221</f>
        <v>23436.63</v>
      </c>
      <c r="N222" s="30" t="n">
        <f aca="false">IFERROR(F222/M222,0)</f>
        <v>-0.00824606609397341</v>
      </c>
      <c r="O222" s="29" t="str">
        <f aca="false">IF(F222&lt;0,"down week","")</f>
        <v>down week</v>
      </c>
      <c r="P222" s="31" t="n">
        <f aca="false">M222+F222</f>
        <v>23243.37</v>
      </c>
      <c r="Q222" s="31" t="n">
        <f aca="false">P222-Summary!$C$5</f>
        <v>13243.37</v>
      </c>
    </row>
    <row r="223" customFormat="false" ht="15" hidden="false" customHeight="false" outlineLevel="0" collapsed="false">
      <c r="A223" s="43" t="n">
        <v>46202</v>
      </c>
      <c r="B223" s="29" t="n">
        <f aca="false">COUNTIFS(Trades!$E$2:$E$1146,$A223)</f>
        <v>3</v>
      </c>
      <c r="C223" s="29" t="n">
        <f aca="false">COUNTIFS(Trades!$E$2:$E$1146,$A223,Trades!$Z$2:$Z$1146,"Win")</f>
        <v>0</v>
      </c>
      <c r="D223" s="29" t="n">
        <f aca="false">COUNTIFS(Trades!$E$2:$E$1146,$A223,Trades!$Z$2:$Z$1146,"Loss")</f>
        <v>3</v>
      </c>
      <c r="E223" s="30" t="n">
        <f aca="false">IFERROR(C223/B223,0)</f>
        <v>0</v>
      </c>
      <c r="F223" s="31" t="n">
        <f aca="false">SUMIFS(Trades!$X$2:$X$1146,Trades!$E$2:$E$1146,$A223)</f>
        <v>-117.54</v>
      </c>
      <c r="G223" s="31" t="n">
        <f aca="false">SUMIFS(Trades!$X$2:$X$1146,Trades!$E$2:$E$1146,$A223,Trades!$X$2:$X$1146,"&gt;0")</f>
        <v>0</v>
      </c>
      <c r="H223" s="31" t="n">
        <f aca="false">SUMIFS(Trades!$X$2:$X$1146,Trades!$E$2:$E$1146,$A223,Trades!$X$2:$X$1146,"&lt;0")</f>
        <v>-117.54</v>
      </c>
      <c r="I223" s="32" t="n">
        <f aca="false">IFERROR(G223/-H223,"no loss")</f>
        <v>0</v>
      </c>
      <c r="J223" s="31" t="n">
        <f aca="false">_xlfn.MAXIFS(Trades!$X$2:$X$1146,Trades!$E$2:$E$1146,$A223)</f>
        <v>-5.97</v>
      </c>
      <c r="K223" s="31" t="n">
        <f aca="false">_xlfn.MINIFS(Trades!$X$2:$X$1146,Trades!$E$2:$E$1146,$A223)</f>
        <v>-60.42</v>
      </c>
      <c r="L223" s="33" t="n">
        <f aca="false">SUMIFS(Trades!$Y$2:$Y$1146,Trades!$E$2:$E$1146,$A223)</f>
        <v>-2.16307034825789</v>
      </c>
      <c r="M223" s="31" t="n">
        <f aca="false">P222</f>
        <v>23243.37</v>
      </c>
      <c r="N223" s="30" t="n">
        <f aca="false">IFERROR(F223/M223,0)</f>
        <v>-0.00505692591048544</v>
      </c>
      <c r="O223" s="29" t="str">
        <f aca="false">IF(F223&lt;0,"down week","")</f>
        <v>down week</v>
      </c>
      <c r="P223" s="31" t="n">
        <f aca="false">M223+F223</f>
        <v>23125.83</v>
      </c>
      <c r="Q223" s="31" t="n">
        <f aca="false">P223-Summary!$C$5</f>
        <v>13125.83</v>
      </c>
    </row>
    <row r="224" customFormat="false" ht="15" hidden="false" customHeight="false" outlineLevel="0" collapsed="false">
      <c r="A224" s="43" t="n">
        <v>46209</v>
      </c>
      <c r="B224" s="29" t="n">
        <f aca="false">COUNTIFS(Trades!$E$2:$E$1146,$A224)</f>
        <v>5</v>
      </c>
      <c r="C224" s="29" t="n">
        <f aca="false">COUNTIFS(Trades!$E$2:$E$1146,$A224,Trades!$Z$2:$Z$1146,"Win")</f>
        <v>1</v>
      </c>
      <c r="D224" s="29" t="n">
        <f aca="false">COUNTIFS(Trades!$E$2:$E$1146,$A224,Trades!$Z$2:$Z$1146,"Loss")</f>
        <v>4</v>
      </c>
      <c r="E224" s="30" t="n">
        <f aca="false">IFERROR(C224/B224,0)</f>
        <v>0.2</v>
      </c>
      <c r="F224" s="31" t="n">
        <f aca="false">SUMIFS(Trades!$X$2:$X$1146,Trades!$E$2:$E$1146,$A224)</f>
        <v>161.79</v>
      </c>
      <c r="G224" s="31" t="n">
        <f aca="false">SUMIFS(Trades!$X$2:$X$1146,Trades!$E$2:$E$1146,$A224,Trades!$X$2:$X$1146,"&gt;0")</f>
        <v>291.39</v>
      </c>
      <c r="H224" s="31" t="n">
        <f aca="false">SUMIFS(Trades!$X$2:$X$1146,Trades!$E$2:$E$1146,$A224,Trades!$X$2:$X$1146,"&lt;0")</f>
        <v>-129.6</v>
      </c>
      <c r="I224" s="32" t="n">
        <f aca="false">IFERROR(G224/-H224,"no loss")</f>
        <v>2.24837962962963</v>
      </c>
      <c r="J224" s="31" t="n">
        <f aca="false">_xlfn.MAXIFS(Trades!$X$2:$X$1146,Trades!$E$2:$E$1146,$A224)</f>
        <v>291.39</v>
      </c>
      <c r="K224" s="31" t="n">
        <f aca="false">_xlfn.MINIFS(Trades!$X$2:$X$1146,Trades!$E$2:$E$1146,$A224)</f>
        <v>-47.25</v>
      </c>
      <c r="L224" s="33" t="n">
        <f aca="false">SUMIFS(Trades!$Y$2:$Y$1146,Trades!$E$2:$E$1146,$A224)</f>
        <v>-0.942323162301252</v>
      </c>
      <c r="M224" s="31" t="n">
        <f aca="false">P223</f>
        <v>23125.83</v>
      </c>
      <c r="N224" s="30" t="n">
        <f aca="false">IFERROR(F224/M224,0)</f>
        <v>0.00699607322202057</v>
      </c>
      <c r="O224" s="29" t="str">
        <f aca="false">IF(F224&lt;0,"down week","")</f>
        <v/>
      </c>
      <c r="P224" s="31" t="n">
        <f aca="false">M224+F224</f>
        <v>23287.62</v>
      </c>
      <c r="Q224" s="31" t="n">
        <f aca="false">P224-Summary!$C$5</f>
        <v>13287.62</v>
      </c>
    </row>
    <row r="225" customFormat="false" ht="15" hidden="false" customHeight="false" outlineLevel="0" collapsed="false">
      <c r="A225" s="43" t="n">
        <v>46216</v>
      </c>
      <c r="B225" s="29" t="n">
        <f aca="false">COUNTIFS(Trades!$E$2:$E$1146,$A225)</f>
        <v>5</v>
      </c>
      <c r="C225" s="29" t="n">
        <f aca="false">COUNTIFS(Trades!$E$2:$E$1146,$A225,Trades!$Z$2:$Z$1146,"Win")</f>
        <v>1</v>
      </c>
      <c r="D225" s="29" t="n">
        <f aca="false">COUNTIFS(Trades!$E$2:$E$1146,$A225,Trades!$Z$2:$Z$1146,"Loss")</f>
        <v>4</v>
      </c>
      <c r="E225" s="30" t="n">
        <f aca="false">IFERROR(C225/B225,0)</f>
        <v>0.2</v>
      </c>
      <c r="F225" s="31" t="n">
        <f aca="false">SUMIFS(Trades!$X$2:$X$1146,Trades!$E$2:$E$1146,$A225)</f>
        <v>-135.7</v>
      </c>
      <c r="G225" s="31" t="n">
        <f aca="false">SUMIFS(Trades!$X$2:$X$1146,Trades!$E$2:$E$1146,$A225,Trades!$X$2:$X$1146,"&gt;0")</f>
        <v>55.89</v>
      </c>
      <c r="H225" s="31" t="n">
        <f aca="false">SUMIFS(Trades!$X$2:$X$1146,Trades!$E$2:$E$1146,$A225,Trades!$X$2:$X$1146,"&lt;0")</f>
        <v>-191.59</v>
      </c>
      <c r="I225" s="32" t="n">
        <f aca="false">IFERROR(G225/-H225,"no loss")</f>
        <v>0.29171668667467</v>
      </c>
      <c r="J225" s="31" t="n">
        <f aca="false">_xlfn.MAXIFS(Trades!$X$2:$X$1146,Trades!$E$2:$E$1146,$A225)</f>
        <v>55.89</v>
      </c>
      <c r="K225" s="31" t="n">
        <f aca="false">_xlfn.MINIFS(Trades!$X$2:$X$1146,Trades!$E$2:$E$1146,$A225)</f>
        <v>-84.06</v>
      </c>
      <c r="L225" s="33" t="n">
        <f aca="false">SUMIFS(Trades!$Y$2:$Y$1146,Trades!$E$2:$E$1146,$A225)</f>
        <v>-0.657383667582923</v>
      </c>
      <c r="M225" s="31" t="n">
        <f aca="false">P224</f>
        <v>23287.62</v>
      </c>
      <c r="N225" s="30" t="n">
        <f aca="false">IFERROR(F225/M225,0)</f>
        <v>-0.00582713046674585</v>
      </c>
      <c r="O225" s="29" t="str">
        <f aca="false">IF(F225&lt;0,"down week","")</f>
        <v>down week</v>
      </c>
      <c r="P225" s="31" t="n">
        <f aca="false">M225+F225</f>
        <v>23151.92</v>
      </c>
      <c r="Q225" s="31" t="n">
        <f aca="false">P225-Summary!$C$5</f>
        <v>13151.92</v>
      </c>
    </row>
    <row r="226" customFormat="false" ht="15" hidden="false" customHeight="false" outlineLevel="0" collapsed="false">
      <c r="A226" s="43" t="n">
        <v>46223</v>
      </c>
      <c r="B226" s="29" t="n">
        <f aca="false">COUNTIFS(Trades!$E$2:$E$1146,$A226)</f>
        <v>3</v>
      </c>
      <c r="C226" s="29" t="n">
        <f aca="false">COUNTIFS(Trades!$E$2:$E$1146,$A226,Trades!$Z$2:$Z$1146,"Win")</f>
        <v>0</v>
      </c>
      <c r="D226" s="29" t="n">
        <f aca="false">COUNTIFS(Trades!$E$2:$E$1146,$A226,Trades!$Z$2:$Z$1146,"Loss")</f>
        <v>3</v>
      </c>
      <c r="E226" s="30" t="n">
        <f aca="false">IFERROR(C226/B226,0)</f>
        <v>0</v>
      </c>
      <c r="F226" s="31" t="n">
        <f aca="false">SUMIFS(Trades!$X$2:$X$1146,Trades!$E$2:$E$1146,$A226)</f>
        <v>-97.26</v>
      </c>
      <c r="G226" s="31" t="n">
        <f aca="false">SUMIFS(Trades!$X$2:$X$1146,Trades!$E$2:$E$1146,$A226,Trades!$X$2:$X$1146,"&gt;0")</f>
        <v>0</v>
      </c>
      <c r="H226" s="31" t="n">
        <f aca="false">SUMIFS(Trades!$X$2:$X$1146,Trades!$E$2:$E$1146,$A226,Trades!$X$2:$X$1146,"&lt;0")</f>
        <v>-97.26</v>
      </c>
      <c r="I226" s="32" t="n">
        <f aca="false">IFERROR(G226/-H226,"no loss")</f>
        <v>0</v>
      </c>
      <c r="J226" s="31" t="n">
        <f aca="false">_xlfn.MAXIFS(Trades!$X$2:$X$1146,Trades!$E$2:$E$1146,$A226)</f>
        <v>-1.26</v>
      </c>
      <c r="K226" s="31" t="n">
        <f aca="false">_xlfn.MINIFS(Trades!$X$2:$X$1146,Trades!$E$2:$E$1146,$A226)</f>
        <v>-89.32</v>
      </c>
      <c r="L226" s="33" t="n">
        <f aca="false">SUMIFS(Trades!$Y$2:$Y$1146,Trades!$E$2:$E$1146,$A226)</f>
        <v>-1.15964228238086</v>
      </c>
      <c r="M226" s="31" t="n">
        <f aca="false">P225</f>
        <v>23151.92</v>
      </c>
      <c r="N226" s="30" t="n">
        <f aca="false">IFERROR(F226/M226,0)</f>
        <v>-0.00420094748081369</v>
      </c>
      <c r="O226" s="29" t="str">
        <f aca="false">IF(F226&lt;0,"down week","")</f>
        <v>down week</v>
      </c>
      <c r="P226" s="31" t="n">
        <f aca="false">M226+F226</f>
        <v>23054.66</v>
      </c>
      <c r="Q226" s="31" t="n">
        <f aca="false">P226-Summary!$C$5</f>
        <v>13054.66</v>
      </c>
    </row>
    <row r="227" customFormat="false" ht="15" hidden="false" customHeight="false" outlineLevel="0" collapsed="false">
      <c r="A227" s="43" t="n">
        <v>46230</v>
      </c>
      <c r="B227" s="29" t="n">
        <f aca="false">COUNTIFS(Trades!$E$2:$E$1146,$A227)</f>
        <v>6</v>
      </c>
      <c r="C227" s="29" t="n">
        <f aca="false">COUNTIFS(Trades!$E$2:$E$1146,$A227,Trades!$Z$2:$Z$1146,"Win")</f>
        <v>1</v>
      </c>
      <c r="D227" s="29" t="n">
        <f aca="false">COUNTIFS(Trades!$E$2:$E$1146,$A227,Trades!$Z$2:$Z$1146,"Loss")</f>
        <v>5</v>
      </c>
      <c r="E227" s="30" t="n">
        <f aca="false">IFERROR(C227/B227,0)</f>
        <v>0.166666666666667</v>
      </c>
      <c r="F227" s="31" t="n">
        <f aca="false">SUMIFS(Trades!$X$2:$X$1146,Trades!$E$2:$E$1146,$A227)</f>
        <v>132.32</v>
      </c>
      <c r="G227" s="31" t="n">
        <f aca="false">SUMIFS(Trades!$X$2:$X$1146,Trades!$E$2:$E$1146,$A227,Trades!$X$2:$X$1146,"&gt;0")</f>
        <v>420.52</v>
      </c>
      <c r="H227" s="31" t="n">
        <f aca="false">SUMIFS(Trades!$X$2:$X$1146,Trades!$E$2:$E$1146,$A227,Trades!$X$2:$X$1146,"&lt;0")</f>
        <v>-288.2</v>
      </c>
      <c r="I227" s="32" t="n">
        <f aca="false">IFERROR(G227/-H227,"no loss")</f>
        <v>1.45912560721721</v>
      </c>
      <c r="J227" s="31" t="n">
        <f aca="false">_xlfn.MAXIFS(Trades!$X$2:$X$1146,Trades!$E$2:$E$1146,$A227)</f>
        <v>420.52</v>
      </c>
      <c r="K227" s="31" t="n">
        <f aca="false">_xlfn.MINIFS(Trades!$X$2:$X$1146,Trades!$E$2:$E$1146,$A227)</f>
        <v>-128.04</v>
      </c>
      <c r="L227" s="33" t="n">
        <f aca="false">SUMIFS(Trades!$Y$2:$Y$1146,Trades!$E$2:$E$1146,$A227)</f>
        <v>-0.71110080086795</v>
      </c>
      <c r="M227" s="31" t="n">
        <f aca="false">P226</f>
        <v>23054.66</v>
      </c>
      <c r="N227" s="30" t="n">
        <f aca="false">IFERROR(F227/M227,0)</f>
        <v>0.00573940366069159</v>
      </c>
      <c r="O227" s="29" t="str">
        <f aca="false">IF(F227&lt;0,"down week","")</f>
        <v/>
      </c>
      <c r="P227" s="31" t="n">
        <f aca="false">M227+F227</f>
        <v>23186.98</v>
      </c>
      <c r="Q227" s="31" t="n">
        <f aca="false">P227-Summary!$C$5</f>
        <v>13186.98</v>
      </c>
    </row>
    <row r="228" customFormat="false" ht="15" hidden="false" customHeight="false" outlineLevel="0" collapsed="false">
      <c r="A228" s="43" t="n">
        <v>46237</v>
      </c>
      <c r="B228" s="29" t="n">
        <f aca="false">COUNTIFS(Trades!$E$2:$E$1146,$A228)</f>
        <v>5</v>
      </c>
      <c r="C228" s="29" t="n">
        <f aca="false">COUNTIFS(Trades!$E$2:$E$1146,$A228,Trades!$Z$2:$Z$1146,"Win")</f>
        <v>2</v>
      </c>
      <c r="D228" s="29" t="n">
        <f aca="false">COUNTIFS(Trades!$E$2:$E$1146,$A228,Trades!$Z$2:$Z$1146,"Loss")</f>
        <v>3</v>
      </c>
      <c r="E228" s="30" t="n">
        <f aca="false">IFERROR(C228/B228,0)</f>
        <v>0.4</v>
      </c>
      <c r="F228" s="31" t="n">
        <f aca="false">SUMIFS(Trades!$X$2:$X$1146,Trades!$E$2:$E$1146,$A228)</f>
        <v>250.94</v>
      </c>
      <c r="G228" s="31" t="n">
        <f aca="false">SUMIFS(Trades!$X$2:$X$1146,Trades!$E$2:$E$1146,$A228,Trades!$X$2:$X$1146,"&gt;0")</f>
        <v>330.45</v>
      </c>
      <c r="H228" s="31" t="n">
        <f aca="false">SUMIFS(Trades!$X$2:$X$1146,Trades!$E$2:$E$1146,$A228,Trades!$X$2:$X$1146,"&lt;0")</f>
        <v>-79.51</v>
      </c>
      <c r="I228" s="32" t="n">
        <f aca="false">IFERROR(G228/-H228,"no loss")</f>
        <v>4.15608099610112</v>
      </c>
      <c r="J228" s="31" t="n">
        <f aca="false">_xlfn.MAXIFS(Trades!$X$2:$X$1146,Trades!$E$2:$E$1146,$A228)</f>
        <v>283.02</v>
      </c>
      <c r="K228" s="31" t="n">
        <f aca="false">_xlfn.MINIFS(Trades!$X$2:$X$1146,Trades!$E$2:$E$1146,$A228)</f>
        <v>-73.84</v>
      </c>
      <c r="L228" s="33" t="n">
        <f aca="false">SUMIFS(Trades!$Y$2:$Y$1146,Trades!$E$2:$E$1146,$A228)</f>
        <v>3.85863833770397</v>
      </c>
      <c r="M228" s="31" t="n">
        <f aca="false">P227</f>
        <v>23186.98</v>
      </c>
      <c r="N228" s="30" t="n">
        <f aca="false">IFERROR(F228/M228,0)</f>
        <v>0.0108224529455755</v>
      </c>
      <c r="O228" s="29" t="str">
        <f aca="false">IF(F228&lt;0,"down week","")</f>
        <v/>
      </c>
      <c r="P228" s="31" t="n">
        <f aca="false">M228+F228</f>
        <v>23437.92</v>
      </c>
      <c r="Q228" s="31" t="n">
        <f aca="false">P228-Summary!$C$5</f>
        <v>13437.92</v>
      </c>
    </row>
    <row r="229" customFormat="false" ht="15" hidden="false" customHeight="false" outlineLevel="0" collapsed="false">
      <c r="A229" s="43" t="n">
        <v>46244</v>
      </c>
      <c r="B229" s="29" t="n">
        <f aca="false">COUNTIFS(Trades!$E$2:$E$1146,$A229)</f>
        <v>5</v>
      </c>
      <c r="C229" s="29" t="n">
        <f aca="false">COUNTIFS(Trades!$E$2:$E$1146,$A229,Trades!$Z$2:$Z$1146,"Win")</f>
        <v>1</v>
      </c>
      <c r="D229" s="29" t="n">
        <f aca="false">COUNTIFS(Trades!$E$2:$E$1146,$A229,Trades!$Z$2:$Z$1146,"Loss")</f>
        <v>4</v>
      </c>
      <c r="E229" s="30" t="n">
        <f aca="false">IFERROR(C229/B229,0)</f>
        <v>0.2</v>
      </c>
      <c r="F229" s="31" t="n">
        <f aca="false">SUMIFS(Trades!$X$2:$X$1146,Trades!$E$2:$E$1146,$A229)</f>
        <v>106.53</v>
      </c>
      <c r="G229" s="31" t="n">
        <f aca="false">SUMIFS(Trades!$X$2:$X$1146,Trades!$E$2:$E$1146,$A229,Trades!$X$2:$X$1146,"&gt;0")</f>
        <v>275.43</v>
      </c>
      <c r="H229" s="31" t="n">
        <f aca="false">SUMIFS(Trades!$X$2:$X$1146,Trades!$E$2:$E$1146,$A229,Trades!$X$2:$X$1146,"&lt;0")</f>
        <v>-168.9</v>
      </c>
      <c r="I229" s="32" t="n">
        <f aca="false">IFERROR(G229/-H229,"no loss")</f>
        <v>1.63072824156306</v>
      </c>
      <c r="J229" s="31" t="n">
        <f aca="false">_xlfn.MAXIFS(Trades!$X$2:$X$1146,Trades!$E$2:$E$1146,$A229)</f>
        <v>275.43</v>
      </c>
      <c r="K229" s="31" t="n">
        <f aca="false">_xlfn.MINIFS(Trades!$X$2:$X$1146,Trades!$E$2:$E$1146,$A229)</f>
        <v>-80.79</v>
      </c>
      <c r="L229" s="33" t="n">
        <f aca="false">SUMIFS(Trades!$Y$2:$Y$1146,Trades!$E$2:$E$1146,$A229)</f>
        <v>-2.06555506335011</v>
      </c>
      <c r="M229" s="31" t="n">
        <f aca="false">P228</f>
        <v>23437.92</v>
      </c>
      <c r="N229" s="30" t="n">
        <f aca="false">IFERROR(F229/M229,0)</f>
        <v>0.00454519855004198</v>
      </c>
      <c r="O229" s="29" t="str">
        <f aca="false">IF(F229&lt;0,"down week","")</f>
        <v/>
      </c>
      <c r="P229" s="31" t="n">
        <f aca="false">M229+F229</f>
        <v>23544.45</v>
      </c>
      <c r="Q229" s="31" t="n">
        <f aca="false">P229-Summary!$C$5</f>
        <v>13544.45</v>
      </c>
    </row>
    <row r="230" customFormat="false" ht="15" hidden="false" customHeight="false" outlineLevel="0" collapsed="false">
      <c r="A230" s="43" t="n">
        <v>46251</v>
      </c>
      <c r="B230" s="29" t="n">
        <f aca="false">COUNTIFS(Trades!$E$2:$E$1146,$A230)</f>
        <v>4</v>
      </c>
      <c r="C230" s="29" t="n">
        <f aca="false">COUNTIFS(Trades!$E$2:$E$1146,$A230,Trades!$Z$2:$Z$1146,"Win")</f>
        <v>2</v>
      </c>
      <c r="D230" s="29" t="n">
        <f aca="false">COUNTIFS(Trades!$E$2:$E$1146,$A230,Trades!$Z$2:$Z$1146,"Loss")</f>
        <v>2</v>
      </c>
      <c r="E230" s="30" t="n">
        <f aca="false">IFERROR(C230/B230,0)</f>
        <v>0.5</v>
      </c>
      <c r="F230" s="31" t="n">
        <f aca="false">SUMIFS(Trades!$X$2:$X$1146,Trades!$E$2:$E$1146,$A230)</f>
        <v>136.75</v>
      </c>
      <c r="G230" s="31" t="n">
        <f aca="false">SUMIFS(Trades!$X$2:$X$1146,Trades!$E$2:$E$1146,$A230,Trades!$X$2:$X$1146,"&gt;0")</f>
        <v>227.33</v>
      </c>
      <c r="H230" s="31" t="n">
        <f aca="false">SUMIFS(Trades!$X$2:$X$1146,Trades!$E$2:$E$1146,$A230,Trades!$X$2:$X$1146,"&lt;0")</f>
        <v>-90.58</v>
      </c>
      <c r="I230" s="32" t="n">
        <f aca="false">IFERROR(G230/-H230,"no loss")</f>
        <v>2.50971516891146</v>
      </c>
      <c r="J230" s="31" t="n">
        <f aca="false">_xlfn.MAXIFS(Trades!$X$2:$X$1146,Trades!$E$2:$E$1146,$A230)</f>
        <v>186.56</v>
      </c>
      <c r="K230" s="31" t="n">
        <f aca="false">_xlfn.MINIFS(Trades!$X$2:$X$1146,Trades!$E$2:$E$1146,$A230)</f>
        <v>-67.96</v>
      </c>
      <c r="L230" s="33" t="n">
        <f aca="false">SUMIFS(Trades!$Y$2:$Y$1146,Trades!$E$2:$E$1146,$A230)</f>
        <v>3.00477637766644</v>
      </c>
      <c r="M230" s="31" t="n">
        <f aca="false">P229</f>
        <v>23544.45</v>
      </c>
      <c r="N230" s="30" t="n">
        <f aca="false">IFERROR(F230/M230,0)</f>
        <v>0.00580816285791344</v>
      </c>
      <c r="O230" s="29" t="str">
        <f aca="false">IF(F230&lt;0,"down week","")</f>
        <v/>
      </c>
      <c r="P230" s="31" t="n">
        <f aca="false">M230+F230</f>
        <v>23681.2</v>
      </c>
      <c r="Q230" s="31" t="n">
        <f aca="false">P230-Summary!$C$5</f>
        <v>13681.2</v>
      </c>
    </row>
    <row r="231" customFormat="false" ht="15" hidden="false" customHeight="false" outlineLevel="0" collapsed="false">
      <c r="A231" s="43" t="n">
        <v>46258</v>
      </c>
      <c r="B231" s="29" t="n">
        <f aca="false">COUNTIFS(Trades!$E$2:$E$1146,$A231)</f>
        <v>3</v>
      </c>
      <c r="C231" s="29" t="n">
        <f aca="false">COUNTIFS(Trades!$E$2:$E$1146,$A231,Trades!$Z$2:$Z$1146,"Win")</f>
        <v>1</v>
      </c>
      <c r="D231" s="29" t="n">
        <f aca="false">COUNTIFS(Trades!$E$2:$E$1146,$A231,Trades!$Z$2:$Z$1146,"Loss")</f>
        <v>2</v>
      </c>
      <c r="E231" s="30" t="n">
        <f aca="false">IFERROR(C231/B231,0)</f>
        <v>0.333333333333333</v>
      </c>
      <c r="F231" s="31" t="n">
        <f aca="false">SUMIFS(Trades!$X$2:$X$1146,Trades!$E$2:$E$1146,$A231)</f>
        <v>338.88</v>
      </c>
      <c r="G231" s="31" t="n">
        <f aca="false">SUMIFS(Trades!$X$2:$X$1146,Trades!$E$2:$E$1146,$A231,Trades!$X$2:$X$1146,"&gt;0")</f>
        <v>415.48</v>
      </c>
      <c r="H231" s="31" t="n">
        <f aca="false">SUMIFS(Trades!$X$2:$X$1146,Trades!$E$2:$E$1146,$A231,Trades!$X$2:$X$1146,"&lt;0")</f>
        <v>-76.6</v>
      </c>
      <c r="I231" s="32" t="n">
        <f aca="false">IFERROR(G231/-H231,"no loss")</f>
        <v>5.42402088772846</v>
      </c>
      <c r="J231" s="31" t="n">
        <f aca="false">_xlfn.MAXIFS(Trades!$X$2:$X$1146,Trades!$E$2:$E$1146,$A231)</f>
        <v>415.48</v>
      </c>
      <c r="K231" s="31" t="n">
        <f aca="false">_xlfn.MINIFS(Trades!$X$2:$X$1146,Trades!$E$2:$E$1146,$A231)</f>
        <v>-46.28</v>
      </c>
      <c r="L231" s="33" t="n">
        <f aca="false">SUMIFS(Trades!$Y$2:$Y$1146,Trades!$E$2:$E$1146,$A231)</f>
        <v>0.225412346801051</v>
      </c>
      <c r="M231" s="31" t="n">
        <f aca="false">P230</f>
        <v>23681.2</v>
      </c>
      <c r="N231" s="30" t="n">
        <f aca="false">IFERROR(F231/M231,0)</f>
        <v>0.0143100856375522</v>
      </c>
      <c r="O231" s="29" t="str">
        <f aca="false">IF(F231&lt;0,"down week","")</f>
        <v/>
      </c>
      <c r="P231" s="31" t="n">
        <f aca="false">M231+F231</f>
        <v>24020.08</v>
      </c>
      <c r="Q231" s="31" t="n">
        <f aca="false">P231-Summary!$C$5</f>
        <v>14020.08</v>
      </c>
    </row>
    <row r="232" customFormat="false" ht="15" hidden="false" customHeight="false" outlineLevel="0" collapsed="false">
      <c r="A232" s="43" t="n">
        <v>46265</v>
      </c>
      <c r="B232" s="29" t="n">
        <f aca="false">COUNTIFS(Trades!$E$2:$E$1146,$A232)</f>
        <v>6</v>
      </c>
      <c r="C232" s="29" t="n">
        <f aca="false">COUNTIFS(Trades!$E$2:$E$1146,$A232,Trades!$Z$2:$Z$1146,"Win")</f>
        <v>3</v>
      </c>
      <c r="D232" s="29" t="n">
        <f aca="false">COUNTIFS(Trades!$E$2:$E$1146,$A232,Trades!$Z$2:$Z$1146,"Loss")</f>
        <v>2</v>
      </c>
      <c r="E232" s="30" t="n">
        <f aca="false">IFERROR(C232/B232,0)</f>
        <v>0.5</v>
      </c>
      <c r="F232" s="31" t="n">
        <f aca="false">SUMIFS(Trades!$X$2:$X$1146,Trades!$E$2:$E$1146,$A232)</f>
        <v>134.44</v>
      </c>
      <c r="G232" s="31" t="n">
        <f aca="false">SUMIFS(Trades!$X$2:$X$1146,Trades!$E$2:$E$1146,$A232,Trades!$X$2:$X$1146,"&gt;0")</f>
        <v>221.84</v>
      </c>
      <c r="H232" s="31" t="n">
        <f aca="false">SUMIFS(Trades!$X$2:$X$1146,Trades!$E$2:$E$1146,$A232,Trades!$X$2:$X$1146,"&lt;0")</f>
        <v>-87.4</v>
      </c>
      <c r="I232" s="32" t="n">
        <f aca="false">IFERROR(G232/-H232,"no loss")</f>
        <v>2.53821510297483</v>
      </c>
      <c r="J232" s="31" t="n">
        <f aca="false">_xlfn.MAXIFS(Trades!$X$2:$X$1146,Trades!$E$2:$E$1146,$A232)</f>
        <v>107.6</v>
      </c>
      <c r="K232" s="31" t="n">
        <f aca="false">_xlfn.MINIFS(Trades!$X$2:$X$1146,Trades!$E$2:$E$1146,$A232)</f>
        <v>-54.24</v>
      </c>
      <c r="L232" s="33" t="n">
        <f aca="false">SUMIFS(Trades!$Y$2:$Y$1146,Trades!$E$2:$E$1146,$A232)</f>
        <v>5.17958861528548</v>
      </c>
      <c r="M232" s="31" t="n">
        <f aca="false">P231</f>
        <v>24020.08</v>
      </c>
      <c r="N232" s="30" t="n">
        <f aca="false">IFERROR(F232/M232,0)</f>
        <v>0.00559698385683978</v>
      </c>
      <c r="O232" s="29" t="str">
        <f aca="false">IF(F232&lt;0,"down week","")</f>
        <v/>
      </c>
      <c r="P232" s="31" t="n">
        <f aca="false">M232+F232</f>
        <v>24154.52</v>
      </c>
      <c r="Q232" s="31" t="n">
        <f aca="false">P232-Summary!$C$5</f>
        <v>14154.52</v>
      </c>
    </row>
    <row r="233" customFormat="false" ht="15" hidden="false" customHeight="false" outlineLevel="0" collapsed="false">
      <c r="A233" s="43" t="n">
        <v>46272</v>
      </c>
      <c r="B233" s="29" t="n">
        <f aca="false">COUNTIFS(Trades!$E$2:$E$1146,$A233)</f>
        <v>4</v>
      </c>
      <c r="C233" s="29" t="n">
        <f aca="false">COUNTIFS(Trades!$E$2:$E$1146,$A233,Trades!$Z$2:$Z$1146,"Win")</f>
        <v>1</v>
      </c>
      <c r="D233" s="29" t="n">
        <f aca="false">COUNTIFS(Trades!$E$2:$E$1146,$A233,Trades!$Z$2:$Z$1146,"Loss")</f>
        <v>3</v>
      </c>
      <c r="E233" s="30" t="n">
        <f aca="false">IFERROR(C233/B233,0)</f>
        <v>0.25</v>
      </c>
      <c r="F233" s="31" t="n">
        <f aca="false">SUMIFS(Trades!$X$2:$X$1146,Trades!$E$2:$E$1146,$A233)</f>
        <v>56.8</v>
      </c>
      <c r="G233" s="31" t="n">
        <f aca="false">SUMIFS(Trades!$X$2:$X$1146,Trades!$E$2:$E$1146,$A233,Trades!$X$2:$X$1146,"&gt;0")</f>
        <v>145.72</v>
      </c>
      <c r="H233" s="31" t="n">
        <f aca="false">SUMIFS(Trades!$X$2:$X$1146,Trades!$E$2:$E$1146,$A233,Trades!$X$2:$X$1146,"&lt;0")</f>
        <v>-88.92</v>
      </c>
      <c r="I233" s="32" t="n">
        <f aca="false">IFERROR(G233/-H233,"no loss")</f>
        <v>1.63877642825011</v>
      </c>
      <c r="J233" s="31" t="n">
        <f aca="false">_xlfn.MAXIFS(Trades!$X$2:$X$1146,Trades!$E$2:$E$1146,$A233)</f>
        <v>145.72</v>
      </c>
      <c r="K233" s="31" t="n">
        <f aca="false">_xlfn.MINIFS(Trades!$X$2:$X$1146,Trades!$E$2:$E$1146,$A233)</f>
        <v>-45.32</v>
      </c>
      <c r="L233" s="33" t="n">
        <f aca="false">SUMIFS(Trades!$Y$2:$Y$1146,Trades!$E$2:$E$1146,$A233)</f>
        <v>0.572069268390398</v>
      </c>
      <c r="M233" s="31" t="n">
        <f aca="false">P232</f>
        <v>24154.52</v>
      </c>
      <c r="N233" s="30" t="n">
        <f aca="false">IFERROR(F233/M233,0)</f>
        <v>0.00235152675358484</v>
      </c>
      <c r="O233" s="29" t="str">
        <f aca="false">IF(F233&lt;0,"down week","")</f>
        <v/>
      </c>
      <c r="P233" s="31" t="n">
        <f aca="false">M233+F233</f>
        <v>24211.32</v>
      </c>
      <c r="Q233" s="31" t="n">
        <f aca="false">P233-Summary!$C$5</f>
        <v>14211.32</v>
      </c>
    </row>
    <row r="234" customFormat="false" ht="15" hidden="false" customHeight="false" outlineLevel="0" collapsed="false">
      <c r="A234" s="43" t="n">
        <v>46279</v>
      </c>
      <c r="B234" s="29" t="n">
        <f aca="false">COUNTIFS(Trades!$E$2:$E$1146,$A234)</f>
        <v>5</v>
      </c>
      <c r="C234" s="29" t="n">
        <f aca="false">COUNTIFS(Trades!$E$2:$E$1146,$A234,Trades!$Z$2:$Z$1146,"Win")</f>
        <v>2</v>
      </c>
      <c r="D234" s="29" t="n">
        <f aca="false">COUNTIFS(Trades!$E$2:$E$1146,$A234,Trades!$Z$2:$Z$1146,"Loss")</f>
        <v>3</v>
      </c>
      <c r="E234" s="30" t="n">
        <f aca="false">IFERROR(C234/B234,0)</f>
        <v>0.4</v>
      </c>
      <c r="F234" s="31" t="n">
        <f aca="false">SUMIFS(Trades!$X$2:$X$1146,Trades!$E$2:$E$1146,$A234)</f>
        <v>388.72</v>
      </c>
      <c r="G234" s="31" t="n">
        <f aca="false">SUMIFS(Trades!$X$2:$X$1146,Trades!$E$2:$E$1146,$A234,Trades!$X$2:$X$1146,"&gt;0")</f>
        <v>425.76</v>
      </c>
      <c r="H234" s="31" t="n">
        <f aca="false">SUMIFS(Trades!$X$2:$X$1146,Trades!$E$2:$E$1146,$A234,Trades!$X$2:$X$1146,"&lt;0")</f>
        <v>-37.04</v>
      </c>
      <c r="I234" s="32" t="n">
        <f aca="false">IFERROR(G234/-H234,"no loss")</f>
        <v>11.4946004319654</v>
      </c>
      <c r="J234" s="31" t="n">
        <f aca="false">_xlfn.MAXIFS(Trades!$X$2:$X$1146,Trades!$E$2:$E$1146,$A234)</f>
        <v>351.52</v>
      </c>
      <c r="K234" s="31" t="n">
        <f aca="false">_xlfn.MINIFS(Trades!$X$2:$X$1146,Trades!$E$2:$E$1146,$A234)</f>
        <v>-35.64</v>
      </c>
      <c r="L234" s="33" t="n">
        <f aca="false">SUMIFS(Trades!$Y$2:$Y$1146,Trades!$E$2:$E$1146,$A234)</f>
        <v>4.04006946371062</v>
      </c>
      <c r="M234" s="31" t="n">
        <f aca="false">P233</f>
        <v>24211.32</v>
      </c>
      <c r="N234" s="30" t="n">
        <f aca="false">IFERROR(F234/M234,0)</f>
        <v>0.0160552997523473</v>
      </c>
      <c r="O234" s="29" t="str">
        <f aca="false">IF(F234&lt;0,"down week","")</f>
        <v/>
      </c>
      <c r="P234" s="31" t="n">
        <f aca="false">M234+F234</f>
        <v>24600.04</v>
      </c>
      <c r="Q234" s="31" t="n">
        <f aca="false">P234-Summary!$C$5</f>
        <v>14600.04</v>
      </c>
    </row>
    <row r="235" customFormat="false" ht="15" hidden="false" customHeight="false" outlineLevel="0" collapsed="false">
      <c r="A235" s="43" t="n">
        <v>46286</v>
      </c>
      <c r="B235" s="29" t="n">
        <f aca="false">COUNTIFS(Trades!$E$2:$E$1146,$A235)</f>
        <v>6</v>
      </c>
      <c r="C235" s="29" t="n">
        <f aca="false">COUNTIFS(Trades!$E$2:$E$1146,$A235,Trades!$Z$2:$Z$1146,"Win")</f>
        <v>2</v>
      </c>
      <c r="D235" s="29" t="n">
        <f aca="false">COUNTIFS(Trades!$E$2:$E$1146,$A235,Trades!$Z$2:$Z$1146,"Loss")</f>
        <v>4</v>
      </c>
      <c r="E235" s="30" t="n">
        <f aca="false">IFERROR(C235/B235,0)</f>
        <v>0.333333333333333</v>
      </c>
      <c r="F235" s="31" t="n">
        <f aca="false">SUMIFS(Trades!$X$2:$X$1146,Trades!$E$2:$E$1146,$A235)</f>
        <v>40.21</v>
      </c>
      <c r="G235" s="31" t="n">
        <f aca="false">SUMIFS(Trades!$X$2:$X$1146,Trades!$E$2:$E$1146,$A235,Trades!$X$2:$X$1146,"&gt;0")</f>
        <v>200.92</v>
      </c>
      <c r="H235" s="31" t="n">
        <f aca="false">SUMIFS(Trades!$X$2:$X$1146,Trades!$E$2:$E$1146,$A235,Trades!$X$2:$X$1146,"&lt;0")</f>
        <v>-160.71</v>
      </c>
      <c r="I235" s="32" t="n">
        <f aca="false">IFERROR(G235/-H235,"no loss")</f>
        <v>1.25020222761496</v>
      </c>
      <c r="J235" s="31" t="n">
        <f aca="false">_xlfn.MAXIFS(Trades!$X$2:$X$1146,Trades!$E$2:$E$1146,$A235)</f>
        <v>108.32</v>
      </c>
      <c r="K235" s="31" t="n">
        <f aca="false">_xlfn.MINIFS(Trades!$X$2:$X$1146,Trades!$E$2:$E$1146,$A235)</f>
        <v>-104.88</v>
      </c>
      <c r="L235" s="33" t="n">
        <f aca="false">SUMIFS(Trades!$Y$2:$Y$1146,Trades!$E$2:$E$1146,$A235)</f>
        <v>2.87053085871316</v>
      </c>
      <c r="M235" s="31" t="n">
        <f aca="false">P234</f>
        <v>24600.04</v>
      </c>
      <c r="N235" s="30" t="n">
        <f aca="false">IFERROR(F235/M235,0)</f>
        <v>0.00163455018772327</v>
      </c>
      <c r="O235" s="29" t="str">
        <f aca="false">IF(F235&lt;0,"down week","")</f>
        <v/>
      </c>
      <c r="P235" s="31" t="n">
        <f aca="false">M235+F235</f>
        <v>24640.25</v>
      </c>
      <c r="Q235" s="31" t="n">
        <f aca="false">P235-Summary!$C$5</f>
        <v>14640.25</v>
      </c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customFormat="false" ht="15" hidden="false" customHeight="false" outlineLevel="0" collapsed="false">
      <c r="A237" s="34" t="s">
        <v>141</v>
      </c>
      <c r="B237" s="34" t="n">
        <f aca="false">SUM(B2:B235)</f>
        <v>1145</v>
      </c>
      <c r="C237" s="34" t="n">
        <f aca="false">SUM(C2:C235)</f>
        <v>316</v>
      </c>
      <c r="D237" s="34" t="n">
        <f aca="false">SUM(D2:D235)</f>
        <v>818</v>
      </c>
      <c r="E237" s="35" t="n">
        <f aca="false">IFERROR(C237/B237,0)</f>
        <v>0.275982532751092</v>
      </c>
      <c r="F237" s="36" t="n">
        <f aca="false">SUM(F2:F235)</f>
        <v>14640.25</v>
      </c>
      <c r="G237" s="36" t="n">
        <f aca="false">SUM(G2:G235)</f>
        <v>47333.21</v>
      </c>
      <c r="H237" s="36" t="n">
        <f aca="false">SUM(H2:H235)</f>
        <v>-32692.96</v>
      </c>
      <c r="I237" s="37" t="n">
        <f aca="false">IFERROR(G237/-H237,0)</f>
        <v>1.44781047662861</v>
      </c>
      <c r="J237" s="38"/>
      <c r="K237" s="38"/>
      <c r="L237" s="39" t="n">
        <f aca="false">SUM(L2:L235)</f>
        <v>238.042487423074</v>
      </c>
      <c r="M237" s="38"/>
      <c r="N237" s="35" t="n">
        <f aca="false">IFERROR(F237/M2,0)</f>
        <v>1.464025</v>
      </c>
      <c r="O237" s="38" t="str">
        <f aca="false">COUNTIF(F2:F235,"&gt;0")&amp;" up / "&amp;COUNTIF(F2:F235,"&lt;0")&amp;" down"</f>
        <v>131 up / 103 down</v>
      </c>
      <c r="P237" s="38"/>
      <c r="Q237" s="38"/>
    </row>
  </sheetData>
  <conditionalFormatting sqref="F2:F235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7" min="16" style="0" width="13"/>
    <col collapsed="false" customWidth="true" hidden="false" outlineLevel="0" max="18" min="18" style="0" width="8"/>
  </cols>
  <sheetData>
    <row r="1" customFormat="false" ht="31.5" hidden="false" customHeight="true" outlineLevel="0" collapsed="false">
      <c r="A1" s="27" t="s">
        <v>215</v>
      </c>
      <c r="B1" s="27" t="s">
        <v>7</v>
      </c>
      <c r="C1" s="27" t="s">
        <v>57</v>
      </c>
      <c r="D1" s="27" t="s">
        <v>59</v>
      </c>
      <c r="E1" s="27" t="s">
        <v>62</v>
      </c>
      <c r="F1" s="27" t="s">
        <v>43</v>
      </c>
      <c r="G1" s="27" t="s">
        <v>47</v>
      </c>
      <c r="H1" s="27" t="s">
        <v>49</v>
      </c>
      <c r="I1" s="27" t="s">
        <v>51</v>
      </c>
      <c r="J1" s="27" t="s">
        <v>134</v>
      </c>
      <c r="K1" s="27" t="s">
        <v>135</v>
      </c>
      <c r="L1" s="27" t="s">
        <v>85</v>
      </c>
      <c r="M1" s="27" t="s">
        <v>136</v>
      </c>
      <c r="N1" s="27" t="s">
        <v>137</v>
      </c>
      <c r="O1" s="27" t="s">
        <v>138</v>
      </c>
      <c r="P1" s="27" t="s">
        <v>139</v>
      </c>
      <c r="Q1" s="27" t="s">
        <v>140</v>
      </c>
      <c r="R1" s="10" t="s">
        <v>216</v>
      </c>
    </row>
    <row r="2" customFormat="false" ht="15" hidden="false" customHeight="false" outlineLevel="0" collapsed="false">
      <c r="A2" s="43" t="n">
        <v>44655</v>
      </c>
      <c r="B2" s="29" t="n">
        <f aca="false">COUNTIFS(Trades!$D$2:$D$1146,$A2)</f>
        <v>1</v>
      </c>
      <c r="C2" s="29" t="n">
        <f aca="false">COUNTIFS(Trades!$D$2:$D$1146,$A2,Trades!$Z$2:$Z$1146,"Win")</f>
        <v>1</v>
      </c>
      <c r="D2" s="29" t="n">
        <f aca="false">COUNTIFS(Trades!$D$2:$D$1146,$A2,Trades!$Z$2:$Z$1146,"Loss")</f>
        <v>0</v>
      </c>
      <c r="E2" s="30" t="n">
        <f aca="false">IFERROR(C2/B2,0)</f>
        <v>1</v>
      </c>
      <c r="F2" s="31" t="n">
        <f aca="false">SUMIFS(Trades!$X$2:$X$1146,Trades!$D$2:$D$1146,$A2)</f>
        <v>151.71</v>
      </c>
      <c r="G2" s="31" t="n">
        <f aca="false">SUMIFS(Trades!$X$2:$X$1146,Trades!$D$2:$D$1146,$A2,Trades!$X$2:$X$1146,"&gt;0")</f>
        <v>151.71</v>
      </c>
      <c r="H2" s="31" t="n">
        <f aca="false">SUMIFS(Trades!$X$2:$X$1146,Trades!$D$2:$D$1146,$A2,Trades!$X$2:$X$1146,"&lt;0")</f>
        <v>0</v>
      </c>
      <c r="I2" s="32" t="str">
        <f aca="false">IFERROR(G2/-H2,"no loss")</f>
        <v>no loss</v>
      </c>
      <c r="J2" s="31" t="n">
        <f aca="false">_xlfn.MAXIFS(Trades!$X$2:$X$1146,Trades!$D$2:$D$1146,$A2)</f>
        <v>151.71</v>
      </c>
      <c r="K2" s="31" t="n">
        <f aca="false">_xlfn.MINIFS(Trades!$X$2:$X$1146,Trades!$D$2:$D$1146,$A2)</f>
        <v>151.71</v>
      </c>
      <c r="L2" s="33" t="n">
        <f aca="false">SUMIFS(Trades!$Y$2:$Y$1146,Trades!$D$2:$D$1146,$A2)</f>
        <v>2.23168578993823</v>
      </c>
      <c r="M2" s="31" t="n">
        <f aca="false">Summary!$C$5</f>
        <v>10000</v>
      </c>
      <c r="N2" s="30" t="n">
        <f aca="false">IFERROR(F2/M2,0)</f>
        <v>0.015171</v>
      </c>
      <c r="O2" s="29" t="str">
        <f aca="false">IF(-N2&gt;=Summary!$C$7,"BREACH","")</f>
        <v/>
      </c>
      <c r="P2" s="31" t="n">
        <f aca="false">M2+F2</f>
        <v>10151.71</v>
      </c>
      <c r="Q2" s="31" t="n">
        <f aca="false">P2-Summary!$C$5</f>
        <v>151.709999999999</v>
      </c>
      <c r="R2" s="2" t="str">
        <f aca="false">TEXT(A2,"ddd")</f>
        <v>Mon</v>
      </c>
    </row>
    <row r="3" customFormat="false" ht="15" hidden="false" customHeight="false" outlineLevel="0" collapsed="false">
      <c r="A3" s="43" t="n">
        <v>44656</v>
      </c>
      <c r="B3" s="29" t="n">
        <f aca="false">COUNTIFS(Trades!$D$2:$D$1146,$A3)</f>
        <v>2</v>
      </c>
      <c r="C3" s="29" t="n">
        <f aca="false">COUNTIFS(Trades!$D$2:$D$1146,$A3,Trades!$Z$2:$Z$1146,"Win")</f>
        <v>0</v>
      </c>
      <c r="D3" s="29" t="n">
        <f aca="false">COUNTIFS(Trades!$D$2:$D$1146,$A3,Trades!$Z$2:$Z$1146,"Loss")</f>
        <v>2</v>
      </c>
      <c r="E3" s="30" t="n">
        <f aca="false">IFERROR(C3/B3,0)</f>
        <v>0</v>
      </c>
      <c r="F3" s="31" t="n">
        <f aca="false">SUMIFS(Trades!$X$2:$X$1146,Trades!$D$2:$D$1146,$A3)</f>
        <v>-54</v>
      </c>
      <c r="G3" s="31" t="n">
        <f aca="false">SUMIFS(Trades!$X$2:$X$1146,Trades!$D$2:$D$1146,$A3,Trades!$X$2:$X$1146,"&gt;0")</f>
        <v>0</v>
      </c>
      <c r="H3" s="31" t="n">
        <f aca="false">SUMIFS(Trades!$X$2:$X$1146,Trades!$D$2:$D$1146,$A3,Trades!$X$2:$X$1146,"&lt;0")</f>
        <v>-54</v>
      </c>
      <c r="I3" s="32" t="n">
        <f aca="false">IFERROR(G3/-H3,"no loss")</f>
        <v>0</v>
      </c>
      <c r="J3" s="31" t="n">
        <f aca="false">_xlfn.MAXIFS(Trades!$X$2:$X$1146,Trades!$D$2:$D$1146,$A3)</f>
        <v>-21.93</v>
      </c>
      <c r="K3" s="31" t="n">
        <f aca="false">_xlfn.MINIFS(Trades!$X$2:$X$1146,Trades!$D$2:$D$1146,$A3)</f>
        <v>-32.07</v>
      </c>
      <c r="L3" s="33" t="n">
        <f aca="false">SUMIFS(Trades!$Y$2:$Y$1146,Trades!$D$2:$D$1146,$A3)</f>
        <v>-2.02564590613267</v>
      </c>
      <c r="M3" s="31" t="n">
        <f aca="false">P2</f>
        <v>10151.71</v>
      </c>
      <c r="N3" s="30" t="n">
        <f aca="false">IFERROR(F3/M3,0)</f>
        <v>-0.00531930088625463</v>
      </c>
      <c r="O3" s="29" t="str">
        <f aca="false">IF(-N3&gt;=Summary!$C$7,"BREACH","")</f>
        <v/>
      </c>
      <c r="P3" s="31" t="n">
        <f aca="false">M3+F3</f>
        <v>10097.71</v>
      </c>
      <c r="Q3" s="31" t="n">
        <f aca="false">P3-Summary!$C$5</f>
        <v>97.7099999999991</v>
      </c>
      <c r="R3" s="2" t="str">
        <f aca="false">TEXT(A3,"ddd")</f>
        <v>Tue</v>
      </c>
    </row>
    <row r="4" customFormat="false" ht="15" hidden="false" customHeight="false" outlineLevel="0" collapsed="false">
      <c r="A4" s="43" t="n">
        <v>44657</v>
      </c>
      <c r="B4" s="29" t="n">
        <f aca="false">COUNTIFS(Trades!$D$2:$D$1146,$A4)</f>
        <v>1</v>
      </c>
      <c r="C4" s="29" t="n">
        <f aca="false">COUNTIFS(Trades!$D$2:$D$1146,$A4,Trades!$Z$2:$Z$1146,"Win")</f>
        <v>1</v>
      </c>
      <c r="D4" s="29" t="n">
        <f aca="false">COUNTIFS(Trades!$D$2:$D$1146,$A4,Trades!$Z$2:$Z$1146,"Loss")</f>
        <v>0</v>
      </c>
      <c r="E4" s="30" t="n">
        <f aca="false">IFERROR(C4/B4,0)</f>
        <v>1</v>
      </c>
      <c r="F4" s="31" t="n">
        <f aca="false">SUMIFS(Trades!$X$2:$X$1146,Trades!$D$2:$D$1146,$A4)</f>
        <v>101.22</v>
      </c>
      <c r="G4" s="31" t="n">
        <f aca="false">SUMIFS(Trades!$X$2:$X$1146,Trades!$D$2:$D$1146,$A4,Trades!$X$2:$X$1146,"&gt;0")</f>
        <v>101.22</v>
      </c>
      <c r="H4" s="31" t="n">
        <f aca="false">SUMIFS(Trades!$X$2:$X$1146,Trades!$D$2:$D$1146,$A4,Trades!$X$2:$X$1146,"&lt;0")</f>
        <v>0</v>
      </c>
      <c r="I4" s="32" t="str">
        <f aca="false">IFERROR(G4/-H4,"no loss")</f>
        <v>no loss</v>
      </c>
      <c r="J4" s="31" t="n">
        <f aca="false">_xlfn.MAXIFS(Trades!$X$2:$X$1146,Trades!$D$2:$D$1146,$A4)</f>
        <v>101.22</v>
      </c>
      <c r="K4" s="31" t="n">
        <f aca="false">_xlfn.MINIFS(Trades!$X$2:$X$1146,Trades!$D$2:$D$1146,$A4)</f>
        <v>101.22</v>
      </c>
      <c r="L4" s="33" t="n">
        <f aca="false">SUMIFS(Trades!$Y$2:$Y$1146,Trades!$D$2:$D$1146,$A4)</f>
        <v>2.48270787343632</v>
      </c>
      <c r="M4" s="31" t="n">
        <f aca="false">P3</f>
        <v>10097.71</v>
      </c>
      <c r="N4" s="30" t="n">
        <f aca="false">IFERROR(F4/M4,0)</f>
        <v>0.0100240549589957</v>
      </c>
      <c r="O4" s="29" t="str">
        <f aca="false">IF(-N4&gt;=Summary!$C$7,"BREACH","")</f>
        <v/>
      </c>
      <c r="P4" s="31" t="n">
        <f aca="false">M4+F4</f>
        <v>10198.93</v>
      </c>
      <c r="Q4" s="31" t="n">
        <f aca="false">P4-Summary!$C$5</f>
        <v>198.929999999998</v>
      </c>
      <c r="R4" s="2" t="str">
        <f aca="false">TEXT(A4,"ddd")</f>
        <v>Wed</v>
      </c>
    </row>
    <row r="5" customFormat="false" ht="15" hidden="false" customHeight="false" outlineLevel="0" collapsed="false">
      <c r="A5" s="43" t="n">
        <v>44658</v>
      </c>
      <c r="B5" s="29" t="n">
        <f aca="false">COUNTIFS(Trades!$D$2:$D$1146,$A5)</f>
        <v>1</v>
      </c>
      <c r="C5" s="29" t="n">
        <f aca="false">COUNTIFS(Trades!$D$2:$D$1146,$A5,Trades!$Z$2:$Z$1146,"Win")</f>
        <v>0</v>
      </c>
      <c r="D5" s="29" t="n">
        <f aca="false">COUNTIFS(Trades!$D$2:$D$1146,$A5,Trades!$Z$2:$Z$1146,"Loss")</f>
        <v>1</v>
      </c>
      <c r="E5" s="30" t="n">
        <f aca="false">IFERROR(C5/B5,0)</f>
        <v>0</v>
      </c>
      <c r="F5" s="31" t="n">
        <f aca="false">SUMIFS(Trades!$X$2:$X$1146,Trades!$D$2:$D$1146,$A5)</f>
        <v>-42.3</v>
      </c>
      <c r="G5" s="31" t="n">
        <f aca="false">SUMIFS(Trades!$X$2:$X$1146,Trades!$D$2:$D$1146,$A5,Trades!$X$2:$X$1146,"&gt;0")</f>
        <v>0</v>
      </c>
      <c r="H5" s="31" t="n">
        <f aca="false">SUMIFS(Trades!$X$2:$X$1146,Trades!$D$2:$D$1146,$A5,Trades!$X$2:$X$1146,"&lt;0")</f>
        <v>-42.3</v>
      </c>
      <c r="I5" s="32" t="n">
        <f aca="false">IFERROR(G5/-H5,"no loss")</f>
        <v>0</v>
      </c>
      <c r="J5" s="31" t="n">
        <f aca="false">_xlfn.MAXIFS(Trades!$X$2:$X$1146,Trades!$D$2:$D$1146,$A5)</f>
        <v>-42.3</v>
      </c>
      <c r="K5" s="31" t="n">
        <f aca="false">_xlfn.MINIFS(Trades!$X$2:$X$1146,Trades!$D$2:$D$1146,$A5)</f>
        <v>-42.3</v>
      </c>
      <c r="L5" s="33" t="n">
        <f aca="false">SUMIFS(Trades!$Y$2:$Y$1146,Trades!$D$2:$D$1146,$A5)</f>
        <v>-1.01438848920866</v>
      </c>
      <c r="M5" s="31" t="n">
        <f aca="false">P4</f>
        <v>10198.93</v>
      </c>
      <c r="N5" s="30" t="n">
        <f aca="false">IFERROR(F5/M5,0)</f>
        <v>-0.00414749390377226</v>
      </c>
      <c r="O5" s="29" t="str">
        <f aca="false">IF(-N5&gt;=Summary!$C$7,"BREACH","")</f>
        <v/>
      </c>
      <c r="P5" s="31" t="n">
        <f aca="false">M5+F5</f>
        <v>10156.63</v>
      </c>
      <c r="Q5" s="31" t="n">
        <f aca="false">P5-Summary!$C$5</f>
        <v>156.629999999999</v>
      </c>
      <c r="R5" s="2" t="str">
        <f aca="false">TEXT(A5,"ddd")</f>
        <v>Thu</v>
      </c>
    </row>
    <row r="6" customFormat="false" ht="15" hidden="false" customHeight="false" outlineLevel="0" collapsed="false">
      <c r="A6" s="43" t="n">
        <v>44659</v>
      </c>
      <c r="B6" s="29" t="n">
        <f aca="false">COUNTIFS(Trades!$D$2:$D$1146,$A6)</f>
        <v>2</v>
      </c>
      <c r="C6" s="29" t="n">
        <f aca="false">COUNTIFS(Trades!$D$2:$D$1146,$A6,Trades!$Z$2:$Z$1146,"Win")</f>
        <v>0</v>
      </c>
      <c r="D6" s="29" t="n">
        <f aca="false">COUNTIFS(Trades!$D$2:$D$1146,$A6,Trades!$Z$2:$Z$1146,"Loss")</f>
        <v>2</v>
      </c>
      <c r="E6" s="30" t="n">
        <f aca="false">IFERROR(C6/B6,0)</f>
        <v>0</v>
      </c>
      <c r="F6" s="31" t="n">
        <f aca="false">SUMIFS(Trades!$X$2:$X$1146,Trades!$D$2:$D$1146,$A6)</f>
        <v>-75.21</v>
      </c>
      <c r="G6" s="31" t="n">
        <f aca="false">SUMIFS(Trades!$X$2:$X$1146,Trades!$D$2:$D$1146,$A6,Trades!$X$2:$X$1146,"&gt;0")</f>
        <v>0</v>
      </c>
      <c r="H6" s="31" t="n">
        <f aca="false">SUMIFS(Trades!$X$2:$X$1146,Trades!$D$2:$D$1146,$A6,Trades!$X$2:$X$1146,"&lt;0")</f>
        <v>-75.21</v>
      </c>
      <c r="I6" s="32" t="n">
        <f aca="false">IFERROR(G6/-H6,"no loss")</f>
        <v>0</v>
      </c>
      <c r="J6" s="31" t="n">
        <f aca="false">_xlfn.MAXIFS(Trades!$X$2:$X$1146,Trades!$D$2:$D$1146,$A6)</f>
        <v>-21.78</v>
      </c>
      <c r="K6" s="31" t="n">
        <f aca="false">_xlfn.MINIFS(Trades!$X$2:$X$1146,Trades!$D$2:$D$1146,$A6)</f>
        <v>-53.43</v>
      </c>
      <c r="L6" s="33" t="n">
        <f aca="false">SUMIFS(Trades!$Y$2:$Y$1146,Trades!$D$2:$D$1146,$A6)</f>
        <v>-2.12108883278738</v>
      </c>
      <c r="M6" s="31" t="n">
        <f aca="false">P5</f>
        <v>10156.63</v>
      </c>
      <c r="N6" s="30" t="n">
        <f aca="false">IFERROR(F6/M6,0)</f>
        <v>-0.00740501524619879</v>
      </c>
      <c r="O6" s="29" t="str">
        <f aca="false">IF(-N6&gt;=Summary!$C$7,"BREACH","")</f>
        <v/>
      </c>
      <c r="P6" s="31" t="n">
        <f aca="false">M6+F6</f>
        <v>10081.42</v>
      </c>
      <c r="Q6" s="31" t="n">
        <f aca="false">P6-Summary!$C$5</f>
        <v>81.4200000000001</v>
      </c>
      <c r="R6" s="2" t="str">
        <f aca="false">TEXT(A6,"ddd")</f>
        <v>Fri</v>
      </c>
    </row>
    <row r="7" customFormat="false" ht="15" hidden="false" customHeight="false" outlineLevel="0" collapsed="false">
      <c r="A7" s="43" t="n">
        <v>44662</v>
      </c>
      <c r="B7" s="29" t="n">
        <f aca="false">COUNTIFS(Trades!$D$2:$D$1146,$A7)</f>
        <v>1</v>
      </c>
      <c r="C7" s="29" t="n">
        <f aca="false">COUNTIFS(Trades!$D$2:$D$1146,$A7,Trades!$Z$2:$Z$1146,"Win")</f>
        <v>0</v>
      </c>
      <c r="D7" s="29" t="n">
        <f aca="false">COUNTIFS(Trades!$D$2:$D$1146,$A7,Trades!$Z$2:$Z$1146,"Loss")</f>
        <v>1</v>
      </c>
      <c r="E7" s="30" t="n">
        <f aca="false">IFERROR(C7/B7,0)</f>
        <v>0</v>
      </c>
      <c r="F7" s="31" t="n">
        <f aca="false">SUMIFS(Trades!$X$2:$X$1146,Trades!$D$2:$D$1146,$A7)</f>
        <v>-0.06</v>
      </c>
      <c r="G7" s="31" t="n">
        <f aca="false">SUMIFS(Trades!$X$2:$X$1146,Trades!$D$2:$D$1146,$A7,Trades!$X$2:$X$1146,"&gt;0")</f>
        <v>0</v>
      </c>
      <c r="H7" s="31" t="n">
        <f aca="false">SUMIFS(Trades!$X$2:$X$1146,Trades!$D$2:$D$1146,$A7,Trades!$X$2:$X$1146,"&lt;0")</f>
        <v>-0.06</v>
      </c>
      <c r="I7" s="32" t="n">
        <f aca="false">IFERROR(G7/-H7,"no loss")</f>
        <v>0</v>
      </c>
      <c r="J7" s="31" t="n">
        <f aca="false">_xlfn.MAXIFS(Trades!$X$2:$X$1146,Trades!$D$2:$D$1146,$A7)</f>
        <v>-0.06</v>
      </c>
      <c r="K7" s="31" t="n">
        <f aca="false">_xlfn.MINIFS(Trades!$X$2:$X$1146,Trades!$D$2:$D$1146,$A7)</f>
        <v>-0.06</v>
      </c>
      <c r="L7" s="33" t="n">
        <f aca="false">SUMIFS(Trades!$Y$2:$Y$1146,Trades!$D$2:$D$1146,$A7)</f>
        <v>-0.00171969045571782</v>
      </c>
      <c r="M7" s="31" t="n">
        <f aca="false">P6</f>
        <v>10081.42</v>
      </c>
      <c r="N7" s="30" t="n">
        <f aca="false">IFERROR(F7/M7,0)</f>
        <v>-5.95154254063416E-006</v>
      </c>
      <c r="O7" s="29" t="str">
        <f aca="false">IF(-N7&gt;=Summary!$C$7,"BREACH","")</f>
        <v/>
      </c>
      <c r="P7" s="31" t="n">
        <f aca="false">M7+F7</f>
        <v>10081.36</v>
      </c>
      <c r="Q7" s="31" t="n">
        <f aca="false">P7-Summary!$C$5</f>
        <v>81.3600000000006</v>
      </c>
      <c r="R7" s="2" t="str">
        <f aca="false">TEXT(A7,"ddd")</f>
        <v>Mon</v>
      </c>
    </row>
    <row r="8" customFormat="false" ht="15" hidden="false" customHeight="false" outlineLevel="0" collapsed="false">
      <c r="A8" s="43" t="n">
        <v>44663</v>
      </c>
      <c r="B8" s="29" t="n">
        <f aca="false">COUNTIFS(Trades!$D$2:$D$1146,$A8)</f>
        <v>1</v>
      </c>
      <c r="C8" s="29" t="n">
        <f aca="false">COUNTIFS(Trades!$D$2:$D$1146,$A8,Trades!$Z$2:$Z$1146,"Win")</f>
        <v>0</v>
      </c>
      <c r="D8" s="29" t="n">
        <f aca="false">COUNTIFS(Trades!$D$2:$D$1146,$A8,Trades!$Z$2:$Z$1146,"Loss")</f>
        <v>1</v>
      </c>
      <c r="E8" s="30" t="n">
        <f aca="false">IFERROR(C8/B8,0)</f>
        <v>0</v>
      </c>
      <c r="F8" s="31" t="n">
        <f aca="false">SUMIFS(Trades!$X$2:$X$1146,Trades!$D$2:$D$1146,$A8)</f>
        <v>-0.12</v>
      </c>
      <c r="G8" s="31" t="n">
        <f aca="false">SUMIFS(Trades!$X$2:$X$1146,Trades!$D$2:$D$1146,$A8,Trades!$X$2:$X$1146,"&gt;0")</f>
        <v>0</v>
      </c>
      <c r="H8" s="31" t="n">
        <f aca="false">SUMIFS(Trades!$X$2:$X$1146,Trades!$D$2:$D$1146,$A8,Trades!$X$2:$X$1146,"&lt;0")</f>
        <v>-0.12</v>
      </c>
      <c r="I8" s="32" t="n">
        <f aca="false">IFERROR(G8/-H8,"no loss")</f>
        <v>0</v>
      </c>
      <c r="J8" s="31" t="n">
        <f aca="false">_xlfn.MAXIFS(Trades!$X$2:$X$1146,Trades!$D$2:$D$1146,$A8)</f>
        <v>-0.12</v>
      </c>
      <c r="K8" s="31" t="n">
        <f aca="false">_xlfn.MINIFS(Trades!$X$2:$X$1146,Trades!$D$2:$D$1146,$A8)</f>
        <v>-0.12</v>
      </c>
      <c r="L8" s="33" t="n">
        <f aca="false">SUMIFS(Trades!$Y$2:$Y$1146,Trades!$D$2:$D$1146,$A8)</f>
        <v>-0.00877192982456238</v>
      </c>
      <c r="M8" s="31" t="n">
        <f aca="false">P7</f>
        <v>10081.36</v>
      </c>
      <c r="N8" s="30" t="n">
        <f aca="false">IFERROR(F8/M8,0)</f>
        <v>-1.19031559234072E-005</v>
      </c>
      <c r="O8" s="29" t="str">
        <f aca="false">IF(-N8&gt;=Summary!$C$7,"BREACH","")</f>
        <v/>
      </c>
      <c r="P8" s="31" t="n">
        <f aca="false">M8+F8</f>
        <v>10081.24</v>
      </c>
      <c r="Q8" s="31" t="n">
        <f aca="false">P8-Summary!$C$5</f>
        <v>81.2399999999998</v>
      </c>
      <c r="R8" s="2" t="str">
        <f aca="false">TEXT(A8,"ddd")</f>
        <v>Tue</v>
      </c>
    </row>
    <row r="9" customFormat="false" ht="15" hidden="false" customHeight="false" outlineLevel="0" collapsed="false">
      <c r="A9" s="43" t="n">
        <v>44665</v>
      </c>
      <c r="B9" s="29" t="n">
        <f aca="false">COUNTIFS(Trades!$D$2:$D$1146,$A9)</f>
        <v>2</v>
      </c>
      <c r="C9" s="29" t="n">
        <f aca="false">COUNTIFS(Trades!$D$2:$D$1146,$A9,Trades!$Z$2:$Z$1146,"Win")</f>
        <v>0</v>
      </c>
      <c r="D9" s="29" t="n">
        <f aca="false">COUNTIFS(Trades!$D$2:$D$1146,$A9,Trades!$Z$2:$Z$1146,"Loss")</f>
        <v>2</v>
      </c>
      <c r="E9" s="30" t="n">
        <f aca="false">IFERROR(C9/B9,0)</f>
        <v>0</v>
      </c>
      <c r="F9" s="31" t="n">
        <f aca="false">SUMIFS(Trades!$X$2:$X$1146,Trades!$D$2:$D$1146,$A9)</f>
        <v>-51.06</v>
      </c>
      <c r="G9" s="31" t="n">
        <f aca="false">SUMIFS(Trades!$X$2:$X$1146,Trades!$D$2:$D$1146,$A9,Trades!$X$2:$X$1146,"&gt;0")</f>
        <v>0</v>
      </c>
      <c r="H9" s="31" t="n">
        <f aca="false">SUMIFS(Trades!$X$2:$X$1146,Trades!$D$2:$D$1146,$A9,Trades!$X$2:$X$1146,"&lt;0")</f>
        <v>-51.06</v>
      </c>
      <c r="I9" s="32" t="n">
        <f aca="false">IFERROR(G9/-H9,"no loss")</f>
        <v>0</v>
      </c>
      <c r="J9" s="31" t="n">
        <f aca="false">_xlfn.MAXIFS(Trades!$X$2:$X$1146,Trades!$D$2:$D$1146,$A9)</f>
        <v>-18.81</v>
      </c>
      <c r="K9" s="31" t="n">
        <f aca="false">_xlfn.MINIFS(Trades!$X$2:$X$1146,Trades!$D$2:$D$1146,$A9)</f>
        <v>-32.25</v>
      </c>
      <c r="L9" s="33" t="n">
        <f aca="false">SUMIFS(Trades!$Y$2:$Y$1146,Trades!$D$2:$D$1146,$A9)</f>
        <v>-2.16262210012223</v>
      </c>
      <c r="M9" s="31" t="n">
        <f aca="false">P8</f>
        <v>10081.24</v>
      </c>
      <c r="N9" s="30" t="n">
        <f aca="false">IFERROR(F9/M9,0)</f>
        <v>-0.00506485313314632</v>
      </c>
      <c r="O9" s="29" t="str">
        <f aca="false">IF(-N9&gt;=Summary!$C$7,"BREACH","")</f>
        <v/>
      </c>
      <c r="P9" s="31" t="n">
        <f aca="false">M9+F9</f>
        <v>10030.18</v>
      </c>
      <c r="Q9" s="31" t="n">
        <f aca="false">P9-Summary!$C$5</f>
        <v>30.1800000000003</v>
      </c>
      <c r="R9" s="2" t="str">
        <f aca="false">TEXT(A9,"ddd")</f>
        <v>Thu</v>
      </c>
    </row>
    <row r="10" customFormat="false" ht="15" hidden="false" customHeight="false" outlineLevel="0" collapsed="false">
      <c r="A10" s="43" t="n">
        <v>44669</v>
      </c>
      <c r="B10" s="29" t="n">
        <f aca="false">COUNTIFS(Trades!$D$2:$D$1146,$A10)</f>
        <v>1</v>
      </c>
      <c r="C10" s="29" t="n">
        <f aca="false">COUNTIFS(Trades!$D$2:$D$1146,$A10,Trades!$Z$2:$Z$1146,"Win")</f>
        <v>1</v>
      </c>
      <c r="D10" s="29" t="n">
        <f aca="false">COUNTIFS(Trades!$D$2:$D$1146,$A10,Trades!$Z$2:$Z$1146,"Loss")</f>
        <v>0</v>
      </c>
      <c r="E10" s="30" t="n">
        <f aca="false">IFERROR(C10/B10,0)</f>
        <v>1</v>
      </c>
      <c r="F10" s="31" t="n">
        <f aca="false">SUMIFS(Trades!$X$2:$X$1146,Trades!$D$2:$D$1146,$A10)</f>
        <v>74.01</v>
      </c>
      <c r="G10" s="31" t="n">
        <f aca="false">SUMIFS(Trades!$X$2:$X$1146,Trades!$D$2:$D$1146,$A10,Trades!$X$2:$X$1146,"&gt;0")</f>
        <v>74.01</v>
      </c>
      <c r="H10" s="31" t="n">
        <f aca="false">SUMIFS(Trades!$X$2:$X$1146,Trades!$D$2:$D$1146,$A10,Trades!$X$2:$X$1146,"&lt;0")</f>
        <v>0</v>
      </c>
      <c r="I10" s="32" t="str">
        <f aca="false">IFERROR(G10/-H10,"no loss")</f>
        <v>no loss</v>
      </c>
      <c r="J10" s="31" t="n">
        <f aca="false">_xlfn.MAXIFS(Trades!$X$2:$X$1146,Trades!$D$2:$D$1146,$A10)</f>
        <v>74.01</v>
      </c>
      <c r="K10" s="31" t="n">
        <f aca="false">_xlfn.MINIFS(Trades!$X$2:$X$1146,Trades!$D$2:$D$1146,$A10)</f>
        <v>74.01</v>
      </c>
      <c r="L10" s="33" t="n">
        <f aca="false">SUMIFS(Trades!$Y$2:$Y$1146,Trades!$D$2:$D$1146,$A10)</f>
        <v>2.61334745762698</v>
      </c>
      <c r="M10" s="31" t="n">
        <f aca="false">P9</f>
        <v>10030.18</v>
      </c>
      <c r="N10" s="30" t="n">
        <f aca="false">IFERROR(F10/M10,0)</f>
        <v>0.00737873098987257</v>
      </c>
      <c r="O10" s="29" t="str">
        <f aca="false">IF(-N10&gt;=Summary!$C$7,"BREACH","")</f>
        <v/>
      </c>
      <c r="P10" s="31" t="n">
        <f aca="false">M10+F10</f>
        <v>10104.19</v>
      </c>
      <c r="Q10" s="31" t="n">
        <f aca="false">P10-Summary!$C$5</f>
        <v>104.190000000001</v>
      </c>
      <c r="R10" s="2" t="str">
        <f aca="false">TEXT(A10,"ddd")</f>
        <v>Mon</v>
      </c>
    </row>
    <row r="11" customFormat="false" ht="15" hidden="false" customHeight="false" outlineLevel="0" collapsed="false">
      <c r="A11" s="43" t="n">
        <v>44670</v>
      </c>
      <c r="B11" s="29" t="n">
        <f aca="false">COUNTIFS(Trades!$D$2:$D$1146,$A11)</f>
        <v>1</v>
      </c>
      <c r="C11" s="29" t="n">
        <f aca="false">COUNTIFS(Trades!$D$2:$D$1146,$A11,Trades!$Z$2:$Z$1146,"Win")</f>
        <v>0</v>
      </c>
      <c r="D11" s="29" t="n">
        <f aca="false">COUNTIFS(Trades!$D$2:$D$1146,$A11,Trades!$Z$2:$Z$1146,"Loss")</f>
        <v>1</v>
      </c>
      <c r="E11" s="30" t="n">
        <f aca="false">IFERROR(C11/B11,0)</f>
        <v>0</v>
      </c>
      <c r="F11" s="31" t="n">
        <f aca="false">SUMIFS(Trades!$X$2:$X$1146,Trades!$D$2:$D$1146,$A11)</f>
        <v>-20.64</v>
      </c>
      <c r="G11" s="31" t="n">
        <f aca="false">SUMIFS(Trades!$X$2:$X$1146,Trades!$D$2:$D$1146,$A11,Trades!$X$2:$X$1146,"&gt;0")</f>
        <v>0</v>
      </c>
      <c r="H11" s="31" t="n">
        <f aca="false">SUMIFS(Trades!$X$2:$X$1146,Trades!$D$2:$D$1146,$A11,Trades!$X$2:$X$1146,"&lt;0")</f>
        <v>-20.64</v>
      </c>
      <c r="I11" s="32" t="n">
        <f aca="false">IFERROR(G11/-H11,"no loss")</f>
        <v>0</v>
      </c>
      <c r="J11" s="31" t="n">
        <f aca="false">_xlfn.MAXIFS(Trades!$X$2:$X$1146,Trades!$D$2:$D$1146,$A11)</f>
        <v>-20.64</v>
      </c>
      <c r="K11" s="31" t="n">
        <f aca="false">_xlfn.MINIFS(Trades!$X$2:$X$1146,Trades!$D$2:$D$1146,$A11)</f>
        <v>-20.64</v>
      </c>
      <c r="L11" s="33" t="n">
        <f aca="false">SUMIFS(Trades!$Y$2:$Y$1146,Trades!$D$2:$D$1146,$A11)</f>
        <v>-1.00291545189496</v>
      </c>
      <c r="M11" s="31" t="n">
        <f aca="false">P10</f>
        <v>10104.19</v>
      </c>
      <c r="N11" s="30" t="n">
        <f aca="false">IFERROR(F11/M11,0)</f>
        <v>-0.00204271693228255</v>
      </c>
      <c r="O11" s="29" t="str">
        <f aca="false">IF(-N11&gt;=Summary!$C$7,"BREACH","")</f>
        <v/>
      </c>
      <c r="P11" s="31" t="n">
        <f aca="false">M11+F11</f>
        <v>10083.55</v>
      </c>
      <c r="Q11" s="31" t="n">
        <f aca="false">P11-Summary!$C$5</f>
        <v>83.5500000000011</v>
      </c>
      <c r="R11" s="2" t="str">
        <f aca="false">TEXT(A11,"ddd")</f>
        <v>Tue</v>
      </c>
    </row>
    <row r="12" customFormat="false" ht="15" hidden="false" customHeight="false" outlineLevel="0" collapsed="false">
      <c r="A12" s="43" t="n">
        <v>44671</v>
      </c>
      <c r="B12" s="29" t="n">
        <f aca="false">COUNTIFS(Trades!$D$2:$D$1146,$A12)</f>
        <v>1</v>
      </c>
      <c r="C12" s="29" t="n">
        <f aca="false">COUNTIFS(Trades!$D$2:$D$1146,$A12,Trades!$Z$2:$Z$1146,"Win")</f>
        <v>1</v>
      </c>
      <c r="D12" s="29" t="n">
        <f aca="false">COUNTIFS(Trades!$D$2:$D$1146,$A12,Trades!$Z$2:$Z$1146,"Loss")</f>
        <v>0</v>
      </c>
      <c r="E12" s="30" t="n">
        <f aca="false">IFERROR(C12/B12,0)</f>
        <v>1</v>
      </c>
      <c r="F12" s="31" t="n">
        <f aca="false">SUMIFS(Trades!$X$2:$X$1146,Trades!$D$2:$D$1146,$A12)</f>
        <v>109.68</v>
      </c>
      <c r="G12" s="31" t="n">
        <f aca="false">SUMIFS(Trades!$X$2:$X$1146,Trades!$D$2:$D$1146,$A12,Trades!$X$2:$X$1146,"&gt;0")</f>
        <v>109.68</v>
      </c>
      <c r="H12" s="31" t="n">
        <f aca="false">SUMIFS(Trades!$X$2:$X$1146,Trades!$D$2:$D$1146,$A12,Trades!$X$2:$X$1146,"&lt;0")</f>
        <v>0</v>
      </c>
      <c r="I12" s="32" t="str">
        <f aca="false">IFERROR(G12/-H12,"no loss")</f>
        <v>no loss</v>
      </c>
      <c r="J12" s="31" t="n">
        <f aca="false">_xlfn.MAXIFS(Trades!$X$2:$X$1146,Trades!$D$2:$D$1146,$A12)</f>
        <v>109.68</v>
      </c>
      <c r="K12" s="31" t="n">
        <f aca="false">_xlfn.MINIFS(Trades!$X$2:$X$1146,Trades!$D$2:$D$1146,$A12)</f>
        <v>109.68</v>
      </c>
      <c r="L12" s="33" t="n">
        <f aca="false">SUMIFS(Trades!$Y$2:$Y$1146,Trades!$D$2:$D$1146,$A12)</f>
        <v>2.92246203037565</v>
      </c>
      <c r="M12" s="31" t="n">
        <f aca="false">P11</f>
        <v>10083.55</v>
      </c>
      <c r="N12" s="30" t="n">
        <f aca="false">IFERROR(F12/M12,0)</f>
        <v>0.0108771216486257</v>
      </c>
      <c r="O12" s="29" t="str">
        <f aca="false">IF(-N12&gt;=Summary!$C$7,"BREACH","")</f>
        <v/>
      </c>
      <c r="P12" s="31" t="n">
        <f aca="false">M12+F12</f>
        <v>10193.23</v>
      </c>
      <c r="Q12" s="31" t="n">
        <f aca="false">P12-Summary!$C$5</f>
        <v>193.230000000001</v>
      </c>
      <c r="R12" s="2" t="str">
        <f aca="false">TEXT(A12,"ddd")</f>
        <v>Wed</v>
      </c>
    </row>
    <row r="13" customFormat="false" ht="15" hidden="false" customHeight="false" outlineLevel="0" collapsed="false">
      <c r="A13" s="43" t="n">
        <v>44672</v>
      </c>
      <c r="B13" s="29" t="n">
        <f aca="false">COUNTIFS(Trades!$D$2:$D$1146,$A13)</f>
        <v>1</v>
      </c>
      <c r="C13" s="29" t="n">
        <f aca="false">COUNTIFS(Trades!$D$2:$D$1146,$A13,Trades!$Z$2:$Z$1146,"Win")</f>
        <v>0</v>
      </c>
      <c r="D13" s="29" t="n">
        <f aca="false">COUNTIFS(Trades!$D$2:$D$1146,$A13,Trades!$Z$2:$Z$1146,"Loss")</f>
        <v>1</v>
      </c>
      <c r="E13" s="30" t="n">
        <f aca="false">IFERROR(C13/B13,0)</f>
        <v>0</v>
      </c>
      <c r="F13" s="31" t="n">
        <f aca="false">SUMIFS(Trades!$X$2:$X$1146,Trades!$D$2:$D$1146,$A13)</f>
        <v>-44.79</v>
      </c>
      <c r="G13" s="31" t="n">
        <f aca="false">SUMIFS(Trades!$X$2:$X$1146,Trades!$D$2:$D$1146,$A13,Trades!$X$2:$X$1146,"&gt;0")</f>
        <v>0</v>
      </c>
      <c r="H13" s="31" t="n">
        <f aca="false">SUMIFS(Trades!$X$2:$X$1146,Trades!$D$2:$D$1146,$A13,Trades!$X$2:$X$1146,"&lt;0")</f>
        <v>-44.79</v>
      </c>
      <c r="I13" s="32" t="n">
        <f aca="false">IFERROR(G13/-H13,"no loss")</f>
        <v>0</v>
      </c>
      <c r="J13" s="31" t="n">
        <f aca="false">_xlfn.MAXIFS(Trades!$X$2:$X$1146,Trades!$D$2:$D$1146,$A13)</f>
        <v>-44.79</v>
      </c>
      <c r="K13" s="31" t="n">
        <f aca="false">_xlfn.MINIFS(Trades!$X$2:$X$1146,Trades!$D$2:$D$1146,$A13)</f>
        <v>-44.79</v>
      </c>
      <c r="L13" s="33" t="n">
        <f aca="false">SUMIFS(Trades!$Y$2:$Y$1146,Trades!$D$2:$D$1146,$A13)</f>
        <v>-1.00538720538718</v>
      </c>
      <c r="M13" s="31" t="n">
        <f aca="false">P12</f>
        <v>10193.23</v>
      </c>
      <c r="N13" s="30" t="n">
        <f aca="false">IFERROR(F13/M13,0)</f>
        <v>-0.00439409294208018</v>
      </c>
      <c r="O13" s="29" t="str">
        <f aca="false">IF(-N13&gt;=Summary!$C$7,"BREACH","")</f>
        <v/>
      </c>
      <c r="P13" s="31" t="n">
        <f aca="false">M13+F13</f>
        <v>10148.44</v>
      </c>
      <c r="Q13" s="31" t="n">
        <f aca="false">P13-Summary!$C$5</f>
        <v>148.440000000001</v>
      </c>
      <c r="R13" s="2" t="str">
        <f aca="false">TEXT(A13,"ddd")</f>
        <v>Thu</v>
      </c>
    </row>
    <row r="14" customFormat="false" ht="15" hidden="false" customHeight="false" outlineLevel="0" collapsed="false">
      <c r="A14" s="43" t="n">
        <v>44673</v>
      </c>
      <c r="B14" s="29" t="n">
        <f aca="false">COUNTIFS(Trades!$D$2:$D$1146,$A14)</f>
        <v>1</v>
      </c>
      <c r="C14" s="29" t="n">
        <f aca="false">COUNTIFS(Trades!$D$2:$D$1146,$A14,Trades!$Z$2:$Z$1146,"Win")</f>
        <v>1</v>
      </c>
      <c r="D14" s="29" t="n">
        <f aca="false">COUNTIFS(Trades!$D$2:$D$1146,$A14,Trades!$Z$2:$Z$1146,"Loss")</f>
        <v>0</v>
      </c>
      <c r="E14" s="30" t="n">
        <f aca="false">IFERROR(C14/B14,0)</f>
        <v>1</v>
      </c>
      <c r="F14" s="31" t="n">
        <f aca="false">SUMIFS(Trades!$X$2:$X$1146,Trades!$D$2:$D$1146,$A14)</f>
        <v>63.63</v>
      </c>
      <c r="G14" s="31" t="n">
        <f aca="false">SUMIFS(Trades!$X$2:$X$1146,Trades!$D$2:$D$1146,$A14,Trades!$X$2:$X$1146,"&gt;0")</f>
        <v>63.63</v>
      </c>
      <c r="H14" s="31" t="n">
        <f aca="false">SUMIFS(Trades!$X$2:$X$1146,Trades!$D$2:$D$1146,$A14,Trades!$X$2:$X$1146,"&lt;0")</f>
        <v>0</v>
      </c>
      <c r="I14" s="32" t="str">
        <f aca="false">IFERROR(G14/-H14,"no loss")</f>
        <v>no loss</v>
      </c>
      <c r="J14" s="31" t="n">
        <f aca="false">_xlfn.MAXIFS(Trades!$X$2:$X$1146,Trades!$D$2:$D$1146,$A14)</f>
        <v>63.63</v>
      </c>
      <c r="K14" s="31" t="n">
        <f aca="false">_xlfn.MINIFS(Trades!$X$2:$X$1146,Trades!$D$2:$D$1146,$A14)</f>
        <v>63.63</v>
      </c>
      <c r="L14" s="33" t="n">
        <f aca="false">SUMIFS(Trades!$Y$2:$Y$1146,Trades!$D$2:$D$1146,$A14)</f>
        <v>2.46055684454734</v>
      </c>
      <c r="M14" s="31" t="n">
        <f aca="false">P13</f>
        <v>10148.44</v>
      </c>
      <c r="N14" s="30" t="n">
        <f aca="false">IFERROR(F14/M14,0)</f>
        <v>0.00626992917138004</v>
      </c>
      <c r="O14" s="29" t="str">
        <f aca="false">IF(-N14&gt;=Summary!$C$7,"BREACH","")</f>
        <v/>
      </c>
      <c r="P14" s="31" t="n">
        <f aca="false">M14+F14</f>
        <v>10212.07</v>
      </c>
      <c r="Q14" s="31" t="n">
        <f aca="false">P14-Summary!$C$5</f>
        <v>212.07</v>
      </c>
      <c r="R14" s="2" t="str">
        <f aca="false">TEXT(A14,"ddd")</f>
        <v>Fri</v>
      </c>
    </row>
    <row r="15" customFormat="false" ht="15" hidden="false" customHeight="false" outlineLevel="0" collapsed="false">
      <c r="A15" s="43" t="n">
        <v>44676</v>
      </c>
      <c r="B15" s="29" t="n">
        <f aca="false">COUNTIFS(Trades!$D$2:$D$1146,$A15)</f>
        <v>1</v>
      </c>
      <c r="C15" s="29" t="n">
        <f aca="false">COUNTIFS(Trades!$D$2:$D$1146,$A15,Trades!$Z$2:$Z$1146,"Win")</f>
        <v>0</v>
      </c>
      <c r="D15" s="29" t="n">
        <f aca="false">COUNTIFS(Trades!$D$2:$D$1146,$A15,Trades!$Z$2:$Z$1146,"Loss")</f>
        <v>1</v>
      </c>
      <c r="E15" s="30" t="n">
        <f aca="false">IFERROR(C15/B15,0)</f>
        <v>0</v>
      </c>
      <c r="F15" s="31" t="n">
        <f aca="false">SUMIFS(Trades!$X$2:$X$1146,Trades!$D$2:$D$1146,$A15)</f>
        <v>-50.13</v>
      </c>
      <c r="G15" s="31" t="n">
        <f aca="false">SUMIFS(Trades!$X$2:$X$1146,Trades!$D$2:$D$1146,$A15,Trades!$X$2:$X$1146,"&gt;0")</f>
        <v>0</v>
      </c>
      <c r="H15" s="31" t="n">
        <f aca="false">SUMIFS(Trades!$X$2:$X$1146,Trades!$D$2:$D$1146,$A15,Trades!$X$2:$X$1146,"&lt;0")</f>
        <v>-50.13</v>
      </c>
      <c r="I15" s="32" t="n">
        <f aca="false">IFERROR(G15/-H15,"no loss")</f>
        <v>0</v>
      </c>
      <c r="J15" s="31" t="n">
        <f aca="false">_xlfn.MAXIFS(Trades!$X$2:$X$1146,Trades!$D$2:$D$1146,$A15)</f>
        <v>-50.13</v>
      </c>
      <c r="K15" s="31" t="n">
        <f aca="false">_xlfn.MINIFS(Trades!$X$2:$X$1146,Trades!$D$2:$D$1146,$A15)</f>
        <v>-50.13</v>
      </c>
      <c r="L15" s="33" t="n">
        <f aca="false">SUMIFS(Trades!$Y$2:$Y$1146,Trades!$D$2:$D$1146,$A15)</f>
        <v>-1.00119832234868</v>
      </c>
      <c r="M15" s="31" t="n">
        <f aca="false">P14</f>
        <v>10212.07</v>
      </c>
      <c r="N15" s="30" t="n">
        <f aca="false">IFERROR(F15/M15,0)</f>
        <v>-0.00490889702087824</v>
      </c>
      <c r="O15" s="29" t="str">
        <f aca="false">IF(-N15&gt;=Summary!$C$7,"BREACH","")</f>
        <v/>
      </c>
      <c r="P15" s="31" t="n">
        <f aca="false">M15+F15</f>
        <v>10161.94</v>
      </c>
      <c r="Q15" s="31" t="n">
        <f aca="false">P15-Summary!$C$5</f>
        <v>161.940000000001</v>
      </c>
      <c r="R15" s="2" t="str">
        <f aca="false">TEXT(A15,"ddd")</f>
        <v>Mon</v>
      </c>
    </row>
    <row r="16" customFormat="false" ht="15" hidden="false" customHeight="false" outlineLevel="0" collapsed="false">
      <c r="A16" s="43" t="n">
        <v>44677</v>
      </c>
      <c r="B16" s="29" t="n">
        <f aca="false">COUNTIFS(Trades!$D$2:$D$1146,$A16)</f>
        <v>2</v>
      </c>
      <c r="C16" s="29" t="n">
        <f aca="false">COUNTIFS(Trades!$D$2:$D$1146,$A16,Trades!$Z$2:$Z$1146,"Win")</f>
        <v>0</v>
      </c>
      <c r="D16" s="29" t="n">
        <f aca="false">COUNTIFS(Trades!$D$2:$D$1146,$A16,Trades!$Z$2:$Z$1146,"Loss")</f>
        <v>2</v>
      </c>
      <c r="E16" s="30" t="n">
        <f aca="false">IFERROR(C16/B16,0)</f>
        <v>0</v>
      </c>
      <c r="F16" s="31" t="n">
        <f aca="false">SUMIFS(Trades!$X$2:$X$1146,Trades!$D$2:$D$1146,$A16)</f>
        <v>-85.77</v>
      </c>
      <c r="G16" s="31" t="n">
        <f aca="false">SUMIFS(Trades!$X$2:$X$1146,Trades!$D$2:$D$1146,$A16,Trades!$X$2:$X$1146,"&gt;0")</f>
        <v>0</v>
      </c>
      <c r="H16" s="31" t="n">
        <f aca="false">SUMIFS(Trades!$X$2:$X$1146,Trades!$D$2:$D$1146,$A16,Trades!$X$2:$X$1146,"&lt;0")</f>
        <v>-85.77</v>
      </c>
      <c r="I16" s="32" t="n">
        <f aca="false">IFERROR(G16/-H16,"no loss")</f>
        <v>0</v>
      </c>
      <c r="J16" s="31" t="n">
        <f aca="false">_xlfn.MAXIFS(Trades!$X$2:$X$1146,Trades!$D$2:$D$1146,$A16)</f>
        <v>-10.68</v>
      </c>
      <c r="K16" s="31" t="n">
        <f aca="false">_xlfn.MINIFS(Trades!$X$2:$X$1146,Trades!$D$2:$D$1146,$A16)</f>
        <v>-75.09</v>
      </c>
      <c r="L16" s="33" t="n">
        <f aca="false">SUMIFS(Trades!$Y$2:$Y$1146,Trades!$D$2:$D$1146,$A16)</f>
        <v>-2.01983124101475</v>
      </c>
      <c r="M16" s="31" t="n">
        <f aca="false">P15</f>
        <v>10161.94</v>
      </c>
      <c r="N16" s="30" t="n">
        <f aca="false">IFERROR(F16/M16,0)</f>
        <v>-0.00844031749843042</v>
      </c>
      <c r="O16" s="29" t="str">
        <f aca="false">IF(-N16&gt;=Summary!$C$7,"BREACH","")</f>
        <v/>
      </c>
      <c r="P16" s="31" t="n">
        <f aca="false">M16+F16</f>
        <v>10076.17</v>
      </c>
      <c r="Q16" s="31" t="n">
        <f aca="false">P16-Summary!$C$5</f>
        <v>76.1700000000001</v>
      </c>
      <c r="R16" s="2" t="str">
        <f aca="false">TEXT(A16,"ddd")</f>
        <v>Tue</v>
      </c>
    </row>
    <row r="17" customFormat="false" ht="15" hidden="false" customHeight="false" outlineLevel="0" collapsed="false">
      <c r="A17" s="43" t="n">
        <v>44679</v>
      </c>
      <c r="B17" s="29" t="n">
        <f aca="false">COUNTIFS(Trades!$D$2:$D$1146,$A17)</f>
        <v>1</v>
      </c>
      <c r="C17" s="29" t="n">
        <f aca="false">COUNTIFS(Trades!$D$2:$D$1146,$A17,Trades!$Z$2:$Z$1146,"Win")</f>
        <v>0</v>
      </c>
      <c r="D17" s="29" t="n">
        <f aca="false">COUNTIFS(Trades!$D$2:$D$1146,$A17,Trades!$Z$2:$Z$1146,"Loss")</f>
        <v>1</v>
      </c>
      <c r="E17" s="30" t="n">
        <f aca="false">IFERROR(C17/B17,0)</f>
        <v>0</v>
      </c>
      <c r="F17" s="31" t="n">
        <f aca="false">SUMIFS(Trades!$X$2:$X$1146,Trades!$D$2:$D$1146,$A17)</f>
        <v>-44.4</v>
      </c>
      <c r="G17" s="31" t="n">
        <f aca="false">SUMIFS(Trades!$X$2:$X$1146,Trades!$D$2:$D$1146,$A17,Trades!$X$2:$X$1146,"&gt;0")</f>
        <v>0</v>
      </c>
      <c r="H17" s="31" t="n">
        <f aca="false">SUMIFS(Trades!$X$2:$X$1146,Trades!$D$2:$D$1146,$A17,Trades!$X$2:$X$1146,"&lt;0")</f>
        <v>-44.4</v>
      </c>
      <c r="I17" s="32" t="n">
        <f aca="false">IFERROR(G17/-H17,"no loss")</f>
        <v>0</v>
      </c>
      <c r="J17" s="31" t="n">
        <f aca="false">_xlfn.MAXIFS(Trades!$X$2:$X$1146,Trades!$D$2:$D$1146,$A17)</f>
        <v>-44.4</v>
      </c>
      <c r="K17" s="31" t="n">
        <f aca="false">_xlfn.MINIFS(Trades!$X$2:$X$1146,Trades!$D$2:$D$1146,$A17)</f>
        <v>-44.4</v>
      </c>
      <c r="L17" s="33" t="n">
        <f aca="false">SUMIFS(Trades!$Y$2:$Y$1146,Trades!$D$2:$D$1146,$A17)</f>
        <v>-1.00338983050847</v>
      </c>
      <c r="M17" s="31" t="n">
        <f aca="false">P16</f>
        <v>10076.17</v>
      </c>
      <c r="N17" s="30" t="n">
        <f aca="false">IFERROR(F17/M17,0)</f>
        <v>-0.00440643617565007</v>
      </c>
      <c r="O17" s="29" t="str">
        <f aca="false">IF(-N17&gt;=Summary!$C$7,"BREACH","")</f>
        <v/>
      </c>
      <c r="P17" s="31" t="n">
        <f aca="false">M17+F17</f>
        <v>10031.77</v>
      </c>
      <c r="Q17" s="31" t="n">
        <f aca="false">P17-Summary!$C$5</f>
        <v>31.7700000000004</v>
      </c>
      <c r="R17" s="2" t="str">
        <f aca="false">TEXT(A17,"ddd")</f>
        <v>Thu</v>
      </c>
    </row>
    <row r="18" customFormat="false" ht="15" hidden="false" customHeight="false" outlineLevel="0" collapsed="false">
      <c r="A18" s="43" t="n">
        <v>44680</v>
      </c>
      <c r="B18" s="29" t="n">
        <f aca="false">COUNTIFS(Trades!$D$2:$D$1146,$A18)</f>
        <v>1</v>
      </c>
      <c r="C18" s="29" t="n">
        <f aca="false">COUNTIFS(Trades!$D$2:$D$1146,$A18,Trades!$Z$2:$Z$1146,"Win")</f>
        <v>0</v>
      </c>
      <c r="D18" s="29" t="n">
        <f aca="false">COUNTIFS(Trades!$D$2:$D$1146,$A18,Trades!$Z$2:$Z$1146,"Loss")</f>
        <v>1</v>
      </c>
      <c r="E18" s="30" t="n">
        <f aca="false">IFERROR(C18/B18,0)</f>
        <v>0</v>
      </c>
      <c r="F18" s="31" t="n">
        <f aca="false">SUMIFS(Trades!$X$2:$X$1146,Trades!$D$2:$D$1146,$A18)</f>
        <v>-0.33</v>
      </c>
      <c r="G18" s="31" t="n">
        <f aca="false">SUMIFS(Trades!$X$2:$X$1146,Trades!$D$2:$D$1146,$A18,Trades!$X$2:$X$1146,"&gt;0")</f>
        <v>0</v>
      </c>
      <c r="H18" s="31" t="n">
        <f aca="false">SUMIFS(Trades!$X$2:$X$1146,Trades!$D$2:$D$1146,$A18,Trades!$X$2:$X$1146,"&lt;0")</f>
        <v>-0.33</v>
      </c>
      <c r="I18" s="32" t="n">
        <f aca="false">IFERROR(G18/-H18,"no loss")</f>
        <v>0</v>
      </c>
      <c r="J18" s="31" t="n">
        <f aca="false">_xlfn.MAXIFS(Trades!$X$2:$X$1146,Trades!$D$2:$D$1146,$A18)</f>
        <v>-0.33</v>
      </c>
      <c r="K18" s="31" t="n">
        <f aca="false">_xlfn.MINIFS(Trades!$X$2:$X$1146,Trades!$D$2:$D$1146,$A18)</f>
        <v>-0.33</v>
      </c>
      <c r="L18" s="33" t="n">
        <f aca="false">SUMIFS(Trades!$Y$2:$Y$1146,Trades!$D$2:$D$1146,$A18)</f>
        <v>-0.0101663585951944</v>
      </c>
      <c r="M18" s="31" t="n">
        <f aca="false">P17</f>
        <v>10031.77</v>
      </c>
      <c r="N18" s="30" t="n">
        <f aca="false">IFERROR(F18/M18,0)</f>
        <v>-3.28954910250135E-005</v>
      </c>
      <c r="O18" s="29" t="str">
        <f aca="false">IF(-N18&gt;=Summary!$C$7,"BREACH","")</f>
        <v/>
      </c>
      <c r="P18" s="31" t="n">
        <f aca="false">M18+F18</f>
        <v>10031.44</v>
      </c>
      <c r="Q18" s="31" t="n">
        <f aca="false">P18-Summary!$C$5</f>
        <v>31.4400000000005</v>
      </c>
      <c r="R18" s="2" t="str">
        <f aca="false">TEXT(A18,"ddd")</f>
        <v>Fri</v>
      </c>
    </row>
    <row r="19" customFormat="false" ht="15" hidden="false" customHeight="false" outlineLevel="0" collapsed="false">
      <c r="A19" s="43" t="n">
        <v>44683</v>
      </c>
      <c r="B19" s="29" t="n">
        <f aca="false">COUNTIFS(Trades!$D$2:$D$1146,$A19)</f>
        <v>1</v>
      </c>
      <c r="C19" s="29" t="n">
        <f aca="false">COUNTIFS(Trades!$D$2:$D$1146,$A19,Trades!$Z$2:$Z$1146,"Win")</f>
        <v>0</v>
      </c>
      <c r="D19" s="29" t="n">
        <f aca="false">COUNTIFS(Trades!$D$2:$D$1146,$A19,Trades!$Z$2:$Z$1146,"Loss")</f>
        <v>1</v>
      </c>
      <c r="E19" s="30" t="n">
        <f aca="false">IFERROR(C19/B19,0)</f>
        <v>0</v>
      </c>
      <c r="F19" s="31" t="n">
        <f aca="false">SUMIFS(Trades!$X$2:$X$1146,Trades!$D$2:$D$1146,$A19)</f>
        <v>-0.12</v>
      </c>
      <c r="G19" s="31" t="n">
        <f aca="false">SUMIFS(Trades!$X$2:$X$1146,Trades!$D$2:$D$1146,$A19,Trades!$X$2:$X$1146,"&gt;0")</f>
        <v>0</v>
      </c>
      <c r="H19" s="31" t="n">
        <f aca="false">SUMIFS(Trades!$X$2:$X$1146,Trades!$D$2:$D$1146,$A19,Trades!$X$2:$X$1146,"&lt;0")</f>
        <v>-0.12</v>
      </c>
      <c r="I19" s="32" t="n">
        <f aca="false">IFERROR(G19/-H19,"no loss")</f>
        <v>0</v>
      </c>
      <c r="J19" s="31" t="n">
        <f aca="false">_xlfn.MAXIFS(Trades!$X$2:$X$1146,Trades!$D$2:$D$1146,$A19)</f>
        <v>-0.12</v>
      </c>
      <c r="K19" s="31" t="n">
        <f aca="false">_xlfn.MINIFS(Trades!$X$2:$X$1146,Trades!$D$2:$D$1146,$A19)</f>
        <v>-0.12</v>
      </c>
      <c r="L19" s="33" t="n">
        <f aca="false">SUMIFS(Trades!$Y$2:$Y$1146,Trades!$D$2:$D$1146,$A19)</f>
        <v>-0.00223214285714285</v>
      </c>
      <c r="M19" s="31" t="n">
        <f aca="false">P18</f>
        <v>10031.44</v>
      </c>
      <c r="N19" s="30" t="n">
        <f aca="false">IFERROR(F19/M19,0)</f>
        <v>-1.19623902450695E-005</v>
      </c>
      <c r="O19" s="29" t="str">
        <f aca="false">IF(-N19&gt;=Summary!$C$7,"BREACH","")</f>
        <v/>
      </c>
      <c r="P19" s="31" t="n">
        <f aca="false">M19+F19</f>
        <v>10031.32</v>
      </c>
      <c r="Q19" s="31" t="n">
        <f aca="false">P19-Summary!$C$5</f>
        <v>31.3199999999997</v>
      </c>
      <c r="R19" s="2" t="str">
        <f aca="false">TEXT(A19,"ddd")</f>
        <v>Mon</v>
      </c>
    </row>
    <row r="20" customFormat="false" ht="15" hidden="false" customHeight="false" outlineLevel="0" collapsed="false">
      <c r="A20" s="43" t="n">
        <v>44684</v>
      </c>
      <c r="B20" s="29" t="n">
        <f aca="false">COUNTIFS(Trades!$D$2:$D$1146,$A20)</f>
        <v>1</v>
      </c>
      <c r="C20" s="29" t="n">
        <f aca="false">COUNTIFS(Trades!$D$2:$D$1146,$A20,Trades!$Z$2:$Z$1146,"Win")</f>
        <v>1</v>
      </c>
      <c r="D20" s="29" t="n">
        <f aca="false">COUNTIFS(Trades!$D$2:$D$1146,$A20,Trades!$Z$2:$Z$1146,"Loss")</f>
        <v>0</v>
      </c>
      <c r="E20" s="30" t="n">
        <f aca="false">IFERROR(C20/B20,0)</f>
        <v>1</v>
      </c>
      <c r="F20" s="31" t="n">
        <f aca="false">SUMIFS(Trades!$X$2:$X$1146,Trades!$D$2:$D$1146,$A20)</f>
        <v>75.84</v>
      </c>
      <c r="G20" s="31" t="n">
        <f aca="false">SUMIFS(Trades!$X$2:$X$1146,Trades!$D$2:$D$1146,$A20,Trades!$X$2:$X$1146,"&gt;0")</f>
        <v>75.84</v>
      </c>
      <c r="H20" s="31" t="n">
        <f aca="false">SUMIFS(Trades!$X$2:$X$1146,Trades!$D$2:$D$1146,$A20,Trades!$X$2:$X$1146,"&lt;0")</f>
        <v>0</v>
      </c>
      <c r="I20" s="32" t="str">
        <f aca="false">IFERROR(G20/-H20,"no loss")</f>
        <v>no loss</v>
      </c>
      <c r="J20" s="31" t="n">
        <f aca="false">_xlfn.MAXIFS(Trades!$X$2:$X$1146,Trades!$D$2:$D$1146,$A20)</f>
        <v>75.84</v>
      </c>
      <c r="K20" s="31" t="n">
        <f aca="false">_xlfn.MINIFS(Trades!$X$2:$X$1146,Trades!$D$2:$D$1146,$A20)</f>
        <v>75.84</v>
      </c>
      <c r="L20" s="33" t="n">
        <f aca="false">SUMIFS(Trades!$Y$2:$Y$1146,Trades!$D$2:$D$1146,$A20)</f>
        <v>2.70085470085506</v>
      </c>
      <c r="M20" s="31" t="n">
        <f aca="false">P19</f>
        <v>10031.32</v>
      </c>
      <c r="N20" s="30" t="n">
        <f aca="false">IFERROR(F20/M20,0)</f>
        <v>0.007560321074395</v>
      </c>
      <c r="O20" s="29" t="str">
        <f aca="false">IF(-N20&gt;=Summary!$C$7,"BREACH","")</f>
        <v/>
      </c>
      <c r="P20" s="31" t="n">
        <f aca="false">M20+F20</f>
        <v>10107.16</v>
      </c>
      <c r="Q20" s="31" t="n">
        <f aca="false">P20-Summary!$C$5</f>
        <v>107.16</v>
      </c>
      <c r="R20" s="2" t="str">
        <f aca="false">TEXT(A20,"ddd")</f>
        <v>Tue</v>
      </c>
    </row>
    <row r="21" customFormat="false" ht="15" hidden="false" customHeight="false" outlineLevel="0" collapsed="false">
      <c r="A21" s="43" t="n">
        <v>44685</v>
      </c>
      <c r="B21" s="29" t="n">
        <f aca="false">COUNTIFS(Trades!$D$2:$D$1146,$A21)</f>
        <v>2</v>
      </c>
      <c r="C21" s="29" t="n">
        <f aca="false">COUNTIFS(Trades!$D$2:$D$1146,$A21,Trades!$Z$2:$Z$1146,"Win")</f>
        <v>0</v>
      </c>
      <c r="D21" s="29" t="n">
        <f aca="false">COUNTIFS(Trades!$D$2:$D$1146,$A21,Trades!$Z$2:$Z$1146,"Loss")</f>
        <v>2</v>
      </c>
      <c r="E21" s="30" t="n">
        <f aca="false">IFERROR(C21/B21,0)</f>
        <v>0</v>
      </c>
      <c r="F21" s="31" t="n">
        <f aca="false">SUMIFS(Trades!$X$2:$X$1146,Trades!$D$2:$D$1146,$A21)</f>
        <v>-146.28</v>
      </c>
      <c r="G21" s="31" t="n">
        <f aca="false">SUMIFS(Trades!$X$2:$X$1146,Trades!$D$2:$D$1146,$A21,Trades!$X$2:$X$1146,"&gt;0")</f>
        <v>0</v>
      </c>
      <c r="H21" s="31" t="n">
        <f aca="false">SUMIFS(Trades!$X$2:$X$1146,Trades!$D$2:$D$1146,$A21,Trades!$X$2:$X$1146,"&lt;0")</f>
        <v>-146.28</v>
      </c>
      <c r="I21" s="32" t="n">
        <f aca="false">IFERROR(G21/-H21,"no loss")</f>
        <v>0</v>
      </c>
      <c r="J21" s="31" t="n">
        <f aca="false">_xlfn.MAXIFS(Trades!$X$2:$X$1146,Trades!$D$2:$D$1146,$A21)</f>
        <v>-2.1</v>
      </c>
      <c r="K21" s="31" t="n">
        <f aca="false">_xlfn.MINIFS(Trades!$X$2:$X$1146,Trades!$D$2:$D$1146,$A21)</f>
        <v>-144.18</v>
      </c>
      <c r="L21" s="33" t="n">
        <f aca="false">SUMIFS(Trades!$Y$2:$Y$1146,Trades!$D$2:$D$1146,$A21)</f>
        <v>-1.06693674687467</v>
      </c>
      <c r="M21" s="31" t="n">
        <f aca="false">P20</f>
        <v>10107.16</v>
      </c>
      <c r="N21" s="30" t="n">
        <f aca="false">IFERROR(F21/M21,0)</f>
        <v>-0.0144729083145018</v>
      </c>
      <c r="O21" s="29" t="str">
        <f aca="false">IF(-N21&gt;=Summary!$C$7,"BREACH","")</f>
        <v/>
      </c>
      <c r="P21" s="31" t="n">
        <f aca="false">M21+F21</f>
        <v>9960.88</v>
      </c>
      <c r="Q21" s="31" t="n">
        <f aca="false">P21-Summary!$C$5</f>
        <v>-39.1200000000008</v>
      </c>
      <c r="R21" s="2" t="str">
        <f aca="false">TEXT(A21,"ddd")</f>
        <v>Wed</v>
      </c>
    </row>
    <row r="22" customFormat="false" ht="15" hidden="false" customHeight="false" outlineLevel="0" collapsed="false">
      <c r="A22" s="43" t="n">
        <v>44686</v>
      </c>
      <c r="B22" s="29" t="n">
        <f aca="false">COUNTIFS(Trades!$D$2:$D$1146,$A22)</f>
        <v>1</v>
      </c>
      <c r="C22" s="29" t="n">
        <f aca="false">COUNTIFS(Trades!$D$2:$D$1146,$A22,Trades!$Z$2:$Z$1146,"Win")</f>
        <v>0</v>
      </c>
      <c r="D22" s="29" t="n">
        <f aca="false">COUNTIFS(Trades!$D$2:$D$1146,$A22,Trades!$Z$2:$Z$1146,"Loss")</f>
        <v>1</v>
      </c>
      <c r="E22" s="30" t="n">
        <f aca="false">IFERROR(C22/B22,0)</f>
        <v>0</v>
      </c>
      <c r="F22" s="31" t="n">
        <f aca="false">SUMIFS(Trades!$X$2:$X$1146,Trades!$D$2:$D$1146,$A22)</f>
        <v>-70.53</v>
      </c>
      <c r="G22" s="31" t="n">
        <f aca="false">SUMIFS(Trades!$X$2:$X$1146,Trades!$D$2:$D$1146,$A22,Trades!$X$2:$X$1146,"&gt;0")</f>
        <v>0</v>
      </c>
      <c r="H22" s="31" t="n">
        <f aca="false">SUMIFS(Trades!$X$2:$X$1146,Trades!$D$2:$D$1146,$A22,Trades!$X$2:$X$1146,"&lt;0")</f>
        <v>-70.53</v>
      </c>
      <c r="I22" s="32" t="n">
        <f aca="false">IFERROR(G22/-H22,"no loss")</f>
        <v>0</v>
      </c>
      <c r="J22" s="31" t="n">
        <f aca="false">_xlfn.MAXIFS(Trades!$X$2:$X$1146,Trades!$D$2:$D$1146,$A22)</f>
        <v>-70.53</v>
      </c>
      <c r="K22" s="31" t="n">
        <f aca="false">_xlfn.MINIFS(Trades!$X$2:$X$1146,Trades!$D$2:$D$1146,$A22)</f>
        <v>-70.53</v>
      </c>
      <c r="L22" s="33" t="n">
        <f aca="false">SUMIFS(Trades!$Y$2:$Y$1146,Trades!$D$2:$D$1146,$A22)</f>
        <v>-1.00298634812285</v>
      </c>
      <c r="M22" s="31" t="n">
        <f aca="false">P21</f>
        <v>9960.88</v>
      </c>
      <c r="N22" s="30" t="n">
        <f aca="false">IFERROR(F22/M22,0)</f>
        <v>-0.00708069969721551</v>
      </c>
      <c r="O22" s="29" t="str">
        <f aca="false">IF(-N22&gt;=Summary!$C$7,"BREACH","")</f>
        <v/>
      </c>
      <c r="P22" s="31" t="n">
        <f aca="false">M22+F22</f>
        <v>9890.35</v>
      </c>
      <c r="Q22" s="31" t="n">
        <f aca="false">P22-Summary!$C$5</f>
        <v>-109.650000000001</v>
      </c>
      <c r="R22" s="2" t="str">
        <f aca="false">TEXT(A22,"ddd")</f>
        <v>Thu</v>
      </c>
    </row>
    <row r="23" customFormat="false" ht="15" hidden="false" customHeight="false" outlineLevel="0" collapsed="false">
      <c r="A23" s="43" t="n">
        <v>44687</v>
      </c>
      <c r="B23" s="29" t="n">
        <f aca="false">COUNTIFS(Trades!$D$2:$D$1146,$A23)</f>
        <v>1</v>
      </c>
      <c r="C23" s="29" t="n">
        <f aca="false">COUNTIFS(Trades!$D$2:$D$1146,$A23,Trades!$Z$2:$Z$1146,"Win")</f>
        <v>1</v>
      </c>
      <c r="D23" s="29" t="n">
        <f aca="false">COUNTIFS(Trades!$D$2:$D$1146,$A23,Trades!$Z$2:$Z$1146,"Loss")</f>
        <v>0</v>
      </c>
      <c r="E23" s="30" t="n">
        <f aca="false">IFERROR(C23/B23,0)</f>
        <v>1</v>
      </c>
      <c r="F23" s="31" t="n">
        <f aca="false">SUMIFS(Trades!$X$2:$X$1146,Trades!$D$2:$D$1146,$A23)</f>
        <v>316.59</v>
      </c>
      <c r="G23" s="31" t="n">
        <f aca="false">SUMIFS(Trades!$X$2:$X$1146,Trades!$D$2:$D$1146,$A23,Trades!$X$2:$X$1146,"&gt;0")</f>
        <v>316.59</v>
      </c>
      <c r="H23" s="31" t="n">
        <f aca="false">SUMIFS(Trades!$X$2:$X$1146,Trades!$D$2:$D$1146,$A23,Trades!$X$2:$X$1146,"&lt;0")</f>
        <v>0</v>
      </c>
      <c r="I23" s="32" t="str">
        <f aca="false">IFERROR(G23/-H23,"no loss")</f>
        <v>no loss</v>
      </c>
      <c r="J23" s="31" t="n">
        <f aca="false">_xlfn.MAXIFS(Trades!$X$2:$X$1146,Trades!$D$2:$D$1146,$A23)</f>
        <v>316.59</v>
      </c>
      <c r="K23" s="31" t="n">
        <f aca="false">_xlfn.MINIFS(Trades!$X$2:$X$1146,Trades!$D$2:$D$1146,$A23)</f>
        <v>316.59</v>
      </c>
      <c r="L23" s="33" t="n">
        <f aca="false">SUMIFS(Trades!$Y$2:$Y$1146,Trades!$D$2:$D$1146,$A23)</f>
        <v>2.68592517179938</v>
      </c>
      <c r="M23" s="31" t="n">
        <f aca="false">P22</f>
        <v>9890.35</v>
      </c>
      <c r="N23" s="30" t="n">
        <f aca="false">IFERROR(F23/M23,0)</f>
        <v>0.0320099895352541</v>
      </c>
      <c r="O23" s="29" t="str">
        <f aca="false">IF(-N23&gt;=Summary!$C$7,"BREACH","")</f>
        <v/>
      </c>
      <c r="P23" s="31" t="n">
        <f aca="false">M23+F23</f>
        <v>10206.94</v>
      </c>
      <c r="Q23" s="31" t="n">
        <f aca="false">P23-Summary!$C$5</f>
        <v>206.939999999999</v>
      </c>
      <c r="R23" s="2" t="str">
        <f aca="false">TEXT(A23,"ddd")</f>
        <v>Fri</v>
      </c>
    </row>
    <row r="24" customFormat="false" ht="15" hidden="false" customHeight="false" outlineLevel="0" collapsed="false">
      <c r="A24" s="43" t="n">
        <v>44690</v>
      </c>
      <c r="B24" s="29" t="n">
        <f aca="false">COUNTIFS(Trades!$D$2:$D$1146,$A24)</f>
        <v>1</v>
      </c>
      <c r="C24" s="29" t="n">
        <f aca="false">COUNTIFS(Trades!$D$2:$D$1146,$A24,Trades!$Z$2:$Z$1146,"Win")</f>
        <v>0</v>
      </c>
      <c r="D24" s="29" t="n">
        <f aca="false">COUNTIFS(Trades!$D$2:$D$1146,$A24,Trades!$Z$2:$Z$1146,"Loss")</f>
        <v>1</v>
      </c>
      <c r="E24" s="30" t="n">
        <f aca="false">IFERROR(C24/B24,0)</f>
        <v>0</v>
      </c>
      <c r="F24" s="31" t="n">
        <f aca="false">SUMIFS(Trades!$X$2:$X$1146,Trades!$D$2:$D$1146,$A24)</f>
        <v>-35.68</v>
      </c>
      <c r="G24" s="31" t="n">
        <f aca="false">SUMIFS(Trades!$X$2:$X$1146,Trades!$D$2:$D$1146,$A24,Trades!$X$2:$X$1146,"&gt;0")</f>
        <v>0</v>
      </c>
      <c r="H24" s="31" t="n">
        <f aca="false">SUMIFS(Trades!$X$2:$X$1146,Trades!$D$2:$D$1146,$A24,Trades!$X$2:$X$1146,"&lt;0")</f>
        <v>-35.68</v>
      </c>
      <c r="I24" s="32" t="n">
        <f aca="false">IFERROR(G24/-H24,"no loss")</f>
        <v>0</v>
      </c>
      <c r="J24" s="31" t="n">
        <f aca="false">_xlfn.MAXIFS(Trades!$X$2:$X$1146,Trades!$D$2:$D$1146,$A24)</f>
        <v>-35.68</v>
      </c>
      <c r="K24" s="31" t="n">
        <f aca="false">_xlfn.MINIFS(Trades!$X$2:$X$1146,Trades!$D$2:$D$1146,$A24)</f>
        <v>-35.68</v>
      </c>
      <c r="L24" s="33" t="n">
        <f aca="false">SUMIFS(Trades!$Y$2:$Y$1146,Trades!$D$2:$D$1146,$A24)</f>
        <v>-1.00337457817779</v>
      </c>
      <c r="M24" s="31" t="n">
        <f aca="false">P23</f>
        <v>10206.94</v>
      </c>
      <c r="N24" s="30" t="n">
        <f aca="false">IFERROR(F24/M24,0)</f>
        <v>-0.00349566079549797</v>
      </c>
      <c r="O24" s="29" t="str">
        <f aca="false">IF(-N24&gt;=Summary!$C$7,"BREACH","")</f>
        <v/>
      </c>
      <c r="P24" s="31" t="n">
        <f aca="false">M24+F24</f>
        <v>10171.26</v>
      </c>
      <c r="Q24" s="31" t="n">
        <f aca="false">P24-Summary!$C$5</f>
        <v>171.259999999998</v>
      </c>
      <c r="R24" s="2" t="str">
        <f aca="false">TEXT(A24,"ddd")</f>
        <v>Mon</v>
      </c>
    </row>
    <row r="25" customFormat="false" ht="15" hidden="false" customHeight="false" outlineLevel="0" collapsed="false">
      <c r="A25" s="43" t="n">
        <v>44691</v>
      </c>
      <c r="B25" s="29" t="n">
        <f aca="false">COUNTIFS(Trades!$D$2:$D$1146,$A25)</f>
        <v>1</v>
      </c>
      <c r="C25" s="29" t="n">
        <f aca="false">COUNTIFS(Trades!$D$2:$D$1146,$A25,Trades!$Z$2:$Z$1146,"Win")</f>
        <v>0</v>
      </c>
      <c r="D25" s="29" t="n">
        <f aca="false">COUNTIFS(Trades!$D$2:$D$1146,$A25,Trades!$Z$2:$Z$1146,"Loss")</f>
        <v>1</v>
      </c>
      <c r="E25" s="30" t="n">
        <f aca="false">IFERROR(C25/B25,0)</f>
        <v>0</v>
      </c>
      <c r="F25" s="31" t="n">
        <f aca="false">SUMIFS(Trades!$X$2:$X$1146,Trades!$D$2:$D$1146,$A25)</f>
        <v>-5.48</v>
      </c>
      <c r="G25" s="31" t="n">
        <f aca="false">SUMIFS(Trades!$X$2:$X$1146,Trades!$D$2:$D$1146,$A25,Trades!$X$2:$X$1146,"&gt;0")</f>
        <v>0</v>
      </c>
      <c r="H25" s="31" t="n">
        <f aca="false">SUMIFS(Trades!$X$2:$X$1146,Trades!$D$2:$D$1146,$A25,Trades!$X$2:$X$1146,"&lt;0")</f>
        <v>-5.48</v>
      </c>
      <c r="I25" s="32" t="n">
        <f aca="false">IFERROR(G25/-H25,"no loss")</f>
        <v>0</v>
      </c>
      <c r="J25" s="31" t="n">
        <f aca="false">_xlfn.MAXIFS(Trades!$X$2:$X$1146,Trades!$D$2:$D$1146,$A25)</f>
        <v>-5.48</v>
      </c>
      <c r="K25" s="31" t="n">
        <f aca="false">_xlfn.MINIFS(Trades!$X$2:$X$1146,Trades!$D$2:$D$1146,$A25)</f>
        <v>-5.48</v>
      </c>
      <c r="L25" s="33" t="n">
        <f aca="false">SUMIFS(Trades!$Y$2:$Y$1146,Trades!$D$2:$D$1146,$A25)</f>
        <v>-0.0787809085681453</v>
      </c>
      <c r="M25" s="31" t="n">
        <f aca="false">P24</f>
        <v>10171.26</v>
      </c>
      <c r="N25" s="30" t="n">
        <f aca="false">IFERROR(F25/M25,0)</f>
        <v>-0.00053877297404648</v>
      </c>
      <c r="O25" s="29" t="str">
        <f aca="false">IF(-N25&gt;=Summary!$C$7,"BREACH","")</f>
        <v/>
      </c>
      <c r="P25" s="31" t="n">
        <f aca="false">M25+F25</f>
        <v>10165.78</v>
      </c>
      <c r="Q25" s="31" t="n">
        <f aca="false">P25-Summary!$C$5</f>
        <v>165.779999999999</v>
      </c>
      <c r="R25" s="2" t="str">
        <f aca="false">TEXT(A25,"ddd")</f>
        <v>Tue</v>
      </c>
    </row>
    <row r="26" customFormat="false" ht="15" hidden="false" customHeight="false" outlineLevel="0" collapsed="false">
      <c r="A26" s="43" t="n">
        <v>44692</v>
      </c>
      <c r="B26" s="29" t="n">
        <f aca="false">COUNTIFS(Trades!$D$2:$D$1146,$A26)</f>
        <v>1</v>
      </c>
      <c r="C26" s="29" t="n">
        <f aca="false">COUNTIFS(Trades!$D$2:$D$1146,$A26,Trades!$Z$2:$Z$1146,"Win")</f>
        <v>0</v>
      </c>
      <c r="D26" s="29" t="n">
        <f aca="false">COUNTIFS(Trades!$D$2:$D$1146,$A26,Trades!$Z$2:$Z$1146,"Loss")</f>
        <v>1</v>
      </c>
      <c r="E26" s="30" t="n">
        <f aca="false">IFERROR(C26/B26,0)</f>
        <v>0</v>
      </c>
      <c r="F26" s="31" t="n">
        <f aca="false">SUMIFS(Trades!$X$2:$X$1146,Trades!$D$2:$D$1146,$A26)</f>
        <v>-3.64</v>
      </c>
      <c r="G26" s="31" t="n">
        <f aca="false">SUMIFS(Trades!$X$2:$X$1146,Trades!$D$2:$D$1146,$A26,Trades!$X$2:$X$1146,"&gt;0")</f>
        <v>0</v>
      </c>
      <c r="H26" s="31" t="n">
        <f aca="false">SUMIFS(Trades!$X$2:$X$1146,Trades!$D$2:$D$1146,$A26,Trades!$X$2:$X$1146,"&lt;0")</f>
        <v>-3.64</v>
      </c>
      <c r="I26" s="32" t="n">
        <f aca="false">IFERROR(G26/-H26,"no loss")</f>
        <v>0</v>
      </c>
      <c r="J26" s="31" t="n">
        <f aca="false">_xlfn.MAXIFS(Trades!$X$2:$X$1146,Trades!$D$2:$D$1146,$A26)</f>
        <v>-3.64</v>
      </c>
      <c r="K26" s="31" t="n">
        <f aca="false">_xlfn.MINIFS(Trades!$X$2:$X$1146,Trades!$D$2:$D$1146,$A26)</f>
        <v>-3.64</v>
      </c>
      <c r="L26" s="33" t="n">
        <f aca="false">SUMIFS(Trades!$Y$2:$Y$1146,Trades!$D$2:$D$1146,$A26)</f>
        <v>-0.0563816604708755</v>
      </c>
      <c r="M26" s="31" t="n">
        <f aca="false">P25</f>
        <v>10165.78</v>
      </c>
      <c r="N26" s="30" t="n">
        <f aca="false">IFERROR(F26/M26,0)</f>
        <v>-0.000358064014763255</v>
      </c>
      <c r="O26" s="29" t="str">
        <f aca="false">IF(-N26&gt;=Summary!$C$7,"BREACH","")</f>
        <v/>
      </c>
      <c r="P26" s="31" t="n">
        <f aca="false">M26+F26</f>
        <v>10162.14</v>
      </c>
      <c r="Q26" s="31" t="n">
        <f aca="false">P26-Summary!$C$5</f>
        <v>162.139999999999</v>
      </c>
      <c r="R26" s="2" t="str">
        <f aca="false">TEXT(A26,"ddd")</f>
        <v>Wed</v>
      </c>
    </row>
    <row r="27" customFormat="false" ht="15" hidden="false" customHeight="false" outlineLevel="0" collapsed="false">
      <c r="A27" s="43" t="n">
        <v>44693</v>
      </c>
      <c r="B27" s="29" t="n">
        <f aca="false">COUNTIFS(Trades!$D$2:$D$1146,$A27)</f>
        <v>1</v>
      </c>
      <c r="C27" s="29" t="n">
        <f aca="false">COUNTIFS(Trades!$D$2:$D$1146,$A27,Trades!$Z$2:$Z$1146,"Win")</f>
        <v>0</v>
      </c>
      <c r="D27" s="29" t="n">
        <f aca="false">COUNTIFS(Trades!$D$2:$D$1146,$A27,Trades!$Z$2:$Z$1146,"Loss")</f>
        <v>1</v>
      </c>
      <c r="E27" s="30" t="n">
        <f aca="false">IFERROR(C27/B27,0)</f>
        <v>0</v>
      </c>
      <c r="F27" s="31" t="n">
        <f aca="false">SUMIFS(Trades!$X$2:$X$1146,Trades!$D$2:$D$1146,$A27)</f>
        <v>-70.8</v>
      </c>
      <c r="G27" s="31" t="n">
        <f aca="false">SUMIFS(Trades!$X$2:$X$1146,Trades!$D$2:$D$1146,$A27,Trades!$X$2:$X$1146,"&gt;0")</f>
        <v>0</v>
      </c>
      <c r="H27" s="31" t="n">
        <f aca="false">SUMIFS(Trades!$X$2:$X$1146,Trades!$D$2:$D$1146,$A27,Trades!$X$2:$X$1146,"&lt;0")</f>
        <v>-70.8</v>
      </c>
      <c r="I27" s="32" t="n">
        <f aca="false">IFERROR(G27/-H27,"no loss")</f>
        <v>0</v>
      </c>
      <c r="J27" s="31" t="n">
        <f aca="false">_xlfn.MAXIFS(Trades!$X$2:$X$1146,Trades!$D$2:$D$1146,$A27)</f>
        <v>-70.8</v>
      </c>
      <c r="K27" s="31" t="n">
        <f aca="false">_xlfn.MINIFS(Trades!$X$2:$X$1146,Trades!$D$2:$D$1146,$A27)</f>
        <v>-70.8</v>
      </c>
      <c r="L27" s="33" t="n">
        <f aca="false">SUMIFS(Trades!$Y$2:$Y$1146,Trades!$D$2:$D$1146,$A27)</f>
        <v>-1.09937888198755</v>
      </c>
      <c r="M27" s="31" t="n">
        <f aca="false">P26</f>
        <v>10162.14</v>
      </c>
      <c r="N27" s="30" t="n">
        <f aca="false">IFERROR(F27/M27,0)</f>
        <v>-0.00696703647066464</v>
      </c>
      <c r="O27" s="29" t="str">
        <f aca="false">IF(-N27&gt;=Summary!$C$7,"BREACH","")</f>
        <v/>
      </c>
      <c r="P27" s="31" t="n">
        <f aca="false">M27+F27</f>
        <v>10091.34</v>
      </c>
      <c r="Q27" s="31" t="n">
        <f aca="false">P27-Summary!$C$5</f>
        <v>91.3400000000002</v>
      </c>
      <c r="R27" s="2" t="str">
        <f aca="false">TEXT(A27,"ddd")</f>
        <v>Thu</v>
      </c>
    </row>
    <row r="28" customFormat="false" ht="15" hidden="false" customHeight="false" outlineLevel="0" collapsed="false">
      <c r="A28" s="43" t="n">
        <v>44694</v>
      </c>
      <c r="B28" s="29" t="n">
        <f aca="false">COUNTIFS(Trades!$D$2:$D$1146,$A28)</f>
        <v>1</v>
      </c>
      <c r="C28" s="29" t="n">
        <f aca="false">COUNTIFS(Trades!$D$2:$D$1146,$A28,Trades!$Z$2:$Z$1146,"Win")</f>
        <v>0</v>
      </c>
      <c r="D28" s="29" t="n">
        <f aca="false">COUNTIFS(Trades!$D$2:$D$1146,$A28,Trades!$Z$2:$Z$1146,"Loss")</f>
        <v>1</v>
      </c>
      <c r="E28" s="30" t="n">
        <f aca="false">IFERROR(C28/B28,0)</f>
        <v>0</v>
      </c>
      <c r="F28" s="31" t="n">
        <f aca="false">SUMIFS(Trades!$X$2:$X$1146,Trades!$D$2:$D$1146,$A28)</f>
        <v>-26.44</v>
      </c>
      <c r="G28" s="31" t="n">
        <f aca="false">SUMIFS(Trades!$X$2:$X$1146,Trades!$D$2:$D$1146,$A28,Trades!$X$2:$X$1146,"&gt;0")</f>
        <v>0</v>
      </c>
      <c r="H28" s="31" t="n">
        <f aca="false">SUMIFS(Trades!$X$2:$X$1146,Trades!$D$2:$D$1146,$A28,Trades!$X$2:$X$1146,"&lt;0")</f>
        <v>-26.44</v>
      </c>
      <c r="I28" s="32" t="n">
        <f aca="false">IFERROR(G28/-H28,"no loss")</f>
        <v>0</v>
      </c>
      <c r="J28" s="31" t="n">
        <f aca="false">_xlfn.MAXIFS(Trades!$X$2:$X$1146,Trades!$D$2:$D$1146,$A28)</f>
        <v>-26.44</v>
      </c>
      <c r="K28" s="31" t="n">
        <f aca="false">_xlfn.MINIFS(Trades!$X$2:$X$1146,Trades!$D$2:$D$1146,$A28)</f>
        <v>-26.44</v>
      </c>
      <c r="L28" s="33" t="n">
        <f aca="false">SUMIFS(Trades!$Y$2:$Y$1146,Trades!$D$2:$D$1146,$A28)</f>
        <v>-1.06270096463034</v>
      </c>
      <c r="M28" s="31" t="n">
        <f aca="false">P27</f>
        <v>10091.34</v>
      </c>
      <c r="N28" s="30" t="n">
        <f aca="false">IFERROR(F28/M28,0)</f>
        <v>-0.00262006829618267</v>
      </c>
      <c r="O28" s="29" t="str">
        <f aca="false">IF(-N28&gt;=Summary!$C$7,"BREACH","")</f>
        <v/>
      </c>
      <c r="P28" s="31" t="n">
        <f aca="false">M28+F28</f>
        <v>10064.9</v>
      </c>
      <c r="Q28" s="31" t="n">
        <f aca="false">P28-Summary!$C$5</f>
        <v>64.8999999999996</v>
      </c>
      <c r="R28" s="2" t="str">
        <f aca="false">TEXT(A28,"ddd")</f>
        <v>Fri</v>
      </c>
    </row>
    <row r="29" customFormat="false" ht="15" hidden="false" customHeight="false" outlineLevel="0" collapsed="false">
      <c r="A29" s="43" t="n">
        <v>44697</v>
      </c>
      <c r="B29" s="29" t="n">
        <f aca="false">COUNTIFS(Trades!$D$2:$D$1146,$A29)</f>
        <v>1</v>
      </c>
      <c r="C29" s="29" t="n">
        <f aca="false">COUNTIFS(Trades!$D$2:$D$1146,$A29,Trades!$Z$2:$Z$1146,"Win")</f>
        <v>0</v>
      </c>
      <c r="D29" s="29" t="n">
        <f aca="false">COUNTIFS(Trades!$D$2:$D$1146,$A29,Trades!$Z$2:$Z$1146,"Loss")</f>
        <v>1</v>
      </c>
      <c r="E29" s="30" t="n">
        <f aca="false">IFERROR(C29/B29,0)</f>
        <v>0</v>
      </c>
      <c r="F29" s="31" t="n">
        <f aca="false">SUMIFS(Trades!$X$2:$X$1146,Trades!$D$2:$D$1146,$A29)</f>
        <v>-1.68</v>
      </c>
      <c r="G29" s="31" t="n">
        <f aca="false">SUMIFS(Trades!$X$2:$X$1146,Trades!$D$2:$D$1146,$A29,Trades!$X$2:$X$1146,"&gt;0")</f>
        <v>0</v>
      </c>
      <c r="H29" s="31" t="n">
        <f aca="false">SUMIFS(Trades!$X$2:$X$1146,Trades!$D$2:$D$1146,$A29,Trades!$X$2:$X$1146,"&lt;0")</f>
        <v>-1.68</v>
      </c>
      <c r="I29" s="32" t="n">
        <f aca="false">IFERROR(G29/-H29,"no loss")</f>
        <v>0</v>
      </c>
      <c r="J29" s="31" t="n">
        <f aca="false">_xlfn.MAXIFS(Trades!$X$2:$X$1146,Trades!$D$2:$D$1146,$A29)</f>
        <v>-1.68</v>
      </c>
      <c r="K29" s="31" t="n">
        <f aca="false">_xlfn.MINIFS(Trades!$X$2:$X$1146,Trades!$D$2:$D$1146,$A29)</f>
        <v>-1.68</v>
      </c>
      <c r="L29" s="33" t="n">
        <f aca="false">SUMIFS(Trades!$Y$2:$Y$1146,Trades!$D$2:$D$1146,$A29)</f>
        <v>-0.0186418109187744</v>
      </c>
      <c r="M29" s="31" t="n">
        <f aca="false">P28</f>
        <v>10064.9</v>
      </c>
      <c r="N29" s="30" t="n">
        <f aca="false">IFERROR(F29/M29,0)</f>
        <v>-0.00016691671054854</v>
      </c>
      <c r="O29" s="29" t="str">
        <f aca="false">IF(-N29&gt;=Summary!$C$7,"BREACH","")</f>
        <v/>
      </c>
      <c r="P29" s="31" t="n">
        <f aca="false">M29+F29</f>
        <v>10063.22</v>
      </c>
      <c r="Q29" s="31" t="n">
        <f aca="false">P29-Summary!$C$5</f>
        <v>63.2199999999993</v>
      </c>
      <c r="R29" s="2" t="str">
        <f aca="false">TEXT(A29,"ddd")</f>
        <v>Mon</v>
      </c>
    </row>
    <row r="30" customFormat="false" ht="15" hidden="false" customHeight="false" outlineLevel="0" collapsed="false">
      <c r="A30" s="43" t="n">
        <v>44698</v>
      </c>
      <c r="B30" s="29" t="n">
        <f aca="false">COUNTIFS(Trades!$D$2:$D$1146,$A30)</f>
        <v>1</v>
      </c>
      <c r="C30" s="29" t="n">
        <f aca="false">COUNTIFS(Trades!$D$2:$D$1146,$A30,Trades!$Z$2:$Z$1146,"Win")</f>
        <v>0</v>
      </c>
      <c r="D30" s="29" t="n">
        <f aca="false">COUNTIFS(Trades!$D$2:$D$1146,$A30,Trades!$Z$2:$Z$1146,"Loss")</f>
        <v>1</v>
      </c>
      <c r="E30" s="30" t="n">
        <f aca="false">IFERROR(C30/B30,0)</f>
        <v>0</v>
      </c>
      <c r="F30" s="31" t="n">
        <f aca="false">SUMIFS(Trades!$X$2:$X$1146,Trades!$D$2:$D$1146,$A30)</f>
        <v>-0.12</v>
      </c>
      <c r="G30" s="31" t="n">
        <f aca="false">SUMIFS(Trades!$X$2:$X$1146,Trades!$D$2:$D$1146,$A30,Trades!$X$2:$X$1146,"&gt;0")</f>
        <v>0</v>
      </c>
      <c r="H30" s="31" t="n">
        <f aca="false">SUMIFS(Trades!$X$2:$X$1146,Trades!$D$2:$D$1146,$A30,Trades!$X$2:$X$1146,"&lt;0")</f>
        <v>-0.12</v>
      </c>
      <c r="I30" s="32" t="n">
        <f aca="false">IFERROR(G30/-H30,"no loss")</f>
        <v>0</v>
      </c>
      <c r="J30" s="31" t="n">
        <f aca="false">_xlfn.MAXIFS(Trades!$X$2:$X$1146,Trades!$D$2:$D$1146,$A30)</f>
        <v>-0.12</v>
      </c>
      <c r="K30" s="31" t="n">
        <f aca="false">_xlfn.MINIFS(Trades!$X$2:$X$1146,Trades!$D$2:$D$1146,$A30)</f>
        <v>-0.12</v>
      </c>
      <c r="L30" s="33" t="n">
        <f aca="false">SUMIFS(Trades!$Y$2:$Y$1146,Trades!$D$2:$D$1146,$A30)</f>
        <v>-0.00256629597946952</v>
      </c>
      <c r="M30" s="31" t="n">
        <f aca="false">P29</f>
        <v>10063.22</v>
      </c>
      <c r="N30" s="30" t="n">
        <f aca="false">IFERROR(F30/M30,0)</f>
        <v>-1.19246125991482E-005</v>
      </c>
      <c r="O30" s="29" t="str">
        <f aca="false">IF(-N30&gt;=Summary!$C$7,"BREACH","")</f>
        <v/>
      </c>
      <c r="P30" s="31" t="n">
        <f aca="false">M30+F30</f>
        <v>10063.1</v>
      </c>
      <c r="Q30" s="31" t="n">
        <f aca="false">P30-Summary!$C$5</f>
        <v>63.0999999999985</v>
      </c>
      <c r="R30" s="2" t="str">
        <f aca="false">TEXT(A30,"ddd")</f>
        <v>Tue</v>
      </c>
    </row>
    <row r="31" customFormat="false" ht="15" hidden="false" customHeight="false" outlineLevel="0" collapsed="false">
      <c r="A31" s="43" t="n">
        <v>44699</v>
      </c>
      <c r="B31" s="29" t="n">
        <f aca="false">COUNTIFS(Trades!$D$2:$D$1146,$A31)</f>
        <v>2</v>
      </c>
      <c r="C31" s="29" t="n">
        <f aca="false">COUNTIFS(Trades!$D$2:$D$1146,$A31,Trades!$Z$2:$Z$1146,"Win")</f>
        <v>1</v>
      </c>
      <c r="D31" s="29" t="n">
        <f aca="false">COUNTIFS(Trades!$D$2:$D$1146,$A31,Trades!$Z$2:$Z$1146,"Loss")</f>
        <v>1</v>
      </c>
      <c r="E31" s="30" t="n">
        <f aca="false">IFERROR(C31/B31,0)</f>
        <v>0.5</v>
      </c>
      <c r="F31" s="31" t="n">
        <f aca="false">SUMIFS(Trades!$X$2:$X$1146,Trades!$D$2:$D$1146,$A31)</f>
        <v>42.32</v>
      </c>
      <c r="G31" s="31" t="n">
        <f aca="false">SUMIFS(Trades!$X$2:$X$1146,Trades!$D$2:$D$1146,$A31,Trades!$X$2:$X$1146,"&gt;0")</f>
        <v>42.48</v>
      </c>
      <c r="H31" s="31" t="n">
        <f aca="false">SUMIFS(Trades!$X$2:$X$1146,Trades!$D$2:$D$1146,$A31,Trades!$X$2:$X$1146,"&lt;0")</f>
        <v>-0.16</v>
      </c>
      <c r="I31" s="32" t="n">
        <f aca="false">IFERROR(G31/-H31,"no loss")</f>
        <v>265.5</v>
      </c>
      <c r="J31" s="31" t="n">
        <f aca="false">_xlfn.MAXIFS(Trades!$X$2:$X$1146,Trades!$D$2:$D$1146,$A31)</f>
        <v>42.48</v>
      </c>
      <c r="K31" s="31" t="n">
        <f aca="false">_xlfn.MINIFS(Trades!$X$2:$X$1146,Trades!$D$2:$D$1146,$A31)</f>
        <v>-0.16</v>
      </c>
      <c r="L31" s="33" t="n">
        <f aca="false">SUMIFS(Trades!$Y$2:$Y$1146,Trades!$D$2:$D$1146,$A31)</f>
        <v>2.93702633407886</v>
      </c>
      <c r="M31" s="31" t="n">
        <f aca="false">P30</f>
        <v>10063.1</v>
      </c>
      <c r="N31" s="30" t="n">
        <f aca="false">IFERROR(F31/M31,0)</f>
        <v>0.00420546352515626</v>
      </c>
      <c r="O31" s="29" t="str">
        <f aca="false">IF(-N31&gt;=Summary!$C$7,"BREACH","")</f>
        <v/>
      </c>
      <c r="P31" s="31" t="n">
        <f aca="false">M31+F31</f>
        <v>10105.42</v>
      </c>
      <c r="Q31" s="31" t="n">
        <f aca="false">P31-Summary!$C$5</f>
        <v>105.419999999998</v>
      </c>
      <c r="R31" s="2" t="str">
        <f aca="false">TEXT(A31,"ddd")</f>
        <v>Wed</v>
      </c>
    </row>
    <row r="32" customFormat="false" ht="15" hidden="false" customHeight="false" outlineLevel="0" collapsed="false">
      <c r="A32" s="43" t="n">
        <v>44700</v>
      </c>
      <c r="B32" s="29" t="n">
        <f aca="false">COUNTIFS(Trades!$D$2:$D$1146,$A32)</f>
        <v>1</v>
      </c>
      <c r="C32" s="29" t="n">
        <f aca="false">COUNTIFS(Trades!$D$2:$D$1146,$A32,Trades!$Z$2:$Z$1146,"Win")</f>
        <v>0</v>
      </c>
      <c r="D32" s="29" t="n">
        <f aca="false">COUNTIFS(Trades!$D$2:$D$1146,$A32,Trades!$Z$2:$Z$1146,"Loss")</f>
        <v>1</v>
      </c>
      <c r="E32" s="30" t="n">
        <f aca="false">IFERROR(C32/B32,0)</f>
        <v>0</v>
      </c>
      <c r="F32" s="31" t="n">
        <f aca="false">SUMIFS(Trades!$X$2:$X$1146,Trades!$D$2:$D$1146,$A32)</f>
        <v>-1.04</v>
      </c>
      <c r="G32" s="31" t="n">
        <f aca="false">SUMIFS(Trades!$X$2:$X$1146,Trades!$D$2:$D$1146,$A32,Trades!$X$2:$X$1146,"&gt;0")</f>
        <v>0</v>
      </c>
      <c r="H32" s="31" t="n">
        <f aca="false">SUMIFS(Trades!$X$2:$X$1146,Trades!$D$2:$D$1146,$A32,Trades!$X$2:$X$1146,"&lt;0")</f>
        <v>-1.04</v>
      </c>
      <c r="I32" s="32" t="n">
        <f aca="false">IFERROR(G32/-H32,"no loss")</f>
        <v>0</v>
      </c>
      <c r="J32" s="31" t="n">
        <f aca="false">_xlfn.MAXIFS(Trades!$X$2:$X$1146,Trades!$D$2:$D$1146,$A32)</f>
        <v>-1.04</v>
      </c>
      <c r="K32" s="31" t="n">
        <f aca="false">_xlfn.MINIFS(Trades!$X$2:$X$1146,Trades!$D$2:$D$1146,$A32)</f>
        <v>-1.04</v>
      </c>
      <c r="L32" s="33" t="n">
        <f aca="false">SUMIFS(Trades!$Y$2:$Y$1146,Trades!$D$2:$D$1146,$A32)</f>
        <v>-0.039694656488554</v>
      </c>
      <c r="M32" s="31" t="n">
        <f aca="false">P31</f>
        <v>10105.42</v>
      </c>
      <c r="N32" s="30" t="n">
        <f aca="false">IFERROR(F32/M32,0)</f>
        <v>-0.000102915069339028</v>
      </c>
      <c r="O32" s="29" t="str">
        <f aca="false">IF(-N32&gt;=Summary!$C$7,"BREACH","")</f>
        <v/>
      </c>
      <c r="P32" s="31" t="n">
        <f aca="false">M32+F32</f>
        <v>10104.38</v>
      </c>
      <c r="Q32" s="31" t="n">
        <f aca="false">P32-Summary!$C$5</f>
        <v>104.379999999997</v>
      </c>
      <c r="R32" s="2" t="str">
        <f aca="false">TEXT(A32,"ddd")</f>
        <v>Thu</v>
      </c>
    </row>
    <row r="33" customFormat="false" ht="15" hidden="false" customHeight="false" outlineLevel="0" collapsed="false">
      <c r="A33" s="43" t="n">
        <v>44701</v>
      </c>
      <c r="B33" s="29" t="n">
        <f aca="false">COUNTIFS(Trades!$D$2:$D$1146,$A33)</f>
        <v>2</v>
      </c>
      <c r="C33" s="29" t="n">
        <f aca="false">COUNTIFS(Trades!$D$2:$D$1146,$A33,Trades!$Z$2:$Z$1146,"Win")</f>
        <v>1</v>
      </c>
      <c r="D33" s="29" t="n">
        <f aca="false">COUNTIFS(Trades!$D$2:$D$1146,$A33,Trades!$Z$2:$Z$1146,"Loss")</f>
        <v>1</v>
      </c>
      <c r="E33" s="30" t="n">
        <f aca="false">IFERROR(C33/B33,0)</f>
        <v>0.5</v>
      </c>
      <c r="F33" s="31" t="n">
        <f aca="false">SUMIFS(Trades!$X$2:$X$1146,Trades!$D$2:$D$1146,$A33)</f>
        <v>125.52</v>
      </c>
      <c r="G33" s="31" t="n">
        <f aca="false">SUMIFS(Trades!$X$2:$X$1146,Trades!$D$2:$D$1146,$A33,Trades!$X$2:$X$1146,"&gt;0")</f>
        <v>166.08</v>
      </c>
      <c r="H33" s="31" t="n">
        <f aca="false">SUMIFS(Trades!$X$2:$X$1146,Trades!$D$2:$D$1146,$A33,Trades!$X$2:$X$1146,"&lt;0")</f>
        <v>-40.56</v>
      </c>
      <c r="I33" s="32" t="n">
        <f aca="false">IFERROR(G33/-H33,"no loss")</f>
        <v>4.09467455621302</v>
      </c>
      <c r="J33" s="31" t="n">
        <f aca="false">_xlfn.MAXIFS(Trades!$X$2:$X$1146,Trades!$D$2:$D$1146,$A33)</f>
        <v>166.08</v>
      </c>
      <c r="K33" s="31" t="n">
        <f aca="false">_xlfn.MINIFS(Trades!$X$2:$X$1146,Trades!$D$2:$D$1146,$A33)</f>
        <v>-40.56</v>
      </c>
      <c r="L33" s="33" t="n">
        <f aca="false">SUMIFS(Trades!$Y$2:$Y$1146,Trades!$D$2:$D$1146,$A33)</f>
        <v>1.35518106764225</v>
      </c>
      <c r="M33" s="31" t="n">
        <f aca="false">P32</f>
        <v>10104.38</v>
      </c>
      <c r="N33" s="30" t="n">
        <f aca="false">IFERROR(F33/M33,0)</f>
        <v>0.012422335660377</v>
      </c>
      <c r="O33" s="29" t="str">
        <f aca="false">IF(-N33&gt;=Summary!$C$7,"BREACH","")</f>
        <v/>
      </c>
      <c r="P33" s="31" t="n">
        <f aca="false">M33+F33</f>
        <v>10229.9</v>
      </c>
      <c r="Q33" s="31" t="n">
        <f aca="false">P33-Summary!$C$5</f>
        <v>229.899999999998</v>
      </c>
      <c r="R33" s="2" t="str">
        <f aca="false">TEXT(A33,"ddd")</f>
        <v>Fri</v>
      </c>
    </row>
    <row r="34" customFormat="false" ht="15" hidden="false" customHeight="false" outlineLevel="0" collapsed="false">
      <c r="A34" s="43" t="n">
        <v>44705</v>
      </c>
      <c r="B34" s="29" t="n">
        <f aca="false">COUNTIFS(Trades!$D$2:$D$1146,$A34)</f>
        <v>1</v>
      </c>
      <c r="C34" s="29" t="n">
        <f aca="false">COUNTIFS(Trades!$D$2:$D$1146,$A34,Trades!$Z$2:$Z$1146,"Win")</f>
        <v>0</v>
      </c>
      <c r="D34" s="29" t="n">
        <f aca="false">COUNTIFS(Trades!$D$2:$D$1146,$A34,Trades!$Z$2:$Z$1146,"Loss")</f>
        <v>1</v>
      </c>
      <c r="E34" s="30" t="n">
        <f aca="false">IFERROR(C34/B34,0)</f>
        <v>0</v>
      </c>
      <c r="F34" s="31" t="n">
        <f aca="false">SUMIFS(Trades!$X$2:$X$1146,Trades!$D$2:$D$1146,$A34)</f>
        <v>-4.52</v>
      </c>
      <c r="G34" s="31" t="n">
        <f aca="false">SUMIFS(Trades!$X$2:$X$1146,Trades!$D$2:$D$1146,$A34,Trades!$X$2:$X$1146,"&gt;0")</f>
        <v>0</v>
      </c>
      <c r="H34" s="31" t="n">
        <f aca="false">SUMIFS(Trades!$X$2:$X$1146,Trades!$D$2:$D$1146,$A34,Trades!$X$2:$X$1146,"&lt;0")</f>
        <v>-4.52</v>
      </c>
      <c r="I34" s="32" t="n">
        <f aca="false">IFERROR(G34/-H34,"no loss")</f>
        <v>0</v>
      </c>
      <c r="J34" s="31" t="n">
        <f aca="false">_xlfn.MAXIFS(Trades!$X$2:$X$1146,Trades!$D$2:$D$1146,$A34)</f>
        <v>-4.52</v>
      </c>
      <c r="K34" s="31" t="n">
        <f aca="false">_xlfn.MINIFS(Trades!$X$2:$X$1146,Trades!$D$2:$D$1146,$A34)</f>
        <v>-4.52</v>
      </c>
      <c r="L34" s="33" t="n">
        <f aca="false">SUMIFS(Trades!$Y$2:$Y$1146,Trades!$D$2:$D$1146,$A34)</f>
        <v>-0.097162510748072</v>
      </c>
      <c r="M34" s="31" t="n">
        <f aca="false">P33</f>
        <v>10229.9</v>
      </c>
      <c r="N34" s="30" t="n">
        <f aca="false">IFERROR(F34/M34,0)</f>
        <v>-0.000441842051241948</v>
      </c>
      <c r="O34" s="29" t="str">
        <f aca="false">IF(-N34&gt;=Summary!$C$7,"BREACH","")</f>
        <v/>
      </c>
      <c r="P34" s="31" t="n">
        <f aca="false">M34+F34</f>
        <v>10225.38</v>
      </c>
      <c r="Q34" s="31" t="n">
        <f aca="false">P34-Summary!$C$5</f>
        <v>225.379999999997</v>
      </c>
      <c r="R34" s="2" t="str">
        <f aca="false">TEXT(A34,"ddd")</f>
        <v>Tue</v>
      </c>
    </row>
    <row r="35" customFormat="false" ht="15" hidden="false" customHeight="false" outlineLevel="0" collapsed="false">
      <c r="A35" s="43" t="n">
        <v>44706</v>
      </c>
      <c r="B35" s="29" t="n">
        <f aca="false">COUNTIFS(Trades!$D$2:$D$1146,$A35)</f>
        <v>1</v>
      </c>
      <c r="C35" s="29" t="n">
        <f aca="false">COUNTIFS(Trades!$D$2:$D$1146,$A35,Trades!$Z$2:$Z$1146,"Win")</f>
        <v>0</v>
      </c>
      <c r="D35" s="29" t="n">
        <f aca="false">COUNTIFS(Trades!$D$2:$D$1146,$A35,Trades!$Z$2:$Z$1146,"Loss")</f>
        <v>1</v>
      </c>
      <c r="E35" s="30" t="n">
        <f aca="false">IFERROR(C35/B35,0)</f>
        <v>0</v>
      </c>
      <c r="F35" s="31" t="n">
        <f aca="false">SUMIFS(Trades!$X$2:$X$1146,Trades!$D$2:$D$1146,$A35)</f>
        <v>-65.56</v>
      </c>
      <c r="G35" s="31" t="n">
        <f aca="false">SUMIFS(Trades!$X$2:$X$1146,Trades!$D$2:$D$1146,$A35,Trades!$X$2:$X$1146,"&gt;0")</f>
        <v>0</v>
      </c>
      <c r="H35" s="31" t="n">
        <f aca="false">SUMIFS(Trades!$X$2:$X$1146,Trades!$D$2:$D$1146,$A35,Trades!$X$2:$X$1146,"&lt;0")</f>
        <v>-65.56</v>
      </c>
      <c r="I35" s="32" t="n">
        <f aca="false">IFERROR(G35/-H35,"no loss")</f>
        <v>0</v>
      </c>
      <c r="J35" s="31" t="n">
        <f aca="false">_xlfn.MAXIFS(Trades!$X$2:$X$1146,Trades!$D$2:$D$1146,$A35)</f>
        <v>-65.56</v>
      </c>
      <c r="K35" s="31" t="n">
        <f aca="false">_xlfn.MINIFS(Trades!$X$2:$X$1146,Trades!$D$2:$D$1146,$A35)</f>
        <v>-65.56</v>
      </c>
      <c r="L35" s="33" t="n">
        <f aca="false">SUMIFS(Trades!$Y$2:$Y$1146,Trades!$D$2:$D$1146,$A35)</f>
        <v>-1.0030599755203</v>
      </c>
      <c r="M35" s="31" t="n">
        <f aca="false">P34</f>
        <v>10225.38</v>
      </c>
      <c r="N35" s="30" t="n">
        <f aca="false">IFERROR(F35/M35,0)</f>
        <v>-0.00641149766561243</v>
      </c>
      <c r="O35" s="29" t="str">
        <f aca="false">IF(-N35&gt;=Summary!$C$7,"BREACH","")</f>
        <v/>
      </c>
      <c r="P35" s="31" t="n">
        <f aca="false">M35+F35</f>
        <v>10159.82</v>
      </c>
      <c r="Q35" s="31" t="n">
        <f aca="false">P35-Summary!$C$5</f>
        <v>159.819999999998</v>
      </c>
      <c r="R35" s="2" t="str">
        <f aca="false">TEXT(A35,"ddd")</f>
        <v>Wed</v>
      </c>
    </row>
    <row r="36" customFormat="false" ht="15" hidden="false" customHeight="false" outlineLevel="0" collapsed="false">
      <c r="A36" s="43" t="n">
        <v>44707</v>
      </c>
      <c r="B36" s="29" t="n">
        <f aca="false">COUNTIFS(Trades!$D$2:$D$1146,$A36)</f>
        <v>1</v>
      </c>
      <c r="C36" s="29" t="n">
        <f aca="false">COUNTIFS(Trades!$D$2:$D$1146,$A36,Trades!$Z$2:$Z$1146,"Win")</f>
        <v>1</v>
      </c>
      <c r="D36" s="29" t="n">
        <f aca="false">COUNTIFS(Trades!$D$2:$D$1146,$A36,Trades!$Z$2:$Z$1146,"Loss")</f>
        <v>0</v>
      </c>
      <c r="E36" s="30" t="n">
        <f aca="false">IFERROR(C36/B36,0)</f>
        <v>1</v>
      </c>
      <c r="F36" s="31" t="n">
        <f aca="false">SUMIFS(Trades!$X$2:$X$1146,Trades!$D$2:$D$1146,$A36)</f>
        <v>308.96</v>
      </c>
      <c r="G36" s="31" t="n">
        <f aca="false">SUMIFS(Trades!$X$2:$X$1146,Trades!$D$2:$D$1146,$A36,Trades!$X$2:$X$1146,"&gt;0")</f>
        <v>308.96</v>
      </c>
      <c r="H36" s="31" t="n">
        <f aca="false">SUMIFS(Trades!$X$2:$X$1146,Trades!$D$2:$D$1146,$A36,Trades!$X$2:$X$1146,"&lt;0")</f>
        <v>0</v>
      </c>
      <c r="I36" s="32" t="str">
        <f aca="false">IFERROR(G36/-H36,"no loss")</f>
        <v>no loss</v>
      </c>
      <c r="J36" s="31" t="n">
        <f aca="false">_xlfn.MAXIFS(Trades!$X$2:$X$1146,Trades!$D$2:$D$1146,$A36)</f>
        <v>308.96</v>
      </c>
      <c r="K36" s="31" t="n">
        <f aca="false">_xlfn.MINIFS(Trades!$X$2:$X$1146,Trades!$D$2:$D$1146,$A36)</f>
        <v>308.96</v>
      </c>
      <c r="L36" s="33" t="n">
        <f aca="false">SUMIFS(Trades!$Y$2:$Y$1146,Trades!$D$2:$D$1146,$A36)</f>
        <v>2.45284217211801</v>
      </c>
      <c r="M36" s="31" t="n">
        <f aca="false">P35</f>
        <v>10159.82</v>
      </c>
      <c r="N36" s="30" t="n">
        <f aca="false">IFERROR(F36/M36,0)</f>
        <v>0.0304099875785201</v>
      </c>
      <c r="O36" s="29" t="str">
        <f aca="false">IF(-N36&gt;=Summary!$C$7,"BREACH","")</f>
        <v/>
      </c>
      <c r="P36" s="31" t="n">
        <f aca="false">M36+F36</f>
        <v>10468.78</v>
      </c>
      <c r="Q36" s="31" t="n">
        <f aca="false">P36-Summary!$C$5</f>
        <v>468.779999999997</v>
      </c>
      <c r="R36" s="2" t="str">
        <f aca="false">TEXT(A36,"ddd")</f>
        <v>Thu</v>
      </c>
    </row>
    <row r="37" customFormat="false" ht="15" hidden="false" customHeight="false" outlineLevel="0" collapsed="false">
      <c r="A37" s="43" t="n">
        <v>44708</v>
      </c>
      <c r="B37" s="29" t="n">
        <f aca="false">COUNTIFS(Trades!$D$2:$D$1146,$A37)</f>
        <v>1</v>
      </c>
      <c r="C37" s="29" t="n">
        <f aca="false">COUNTIFS(Trades!$D$2:$D$1146,$A37,Trades!$Z$2:$Z$1146,"Win")</f>
        <v>0</v>
      </c>
      <c r="D37" s="29" t="n">
        <f aca="false">COUNTIFS(Trades!$D$2:$D$1146,$A37,Trades!$Z$2:$Z$1146,"Loss")</f>
        <v>1</v>
      </c>
      <c r="E37" s="30" t="n">
        <f aca="false">IFERROR(C37/B37,0)</f>
        <v>0</v>
      </c>
      <c r="F37" s="31" t="n">
        <f aca="false">SUMIFS(Trades!$X$2:$X$1146,Trades!$D$2:$D$1146,$A37)</f>
        <v>-37.8</v>
      </c>
      <c r="G37" s="31" t="n">
        <f aca="false">SUMIFS(Trades!$X$2:$X$1146,Trades!$D$2:$D$1146,$A37,Trades!$X$2:$X$1146,"&gt;0")</f>
        <v>0</v>
      </c>
      <c r="H37" s="31" t="n">
        <f aca="false">SUMIFS(Trades!$X$2:$X$1146,Trades!$D$2:$D$1146,$A37,Trades!$X$2:$X$1146,"&lt;0")</f>
        <v>-37.8</v>
      </c>
      <c r="I37" s="32" t="n">
        <f aca="false">IFERROR(G37/-H37,"no loss")</f>
        <v>0</v>
      </c>
      <c r="J37" s="31" t="n">
        <f aca="false">_xlfn.MAXIFS(Trades!$X$2:$X$1146,Trades!$D$2:$D$1146,$A37)</f>
        <v>-37.8</v>
      </c>
      <c r="K37" s="31" t="n">
        <f aca="false">_xlfn.MINIFS(Trades!$X$2:$X$1146,Trades!$D$2:$D$1146,$A37)</f>
        <v>-37.8</v>
      </c>
      <c r="L37" s="33" t="n">
        <f aca="false">SUMIFS(Trades!$Y$2:$Y$1146,Trades!$D$2:$D$1146,$A37)</f>
        <v>-1.00746268656705</v>
      </c>
      <c r="M37" s="31" t="n">
        <f aca="false">P36</f>
        <v>10468.78</v>
      </c>
      <c r="N37" s="30" t="n">
        <f aca="false">IFERROR(F37/M37,0)</f>
        <v>-0.00361073592147318</v>
      </c>
      <c r="O37" s="29" t="str">
        <f aca="false">IF(-N37&gt;=Summary!$C$7,"BREACH","")</f>
        <v/>
      </c>
      <c r="P37" s="31" t="n">
        <f aca="false">M37+F37</f>
        <v>10430.98</v>
      </c>
      <c r="Q37" s="31" t="n">
        <f aca="false">P37-Summary!$C$5</f>
        <v>430.979999999998</v>
      </c>
      <c r="R37" s="2" t="str">
        <f aca="false">TEXT(A37,"ddd")</f>
        <v>Fri</v>
      </c>
    </row>
    <row r="38" customFormat="false" ht="15" hidden="false" customHeight="false" outlineLevel="0" collapsed="false">
      <c r="A38" s="43" t="n">
        <v>44711</v>
      </c>
      <c r="B38" s="29" t="n">
        <f aca="false">COUNTIFS(Trades!$D$2:$D$1146,$A38)</f>
        <v>1</v>
      </c>
      <c r="C38" s="29" t="n">
        <f aca="false">COUNTIFS(Trades!$D$2:$D$1146,$A38,Trades!$Z$2:$Z$1146,"Win")</f>
        <v>0</v>
      </c>
      <c r="D38" s="29" t="n">
        <f aca="false">COUNTIFS(Trades!$D$2:$D$1146,$A38,Trades!$Z$2:$Z$1146,"Loss")</f>
        <v>1</v>
      </c>
      <c r="E38" s="30" t="n">
        <f aca="false">IFERROR(C38/B38,0)</f>
        <v>0</v>
      </c>
      <c r="F38" s="31" t="n">
        <f aca="false">SUMIFS(Trades!$X$2:$X$1146,Trades!$D$2:$D$1146,$A38)</f>
        <v>-36.6</v>
      </c>
      <c r="G38" s="31" t="n">
        <f aca="false">SUMIFS(Trades!$X$2:$X$1146,Trades!$D$2:$D$1146,$A38,Trades!$X$2:$X$1146,"&gt;0")</f>
        <v>0</v>
      </c>
      <c r="H38" s="31" t="n">
        <f aca="false">SUMIFS(Trades!$X$2:$X$1146,Trades!$D$2:$D$1146,$A38,Trades!$X$2:$X$1146,"&lt;0")</f>
        <v>-36.6</v>
      </c>
      <c r="I38" s="32" t="n">
        <f aca="false">IFERROR(G38/-H38,"no loss")</f>
        <v>0</v>
      </c>
      <c r="J38" s="31" t="n">
        <f aca="false">_xlfn.MAXIFS(Trades!$X$2:$X$1146,Trades!$D$2:$D$1146,$A38)</f>
        <v>-36.6</v>
      </c>
      <c r="K38" s="31" t="n">
        <f aca="false">_xlfn.MINIFS(Trades!$X$2:$X$1146,Trades!$D$2:$D$1146,$A38)</f>
        <v>-36.6</v>
      </c>
      <c r="L38" s="33" t="n">
        <f aca="false">SUMIFS(Trades!$Y$2:$Y$1146,Trades!$D$2:$D$1146,$A38)</f>
        <v>-1.11313868613148</v>
      </c>
      <c r="M38" s="31" t="n">
        <f aca="false">P37</f>
        <v>10430.98</v>
      </c>
      <c r="N38" s="30" t="n">
        <f aca="false">IFERROR(F38/M38,0)</f>
        <v>-0.00350877865742241</v>
      </c>
      <c r="O38" s="29" t="str">
        <f aca="false">IF(-N38&gt;=Summary!$C$7,"BREACH","")</f>
        <v/>
      </c>
      <c r="P38" s="31" t="n">
        <f aca="false">M38+F38</f>
        <v>10394.38</v>
      </c>
      <c r="Q38" s="31" t="n">
        <f aca="false">P38-Summary!$C$5</f>
        <v>394.379999999997</v>
      </c>
      <c r="R38" s="2" t="str">
        <f aca="false">TEXT(A38,"ddd")</f>
        <v>Mon</v>
      </c>
    </row>
    <row r="39" customFormat="false" ht="15" hidden="false" customHeight="false" outlineLevel="0" collapsed="false">
      <c r="A39" s="43" t="n">
        <v>44712</v>
      </c>
      <c r="B39" s="29" t="n">
        <f aca="false">COUNTIFS(Trades!$D$2:$D$1146,$A39)</f>
        <v>1</v>
      </c>
      <c r="C39" s="29" t="n">
        <f aca="false">COUNTIFS(Trades!$D$2:$D$1146,$A39,Trades!$Z$2:$Z$1146,"Win")</f>
        <v>0</v>
      </c>
      <c r="D39" s="29" t="n">
        <f aca="false">COUNTIFS(Trades!$D$2:$D$1146,$A39,Trades!$Z$2:$Z$1146,"Loss")</f>
        <v>1</v>
      </c>
      <c r="E39" s="30" t="n">
        <f aca="false">IFERROR(C39/B39,0)</f>
        <v>0</v>
      </c>
      <c r="F39" s="31" t="n">
        <f aca="false">SUMIFS(Trades!$X$2:$X$1146,Trades!$D$2:$D$1146,$A39)</f>
        <v>-62.72</v>
      </c>
      <c r="G39" s="31" t="n">
        <f aca="false">SUMIFS(Trades!$X$2:$X$1146,Trades!$D$2:$D$1146,$A39,Trades!$X$2:$X$1146,"&gt;0")</f>
        <v>0</v>
      </c>
      <c r="H39" s="31" t="n">
        <f aca="false">SUMIFS(Trades!$X$2:$X$1146,Trades!$D$2:$D$1146,$A39,Trades!$X$2:$X$1146,"&lt;0")</f>
        <v>-62.72</v>
      </c>
      <c r="I39" s="32" t="n">
        <f aca="false">IFERROR(G39/-H39,"no loss")</f>
        <v>0</v>
      </c>
      <c r="J39" s="31" t="n">
        <f aca="false">_xlfn.MAXIFS(Trades!$X$2:$X$1146,Trades!$D$2:$D$1146,$A39)</f>
        <v>-62.72</v>
      </c>
      <c r="K39" s="31" t="n">
        <f aca="false">_xlfn.MINIFS(Trades!$X$2:$X$1146,Trades!$D$2:$D$1146,$A39)</f>
        <v>-62.72</v>
      </c>
      <c r="L39" s="33" t="n">
        <f aca="false">SUMIFS(Trades!$Y$2:$Y$1146,Trades!$D$2:$D$1146,$A39)</f>
        <v>-1.08587257617725</v>
      </c>
      <c r="M39" s="31" t="n">
        <f aca="false">P38</f>
        <v>10394.38</v>
      </c>
      <c r="N39" s="30" t="n">
        <f aca="false">IFERROR(F39/M39,0)</f>
        <v>-0.00603402992771094</v>
      </c>
      <c r="O39" s="29" t="str">
        <f aca="false">IF(-N39&gt;=Summary!$C$7,"BREACH","")</f>
        <v/>
      </c>
      <c r="P39" s="31" t="n">
        <f aca="false">M39+F39</f>
        <v>10331.66</v>
      </c>
      <c r="Q39" s="31" t="n">
        <f aca="false">P39-Summary!$C$5</f>
        <v>331.659999999998</v>
      </c>
      <c r="R39" s="2" t="str">
        <f aca="false">TEXT(A39,"ddd")</f>
        <v>Tue</v>
      </c>
    </row>
    <row r="40" customFormat="false" ht="15" hidden="false" customHeight="false" outlineLevel="0" collapsed="false">
      <c r="A40" s="43" t="n">
        <v>44713</v>
      </c>
      <c r="B40" s="29" t="n">
        <f aca="false">COUNTIFS(Trades!$D$2:$D$1146,$A40)</f>
        <v>1</v>
      </c>
      <c r="C40" s="29" t="n">
        <f aca="false">COUNTIFS(Trades!$D$2:$D$1146,$A40,Trades!$Z$2:$Z$1146,"Win")</f>
        <v>0</v>
      </c>
      <c r="D40" s="29" t="n">
        <f aca="false">COUNTIFS(Trades!$D$2:$D$1146,$A40,Trades!$Z$2:$Z$1146,"Loss")</f>
        <v>1</v>
      </c>
      <c r="E40" s="30" t="n">
        <f aca="false">IFERROR(C40/B40,0)</f>
        <v>0</v>
      </c>
      <c r="F40" s="31" t="n">
        <f aca="false">SUMIFS(Trades!$X$2:$X$1146,Trades!$D$2:$D$1146,$A40)</f>
        <v>-62.92</v>
      </c>
      <c r="G40" s="31" t="n">
        <f aca="false">SUMIFS(Trades!$X$2:$X$1146,Trades!$D$2:$D$1146,$A40,Trades!$X$2:$X$1146,"&gt;0")</f>
        <v>0</v>
      </c>
      <c r="H40" s="31" t="n">
        <f aca="false">SUMIFS(Trades!$X$2:$X$1146,Trades!$D$2:$D$1146,$A40,Trades!$X$2:$X$1146,"&lt;0")</f>
        <v>-62.92</v>
      </c>
      <c r="I40" s="32" t="n">
        <f aca="false">IFERROR(G40/-H40,"no loss")</f>
        <v>0</v>
      </c>
      <c r="J40" s="31" t="n">
        <f aca="false">_xlfn.MAXIFS(Trades!$X$2:$X$1146,Trades!$D$2:$D$1146,$A40)</f>
        <v>-62.92</v>
      </c>
      <c r="K40" s="31" t="n">
        <f aca="false">_xlfn.MINIFS(Trades!$X$2:$X$1146,Trades!$D$2:$D$1146,$A40)</f>
        <v>-62.92</v>
      </c>
      <c r="L40" s="33" t="n">
        <f aca="false">SUMIFS(Trades!$Y$2:$Y$1146,Trades!$D$2:$D$1146,$A40)</f>
        <v>-1.00962772785623</v>
      </c>
      <c r="M40" s="31" t="n">
        <f aca="false">P39</f>
        <v>10331.66</v>
      </c>
      <c r="N40" s="30" t="n">
        <f aca="false">IFERROR(F40/M40,0)</f>
        <v>-0.0060900184481487</v>
      </c>
      <c r="O40" s="29" t="str">
        <f aca="false">IF(-N40&gt;=Summary!$C$7,"BREACH","")</f>
        <v/>
      </c>
      <c r="P40" s="31" t="n">
        <f aca="false">M40+F40</f>
        <v>10268.74</v>
      </c>
      <c r="Q40" s="31" t="n">
        <f aca="false">P40-Summary!$C$5</f>
        <v>268.739999999998</v>
      </c>
      <c r="R40" s="2" t="str">
        <f aca="false">TEXT(A40,"ddd")</f>
        <v>Wed</v>
      </c>
    </row>
    <row r="41" customFormat="false" ht="15" hidden="false" customHeight="false" outlineLevel="0" collapsed="false">
      <c r="A41" s="43" t="n">
        <v>44714</v>
      </c>
      <c r="B41" s="29" t="n">
        <f aca="false">COUNTIFS(Trades!$D$2:$D$1146,$A41)</f>
        <v>2</v>
      </c>
      <c r="C41" s="29" t="n">
        <f aca="false">COUNTIFS(Trades!$D$2:$D$1146,$A41,Trades!$Z$2:$Z$1146,"Win")</f>
        <v>0</v>
      </c>
      <c r="D41" s="29" t="n">
        <f aca="false">COUNTIFS(Trades!$D$2:$D$1146,$A41,Trades!$Z$2:$Z$1146,"Loss")</f>
        <v>2</v>
      </c>
      <c r="E41" s="30" t="n">
        <f aca="false">IFERROR(C41/B41,0)</f>
        <v>0</v>
      </c>
      <c r="F41" s="31" t="n">
        <f aca="false">SUMIFS(Trades!$X$2:$X$1146,Trades!$D$2:$D$1146,$A41)</f>
        <v>-143.38</v>
      </c>
      <c r="G41" s="31" t="n">
        <f aca="false">SUMIFS(Trades!$X$2:$X$1146,Trades!$D$2:$D$1146,$A41,Trades!$X$2:$X$1146,"&gt;0")</f>
        <v>0</v>
      </c>
      <c r="H41" s="31" t="n">
        <f aca="false">SUMIFS(Trades!$X$2:$X$1146,Trades!$D$2:$D$1146,$A41,Trades!$X$2:$X$1146,"&lt;0")</f>
        <v>-143.38</v>
      </c>
      <c r="I41" s="32" t="n">
        <f aca="false">IFERROR(G41/-H41,"no loss")</f>
        <v>0</v>
      </c>
      <c r="J41" s="31" t="n">
        <f aca="false">_xlfn.MAXIFS(Trades!$X$2:$X$1146,Trades!$D$2:$D$1146,$A41)</f>
        <v>-33.3</v>
      </c>
      <c r="K41" s="31" t="n">
        <f aca="false">_xlfn.MINIFS(Trades!$X$2:$X$1146,Trades!$D$2:$D$1146,$A41)</f>
        <v>-110.08</v>
      </c>
      <c r="L41" s="33" t="n">
        <f aca="false">SUMIFS(Trades!$Y$2:$Y$1146,Trades!$D$2:$D$1146,$A41)</f>
        <v>-2.11144119996574</v>
      </c>
      <c r="M41" s="31" t="n">
        <f aca="false">P40</f>
        <v>10268.74</v>
      </c>
      <c r="N41" s="30" t="n">
        <f aca="false">IFERROR(F41/M41,0)</f>
        <v>-0.013962764662461</v>
      </c>
      <c r="O41" s="29" t="str">
        <f aca="false">IF(-N41&gt;=Summary!$C$7,"BREACH","")</f>
        <v/>
      </c>
      <c r="P41" s="31" t="n">
        <f aca="false">M41+F41</f>
        <v>10125.36</v>
      </c>
      <c r="Q41" s="31" t="n">
        <f aca="false">P41-Summary!$C$5</f>
        <v>125.359999999999</v>
      </c>
      <c r="R41" s="2" t="str">
        <f aca="false">TEXT(A41,"ddd")</f>
        <v>Thu</v>
      </c>
    </row>
    <row r="42" customFormat="false" ht="15" hidden="false" customHeight="false" outlineLevel="0" collapsed="false">
      <c r="A42" s="43" t="n">
        <v>44715</v>
      </c>
      <c r="B42" s="29" t="n">
        <f aca="false">COUNTIFS(Trades!$D$2:$D$1146,$A42)</f>
        <v>1</v>
      </c>
      <c r="C42" s="29" t="n">
        <f aca="false">COUNTIFS(Trades!$D$2:$D$1146,$A42,Trades!$Z$2:$Z$1146,"Win")</f>
        <v>1</v>
      </c>
      <c r="D42" s="29" t="n">
        <f aca="false">COUNTIFS(Trades!$D$2:$D$1146,$A42,Trades!$Z$2:$Z$1146,"Loss")</f>
        <v>0</v>
      </c>
      <c r="E42" s="30" t="n">
        <f aca="false">IFERROR(C42/B42,0)</f>
        <v>1</v>
      </c>
      <c r="F42" s="31" t="n">
        <f aca="false">SUMIFS(Trades!$X$2:$X$1146,Trades!$D$2:$D$1146,$A42)</f>
        <v>66.48</v>
      </c>
      <c r="G42" s="31" t="n">
        <f aca="false">SUMIFS(Trades!$X$2:$X$1146,Trades!$D$2:$D$1146,$A42,Trades!$X$2:$X$1146,"&gt;0")</f>
        <v>66.48</v>
      </c>
      <c r="H42" s="31" t="n">
        <f aca="false">SUMIFS(Trades!$X$2:$X$1146,Trades!$D$2:$D$1146,$A42,Trades!$X$2:$X$1146,"&lt;0")</f>
        <v>0</v>
      </c>
      <c r="I42" s="32" t="str">
        <f aca="false">IFERROR(G42/-H42,"no loss")</f>
        <v>no loss</v>
      </c>
      <c r="J42" s="31" t="n">
        <f aca="false">_xlfn.MAXIFS(Trades!$X$2:$X$1146,Trades!$D$2:$D$1146,$A42)</f>
        <v>66.48</v>
      </c>
      <c r="K42" s="31" t="n">
        <f aca="false">_xlfn.MINIFS(Trades!$X$2:$X$1146,Trades!$D$2:$D$1146,$A42)</f>
        <v>66.48</v>
      </c>
      <c r="L42" s="33" t="n">
        <f aca="false">SUMIFS(Trades!$Y$2:$Y$1146,Trades!$D$2:$D$1146,$A42)</f>
        <v>2.09056603773578</v>
      </c>
      <c r="M42" s="31" t="n">
        <f aca="false">P41</f>
        <v>10125.36</v>
      </c>
      <c r="N42" s="30" t="n">
        <f aca="false">IFERROR(F42/M42,0)</f>
        <v>0.00656569247908223</v>
      </c>
      <c r="O42" s="29" t="str">
        <f aca="false">IF(-N42&gt;=Summary!$C$7,"BREACH","")</f>
        <v/>
      </c>
      <c r="P42" s="31" t="n">
        <f aca="false">M42+F42</f>
        <v>10191.84</v>
      </c>
      <c r="Q42" s="31" t="n">
        <f aca="false">P42-Summary!$C$5</f>
        <v>191.839999999998</v>
      </c>
      <c r="R42" s="2" t="str">
        <f aca="false">TEXT(A42,"ddd")</f>
        <v>Fri</v>
      </c>
    </row>
    <row r="43" customFormat="false" ht="15" hidden="false" customHeight="false" outlineLevel="0" collapsed="false">
      <c r="A43" s="43" t="n">
        <v>44719</v>
      </c>
      <c r="B43" s="29" t="n">
        <f aca="false">COUNTIFS(Trades!$D$2:$D$1146,$A43)</f>
        <v>1</v>
      </c>
      <c r="C43" s="29" t="n">
        <f aca="false">COUNTIFS(Trades!$D$2:$D$1146,$A43,Trades!$Z$2:$Z$1146,"Win")</f>
        <v>0</v>
      </c>
      <c r="D43" s="29" t="n">
        <f aca="false">COUNTIFS(Trades!$D$2:$D$1146,$A43,Trades!$Z$2:$Z$1146,"Loss")</f>
        <v>1</v>
      </c>
      <c r="E43" s="30" t="n">
        <f aca="false">IFERROR(C43/B43,0)</f>
        <v>0</v>
      </c>
      <c r="F43" s="31" t="n">
        <f aca="false">SUMIFS(Trades!$X$2:$X$1146,Trades!$D$2:$D$1146,$A43)</f>
        <v>-70.44</v>
      </c>
      <c r="G43" s="31" t="n">
        <f aca="false">SUMIFS(Trades!$X$2:$X$1146,Trades!$D$2:$D$1146,$A43,Trades!$X$2:$X$1146,"&gt;0")</f>
        <v>0</v>
      </c>
      <c r="H43" s="31" t="n">
        <f aca="false">SUMIFS(Trades!$X$2:$X$1146,Trades!$D$2:$D$1146,$A43,Trades!$X$2:$X$1146,"&lt;0")</f>
        <v>-70.44</v>
      </c>
      <c r="I43" s="32" t="n">
        <f aca="false">IFERROR(G43/-H43,"no loss")</f>
        <v>0</v>
      </c>
      <c r="J43" s="31" t="n">
        <f aca="false">_xlfn.MAXIFS(Trades!$X$2:$X$1146,Trades!$D$2:$D$1146,$A43)</f>
        <v>-70.44</v>
      </c>
      <c r="K43" s="31" t="n">
        <f aca="false">_xlfn.MINIFS(Trades!$X$2:$X$1146,Trades!$D$2:$D$1146,$A43)</f>
        <v>-70.44</v>
      </c>
      <c r="L43" s="33" t="n">
        <f aca="false">SUMIFS(Trades!$Y$2:$Y$1146,Trades!$D$2:$D$1146,$A43)</f>
        <v>-1.03103044496488</v>
      </c>
      <c r="M43" s="31" t="n">
        <f aca="false">P42</f>
        <v>10191.84</v>
      </c>
      <c r="N43" s="30" t="n">
        <f aca="false">IFERROR(F43/M43,0)</f>
        <v>-0.00691141148212688</v>
      </c>
      <c r="O43" s="29" t="str">
        <f aca="false">IF(-N43&gt;=Summary!$C$7,"BREACH","")</f>
        <v/>
      </c>
      <c r="P43" s="31" t="n">
        <f aca="false">M43+F43</f>
        <v>10121.4</v>
      </c>
      <c r="Q43" s="31" t="n">
        <f aca="false">P43-Summary!$C$5</f>
        <v>121.399999999998</v>
      </c>
      <c r="R43" s="2" t="str">
        <f aca="false">TEXT(A43,"ddd")</f>
        <v>Tue</v>
      </c>
    </row>
    <row r="44" customFormat="false" ht="15" hidden="false" customHeight="false" outlineLevel="0" collapsed="false">
      <c r="A44" s="43" t="n">
        <v>44720</v>
      </c>
      <c r="B44" s="29" t="n">
        <f aca="false">COUNTIFS(Trades!$D$2:$D$1146,$A44)</f>
        <v>1</v>
      </c>
      <c r="C44" s="29" t="n">
        <f aca="false">COUNTIFS(Trades!$D$2:$D$1146,$A44,Trades!$Z$2:$Z$1146,"Win")</f>
        <v>0</v>
      </c>
      <c r="D44" s="29" t="n">
        <f aca="false">COUNTIFS(Trades!$D$2:$D$1146,$A44,Trades!$Z$2:$Z$1146,"Loss")</f>
        <v>1</v>
      </c>
      <c r="E44" s="30" t="n">
        <f aca="false">IFERROR(C44/B44,0)</f>
        <v>0</v>
      </c>
      <c r="F44" s="31" t="n">
        <f aca="false">SUMIFS(Trades!$X$2:$X$1146,Trades!$D$2:$D$1146,$A44)</f>
        <v>-0.09</v>
      </c>
      <c r="G44" s="31" t="n">
        <f aca="false">SUMIFS(Trades!$X$2:$X$1146,Trades!$D$2:$D$1146,$A44,Trades!$X$2:$X$1146,"&gt;0")</f>
        <v>0</v>
      </c>
      <c r="H44" s="31" t="n">
        <f aca="false">SUMIFS(Trades!$X$2:$X$1146,Trades!$D$2:$D$1146,$A44,Trades!$X$2:$X$1146,"&lt;0")</f>
        <v>-0.09</v>
      </c>
      <c r="I44" s="32" t="n">
        <f aca="false">IFERROR(G44/-H44,"no loss")</f>
        <v>0</v>
      </c>
      <c r="J44" s="31" t="n">
        <f aca="false">_xlfn.MAXIFS(Trades!$X$2:$X$1146,Trades!$D$2:$D$1146,$A44)</f>
        <v>-0.09</v>
      </c>
      <c r="K44" s="31" t="n">
        <f aca="false">_xlfn.MINIFS(Trades!$X$2:$X$1146,Trades!$D$2:$D$1146,$A44)</f>
        <v>-0.09</v>
      </c>
      <c r="L44" s="33" t="n">
        <f aca="false">SUMIFS(Trades!$Y$2:$Y$1146,Trades!$D$2:$D$1146,$A44)</f>
        <v>-0.00120870265914586</v>
      </c>
      <c r="M44" s="31" t="n">
        <f aca="false">P43</f>
        <v>10121.4</v>
      </c>
      <c r="N44" s="30" t="n">
        <f aca="false">IFERROR(F44/M44,0)</f>
        <v>-8.89205050684688E-006</v>
      </c>
      <c r="O44" s="29" t="str">
        <f aca="false">IF(-N44&gt;=Summary!$C$7,"BREACH","")</f>
        <v/>
      </c>
      <c r="P44" s="31" t="n">
        <f aca="false">M44+F44</f>
        <v>10121.31</v>
      </c>
      <c r="Q44" s="31" t="n">
        <f aca="false">P44-Summary!$C$5</f>
        <v>121.309999999998</v>
      </c>
      <c r="R44" s="2" t="str">
        <f aca="false">TEXT(A44,"ddd")</f>
        <v>Wed</v>
      </c>
    </row>
    <row r="45" customFormat="false" ht="15" hidden="false" customHeight="false" outlineLevel="0" collapsed="false">
      <c r="A45" s="43" t="n">
        <v>44721</v>
      </c>
      <c r="B45" s="29" t="n">
        <f aca="false">COUNTIFS(Trades!$D$2:$D$1146,$A45)</f>
        <v>1</v>
      </c>
      <c r="C45" s="29" t="n">
        <f aca="false">COUNTIFS(Trades!$D$2:$D$1146,$A45,Trades!$Z$2:$Z$1146,"Win")</f>
        <v>0</v>
      </c>
      <c r="D45" s="29" t="n">
        <f aca="false">COUNTIFS(Trades!$D$2:$D$1146,$A45,Trades!$Z$2:$Z$1146,"Loss")</f>
        <v>1</v>
      </c>
      <c r="E45" s="30" t="n">
        <f aca="false">IFERROR(C45/B45,0)</f>
        <v>0</v>
      </c>
      <c r="F45" s="31" t="n">
        <f aca="false">SUMIFS(Trades!$X$2:$X$1146,Trades!$D$2:$D$1146,$A45)</f>
        <v>-45.8</v>
      </c>
      <c r="G45" s="31" t="n">
        <f aca="false">SUMIFS(Trades!$X$2:$X$1146,Trades!$D$2:$D$1146,$A45,Trades!$X$2:$X$1146,"&gt;0")</f>
        <v>0</v>
      </c>
      <c r="H45" s="31" t="n">
        <f aca="false">SUMIFS(Trades!$X$2:$X$1146,Trades!$D$2:$D$1146,$A45,Trades!$X$2:$X$1146,"&lt;0")</f>
        <v>-45.8</v>
      </c>
      <c r="I45" s="32" t="n">
        <f aca="false">IFERROR(G45/-H45,"no loss")</f>
        <v>0</v>
      </c>
      <c r="J45" s="31" t="n">
        <f aca="false">_xlfn.MAXIFS(Trades!$X$2:$X$1146,Trades!$D$2:$D$1146,$A45)</f>
        <v>-45.8</v>
      </c>
      <c r="K45" s="31" t="n">
        <f aca="false">_xlfn.MINIFS(Trades!$X$2:$X$1146,Trades!$D$2:$D$1146,$A45)</f>
        <v>-45.8</v>
      </c>
      <c r="L45" s="33" t="n">
        <f aca="false">SUMIFS(Trades!$Y$2:$Y$1146,Trades!$D$2:$D$1146,$A45)</f>
        <v>-1.0204991087343</v>
      </c>
      <c r="M45" s="31" t="n">
        <f aca="false">P44</f>
        <v>10121.31</v>
      </c>
      <c r="N45" s="30" t="n">
        <f aca="false">IFERROR(F45/M45,0)</f>
        <v>-0.00452510593984376</v>
      </c>
      <c r="O45" s="29" t="str">
        <f aca="false">IF(-N45&gt;=Summary!$C$7,"BREACH","")</f>
        <v/>
      </c>
      <c r="P45" s="31" t="n">
        <f aca="false">M45+F45</f>
        <v>10075.51</v>
      </c>
      <c r="Q45" s="31" t="n">
        <f aca="false">P45-Summary!$C$5</f>
        <v>75.5099999999984</v>
      </c>
      <c r="R45" s="2" t="str">
        <f aca="false">TEXT(A45,"ddd")</f>
        <v>Thu</v>
      </c>
    </row>
    <row r="46" customFormat="false" ht="15" hidden="false" customHeight="false" outlineLevel="0" collapsed="false">
      <c r="A46" s="43" t="n">
        <v>44722</v>
      </c>
      <c r="B46" s="29" t="n">
        <f aca="false">COUNTIFS(Trades!$D$2:$D$1146,$A46)</f>
        <v>1</v>
      </c>
      <c r="C46" s="29" t="n">
        <f aca="false">COUNTIFS(Trades!$D$2:$D$1146,$A46,Trades!$Z$2:$Z$1146,"Win")</f>
        <v>0</v>
      </c>
      <c r="D46" s="29" t="n">
        <f aca="false">COUNTIFS(Trades!$D$2:$D$1146,$A46,Trades!$Z$2:$Z$1146,"Loss")</f>
        <v>1</v>
      </c>
      <c r="E46" s="30" t="n">
        <f aca="false">IFERROR(C46/B46,0)</f>
        <v>0</v>
      </c>
      <c r="F46" s="31" t="n">
        <f aca="false">SUMIFS(Trades!$X$2:$X$1146,Trades!$D$2:$D$1146,$A46)</f>
        <v>-207.36</v>
      </c>
      <c r="G46" s="31" t="n">
        <f aca="false">SUMIFS(Trades!$X$2:$X$1146,Trades!$D$2:$D$1146,$A46,Trades!$X$2:$X$1146,"&gt;0")</f>
        <v>0</v>
      </c>
      <c r="H46" s="31" t="n">
        <f aca="false">SUMIFS(Trades!$X$2:$X$1146,Trades!$D$2:$D$1146,$A46,Trades!$X$2:$X$1146,"&lt;0")</f>
        <v>-207.36</v>
      </c>
      <c r="I46" s="32" t="n">
        <f aca="false">IFERROR(G46/-H46,"no loss")</f>
        <v>0</v>
      </c>
      <c r="J46" s="31" t="n">
        <f aca="false">_xlfn.MAXIFS(Trades!$X$2:$X$1146,Trades!$D$2:$D$1146,$A46)</f>
        <v>-207.36</v>
      </c>
      <c r="K46" s="31" t="n">
        <f aca="false">_xlfn.MINIFS(Trades!$X$2:$X$1146,Trades!$D$2:$D$1146,$A46)</f>
        <v>-207.36</v>
      </c>
      <c r="L46" s="33" t="n">
        <f aca="false">SUMIFS(Trades!$Y$2:$Y$1146,Trades!$D$2:$D$1146,$A46)</f>
        <v>-1.03349282296651</v>
      </c>
      <c r="M46" s="31" t="n">
        <f aca="false">P45</f>
        <v>10075.51</v>
      </c>
      <c r="N46" s="30" t="n">
        <f aca="false">IFERROR(F46/M46,0)</f>
        <v>-0.0205805959202065</v>
      </c>
      <c r="O46" s="29" t="str">
        <f aca="false">IF(-N46&gt;=Summary!$C$7,"BREACH","")</f>
        <v/>
      </c>
      <c r="P46" s="31" t="n">
        <f aca="false">M46+F46</f>
        <v>9868.15</v>
      </c>
      <c r="Q46" s="31" t="n">
        <f aca="false">P46-Summary!$C$5</f>
        <v>-131.850000000002</v>
      </c>
      <c r="R46" s="2" t="str">
        <f aca="false">TEXT(A46,"ddd")</f>
        <v>Fri</v>
      </c>
    </row>
    <row r="47" customFormat="false" ht="15" hidden="false" customHeight="false" outlineLevel="0" collapsed="false">
      <c r="A47" s="43" t="n">
        <v>44725</v>
      </c>
      <c r="B47" s="29" t="n">
        <f aca="false">COUNTIFS(Trades!$D$2:$D$1146,$A47)</f>
        <v>1</v>
      </c>
      <c r="C47" s="29" t="n">
        <f aca="false">COUNTIFS(Trades!$D$2:$D$1146,$A47,Trades!$Z$2:$Z$1146,"Win")</f>
        <v>0</v>
      </c>
      <c r="D47" s="29" t="n">
        <f aca="false">COUNTIFS(Trades!$D$2:$D$1146,$A47,Trades!$Z$2:$Z$1146,"Loss")</f>
        <v>1</v>
      </c>
      <c r="E47" s="30" t="n">
        <f aca="false">IFERROR(C47/B47,0)</f>
        <v>0</v>
      </c>
      <c r="F47" s="31" t="n">
        <f aca="false">SUMIFS(Trades!$X$2:$X$1146,Trades!$D$2:$D$1146,$A47)</f>
        <v>-2.64</v>
      </c>
      <c r="G47" s="31" t="n">
        <f aca="false">SUMIFS(Trades!$X$2:$X$1146,Trades!$D$2:$D$1146,$A47,Trades!$X$2:$X$1146,"&gt;0")</f>
        <v>0</v>
      </c>
      <c r="H47" s="31" t="n">
        <f aca="false">SUMIFS(Trades!$X$2:$X$1146,Trades!$D$2:$D$1146,$A47,Trades!$X$2:$X$1146,"&lt;0")</f>
        <v>-2.64</v>
      </c>
      <c r="I47" s="32" t="n">
        <f aca="false">IFERROR(G47/-H47,"no loss")</f>
        <v>0</v>
      </c>
      <c r="J47" s="31" t="n">
        <f aca="false">_xlfn.MAXIFS(Trades!$X$2:$X$1146,Trades!$D$2:$D$1146,$A47)</f>
        <v>-2.64</v>
      </c>
      <c r="K47" s="31" t="n">
        <f aca="false">_xlfn.MINIFS(Trades!$X$2:$X$1146,Trades!$D$2:$D$1146,$A47)</f>
        <v>-2.64</v>
      </c>
      <c r="L47" s="33" t="n">
        <f aca="false">SUMIFS(Trades!$Y$2:$Y$1146,Trades!$D$2:$D$1146,$A47)</f>
        <v>-0.0185863137144465</v>
      </c>
      <c r="M47" s="31" t="n">
        <f aca="false">P46</f>
        <v>9868.15</v>
      </c>
      <c r="N47" s="30" t="n">
        <f aca="false">IFERROR(F47/M47,0)</f>
        <v>-0.000267527348084494</v>
      </c>
      <c r="O47" s="29" t="str">
        <f aca="false">IF(-N47&gt;=Summary!$C$7,"BREACH","")</f>
        <v/>
      </c>
      <c r="P47" s="31" t="n">
        <f aca="false">M47+F47</f>
        <v>9865.51</v>
      </c>
      <c r="Q47" s="31" t="n">
        <f aca="false">P47-Summary!$C$5</f>
        <v>-134.490000000002</v>
      </c>
      <c r="R47" s="2" t="str">
        <f aca="false">TEXT(A47,"ddd")</f>
        <v>Mon</v>
      </c>
    </row>
    <row r="48" customFormat="false" ht="15" hidden="false" customHeight="false" outlineLevel="0" collapsed="false">
      <c r="A48" s="43" t="n">
        <v>44726</v>
      </c>
      <c r="B48" s="29" t="n">
        <f aca="false">COUNTIFS(Trades!$D$2:$D$1146,$A48)</f>
        <v>1</v>
      </c>
      <c r="C48" s="29" t="n">
        <f aca="false">COUNTIFS(Trades!$D$2:$D$1146,$A48,Trades!$Z$2:$Z$1146,"Win")</f>
        <v>0</v>
      </c>
      <c r="D48" s="29" t="n">
        <f aca="false">COUNTIFS(Trades!$D$2:$D$1146,$A48,Trades!$Z$2:$Z$1146,"Loss")</f>
        <v>1</v>
      </c>
      <c r="E48" s="30" t="n">
        <f aca="false">IFERROR(C48/B48,0)</f>
        <v>0</v>
      </c>
      <c r="F48" s="31" t="n">
        <f aca="false">SUMIFS(Trades!$X$2:$X$1146,Trades!$D$2:$D$1146,$A48)</f>
        <v>-82.8</v>
      </c>
      <c r="G48" s="31" t="n">
        <f aca="false">SUMIFS(Trades!$X$2:$X$1146,Trades!$D$2:$D$1146,$A48,Trades!$X$2:$X$1146,"&gt;0")</f>
        <v>0</v>
      </c>
      <c r="H48" s="31" t="n">
        <f aca="false">SUMIFS(Trades!$X$2:$X$1146,Trades!$D$2:$D$1146,$A48,Trades!$X$2:$X$1146,"&lt;0")</f>
        <v>-82.8</v>
      </c>
      <c r="I48" s="32" t="n">
        <f aca="false">IFERROR(G48/-H48,"no loss")</f>
        <v>0</v>
      </c>
      <c r="J48" s="31" t="n">
        <f aca="false">_xlfn.MAXIFS(Trades!$X$2:$X$1146,Trades!$D$2:$D$1146,$A48)</f>
        <v>-82.8</v>
      </c>
      <c r="K48" s="31" t="n">
        <f aca="false">_xlfn.MINIFS(Trades!$X$2:$X$1146,Trades!$D$2:$D$1146,$A48)</f>
        <v>-82.8</v>
      </c>
      <c r="L48" s="33" t="n">
        <f aca="false">SUMIFS(Trades!$Y$2:$Y$1146,Trades!$D$2:$D$1146,$A48)</f>
        <v>-1.03344982526207</v>
      </c>
      <c r="M48" s="31" t="n">
        <f aca="false">P47</f>
        <v>9865.51</v>
      </c>
      <c r="N48" s="30" t="n">
        <f aca="false">IFERROR(F48/M48,0)</f>
        <v>-0.00839287578645199</v>
      </c>
      <c r="O48" s="29" t="str">
        <f aca="false">IF(-N48&gt;=Summary!$C$7,"BREACH","")</f>
        <v/>
      </c>
      <c r="P48" s="31" t="n">
        <f aca="false">M48+F48</f>
        <v>9782.71</v>
      </c>
      <c r="Q48" s="31" t="n">
        <f aca="false">P48-Summary!$C$5</f>
        <v>-217.290000000001</v>
      </c>
      <c r="R48" s="2" t="str">
        <f aca="false">TEXT(A48,"ddd")</f>
        <v>Tue</v>
      </c>
    </row>
    <row r="49" customFormat="false" ht="15" hidden="false" customHeight="false" outlineLevel="0" collapsed="false">
      <c r="A49" s="43" t="n">
        <v>44727</v>
      </c>
      <c r="B49" s="29" t="n">
        <f aca="false">COUNTIFS(Trades!$D$2:$D$1146,$A49)</f>
        <v>1</v>
      </c>
      <c r="C49" s="29" t="n">
        <f aca="false">COUNTIFS(Trades!$D$2:$D$1146,$A49,Trades!$Z$2:$Z$1146,"Win")</f>
        <v>0</v>
      </c>
      <c r="D49" s="29" t="n">
        <f aca="false">COUNTIFS(Trades!$D$2:$D$1146,$A49,Trades!$Z$2:$Z$1146,"Loss")</f>
        <v>1</v>
      </c>
      <c r="E49" s="30" t="n">
        <f aca="false">IFERROR(C49/B49,0)</f>
        <v>0</v>
      </c>
      <c r="F49" s="31" t="n">
        <f aca="false">SUMIFS(Trades!$X$2:$X$1146,Trades!$D$2:$D$1146,$A49)</f>
        <v>-94.12</v>
      </c>
      <c r="G49" s="31" t="n">
        <f aca="false">SUMIFS(Trades!$X$2:$X$1146,Trades!$D$2:$D$1146,$A49,Trades!$X$2:$X$1146,"&gt;0")</f>
        <v>0</v>
      </c>
      <c r="H49" s="31" t="n">
        <f aca="false">SUMIFS(Trades!$X$2:$X$1146,Trades!$D$2:$D$1146,$A49,Trades!$X$2:$X$1146,"&lt;0")</f>
        <v>-94.12</v>
      </c>
      <c r="I49" s="32" t="n">
        <f aca="false">IFERROR(G49/-H49,"no loss")</f>
        <v>0</v>
      </c>
      <c r="J49" s="31" t="n">
        <f aca="false">_xlfn.MAXIFS(Trades!$X$2:$X$1146,Trades!$D$2:$D$1146,$A49)</f>
        <v>-94.12</v>
      </c>
      <c r="K49" s="31" t="n">
        <f aca="false">_xlfn.MINIFS(Trades!$X$2:$X$1146,Trades!$D$2:$D$1146,$A49)</f>
        <v>-94.12</v>
      </c>
      <c r="L49" s="33" t="n">
        <f aca="false">SUMIFS(Trades!$Y$2:$Y$1146,Trades!$D$2:$D$1146,$A49)</f>
        <v>-1.03201754385968</v>
      </c>
      <c r="M49" s="31" t="n">
        <f aca="false">P48</f>
        <v>9782.71</v>
      </c>
      <c r="N49" s="30" t="n">
        <f aca="false">IFERROR(F49/M49,0)</f>
        <v>-0.00962105592417643</v>
      </c>
      <c r="O49" s="29" t="str">
        <f aca="false">IF(-N49&gt;=Summary!$C$7,"BREACH","")</f>
        <v/>
      </c>
      <c r="P49" s="31" t="n">
        <f aca="false">M49+F49</f>
        <v>9688.59</v>
      </c>
      <c r="Q49" s="31" t="n">
        <f aca="false">P49-Summary!$C$5</f>
        <v>-311.410000000002</v>
      </c>
      <c r="R49" s="2" t="str">
        <f aca="false">TEXT(A49,"ddd")</f>
        <v>Wed</v>
      </c>
    </row>
    <row r="50" customFormat="false" ht="15" hidden="false" customHeight="false" outlineLevel="0" collapsed="false">
      <c r="A50" s="43" t="n">
        <v>44728</v>
      </c>
      <c r="B50" s="29" t="n">
        <f aca="false">COUNTIFS(Trades!$D$2:$D$1146,$A50)</f>
        <v>1</v>
      </c>
      <c r="C50" s="29" t="n">
        <f aca="false">COUNTIFS(Trades!$D$2:$D$1146,$A50,Trades!$Z$2:$Z$1146,"Win")</f>
        <v>0</v>
      </c>
      <c r="D50" s="29" t="n">
        <f aca="false">COUNTIFS(Trades!$D$2:$D$1146,$A50,Trades!$Z$2:$Z$1146,"Loss")</f>
        <v>1</v>
      </c>
      <c r="E50" s="30" t="n">
        <f aca="false">IFERROR(C50/B50,0)</f>
        <v>0</v>
      </c>
      <c r="F50" s="31" t="n">
        <f aca="false">SUMIFS(Trades!$X$2:$X$1146,Trades!$D$2:$D$1146,$A50)</f>
        <v>-0.12</v>
      </c>
      <c r="G50" s="31" t="n">
        <f aca="false">SUMIFS(Trades!$X$2:$X$1146,Trades!$D$2:$D$1146,$A50,Trades!$X$2:$X$1146,"&gt;0")</f>
        <v>0</v>
      </c>
      <c r="H50" s="31" t="n">
        <f aca="false">SUMIFS(Trades!$X$2:$X$1146,Trades!$D$2:$D$1146,$A50,Trades!$X$2:$X$1146,"&lt;0")</f>
        <v>-0.12</v>
      </c>
      <c r="I50" s="32" t="n">
        <f aca="false">IFERROR(G50/-H50,"no loss")</f>
        <v>0</v>
      </c>
      <c r="J50" s="31" t="n">
        <f aca="false">_xlfn.MAXIFS(Trades!$X$2:$X$1146,Trades!$D$2:$D$1146,$A50)</f>
        <v>-0.12</v>
      </c>
      <c r="K50" s="31" t="n">
        <f aca="false">_xlfn.MINIFS(Trades!$X$2:$X$1146,Trades!$D$2:$D$1146,$A50)</f>
        <v>-0.12</v>
      </c>
      <c r="L50" s="33" t="n">
        <f aca="false">SUMIFS(Trades!$Y$2:$Y$1146,Trades!$D$2:$D$1146,$A50)</f>
        <v>-0.00132743362831856</v>
      </c>
      <c r="M50" s="31" t="n">
        <f aca="false">P49</f>
        <v>9688.59</v>
      </c>
      <c r="N50" s="30" t="n">
        <f aca="false">IFERROR(F50/M50,0)</f>
        <v>-1.23857031828161E-005</v>
      </c>
      <c r="O50" s="29" t="str">
        <f aca="false">IF(-N50&gt;=Summary!$C$7,"BREACH","")</f>
        <v/>
      </c>
      <c r="P50" s="31" t="n">
        <f aca="false">M50+F50</f>
        <v>9688.47</v>
      </c>
      <c r="Q50" s="31" t="n">
        <f aca="false">P50-Summary!$C$5</f>
        <v>-311.530000000003</v>
      </c>
      <c r="R50" s="2" t="str">
        <f aca="false">TEXT(A50,"ddd")</f>
        <v>Thu</v>
      </c>
    </row>
    <row r="51" customFormat="false" ht="15" hidden="false" customHeight="false" outlineLevel="0" collapsed="false">
      <c r="A51" s="43" t="n">
        <v>44732</v>
      </c>
      <c r="B51" s="29" t="n">
        <f aca="false">COUNTIFS(Trades!$D$2:$D$1146,$A51)</f>
        <v>1</v>
      </c>
      <c r="C51" s="29" t="n">
        <f aca="false">COUNTIFS(Trades!$D$2:$D$1146,$A51,Trades!$Z$2:$Z$1146,"Win")</f>
        <v>1</v>
      </c>
      <c r="D51" s="29" t="n">
        <f aca="false">COUNTIFS(Trades!$D$2:$D$1146,$A51,Trades!$Z$2:$Z$1146,"Loss")</f>
        <v>0</v>
      </c>
      <c r="E51" s="30" t="n">
        <f aca="false">IFERROR(C51/B51,0)</f>
        <v>1</v>
      </c>
      <c r="F51" s="31" t="n">
        <f aca="false">SUMIFS(Trades!$X$2:$X$1146,Trades!$D$2:$D$1146,$A51)</f>
        <v>69.56</v>
      </c>
      <c r="G51" s="31" t="n">
        <f aca="false">SUMIFS(Trades!$X$2:$X$1146,Trades!$D$2:$D$1146,$A51,Trades!$X$2:$X$1146,"&gt;0")</f>
        <v>69.56</v>
      </c>
      <c r="H51" s="31" t="n">
        <f aca="false">SUMIFS(Trades!$X$2:$X$1146,Trades!$D$2:$D$1146,$A51,Trades!$X$2:$X$1146,"&lt;0")</f>
        <v>0</v>
      </c>
      <c r="I51" s="32" t="str">
        <f aca="false">IFERROR(G51/-H51,"no loss")</f>
        <v>no loss</v>
      </c>
      <c r="J51" s="31" t="n">
        <f aca="false">_xlfn.MAXIFS(Trades!$X$2:$X$1146,Trades!$D$2:$D$1146,$A51)</f>
        <v>69.56</v>
      </c>
      <c r="K51" s="31" t="n">
        <f aca="false">_xlfn.MINIFS(Trades!$X$2:$X$1146,Trades!$D$2:$D$1146,$A51)</f>
        <v>69.56</v>
      </c>
      <c r="L51" s="33" t="n">
        <f aca="false">SUMIFS(Trades!$Y$2:$Y$1146,Trades!$D$2:$D$1146,$A51)</f>
        <v>2.66309341500813</v>
      </c>
      <c r="M51" s="31" t="n">
        <f aca="false">P50</f>
        <v>9688.47</v>
      </c>
      <c r="N51" s="30" t="n">
        <f aca="false">IFERROR(F51/M51,0)</f>
        <v>0.00717966820354504</v>
      </c>
      <c r="O51" s="29" t="str">
        <f aca="false">IF(-N51&gt;=Summary!$C$7,"BREACH","")</f>
        <v/>
      </c>
      <c r="P51" s="31" t="n">
        <f aca="false">M51+F51</f>
        <v>9758.03</v>
      </c>
      <c r="Q51" s="31" t="n">
        <f aca="false">P51-Summary!$C$5</f>
        <v>-241.970000000003</v>
      </c>
      <c r="R51" s="2" t="str">
        <f aca="false">TEXT(A51,"ddd")</f>
        <v>Mon</v>
      </c>
    </row>
    <row r="52" customFormat="false" ht="15" hidden="false" customHeight="false" outlineLevel="0" collapsed="false">
      <c r="A52" s="43" t="n">
        <v>44733</v>
      </c>
      <c r="B52" s="29" t="n">
        <f aca="false">COUNTIFS(Trades!$D$2:$D$1146,$A52)</f>
        <v>1</v>
      </c>
      <c r="C52" s="29" t="n">
        <f aca="false">COUNTIFS(Trades!$D$2:$D$1146,$A52,Trades!$Z$2:$Z$1146,"Win")</f>
        <v>0</v>
      </c>
      <c r="D52" s="29" t="n">
        <f aca="false">COUNTIFS(Trades!$D$2:$D$1146,$A52,Trades!$Z$2:$Z$1146,"Loss")</f>
        <v>1</v>
      </c>
      <c r="E52" s="30" t="n">
        <f aca="false">IFERROR(C52/B52,0)</f>
        <v>0</v>
      </c>
      <c r="F52" s="31" t="n">
        <f aca="false">SUMIFS(Trades!$X$2:$X$1146,Trades!$D$2:$D$1146,$A52)</f>
        <v>-0.08</v>
      </c>
      <c r="G52" s="31" t="n">
        <f aca="false">SUMIFS(Trades!$X$2:$X$1146,Trades!$D$2:$D$1146,$A52,Trades!$X$2:$X$1146,"&gt;0")</f>
        <v>0</v>
      </c>
      <c r="H52" s="31" t="n">
        <f aca="false">SUMIFS(Trades!$X$2:$X$1146,Trades!$D$2:$D$1146,$A52,Trades!$X$2:$X$1146,"&lt;0")</f>
        <v>-0.08</v>
      </c>
      <c r="I52" s="32" t="n">
        <f aca="false">IFERROR(G52/-H52,"no loss")</f>
        <v>0</v>
      </c>
      <c r="J52" s="31" t="n">
        <f aca="false">_xlfn.MAXIFS(Trades!$X$2:$X$1146,Trades!$D$2:$D$1146,$A52)</f>
        <v>-0.08</v>
      </c>
      <c r="K52" s="31" t="n">
        <f aca="false">_xlfn.MINIFS(Trades!$X$2:$X$1146,Trades!$D$2:$D$1146,$A52)</f>
        <v>-0.08</v>
      </c>
      <c r="L52" s="33" t="n">
        <f aca="false">SUMIFS(Trades!$Y$2:$Y$1146,Trades!$D$2:$D$1146,$A52)</f>
        <v>-0.0032</v>
      </c>
      <c r="M52" s="31" t="n">
        <f aca="false">P51</f>
        <v>9758.03</v>
      </c>
      <c r="N52" s="30" t="n">
        <f aca="false">IFERROR(F52/M52,0)</f>
        <v>-8.19837610665268E-006</v>
      </c>
      <c r="O52" s="29" t="str">
        <f aca="false">IF(-N52&gt;=Summary!$C$7,"BREACH","")</f>
        <v/>
      </c>
      <c r="P52" s="31" t="n">
        <f aca="false">M52+F52</f>
        <v>9757.95</v>
      </c>
      <c r="Q52" s="31" t="n">
        <f aca="false">P52-Summary!$C$5</f>
        <v>-242.050000000003</v>
      </c>
      <c r="R52" s="2" t="str">
        <f aca="false">TEXT(A52,"ddd")</f>
        <v>Tue</v>
      </c>
    </row>
    <row r="53" customFormat="false" ht="15" hidden="false" customHeight="false" outlineLevel="0" collapsed="false">
      <c r="A53" s="43" t="n">
        <v>44734</v>
      </c>
      <c r="B53" s="29" t="n">
        <f aca="false">COUNTIFS(Trades!$D$2:$D$1146,$A53)</f>
        <v>2</v>
      </c>
      <c r="C53" s="29" t="n">
        <f aca="false">COUNTIFS(Trades!$D$2:$D$1146,$A53,Trades!$Z$2:$Z$1146,"Win")</f>
        <v>2</v>
      </c>
      <c r="D53" s="29" t="n">
        <f aca="false">COUNTIFS(Trades!$D$2:$D$1146,$A53,Trades!$Z$2:$Z$1146,"Loss")</f>
        <v>0</v>
      </c>
      <c r="E53" s="30" t="n">
        <f aca="false">IFERROR(C53/B53,0)</f>
        <v>1</v>
      </c>
      <c r="F53" s="31" t="n">
        <f aca="false">SUMIFS(Trades!$X$2:$X$1146,Trades!$D$2:$D$1146,$A53)</f>
        <v>295.16</v>
      </c>
      <c r="G53" s="31" t="n">
        <f aca="false">SUMIFS(Trades!$X$2:$X$1146,Trades!$D$2:$D$1146,$A53,Trades!$X$2:$X$1146,"&gt;0")</f>
        <v>295.16</v>
      </c>
      <c r="H53" s="31" t="n">
        <f aca="false">SUMIFS(Trades!$X$2:$X$1146,Trades!$D$2:$D$1146,$A53,Trades!$X$2:$X$1146,"&lt;0")</f>
        <v>0</v>
      </c>
      <c r="I53" s="32" t="str">
        <f aca="false">IFERROR(G53/-H53,"no loss")</f>
        <v>no loss</v>
      </c>
      <c r="J53" s="31" t="n">
        <f aca="false">_xlfn.MAXIFS(Trades!$X$2:$X$1146,Trades!$D$2:$D$1146,$A53)</f>
        <v>163.48</v>
      </c>
      <c r="K53" s="31" t="n">
        <f aca="false">_xlfn.MINIFS(Trades!$X$2:$X$1146,Trades!$D$2:$D$1146,$A53)</f>
        <v>131.68</v>
      </c>
      <c r="L53" s="33" t="n">
        <f aca="false">SUMIFS(Trades!$Y$2:$Y$1146,Trades!$D$2:$D$1146,$A53)</f>
        <v>4.95322941490731</v>
      </c>
      <c r="M53" s="31" t="n">
        <f aca="false">P52</f>
        <v>9757.95</v>
      </c>
      <c r="N53" s="30" t="n">
        <f aca="false">IFERROR(F53/M53,0)</f>
        <v>0.0302481566312596</v>
      </c>
      <c r="O53" s="29" t="str">
        <f aca="false">IF(-N53&gt;=Summary!$C$7,"BREACH","")</f>
        <v/>
      </c>
      <c r="P53" s="31" t="n">
        <f aca="false">M53+F53</f>
        <v>10053.11</v>
      </c>
      <c r="Q53" s="31" t="n">
        <f aca="false">P53-Summary!$C$5</f>
        <v>53.1099999999969</v>
      </c>
      <c r="R53" s="2" t="str">
        <f aca="false">TEXT(A53,"ddd")</f>
        <v>Wed</v>
      </c>
    </row>
    <row r="54" customFormat="false" ht="15" hidden="false" customHeight="false" outlineLevel="0" collapsed="false">
      <c r="A54" s="43" t="n">
        <v>44735</v>
      </c>
      <c r="B54" s="29" t="n">
        <f aca="false">COUNTIFS(Trades!$D$2:$D$1146,$A54)</f>
        <v>1</v>
      </c>
      <c r="C54" s="29" t="n">
        <f aca="false">COUNTIFS(Trades!$D$2:$D$1146,$A54,Trades!$Z$2:$Z$1146,"Win")</f>
        <v>0</v>
      </c>
      <c r="D54" s="29" t="n">
        <f aca="false">COUNTIFS(Trades!$D$2:$D$1146,$A54,Trades!$Z$2:$Z$1146,"Loss")</f>
        <v>1</v>
      </c>
      <c r="E54" s="30" t="n">
        <f aca="false">IFERROR(C54/B54,0)</f>
        <v>0</v>
      </c>
      <c r="F54" s="31" t="n">
        <f aca="false">SUMIFS(Trades!$X$2:$X$1146,Trades!$D$2:$D$1146,$A54)</f>
        <v>-57.28</v>
      </c>
      <c r="G54" s="31" t="n">
        <f aca="false">SUMIFS(Trades!$X$2:$X$1146,Trades!$D$2:$D$1146,$A54,Trades!$X$2:$X$1146,"&gt;0")</f>
        <v>0</v>
      </c>
      <c r="H54" s="31" t="n">
        <f aca="false">SUMIFS(Trades!$X$2:$X$1146,Trades!$D$2:$D$1146,$A54,Trades!$X$2:$X$1146,"&lt;0")</f>
        <v>-57.28</v>
      </c>
      <c r="I54" s="32" t="n">
        <f aca="false">IFERROR(G54/-H54,"no loss")</f>
        <v>0</v>
      </c>
      <c r="J54" s="31" t="n">
        <f aca="false">_xlfn.MAXIFS(Trades!$X$2:$X$1146,Trades!$D$2:$D$1146,$A54)</f>
        <v>-57.28</v>
      </c>
      <c r="K54" s="31" t="n">
        <f aca="false">_xlfn.MINIFS(Trades!$X$2:$X$1146,Trades!$D$2:$D$1146,$A54)</f>
        <v>-57.28</v>
      </c>
      <c r="L54" s="33" t="n">
        <f aca="false">SUMIFS(Trades!$Y$2:$Y$1146,Trades!$D$2:$D$1146,$A54)</f>
        <v>-1.17860082304513</v>
      </c>
      <c r="M54" s="31" t="n">
        <f aca="false">P53</f>
        <v>10053.11</v>
      </c>
      <c r="N54" s="30" t="n">
        <f aca="false">IFERROR(F54/M54,0)</f>
        <v>-0.00569773930654295</v>
      </c>
      <c r="O54" s="29" t="str">
        <f aca="false">IF(-N54&gt;=Summary!$C$7,"BREACH","")</f>
        <v/>
      </c>
      <c r="P54" s="31" t="n">
        <f aca="false">M54+F54</f>
        <v>9995.83</v>
      </c>
      <c r="Q54" s="31" t="n">
        <f aca="false">P54-Summary!$C$5</f>
        <v>-4.17000000000371</v>
      </c>
      <c r="R54" s="2" t="str">
        <f aca="false">TEXT(A54,"ddd")</f>
        <v>Thu</v>
      </c>
    </row>
    <row r="55" customFormat="false" ht="15" hidden="false" customHeight="false" outlineLevel="0" collapsed="false">
      <c r="A55" s="43" t="n">
        <v>44736</v>
      </c>
      <c r="B55" s="29" t="n">
        <f aca="false">COUNTIFS(Trades!$D$2:$D$1146,$A55)</f>
        <v>1</v>
      </c>
      <c r="C55" s="29" t="n">
        <f aca="false">COUNTIFS(Trades!$D$2:$D$1146,$A55,Trades!$Z$2:$Z$1146,"Win")</f>
        <v>0</v>
      </c>
      <c r="D55" s="29" t="n">
        <f aca="false">COUNTIFS(Trades!$D$2:$D$1146,$A55,Trades!$Z$2:$Z$1146,"Loss")</f>
        <v>1</v>
      </c>
      <c r="E55" s="30" t="n">
        <f aca="false">IFERROR(C55/B55,0)</f>
        <v>0</v>
      </c>
      <c r="F55" s="31" t="n">
        <f aca="false">SUMIFS(Trades!$X$2:$X$1146,Trades!$D$2:$D$1146,$A55)</f>
        <v>-0.08</v>
      </c>
      <c r="G55" s="31" t="n">
        <f aca="false">SUMIFS(Trades!$X$2:$X$1146,Trades!$D$2:$D$1146,$A55,Trades!$X$2:$X$1146,"&gt;0")</f>
        <v>0</v>
      </c>
      <c r="H55" s="31" t="n">
        <f aca="false">SUMIFS(Trades!$X$2:$X$1146,Trades!$D$2:$D$1146,$A55,Trades!$X$2:$X$1146,"&lt;0")</f>
        <v>-0.08</v>
      </c>
      <c r="I55" s="32" t="n">
        <f aca="false">IFERROR(G55/-H55,"no loss")</f>
        <v>0</v>
      </c>
      <c r="J55" s="31" t="n">
        <f aca="false">_xlfn.MAXIFS(Trades!$X$2:$X$1146,Trades!$D$2:$D$1146,$A55)</f>
        <v>-0.08</v>
      </c>
      <c r="K55" s="31" t="n">
        <f aca="false">_xlfn.MINIFS(Trades!$X$2:$X$1146,Trades!$D$2:$D$1146,$A55)</f>
        <v>-0.08</v>
      </c>
      <c r="L55" s="33" t="n">
        <f aca="false">SUMIFS(Trades!$Y$2:$Y$1146,Trades!$D$2:$D$1146,$A55)</f>
        <v>-0.00246913580246958</v>
      </c>
      <c r="M55" s="31" t="n">
        <f aca="false">P54</f>
        <v>9995.83</v>
      </c>
      <c r="N55" s="30" t="n">
        <f aca="false">IFERROR(F55/M55,0)</f>
        <v>-8.00333739169234E-006</v>
      </c>
      <c r="O55" s="29" t="str">
        <f aca="false">IF(-N55&gt;=Summary!$C$7,"BREACH","")</f>
        <v/>
      </c>
      <c r="P55" s="31" t="n">
        <f aca="false">M55+F55</f>
        <v>9995.75</v>
      </c>
      <c r="Q55" s="31" t="n">
        <f aca="false">P55-Summary!$C$5</f>
        <v>-4.25000000000364</v>
      </c>
      <c r="R55" s="2" t="str">
        <f aca="false">TEXT(A55,"ddd")</f>
        <v>Fri</v>
      </c>
    </row>
    <row r="56" customFormat="false" ht="15" hidden="false" customHeight="false" outlineLevel="0" collapsed="false">
      <c r="A56" s="43" t="n">
        <v>44739</v>
      </c>
      <c r="B56" s="29" t="n">
        <f aca="false">COUNTIFS(Trades!$D$2:$D$1146,$A56)</f>
        <v>1</v>
      </c>
      <c r="C56" s="29" t="n">
        <f aca="false">COUNTIFS(Trades!$D$2:$D$1146,$A56,Trades!$Z$2:$Z$1146,"Win")</f>
        <v>0</v>
      </c>
      <c r="D56" s="29" t="n">
        <f aca="false">COUNTIFS(Trades!$D$2:$D$1146,$A56,Trades!$Z$2:$Z$1146,"Loss")</f>
        <v>1</v>
      </c>
      <c r="E56" s="30" t="n">
        <f aca="false">IFERROR(C56/B56,0)</f>
        <v>0</v>
      </c>
      <c r="F56" s="31" t="n">
        <f aca="false">SUMIFS(Trades!$X$2:$X$1146,Trades!$D$2:$D$1146,$A56)</f>
        <v>-55.52</v>
      </c>
      <c r="G56" s="31" t="n">
        <f aca="false">SUMIFS(Trades!$X$2:$X$1146,Trades!$D$2:$D$1146,$A56,Trades!$X$2:$X$1146,"&gt;0")</f>
        <v>0</v>
      </c>
      <c r="H56" s="31" t="n">
        <f aca="false">SUMIFS(Trades!$X$2:$X$1146,Trades!$D$2:$D$1146,$A56,Trades!$X$2:$X$1146,"&lt;0")</f>
        <v>-55.52</v>
      </c>
      <c r="I56" s="32" t="n">
        <f aca="false">IFERROR(G56/-H56,"no loss")</f>
        <v>0</v>
      </c>
      <c r="J56" s="31" t="n">
        <f aca="false">_xlfn.MAXIFS(Trades!$X$2:$X$1146,Trades!$D$2:$D$1146,$A56)</f>
        <v>-55.52</v>
      </c>
      <c r="K56" s="31" t="n">
        <f aca="false">_xlfn.MINIFS(Trades!$X$2:$X$1146,Trades!$D$2:$D$1146,$A56)</f>
        <v>-55.52</v>
      </c>
      <c r="L56" s="33" t="n">
        <f aca="false">SUMIFS(Trades!$Y$2:$Y$1146,Trades!$D$2:$D$1146,$A56)</f>
        <v>-1.06360153256711</v>
      </c>
      <c r="M56" s="31" t="n">
        <f aca="false">P55</f>
        <v>9995.75</v>
      </c>
      <c r="N56" s="30" t="n">
        <f aca="false">IFERROR(F56/M56,0)</f>
        <v>-0.00555436060325639</v>
      </c>
      <c r="O56" s="29" t="str">
        <f aca="false">IF(-N56&gt;=Summary!$C$7,"BREACH","")</f>
        <v/>
      </c>
      <c r="P56" s="31" t="n">
        <f aca="false">M56+F56</f>
        <v>9940.23</v>
      </c>
      <c r="Q56" s="31" t="n">
        <f aca="false">P56-Summary!$C$5</f>
        <v>-59.7700000000041</v>
      </c>
      <c r="R56" s="2" t="str">
        <f aca="false">TEXT(A56,"ddd")</f>
        <v>Mon</v>
      </c>
    </row>
    <row r="57" customFormat="false" ht="15" hidden="false" customHeight="false" outlineLevel="0" collapsed="false">
      <c r="A57" s="43" t="n">
        <v>44740</v>
      </c>
      <c r="B57" s="29" t="n">
        <f aca="false">COUNTIFS(Trades!$D$2:$D$1146,$A57)</f>
        <v>1</v>
      </c>
      <c r="C57" s="29" t="n">
        <f aca="false">COUNTIFS(Trades!$D$2:$D$1146,$A57,Trades!$Z$2:$Z$1146,"Win")</f>
        <v>0</v>
      </c>
      <c r="D57" s="29" t="n">
        <f aca="false">COUNTIFS(Trades!$D$2:$D$1146,$A57,Trades!$Z$2:$Z$1146,"Loss")</f>
        <v>1</v>
      </c>
      <c r="E57" s="30" t="n">
        <f aca="false">IFERROR(C57/B57,0)</f>
        <v>0</v>
      </c>
      <c r="F57" s="31" t="n">
        <f aca="false">SUMIFS(Trades!$X$2:$X$1146,Trades!$D$2:$D$1146,$A57)</f>
        <v>-0.2</v>
      </c>
      <c r="G57" s="31" t="n">
        <f aca="false">SUMIFS(Trades!$X$2:$X$1146,Trades!$D$2:$D$1146,$A57,Trades!$X$2:$X$1146,"&gt;0")</f>
        <v>0</v>
      </c>
      <c r="H57" s="31" t="n">
        <f aca="false">SUMIFS(Trades!$X$2:$X$1146,Trades!$D$2:$D$1146,$A57,Trades!$X$2:$X$1146,"&lt;0")</f>
        <v>-0.2</v>
      </c>
      <c r="I57" s="32" t="n">
        <f aca="false">IFERROR(G57/-H57,"no loss")</f>
        <v>0</v>
      </c>
      <c r="J57" s="31" t="n">
        <f aca="false">_xlfn.MAXIFS(Trades!$X$2:$X$1146,Trades!$D$2:$D$1146,$A57)</f>
        <v>-0.2</v>
      </c>
      <c r="K57" s="31" t="n">
        <f aca="false">_xlfn.MINIFS(Trades!$X$2:$X$1146,Trades!$D$2:$D$1146,$A57)</f>
        <v>-0.2</v>
      </c>
      <c r="L57" s="33" t="n">
        <f aca="false">SUMIFS(Trades!$Y$2:$Y$1146,Trades!$D$2:$D$1146,$A57)</f>
        <v>-0.00420168067226839</v>
      </c>
      <c r="M57" s="31" t="n">
        <f aca="false">P56</f>
        <v>9940.23</v>
      </c>
      <c r="N57" s="30" t="n">
        <f aca="false">IFERROR(F57/M57,0)</f>
        <v>-2.01202587867685E-005</v>
      </c>
      <c r="O57" s="29" t="str">
        <f aca="false">IF(-N57&gt;=Summary!$C$7,"BREACH","")</f>
        <v/>
      </c>
      <c r="P57" s="31" t="n">
        <f aca="false">M57+F57</f>
        <v>9940.03</v>
      </c>
      <c r="Q57" s="31" t="n">
        <f aca="false">P57-Summary!$C$5</f>
        <v>-59.9700000000048</v>
      </c>
      <c r="R57" s="2" t="str">
        <f aca="false">TEXT(A57,"ddd")</f>
        <v>Tue</v>
      </c>
    </row>
    <row r="58" customFormat="false" ht="15" hidden="false" customHeight="false" outlineLevel="0" collapsed="false">
      <c r="A58" s="43" t="n">
        <v>44741</v>
      </c>
      <c r="B58" s="29" t="n">
        <f aca="false">COUNTIFS(Trades!$D$2:$D$1146,$A58)</f>
        <v>1</v>
      </c>
      <c r="C58" s="29" t="n">
        <f aca="false">COUNTIFS(Trades!$D$2:$D$1146,$A58,Trades!$Z$2:$Z$1146,"Win")</f>
        <v>0</v>
      </c>
      <c r="D58" s="29" t="n">
        <f aca="false">COUNTIFS(Trades!$D$2:$D$1146,$A58,Trades!$Z$2:$Z$1146,"Loss")</f>
        <v>1</v>
      </c>
      <c r="E58" s="30" t="n">
        <f aca="false">IFERROR(C58/B58,0)</f>
        <v>0</v>
      </c>
      <c r="F58" s="31" t="n">
        <f aca="false">SUMIFS(Trades!$X$2:$X$1146,Trades!$D$2:$D$1146,$A58)</f>
        <v>-30.92</v>
      </c>
      <c r="G58" s="31" t="n">
        <f aca="false">SUMIFS(Trades!$X$2:$X$1146,Trades!$D$2:$D$1146,$A58,Trades!$X$2:$X$1146,"&gt;0")</f>
        <v>0</v>
      </c>
      <c r="H58" s="31" t="n">
        <f aca="false">SUMIFS(Trades!$X$2:$X$1146,Trades!$D$2:$D$1146,$A58,Trades!$X$2:$X$1146,"&lt;0")</f>
        <v>-30.92</v>
      </c>
      <c r="I58" s="32" t="n">
        <f aca="false">IFERROR(G58/-H58,"no loss")</f>
        <v>0</v>
      </c>
      <c r="J58" s="31" t="n">
        <f aca="false">_xlfn.MAXIFS(Trades!$X$2:$X$1146,Trades!$D$2:$D$1146,$A58)</f>
        <v>-30.92</v>
      </c>
      <c r="K58" s="31" t="n">
        <f aca="false">_xlfn.MINIFS(Trades!$X$2:$X$1146,Trades!$D$2:$D$1146,$A58)</f>
        <v>-30.92</v>
      </c>
      <c r="L58" s="33" t="n">
        <f aca="false">SUMIFS(Trades!$Y$2:$Y$1146,Trades!$D$2:$D$1146,$A58)</f>
        <v>-1.05027173913061</v>
      </c>
      <c r="M58" s="31" t="n">
        <f aca="false">P57</f>
        <v>9940.03</v>
      </c>
      <c r="N58" s="30" t="n">
        <f aca="false">IFERROR(F58/M58,0)</f>
        <v>-0.00311065459560987</v>
      </c>
      <c r="O58" s="29" t="str">
        <f aca="false">IF(-N58&gt;=Summary!$C$7,"BREACH","")</f>
        <v/>
      </c>
      <c r="P58" s="31" t="n">
        <f aca="false">M58+F58</f>
        <v>9909.11</v>
      </c>
      <c r="Q58" s="31" t="n">
        <f aca="false">P58-Summary!$C$5</f>
        <v>-90.8900000000049</v>
      </c>
      <c r="R58" s="2" t="str">
        <f aca="false">TEXT(A58,"ddd")</f>
        <v>Wed</v>
      </c>
    </row>
    <row r="59" customFormat="false" ht="15" hidden="false" customHeight="false" outlineLevel="0" collapsed="false">
      <c r="A59" s="43" t="n">
        <v>44742</v>
      </c>
      <c r="B59" s="29" t="n">
        <f aca="false">COUNTIFS(Trades!$D$2:$D$1146,$A59)</f>
        <v>1</v>
      </c>
      <c r="C59" s="29" t="n">
        <f aca="false">COUNTIFS(Trades!$D$2:$D$1146,$A59,Trades!$Z$2:$Z$1146,"Win")</f>
        <v>0</v>
      </c>
      <c r="D59" s="29" t="n">
        <f aca="false">COUNTIFS(Trades!$D$2:$D$1146,$A59,Trades!$Z$2:$Z$1146,"Loss")</f>
        <v>1</v>
      </c>
      <c r="E59" s="30" t="n">
        <f aca="false">IFERROR(C59/B59,0)</f>
        <v>0</v>
      </c>
      <c r="F59" s="31" t="n">
        <f aca="false">SUMIFS(Trades!$X$2:$X$1146,Trades!$D$2:$D$1146,$A59)</f>
        <v>-43.48</v>
      </c>
      <c r="G59" s="31" t="n">
        <f aca="false">SUMIFS(Trades!$X$2:$X$1146,Trades!$D$2:$D$1146,$A59,Trades!$X$2:$X$1146,"&gt;0")</f>
        <v>0</v>
      </c>
      <c r="H59" s="31" t="n">
        <f aca="false">SUMIFS(Trades!$X$2:$X$1146,Trades!$D$2:$D$1146,$A59,Trades!$X$2:$X$1146,"&lt;0")</f>
        <v>-43.48</v>
      </c>
      <c r="I59" s="32" t="n">
        <f aca="false">IFERROR(G59/-H59,"no loss")</f>
        <v>0</v>
      </c>
      <c r="J59" s="31" t="n">
        <f aca="false">_xlfn.MAXIFS(Trades!$X$2:$X$1146,Trades!$D$2:$D$1146,$A59)</f>
        <v>-43.48</v>
      </c>
      <c r="K59" s="31" t="n">
        <f aca="false">_xlfn.MINIFS(Trades!$X$2:$X$1146,Trades!$D$2:$D$1146,$A59)</f>
        <v>-43.48</v>
      </c>
      <c r="L59" s="33" t="n">
        <f aca="false">SUMIFS(Trades!$Y$2:$Y$1146,Trades!$D$2:$D$1146,$A59)</f>
        <v>-1.01588785046722</v>
      </c>
      <c r="M59" s="31" t="n">
        <f aca="false">P58</f>
        <v>9909.11</v>
      </c>
      <c r="N59" s="30" t="n">
        <f aca="false">IFERROR(F59/M59,0)</f>
        <v>-0.00438788145454032</v>
      </c>
      <c r="O59" s="29" t="str">
        <f aca="false">IF(-N59&gt;=Summary!$C$7,"BREACH","")</f>
        <v/>
      </c>
      <c r="P59" s="31" t="n">
        <f aca="false">M59+F59</f>
        <v>9865.63</v>
      </c>
      <c r="Q59" s="31" t="n">
        <f aca="false">P59-Summary!$C$5</f>
        <v>-134.370000000004</v>
      </c>
      <c r="R59" s="2" t="str">
        <f aca="false">TEXT(A59,"ddd")</f>
        <v>Thu</v>
      </c>
    </row>
    <row r="60" customFormat="false" ht="15" hidden="false" customHeight="false" outlineLevel="0" collapsed="false">
      <c r="A60" s="43" t="n">
        <v>44747</v>
      </c>
      <c r="B60" s="29" t="n">
        <f aca="false">COUNTIFS(Trades!$D$2:$D$1146,$A60)</f>
        <v>2</v>
      </c>
      <c r="C60" s="29" t="n">
        <f aca="false">COUNTIFS(Trades!$D$2:$D$1146,$A60,Trades!$Z$2:$Z$1146,"Win")</f>
        <v>1</v>
      </c>
      <c r="D60" s="29" t="n">
        <f aca="false">COUNTIFS(Trades!$D$2:$D$1146,$A60,Trades!$Z$2:$Z$1146,"Loss")</f>
        <v>1</v>
      </c>
      <c r="E60" s="30" t="n">
        <f aca="false">IFERROR(C60/B60,0)</f>
        <v>0.5</v>
      </c>
      <c r="F60" s="31" t="n">
        <f aca="false">SUMIFS(Trades!$X$2:$X$1146,Trades!$D$2:$D$1146,$A60)</f>
        <v>42.76</v>
      </c>
      <c r="G60" s="31" t="n">
        <f aca="false">SUMIFS(Trades!$X$2:$X$1146,Trades!$D$2:$D$1146,$A60,Trades!$X$2:$X$1146,"&gt;0")</f>
        <v>64.6</v>
      </c>
      <c r="H60" s="31" t="n">
        <f aca="false">SUMIFS(Trades!$X$2:$X$1146,Trades!$D$2:$D$1146,$A60,Trades!$X$2:$X$1146,"&lt;0")</f>
        <v>-21.84</v>
      </c>
      <c r="I60" s="32" t="n">
        <f aca="false">IFERROR(G60/-H60,"no loss")</f>
        <v>2.95787545787546</v>
      </c>
      <c r="J60" s="31" t="n">
        <f aca="false">_xlfn.MAXIFS(Trades!$X$2:$X$1146,Trades!$D$2:$D$1146,$A60)</f>
        <v>64.6</v>
      </c>
      <c r="K60" s="31" t="n">
        <f aca="false">_xlfn.MINIFS(Trades!$X$2:$X$1146,Trades!$D$2:$D$1146,$A60)</f>
        <v>-21.84</v>
      </c>
      <c r="L60" s="33" t="n">
        <f aca="false">SUMIFS(Trades!$Y$2:$Y$1146,Trades!$D$2:$D$1146,$A60)</f>
        <v>1.47747929594617</v>
      </c>
      <c r="M60" s="31" t="n">
        <f aca="false">P59</f>
        <v>9865.63</v>
      </c>
      <c r="N60" s="30" t="n">
        <f aca="false">IFERROR(F60/M60,0)</f>
        <v>0.00433423917175082</v>
      </c>
      <c r="O60" s="29" t="str">
        <f aca="false">IF(-N60&gt;=Summary!$C$7,"BREACH","")</f>
        <v/>
      </c>
      <c r="P60" s="31" t="n">
        <f aca="false">M60+F60</f>
        <v>9908.39</v>
      </c>
      <c r="Q60" s="31" t="n">
        <f aca="false">P60-Summary!$C$5</f>
        <v>-91.6100000000042</v>
      </c>
      <c r="R60" s="2" t="str">
        <f aca="false">TEXT(A60,"ddd")</f>
        <v>Tue</v>
      </c>
    </row>
    <row r="61" customFormat="false" ht="15" hidden="false" customHeight="false" outlineLevel="0" collapsed="false">
      <c r="A61" s="43" t="n">
        <v>44748</v>
      </c>
      <c r="B61" s="29" t="n">
        <f aca="false">COUNTIFS(Trades!$D$2:$D$1146,$A61)</f>
        <v>1</v>
      </c>
      <c r="C61" s="29" t="n">
        <f aca="false">COUNTIFS(Trades!$D$2:$D$1146,$A61,Trades!$Z$2:$Z$1146,"Win")</f>
        <v>0</v>
      </c>
      <c r="D61" s="29" t="n">
        <f aca="false">COUNTIFS(Trades!$D$2:$D$1146,$A61,Trades!$Z$2:$Z$1146,"Loss")</f>
        <v>1</v>
      </c>
      <c r="E61" s="30" t="n">
        <f aca="false">IFERROR(C61/B61,0)</f>
        <v>0</v>
      </c>
      <c r="F61" s="31" t="n">
        <f aca="false">SUMIFS(Trades!$X$2:$X$1146,Trades!$D$2:$D$1146,$A61)</f>
        <v>-0.08</v>
      </c>
      <c r="G61" s="31" t="n">
        <f aca="false">SUMIFS(Trades!$X$2:$X$1146,Trades!$D$2:$D$1146,$A61,Trades!$X$2:$X$1146,"&gt;0")</f>
        <v>0</v>
      </c>
      <c r="H61" s="31" t="n">
        <f aca="false">SUMIFS(Trades!$X$2:$X$1146,Trades!$D$2:$D$1146,$A61,Trades!$X$2:$X$1146,"&lt;0")</f>
        <v>-0.08</v>
      </c>
      <c r="I61" s="32" t="n">
        <f aca="false">IFERROR(G61/-H61,"no loss")</f>
        <v>0</v>
      </c>
      <c r="J61" s="31" t="n">
        <f aca="false">_xlfn.MAXIFS(Trades!$X$2:$X$1146,Trades!$D$2:$D$1146,$A61)</f>
        <v>-0.08</v>
      </c>
      <c r="K61" s="31" t="n">
        <f aca="false">_xlfn.MINIFS(Trades!$X$2:$X$1146,Trades!$D$2:$D$1146,$A61)</f>
        <v>-0.08</v>
      </c>
      <c r="L61" s="33" t="n">
        <f aca="false">SUMIFS(Trades!$Y$2:$Y$1146,Trades!$D$2:$D$1146,$A61)</f>
        <v>-0.00221238938053121</v>
      </c>
      <c r="M61" s="31" t="n">
        <f aca="false">P60</f>
        <v>9908.39</v>
      </c>
      <c r="N61" s="30" t="n">
        <f aca="false">IFERROR(F61/M61,0)</f>
        <v>-8.07396559885108E-006</v>
      </c>
      <c r="O61" s="29" t="str">
        <f aca="false">IF(-N61&gt;=Summary!$C$7,"BREACH","")</f>
        <v/>
      </c>
      <c r="P61" s="31" t="n">
        <f aca="false">M61+F61</f>
        <v>9908.31</v>
      </c>
      <c r="Q61" s="31" t="n">
        <f aca="false">P61-Summary!$C$5</f>
        <v>-91.6900000000042</v>
      </c>
      <c r="R61" s="2" t="str">
        <f aca="false">TEXT(A61,"ddd")</f>
        <v>Wed</v>
      </c>
    </row>
    <row r="62" customFormat="false" ht="15" hidden="false" customHeight="false" outlineLevel="0" collapsed="false">
      <c r="A62" s="43" t="n">
        <v>44749</v>
      </c>
      <c r="B62" s="29" t="n">
        <f aca="false">COUNTIFS(Trades!$D$2:$D$1146,$A62)</f>
        <v>1</v>
      </c>
      <c r="C62" s="29" t="n">
        <f aca="false">COUNTIFS(Trades!$D$2:$D$1146,$A62,Trades!$Z$2:$Z$1146,"Win")</f>
        <v>1</v>
      </c>
      <c r="D62" s="29" t="n">
        <f aca="false">COUNTIFS(Trades!$D$2:$D$1146,$A62,Trades!$Z$2:$Z$1146,"Loss")</f>
        <v>0</v>
      </c>
      <c r="E62" s="30" t="n">
        <f aca="false">IFERROR(C62/B62,0)</f>
        <v>1</v>
      </c>
      <c r="F62" s="31" t="n">
        <f aca="false">SUMIFS(Trades!$X$2:$X$1146,Trades!$D$2:$D$1146,$A62)</f>
        <v>312.52</v>
      </c>
      <c r="G62" s="31" t="n">
        <f aca="false">SUMIFS(Trades!$X$2:$X$1146,Trades!$D$2:$D$1146,$A62,Trades!$X$2:$X$1146,"&gt;0")</f>
        <v>312.52</v>
      </c>
      <c r="H62" s="31" t="n">
        <f aca="false">SUMIFS(Trades!$X$2:$X$1146,Trades!$D$2:$D$1146,$A62,Trades!$X$2:$X$1146,"&lt;0")</f>
        <v>0</v>
      </c>
      <c r="I62" s="32" t="str">
        <f aca="false">IFERROR(G62/-H62,"no loss")</f>
        <v>no loss</v>
      </c>
      <c r="J62" s="31" t="n">
        <f aca="false">_xlfn.MAXIFS(Trades!$X$2:$X$1146,Trades!$D$2:$D$1146,$A62)</f>
        <v>312.52</v>
      </c>
      <c r="K62" s="31" t="n">
        <f aca="false">_xlfn.MINIFS(Trades!$X$2:$X$1146,Trades!$D$2:$D$1146,$A62)</f>
        <v>312.52</v>
      </c>
      <c r="L62" s="33" t="n">
        <f aca="false">SUMIFS(Trades!$Y$2:$Y$1146,Trades!$D$2:$D$1146,$A62)</f>
        <v>2.56668856767407</v>
      </c>
      <c r="M62" s="31" t="n">
        <f aca="false">P61</f>
        <v>9908.31</v>
      </c>
      <c r="N62" s="30" t="n">
        <f aca="false">IFERROR(F62/M62,0)</f>
        <v>0.0315412012744858</v>
      </c>
      <c r="O62" s="29" t="str">
        <f aca="false">IF(-N62&gt;=Summary!$C$7,"BREACH","")</f>
        <v/>
      </c>
      <c r="P62" s="31" t="n">
        <f aca="false">M62+F62</f>
        <v>10220.83</v>
      </c>
      <c r="Q62" s="31" t="n">
        <f aca="false">P62-Summary!$C$5</f>
        <v>220.829999999996</v>
      </c>
      <c r="R62" s="2" t="str">
        <f aca="false">TEXT(A62,"ddd")</f>
        <v>Thu</v>
      </c>
    </row>
    <row r="63" customFormat="false" ht="15" hidden="false" customHeight="false" outlineLevel="0" collapsed="false">
      <c r="A63" s="43" t="n">
        <v>44750</v>
      </c>
      <c r="B63" s="29" t="n">
        <f aca="false">COUNTIFS(Trades!$D$2:$D$1146,$A63)</f>
        <v>1</v>
      </c>
      <c r="C63" s="29" t="n">
        <f aca="false">COUNTIFS(Trades!$D$2:$D$1146,$A63,Trades!$Z$2:$Z$1146,"Win")</f>
        <v>0</v>
      </c>
      <c r="D63" s="29" t="n">
        <f aca="false">COUNTIFS(Trades!$D$2:$D$1146,$A63,Trades!$Z$2:$Z$1146,"Loss")</f>
        <v>1</v>
      </c>
      <c r="E63" s="30" t="n">
        <f aca="false">IFERROR(C63/B63,0)</f>
        <v>0</v>
      </c>
      <c r="F63" s="31" t="n">
        <f aca="false">SUMIFS(Trades!$X$2:$X$1146,Trades!$D$2:$D$1146,$A63)</f>
        <v>-0.28</v>
      </c>
      <c r="G63" s="31" t="n">
        <f aca="false">SUMIFS(Trades!$X$2:$X$1146,Trades!$D$2:$D$1146,$A63,Trades!$X$2:$X$1146,"&gt;0")</f>
        <v>0</v>
      </c>
      <c r="H63" s="31" t="n">
        <f aca="false">SUMIFS(Trades!$X$2:$X$1146,Trades!$D$2:$D$1146,$A63,Trades!$X$2:$X$1146,"&lt;0")</f>
        <v>-0.28</v>
      </c>
      <c r="I63" s="32" t="n">
        <f aca="false">IFERROR(G63/-H63,"no loss")</f>
        <v>0</v>
      </c>
      <c r="J63" s="31" t="n">
        <f aca="false">_xlfn.MAXIFS(Trades!$X$2:$X$1146,Trades!$D$2:$D$1146,$A63)</f>
        <v>-0.28</v>
      </c>
      <c r="K63" s="31" t="n">
        <f aca="false">_xlfn.MINIFS(Trades!$X$2:$X$1146,Trades!$D$2:$D$1146,$A63)</f>
        <v>-0.28</v>
      </c>
      <c r="L63" s="33" t="n">
        <f aca="false">SUMIFS(Trades!$Y$2:$Y$1146,Trades!$D$2:$D$1146,$A63)</f>
        <v>-0.00756756756756757</v>
      </c>
      <c r="M63" s="31" t="n">
        <f aca="false">P62</f>
        <v>10220.83</v>
      </c>
      <c r="N63" s="30" t="n">
        <f aca="false">IFERROR(F63/M63,0)</f>
        <v>-2.73950354325432E-005</v>
      </c>
      <c r="O63" s="29" t="str">
        <f aca="false">IF(-N63&gt;=Summary!$C$7,"BREACH","")</f>
        <v/>
      </c>
      <c r="P63" s="31" t="n">
        <f aca="false">M63+F63</f>
        <v>10220.55</v>
      </c>
      <c r="Q63" s="31" t="n">
        <f aca="false">P63-Summary!$C$5</f>
        <v>220.549999999996</v>
      </c>
      <c r="R63" s="2" t="str">
        <f aca="false">TEXT(A63,"ddd")</f>
        <v>Fri</v>
      </c>
    </row>
    <row r="64" customFormat="false" ht="15" hidden="false" customHeight="false" outlineLevel="0" collapsed="false">
      <c r="A64" s="43" t="n">
        <v>44753</v>
      </c>
      <c r="B64" s="29" t="n">
        <f aca="false">COUNTIFS(Trades!$D$2:$D$1146,$A64)</f>
        <v>1</v>
      </c>
      <c r="C64" s="29" t="n">
        <f aca="false">COUNTIFS(Trades!$D$2:$D$1146,$A64,Trades!$Z$2:$Z$1146,"Win")</f>
        <v>1</v>
      </c>
      <c r="D64" s="29" t="n">
        <f aca="false">COUNTIFS(Trades!$D$2:$D$1146,$A64,Trades!$Z$2:$Z$1146,"Loss")</f>
        <v>0</v>
      </c>
      <c r="E64" s="30" t="n">
        <f aca="false">IFERROR(C64/B64,0)</f>
        <v>1</v>
      </c>
      <c r="F64" s="31" t="n">
        <f aca="false">SUMIFS(Trades!$X$2:$X$1146,Trades!$D$2:$D$1146,$A64)</f>
        <v>292.6</v>
      </c>
      <c r="G64" s="31" t="n">
        <f aca="false">SUMIFS(Trades!$X$2:$X$1146,Trades!$D$2:$D$1146,$A64,Trades!$X$2:$X$1146,"&gt;0")</f>
        <v>292.6</v>
      </c>
      <c r="H64" s="31" t="n">
        <f aca="false">SUMIFS(Trades!$X$2:$X$1146,Trades!$D$2:$D$1146,$A64,Trades!$X$2:$X$1146,"&lt;0")</f>
        <v>0</v>
      </c>
      <c r="I64" s="32" t="str">
        <f aca="false">IFERROR(G64/-H64,"no loss")</f>
        <v>no loss</v>
      </c>
      <c r="J64" s="31" t="n">
        <f aca="false">_xlfn.MAXIFS(Trades!$X$2:$X$1146,Trades!$D$2:$D$1146,$A64)</f>
        <v>292.6</v>
      </c>
      <c r="K64" s="31" t="n">
        <f aca="false">_xlfn.MINIFS(Trades!$X$2:$X$1146,Trades!$D$2:$D$1146,$A64)</f>
        <v>292.6</v>
      </c>
      <c r="L64" s="33" t="n">
        <f aca="false">SUMIFS(Trades!$Y$2:$Y$1146,Trades!$D$2:$D$1146,$A64)</f>
        <v>2.43346640053231</v>
      </c>
      <c r="M64" s="31" t="n">
        <f aca="false">P63</f>
        <v>10220.55</v>
      </c>
      <c r="N64" s="30" t="n">
        <f aca="false">IFERROR(F64/M64,0)</f>
        <v>0.0286285963084179</v>
      </c>
      <c r="O64" s="29" t="str">
        <f aca="false">IF(-N64&gt;=Summary!$C$7,"BREACH","")</f>
        <v/>
      </c>
      <c r="P64" s="31" t="n">
        <f aca="false">M64+F64</f>
        <v>10513.15</v>
      </c>
      <c r="Q64" s="31" t="n">
        <f aca="false">P64-Summary!$C$5</f>
        <v>513.149999999996</v>
      </c>
      <c r="R64" s="2" t="str">
        <f aca="false">TEXT(A64,"ddd")</f>
        <v>Mon</v>
      </c>
    </row>
    <row r="65" customFormat="false" ht="15" hidden="false" customHeight="false" outlineLevel="0" collapsed="false">
      <c r="A65" s="43" t="n">
        <v>44754</v>
      </c>
      <c r="B65" s="29" t="n">
        <f aca="false">COUNTIFS(Trades!$D$2:$D$1146,$A65)</f>
        <v>1</v>
      </c>
      <c r="C65" s="29" t="n">
        <f aca="false">COUNTIFS(Trades!$D$2:$D$1146,$A65,Trades!$Z$2:$Z$1146,"Win")</f>
        <v>1</v>
      </c>
      <c r="D65" s="29" t="n">
        <f aca="false">COUNTIFS(Trades!$D$2:$D$1146,$A65,Trades!$Z$2:$Z$1146,"Loss")</f>
        <v>0</v>
      </c>
      <c r="E65" s="30" t="n">
        <f aca="false">IFERROR(C65/B65,0)</f>
        <v>1</v>
      </c>
      <c r="F65" s="31" t="n">
        <f aca="false">SUMIFS(Trades!$X$2:$X$1146,Trades!$D$2:$D$1146,$A65)</f>
        <v>111.64</v>
      </c>
      <c r="G65" s="31" t="n">
        <f aca="false">SUMIFS(Trades!$X$2:$X$1146,Trades!$D$2:$D$1146,$A65,Trades!$X$2:$X$1146,"&gt;0")</f>
        <v>111.64</v>
      </c>
      <c r="H65" s="31" t="n">
        <f aca="false">SUMIFS(Trades!$X$2:$X$1146,Trades!$D$2:$D$1146,$A65,Trades!$X$2:$X$1146,"&lt;0")</f>
        <v>0</v>
      </c>
      <c r="I65" s="32" t="str">
        <f aca="false">IFERROR(G65/-H65,"no loss")</f>
        <v>no loss</v>
      </c>
      <c r="J65" s="31" t="n">
        <f aca="false">_xlfn.MAXIFS(Trades!$X$2:$X$1146,Trades!$D$2:$D$1146,$A65)</f>
        <v>111.64</v>
      </c>
      <c r="K65" s="31" t="n">
        <f aca="false">_xlfn.MINIFS(Trades!$X$2:$X$1146,Trades!$D$2:$D$1146,$A65)</f>
        <v>111.64</v>
      </c>
      <c r="L65" s="33" t="n">
        <f aca="false">SUMIFS(Trades!$Y$2:$Y$1146,Trades!$D$2:$D$1146,$A65)</f>
        <v>2.42906875543956</v>
      </c>
      <c r="M65" s="31" t="n">
        <f aca="false">P64</f>
        <v>10513.15</v>
      </c>
      <c r="N65" s="30" t="n">
        <f aca="false">IFERROR(F65/M65,0)</f>
        <v>0.0106190818165821</v>
      </c>
      <c r="O65" s="29" t="str">
        <f aca="false">IF(-N65&gt;=Summary!$C$7,"BREACH","")</f>
        <v/>
      </c>
      <c r="P65" s="31" t="n">
        <f aca="false">M65+F65</f>
        <v>10624.79</v>
      </c>
      <c r="Q65" s="31" t="n">
        <f aca="false">P65-Summary!$C$5</f>
        <v>624.789999999995</v>
      </c>
      <c r="R65" s="2" t="str">
        <f aca="false">TEXT(A65,"ddd")</f>
        <v>Tue</v>
      </c>
    </row>
    <row r="66" customFormat="false" ht="15" hidden="false" customHeight="false" outlineLevel="0" collapsed="false">
      <c r="A66" s="43" t="n">
        <v>44755</v>
      </c>
      <c r="B66" s="29" t="n">
        <f aca="false">COUNTIFS(Trades!$D$2:$D$1146,$A66)</f>
        <v>1</v>
      </c>
      <c r="C66" s="29" t="n">
        <f aca="false">COUNTIFS(Trades!$D$2:$D$1146,$A66,Trades!$Z$2:$Z$1146,"Win")</f>
        <v>0</v>
      </c>
      <c r="D66" s="29" t="n">
        <f aca="false">COUNTIFS(Trades!$D$2:$D$1146,$A66,Trades!$Z$2:$Z$1146,"Loss")</f>
        <v>1</v>
      </c>
      <c r="E66" s="30" t="n">
        <f aca="false">IFERROR(C66/B66,0)</f>
        <v>0</v>
      </c>
      <c r="F66" s="31" t="n">
        <f aca="false">SUMIFS(Trades!$X$2:$X$1146,Trades!$D$2:$D$1146,$A66)</f>
        <v>-5.6</v>
      </c>
      <c r="G66" s="31" t="n">
        <f aca="false">SUMIFS(Trades!$X$2:$X$1146,Trades!$D$2:$D$1146,$A66,Trades!$X$2:$X$1146,"&gt;0")</f>
        <v>0</v>
      </c>
      <c r="H66" s="31" t="n">
        <f aca="false">SUMIFS(Trades!$X$2:$X$1146,Trades!$D$2:$D$1146,$A66,Trades!$X$2:$X$1146,"&lt;0")</f>
        <v>-5.6</v>
      </c>
      <c r="I66" s="32" t="n">
        <f aca="false">IFERROR(G66/-H66,"no loss")</f>
        <v>0</v>
      </c>
      <c r="J66" s="31" t="n">
        <f aca="false">_xlfn.MAXIFS(Trades!$X$2:$X$1146,Trades!$D$2:$D$1146,$A66)</f>
        <v>-5.6</v>
      </c>
      <c r="K66" s="31" t="n">
        <f aca="false">_xlfn.MINIFS(Trades!$X$2:$X$1146,Trades!$D$2:$D$1146,$A66)</f>
        <v>-5.6</v>
      </c>
      <c r="L66" s="33" t="n">
        <f aca="false">SUMIFS(Trades!$Y$2:$Y$1146,Trades!$D$2:$D$1146,$A66)</f>
        <v>-0.0138902668915566</v>
      </c>
      <c r="M66" s="31" t="n">
        <f aca="false">P65</f>
        <v>10624.79</v>
      </c>
      <c r="N66" s="30" t="n">
        <f aca="false">IFERROR(F66/M66,0)</f>
        <v>-0.000527069240897938</v>
      </c>
      <c r="O66" s="29" t="str">
        <f aca="false">IF(-N66&gt;=Summary!$C$7,"BREACH","")</f>
        <v/>
      </c>
      <c r="P66" s="31" t="n">
        <f aca="false">M66+F66</f>
        <v>10619.19</v>
      </c>
      <c r="Q66" s="31" t="n">
        <f aca="false">P66-Summary!$C$5</f>
        <v>619.189999999995</v>
      </c>
      <c r="R66" s="2" t="str">
        <f aca="false">TEXT(A66,"ddd")</f>
        <v>Wed</v>
      </c>
    </row>
    <row r="67" customFormat="false" ht="15" hidden="false" customHeight="false" outlineLevel="0" collapsed="false">
      <c r="A67" s="43" t="n">
        <v>44757</v>
      </c>
      <c r="B67" s="29" t="n">
        <f aca="false">COUNTIFS(Trades!$D$2:$D$1146,$A67)</f>
        <v>1</v>
      </c>
      <c r="C67" s="29" t="n">
        <f aca="false">COUNTIFS(Trades!$D$2:$D$1146,$A67,Trades!$Z$2:$Z$1146,"Win")</f>
        <v>0</v>
      </c>
      <c r="D67" s="29" t="n">
        <f aca="false">COUNTIFS(Trades!$D$2:$D$1146,$A67,Trades!$Z$2:$Z$1146,"Loss")</f>
        <v>1</v>
      </c>
      <c r="E67" s="30" t="n">
        <f aca="false">IFERROR(C67/B67,0)</f>
        <v>0</v>
      </c>
      <c r="F67" s="31" t="n">
        <f aca="false">SUMIFS(Trades!$X$2:$X$1146,Trades!$D$2:$D$1146,$A67)</f>
        <v>-0.76</v>
      </c>
      <c r="G67" s="31" t="n">
        <f aca="false">SUMIFS(Trades!$X$2:$X$1146,Trades!$D$2:$D$1146,$A67,Trades!$X$2:$X$1146,"&gt;0")</f>
        <v>0</v>
      </c>
      <c r="H67" s="31" t="n">
        <f aca="false">SUMIFS(Trades!$X$2:$X$1146,Trades!$D$2:$D$1146,$A67,Trades!$X$2:$X$1146,"&lt;0")</f>
        <v>-0.76</v>
      </c>
      <c r="I67" s="32" t="n">
        <f aca="false">IFERROR(G67/-H67,"no loss")</f>
        <v>0</v>
      </c>
      <c r="J67" s="31" t="n">
        <f aca="false">_xlfn.MAXIFS(Trades!$X$2:$X$1146,Trades!$D$2:$D$1146,$A67)</f>
        <v>-0.76</v>
      </c>
      <c r="K67" s="31" t="n">
        <f aca="false">_xlfn.MINIFS(Trades!$X$2:$X$1146,Trades!$D$2:$D$1146,$A67)</f>
        <v>-0.76</v>
      </c>
      <c r="L67" s="33" t="n">
        <f aca="false">SUMIFS(Trades!$Y$2:$Y$1146,Trades!$D$2:$D$1146,$A67)</f>
        <v>-0.0396659707724504</v>
      </c>
      <c r="M67" s="31" t="n">
        <f aca="false">P66</f>
        <v>10619.19</v>
      </c>
      <c r="N67" s="30" t="n">
        <f aca="false">IFERROR(F67/M67,0)</f>
        <v>-7.15685471302426E-005</v>
      </c>
      <c r="O67" s="29" t="str">
        <f aca="false">IF(-N67&gt;=Summary!$C$7,"BREACH","")</f>
        <v/>
      </c>
      <c r="P67" s="31" t="n">
        <f aca="false">M67+F67</f>
        <v>10618.43</v>
      </c>
      <c r="Q67" s="31" t="n">
        <f aca="false">P67-Summary!$C$5</f>
        <v>618.429999999995</v>
      </c>
      <c r="R67" s="2" t="str">
        <f aca="false">TEXT(A67,"ddd")</f>
        <v>Fri</v>
      </c>
    </row>
    <row r="68" customFormat="false" ht="15" hidden="false" customHeight="false" outlineLevel="0" collapsed="false">
      <c r="A68" s="43" t="n">
        <v>44760</v>
      </c>
      <c r="B68" s="29" t="n">
        <f aca="false">COUNTIFS(Trades!$D$2:$D$1146,$A68)</f>
        <v>1</v>
      </c>
      <c r="C68" s="29" t="n">
        <f aca="false">COUNTIFS(Trades!$D$2:$D$1146,$A68,Trades!$Z$2:$Z$1146,"Win")</f>
        <v>0</v>
      </c>
      <c r="D68" s="29" t="n">
        <f aca="false">COUNTIFS(Trades!$D$2:$D$1146,$A68,Trades!$Z$2:$Z$1146,"Loss")</f>
        <v>1</v>
      </c>
      <c r="E68" s="30" t="n">
        <f aca="false">IFERROR(C68/B68,0)</f>
        <v>0</v>
      </c>
      <c r="F68" s="31" t="n">
        <f aca="false">SUMIFS(Trades!$X$2:$X$1146,Trades!$D$2:$D$1146,$A68)</f>
        <v>-50</v>
      </c>
      <c r="G68" s="31" t="n">
        <f aca="false">SUMIFS(Trades!$X$2:$X$1146,Trades!$D$2:$D$1146,$A68,Trades!$X$2:$X$1146,"&gt;0")</f>
        <v>0</v>
      </c>
      <c r="H68" s="31" t="n">
        <f aca="false">SUMIFS(Trades!$X$2:$X$1146,Trades!$D$2:$D$1146,$A68,Trades!$X$2:$X$1146,"&lt;0")</f>
        <v>-50</v>
      </c>
      <c r="I68" s="32" t="n">
        <f aca="false">IFERROR(G68/-H68,"no loss")</f>
        <v>0</v>
      </c>
      <c r="J68" s="31" t="n">
        <f aca="false">_xlfn.MAXIFS(Trades!$X$2:$X$1146,Trades!$D$2:$D$1146,$A68)</f>
        <v>-50</v>
      </c>
      <c r="K68" s="31" t="n">
        <f aca="false">_xlfn.MINIFS(Trades!$X$2:$X$1146,Trades!$D$2:$D$1146,$A68)</f>
        <v>-50</v>
      </c>
      <c r="L68" s="33" t="n">
        <f aca="false">SUMIFS(Trades!$Y$2:$Y$1146,Trades!$D$2:$D$1146,$A68)</f>
        <v>-1.0831889081455</v>
      </c>
      <c r="M68" s="31" t="n">
        <f aca="false">P67</f>
        <v>10618.43</v>
      </c>
      <c r="N68" s="30" t="n">
        <f aca="false">IFERROR(F68/M68,0)</f>
        <v>-0.00470879404959114</v>
      </c>
      <c r="O68" s="29" t="str">
        <f aca="false">IF(-N68&gt;=Summary!$C$7,"BREACH","")</f>
        <v/>
      </c>
      <c r="P68" s="31" t="n">
        <f aca="false">M68+F68</f>
        <v>10568.43</v>
      </c>
      <c r="Q68" s="31" t="n">
        <f aca="false">P68-Summary!$C$5</f>
        <v>568.429999999995</v>
      </c>
      <c r="R68" s="2" t="str">
        <f aca="false">TEXT(A68,"ddd")</f>
        <v>Mon</v>
      </c>
    </row>
    <row r="69" customFormat="false" ht="15" hidden="false" customHeight="false" outlineLevel="0" collapsed="false">
      <c r="A69" s="43" t="n">
        <v>44761</v>
      </c>
      <c r="B69" s="29" t="n">
        <f aca="false">COUNTIFS(Trades!$D$2:$D$1146,$A69)</f>
        <v>1</v>
      </c>
      <c r="C69" s="29" t="n">
        <f aca="false">COUNTIFS(Trades!$D$2:$D$1146,$A69,Trades!$Z$2:$Z$1146,"Win")</f>
        <v>0</v>
      </c>
      <c r="D69" s="29" t="n">
        <f aca="false">COUNTIFS(Trades!$D$2:$D$1146,$A69,Trades!$Z$2:$Z$1146,"Loss")</f>
        <v>1</v>
      </c>
      <c r="E69" s="30" t="n">
        <f aca="false">IFERROR(C69/B69,0)</f>
        <v>0</v>
      </c>
      <c r="F69" s="31" t="n">
        <f aca="false">SUMIFS(Trades!$X$2:$X$1146,Trades!$D$2:$D$1146,$A69)</f>
        <v>-29.84</v>
      </c>
      <c r="G69" s="31" t="n">
        <f aca="false">SUMIFS(Trades!$X$2:$X$1146,Trades!$D$2:$D$1146,$A69,Trades!$X$2:$X$1146,"&gt;0")</f>
        <v>0</v>
      </c>
      <c r="H69" s="31" t="n">
        <f aca="false">SUMIFS(Trades!$X$2:$X$1146,Trades!$D$2:$D$1146,$A69,Trades!$X$2:$X$1146,"&lt;0")</f>
        <v>-29.84</v>
      </c>
      <c r="I69" s="32" t="n">
        <f aca="false">IFERROR(G69/-H69,"no loss")</f>
        <v>0</v>
      </c>
      <c r="J69" s="31" t="n">
        <f aca="false">_xlfn.MAXIFS(Trades!$X$2:$X$1146,Trades!$D$2:$D$1146,$A69)</f>
        <v>-29.84</v>
      </c>
      <c r="K69" s="31" t="n">
        <f aca="false">_xlfn.MINIFS(Trades!$X$2:$X$1146,Trades!$D$2:$D$1146,$A69)</f>
        <v>-29.84</v>
      </c>
      <c r="L69" s="33" t="n">
        <f aca="false">SUMIFS(Trades!$Y$2:$Y$1146,Trades!$D$2:$D$1146,$A69)</f>
        <v>-1.03038674033152</v>
      </c>
      <c r="M69" s="31" t="n">
        <f aca="false">P68</f>
        <v>10568.43</v>
      </c>
      <c r="N69" s="30" t="n">
        <f aca="false">IFERROR(F69/M69,0)</f>
        <v>-0.00282350358567924</v>
      </c>
      <c r="O69" s="29" t="str">
        <f aca="false">IF(-N69&gt;=Summary!$C$7,"BREACH","")</f>
        <v/>
      </c>
      <c r="P69" s="31" t="n">
        <f aca="false">M69+F69</f>
        <v>10538.59</v>
      </c>
      <c r="Q69" s="31" t="n">
        <f aca="false">P69-Summary!$C$5</f>
        <v>538.589999999995</v>
      </c>
      <c r="R69" s="2" t="str">
        <f aca="false">TEXT(A69,"ddd")</f>
        <v>Tue</v>
      </c>
    </row>
    <row r="70" customFormat="false" ht="15" hidden="false" customHeight="false" outlineLevel="0" collapsed="false">
      <c r="A70" s="43" t="n">
        <v>44762</v>
      </c>
      <c r="B70" s="29" t="n">
        <f aca="false">COUNTIFS(Trades!$D$2:$D$1146,$A70)</f>
        <v>1</v>
      </c>
      <c r="C70" s="29" t="n">
        <f aca="false">COUNTIFS(Trades!$D$2:$D$1146,$A70,Trades!$Z$2:$Z$1146,"Win")</f>
        <v>0</v>
      </c>
      <c r="D70" s="29" t="n">
        <f aca="false">COUNTIFS(Trades!$D$2:$D$1146,$A70,Trades!$Z$2:$Z$1146,"Loss")</f>
        <v>1</v>
      </c>
      <c r="E70" s="30" t="n">
        <f aca="false">IFERROR(C70/B70,0)</f>
        <v>0</v>
      </c>
      <c r="F70" s="31" t="n">
        <f aca="false">SUMIFS(Trades!$X$2:$X$1146,Trades!$D$2:$D$1146,$A70)</f>
        <v>-44</v>
      </c>
      <c r="G70" s="31" t="n">
        <f aca="false">SUMIFS(Trades!$X$2:$X$1146,Trades!$D$2:$D$1146,$A70,Trades!$X$2:$X$1146,"&gt;0")</f>
        <v>0</v>
      </c>
      <c r="H70" s="31" t="n">
        <f aca="false">SUMIFS(Trades!$X$2:$X$1146,Trades!$D$2:$D$1146,$A70,Trades!$X$2:$X$1146,"&lt;0")</f>
        <v>-44</v>
      </c>
      <c r="I70" s="32" t="n">
        <f aca="false">IFERROR(G70/-H70,"no loss")</f>
        <v>0</v>
      </c>
      <c r="J70" s="31" t="n">
        <f aca="false">_xlfn.MAXIFS(Trades!$X$2:$X$1146,Trades!$D$2:$D$1146,$A70)</f>
        <v>-44</v>
      </c>
      <c r="K70" s="31" t="n">
        <f aca="false">_xlfn.MINIFS(Trades!$X$2:$X$1146,Trades!$D$2:$D$1146,$A70)</f>
        <v>-44</v>
      </c>
      <c r="L70" s="33" t="n">
        <f aca="false">SUMIFS(Trades!$Y$2:$Y$1146,Trades!$D$2:$D$1146,$A70)</f>
        <v>-1.007326007326</v>
      </c>
      <c r="M70" s="31" t="n">
        <f aca="false">P69</f>
        <v>10538.59</v>
      </c>
      <c r="N70" s="30" t="n">
        <f aca="false">IFERROR(F70/M70,0)</f>
        <v>-0.00417513158781203</v>
      </c>
      <c r="O70" s="29" t="str">
        <f aca="false">IF(-N70&gt;=Summary!$C$7,"BREACH","")</f>
        <v/>
      </c>
      <c r="P70" s="31" t="n">
        <f aca="false">M70+F70</f>
        <v>10494.59</v>
      </c>
      <c r="Q70" s="31" t="n">
        <f aca="false">P70-Summary!$C$5</f>
        <v>494.589999999995</v>
      </c>
      <c r="R70" s="2" t="str">
        <f aca="false">TEXT(A70,"ddd")</f>
        <v>Wed</v>
      </c>
    </row>
    <row r="71" customFormat="false" ht="15" hidden="false" customHeight="false" outlineLevel="0" collapsed="false">
      <c r="A71" s="43" t="n">
        <v>44763</v>
      </c>
      <c r="B71" s="29" t="n">
        <f aca="false">COUNTIFS(Trades!$D$2:$D$1146,$A71)</f>
        <v>1</v>
      </c>
      <c r="C71" s="29" t="n">
        <f aca="false">COUNTIFS(Trades!$D$2:$D$1146,$A71,Trades!$Z$2:$Z$1146,"Win")</f>
        <v>1</v>
      </c>
      <c r="D71" s="29" t="n">
        <f aca="false">COUNTIFS(Trades!$D$2:$D$1146,$A71,Trades!$Z$2:$Z$1146,"Loss")</f>
        <v>0</v>
      </c>
      <c r="E71" s="30" t="n">
        <f aca="false">IFERROR(C71/B71,0)</f>
        <v>1</v>
      </c>
      <c r="F71" s="31" t="n">
        <f aca="false">SUMIFS(Trades!$X$2:$X$1146,Trades!$D$2:$D$1146,$A71)</f>
        <v>107.8</v>
      </c>
      <c r="G71" s="31" t="n">
        <f aca="false">SUMIFS(Trades!$X$2:$X$1146,Trades!$D$2:$D$1146,$A71,Trades!$X$2:$X$1146,"&gt;0")</f>
        <v>107.8</v>
      </c>
      <c r="H71" s="31" t="n">
        <f aca="false">SUMIFS(Trades!$X$2:$X$1146,Trades!$D$2:$D$1146,$A71,Trades!$X$2:$X$1146,"&lt;0")</f>
        <v>0</v>
      </c>
      <c r="I71" s="32" t="str">
        <f aca="false">IFERROR(G71/-H71,"no loss")</f>
        <v>no loss</v>
      </c>
      <c r="J71" s="31" t="n">
        <f aca="false">_xlfn.MAXIFS(Trades!$X$2:$X$1146,Trades!$D$2:$D$1146,$A71)</f>
        <v>107.8</v>
      </c>
      <c r="K71" s="31" t="n">
        <f aca="false">_xlfn.MINIFS(Trades!$X$2:$X$1146,Trades!$D$2:$D$1146,$A71)</f>
        <v>107.8</v>
      </c>
      <c r="L71" s="33" t="n">
        <f aca="false">SUMIFS(Trades!$Y$2:$Y$1146,Trades!$D$2:$D$1146,$A71)</f>
        <v>2.58389261744959</v>
      </c>
      <c r="M71" s="31" t="n">
        <f aca="false">P70</f>
        <v>10494.59</v>
      </c>
      <c r="N71" s="30" t="n">
        <f aca="false">IFERROR(F71/M71,0)</f>
        <v>0.0102719591713445</v>
      </c>
      <c r="O71" s="29" t="str">
        <f aca="false">IF(-N71&gt;=Summary!$C$7,"BREACH","")</f>
        <v/>
      </c>
      <c r="P71" s="31" t="n">
        <f aca="false">M71+F71</f>
        <v>10602.39</v>
      </c>
      <c r="Q71" s="31" t="n">
        <f aca="false">P71-Summary!$C$5</f>
        <v>602.389999999994</v>
      </c>
      <c r="R71" s="2" t="str">
        <f aca="false">TEXT(A71,"ddd")</f>
        <v>Thu</v>
      </c>
    </row>
    <row r="72" customFormat="false" ht="15" hidden="false" customHeight="false" outlineLevel="0" collapsed="false">
      <c r="A72" s="43" t="n">
        <v>44764</v>
      </c>
      <c r="B72" s="29" t="n">
        <f aca="false">COUNTIFS(Trades!$D$2:$D$1146,$A72)</f>
        <v>2</v>
      </c>
      <c r="C72" s="29" t="n">
        <f aca="false">COUNTIFS(Trades!$D$2:$D$1146,$A72,Trades!$Z$2:$Z$1146,"Win")</f>
        <v>0</v>
      </c>
      <c r="D72" s="29" t="n">
        <f aca="false">COUNTIFS(Trades!$D$2:$D$1146,$A72,Trades!$Z$2:$Z$1146,"Loss")</f>
        <v>1</v>
      </c>
      <c r="E72" s="30" t="n">
        <f aca="false">IFERROR(C72/B72,0)</f>
        <v>0</v>
      </c>
      <c r="F72" s="31" t="n">
        <f aca="false">SUMIFS(Trades!$X$2:$X$1146,Trades!$D$2:$D$1146,$A72)</f>
        <v>-6.44</v>
      </c>
      <c r="G72" s="31" t="n">
        <f aca="false">SUMIFS(Trades!$X$2:$X$1146,Trades!$D$2:$D$1146,$A72,Trades!$X$2:$X$1146,"&gt;0")</f>
        <v>0</v>
      </c>
      <c r="H72" s="31" t="n">
        <f aca="false">SUMIFS(Trades!$X$2:$X$1146,Trades!$D$2:$D$1146,$A72,Trades!$X$2:$X$1146,"&lt;0")</f>
        <v>-6.44</v>
      </c>
      <c r="I72" s="32" t="n">
        <f aca="false">IFERROR(G72/-H72,"no loss")</f>
        <v>0</v>
      </c>
      <c r="J72" s="31" t="n">
        <f aca="false">_xlfn.MAXIFS(Trades!$X$2:$X$1146,Trades!$D$2:$D$1146,$A72)</f>
        <v>0</v>
      </c>
      <c r="K72" s="31" t="n">
        <f aca="false">_xlfn.MINIFS(Trades!$X$2:$X$1146,Trades!$D$2:$D$1146,$A72)</f>
        <v>-6.44</v>
      </c>
      <c r="L72" s="33" t="n">
        <f aca="false">SUMIFS(Trades!$Y$2:$Y$1146,Trades!$D$2:$D$1146,$A72)</f>
        <v>-0.0558446063128687</v>
      </c>
      <c r="M72" s="31" t="n">
        <f aca="false">P71</f>
        <v>10602.39</v>
      </c>
      <c r="N72" s="30" t="n">
        <f aca="false">IFERROR(F72/M72,0)</f>
        <v>-0.000607410215998469</v>
      </c>
      <c r="O72" s="29" t="str">
        <f aca="false">IF(-N72&gt;=Summary!$C$7,"BREACH","")</f>
        <v/>
      </c>
      <c r="P72" s="31" t="n">
        <f aca="false">M72+F72</f>
        <v>10595.95</v>
      </c>
      <c r="Q72" s="31" t="n">
        <f aca="false">P72-Summary!$C$5</f>
        <v>595.949999999994</v>
      </c>
      <c r="R72" s="2" t="str">
        <f aca="false">TEXT(A72,"ddd")</f>
        <v>Fri</v>
      </c>
    </row>
    <row r="73" customFormat="false" ht="15" hidden="false" customHeight="false" outlineLevel="0" collapsed="false">
      <c r="A73" s="43" t="n">
        <v>44767</v>
      </c>
      <c r="B73" s="29" t="n">
        <f aca="false">COUNTIFS(Trades!$D$2:$D$1146,$A73)</f>
        <v>1</v>
      </c>
      <c r="C73" s="29" t="n">
        <f aca="false">COUNTIFS(Trades!$D$2:$D$1146,$A73,Trades!$Z$2:$Z$1146,"Win")</f>
        <v>0</v>
      </c>
      <c r="D73" s="29" t="n">
        <f aca="false">COUNTIFS(Trades!$D$2:$D$1146,$A73,Trades!$Z$2:$Z$1146,"Loss")</f>
        <v>1</v>
      </c>
      <c r="E73" s="30" t="n">
        <f aca="false">IFERROR(C73/B73,0)</f>
        <v>0</v>
      </c>
      <c r="F73" s="31" t="n">
        <f aca="false">SUMIFS(Trades!$X$2:$X$1146,Trades!$D$2:$D$1146,$A73)</f>
        <v>-1.64</v>
      </c>
      <c r="G73" s="31" t="n">
        <f aca="false">SUMIFS(Trades!$X$2:$X$1146,Trades!$D$2:$D$1146,$A73,Trades!$X$2:$X$1146,"&gt;0")</f>
        <v>0</v>
      </c>
      <c r="H73" s="31" t="n">
        <f aca="false">SUMIFS(Trades!$X$2:$X$1146,Trades!$D$2:$D$1146,$A73,Trades!$X$2:$X$1146,"&lt;0")</f>
        <v>-1.64</v>
      </c>
      <c r="I73" s="32" t="n">
        <f aca="false">IFERROR(G73/-H73,"no loss")</f>
        <v>0</v>
      </c>
      <c r="J73" s="31" t="n">
        <f aca="false">_xlfn.MAXIFS(Trades!$X$2:$X$1146,Trades!$D$2:$D$1146,$A73)</f>
        <v>-1.64</v>
      </c>
      <c r="K73" s="31" t="n">
        <f aca="false">_xlfn.MINIFS(Trades!$X$2:$X$1146,Trades!$D$2:$D$1146,$A73)</f>
        <v>-1.64</v>
      </c>
      <c r="L73" s="33" t="n">
        <f aca="false">SUMIFS(Trades!$Y$2:$Y$1146,Trades!$D$2:$D$1146,$A73)</f>
        <v>-0.0233884768967476</v>
      </c>
      <c r="M73" s="31" t="n">
        <f aca="false">P72</f>
        <v>10595.95</v>
      </c>
      <c r="N73" s="30" t="n">
        <f aca="false">IFERROR(F73/M73,0)</f>
        <v>-0.000154776117290097</v>
      </c>
      <c r="O73" s="29" t="str">
        <f aca="false">IF(-N73&gt;=Summary!$C$7,"BREACH","")</f>
        <v/>
      </c>
      <c r="P73" s="31" t="n">
        <f aca="false">M73+F73</f>
        <v>10594.31</v>
      </c>
      <c r="Q73" s="31" t="n">
        <f aca="false">P73-Summary!$C$5</f>
        <v>594.309999999994</v>
      </c>
      <c r="R73" s="2" t="str">
        <f aca="false">TEXT(A73,"ddd")</f>
        <v>Mon</v>
      </c>
    </row>
    <row r="74" customFormat="false" ht="15" hidden="false" customHeight="false" outlineLevel="0" collapsed="false">
      <c r="A74" s="43" t="n">
        <v>44768</v>
      </c>
      <c r="B74" s="29" t="n">
        <f aca="false">COUNTIFS(Trades!$D$2:$D$1146,$A74)</f>
        <v>1</v>
      </c>
      <c r="C74" s="29" t="n">
        <f aca="false">COUNTIFS(Trades!$D$2:$D$1146,$A74,Trades!$Z$2:$Z$1146,"Win")</f>
        <v>0</v>
      </c>
      <c r="D74" s="29" t="n">
        <f aca="false">COUNTIFS(Trades!$D$2:$D$1146,$A74,Trades!$Z$2:$Z$1146,"Loss")</f>
        <v>1</v>
      </c>
      <c r="E74" s="30" t="n">
        <f aca="false">IFERROR(C74/B74,0)</f>
        <v>0</v>
      </c>
      <c r="F74" s="31" t="n">
        <f aca="false">SUMIFS(Trades!$X$2:$X$1146,Trades!$D$2:$D$1146,$A74)</f>
        <v>-28.72</v>
      </c>
      <c r="G74" s="31" t="n">
        <f aca="false">SUMIFS(Trades!$X$2:$X$1146,Trades!$D$2:$D$1146,$A74,Trades!$X$2:$X$1146,"&gt;0")</f>
        <v>0</v>
      </c>
      <c r="H74" s="31" t="n">
        <f aca="false">SUMIFS(Trades!$X$2:$X$1146,Trades!$D$2:$D$1146,$A74,Trades!$X$2:$X$1146,"&lt;0")</f>
        <v>-28.72</v>
      </c>
      <c r="I74" s="32" t="n">
        <f aca="false">IFERROR(G74/-H74,"no loss")</f>
        <v>0</v>
      </c>
      <c r="J74" s="31" t="n">
        <f aca="false">_xlfn.MAXIFS(Trades!$X$2:$X$1146,Trades!$D$2:$D$1146,$A74)</f>
        <v>-28.72</v>
      </c>
      <c r="K74" s="31" t="n">
        <f aca="false">_xlfn.MINIFS(Trades!$X$2:$X$1146,Trades!$D$2:$D$1146,$A74)</f>
        <v>-28.72</v>
      </c>
      <c r="L74" s="33" t="n">
        <f aca="false">SUMIFS(Trades!$Y$2:$Y$1146,Trades!$D$2:$D$1146,$A74)</f>
        <v>-1.00139470013971</v>
      </c>
      <c r="M74" s="31" t="n">
        <f aca="false">P73</f>
        <v>10594.31</v>
      </c>
      <c r="N74" s="30" t="n">
        <f aca="false">IFERROR(F74/M74,0)</f>
        <v>-0.00271088914709877</v>
      </c>
      <c r="O74" s="29" t="str">
        <f aca="false">IF(-N74&gt;=Summary!$C$7,"BREACH","")</f>
        <v/>
      </c>
      <c r="P74" s="31" t="n">
        <f aca="false">M74+F74</f>
        <v>10565.59</v>
      </c>
      <c r="Q74" s="31" t="n">
        <f aca="false">P74-Summary!$C$5</f>
        <v>565.589999999995</v>
      </c>
      <c r="R74" s="2" t="str">
        <f aca="false">TEXT(A74,"ddd")</f>
        <v>Tue</v>
      </c>
    </row>
    <row r="75" customFormat="false" ht="15" hidden="false" customHeight="false" outlineLevel="0" collapsed="false">
      <c r="A75" s="43" t="n">
        <v>44769</v>
      </c>
      <c r="B75" s="29" t="n">
        <f aca="false">COUNTIFS(Trades!$D$2:$D$1146,$A75)</f>
        <v>1</v>
      </c>
      <c r="C75" s="29" t="n">
        <f aca="false">COUNTIFS(Trades!$D$2:$D$1146,$A75,Trades!$Z$2:$Z$1146,"Win")</f>
        <v>1</v>
      </c>
      <c r="D75" s="29" t="n">
        <f aca="false">COUNTIFS(Trades!$D$2:$D$1146,$A75,Trades!$Z$2:$Z$1146,"Loss")</f>
        <v>0</v>
      </c>
      <c r="E75" s="30" t="n">
        <f aca="false">IFERROR(C75/B75,0)</f>
        <v>1</v>
      </c>
      <c r="F75" s="31" t="n">
        <f aca="false">SUMIFS(Trades!$X$2:$X$1146,Trades!$D$2:$D$1146,$A75)</f>
        <v>203.84</v>
      </c>
      <c r="G75" s="31" t="n">
        <f aca="false">SUMIFS(Trades!$X$2:$X$1146,Trades!$D$2:$D$1146,$A75,Trades!$X$2:$X$1146,"&gt;0")</f>
        <v>203.84</v>
      </c>
      <c r="H75" s="31" t="n">
        <f aca="false">SUMIFS(Trades!$X$2:$X$1146,Trades!$D$2:$D$1146,$A75,Trades!$X$2:$X$1146,"&lt;0")</f>
        <v>0</v>
      </c>
      <c r="I75" s="32" t="str">
        <f aca="false">IFERROR(G75/-H75,"no loss")</f>
        <v>no loss</v>
      </c>
      <c r="J75" s="31" t="n">
        <f aca="false">_xlfn.MAXIFS(Trades!$X$2:$X$1146,Trades!$D$2:$D$1146,$A75)</f>
        <v>203.84</v>
      </c>
      <c r="K75" s="31" t="n">
        <f aca="false">_xlfn.MINIFS(Trades!$X$2:$X$1146,Trades!$D$2:$D$1146,$A75)</f>
        <v>203.84</v>
      </c>
      <c r="L75" s="33" t="n">
        <f aca="false">SUMIFS(Trades!$Y$2:$Y$1146,Trades!$D$2:$D$1146,$A75)</f>
        <v>2.41059602649013</v>
      </c>
      <c r="M75" s="31" t="n">
        <f aca="false">P74</f>
        <v>10565.59</v>
      </c>
      <c r="N75" s="30" t="n">
        <f aca="false">IFERROR(F75/M75,0)</f>
        <v>0.019292817533143</v>
      </c>
      <c r="O75" s="29" t="str">
        <f aca="false">IF(-N75&gt;=Summary!$C$7,"BREACH","")</f>
        <v/>
      </c>
      <c r="P75" s="31" t="n">
        <f aca="false">M75+F75</f>
        <v>10769.43</v>
      </c>
      <c r="Q75" s="31" t="n">
        <f aca="false">P75-Summary!$C$5</f>
        <v>769.429999999995</v>
      </c>
      <c r="R75" s="2" t="str">
        <f aca="false">TEXT(A75,"ddd")</f>
        <v>Wed</v>
      </c>
    </row>
    <row r="76" customFormat="false" ht="15" hidden="false" customHeight="false" outlineLevel="0" collapsed="false">
      <c r="A76" s="43" t="n">
        <v>44770</v>
      </c>
      <c r="B76" s="29" t="n">
        <f aca="false">COUNTIFS(Trades!$D$2:$D$1146,$A76)</f>
        <v>1</v>
      </c>
      <c r="C76" s="29" t="n">
        <f aca="false">COUNTIFS(Trades!$D$2:$D$1146,$A76,Trades!$Z$2:$Z$1146,"Win")</f>
        <v>0</v>
      </c>
      <c r="D76" s="29" t="n">
        <f aca="false">COUNTIFS(Trades!$D$2:$D$1146,$A76,Trades!$Z$2:$Z$1146,"Loss")</f>
        <v>1</v>
      </c>
      <c r="E76" s="30" t="n">
        <f aca="false">IFERROR(C76/B76,0)</f>
        <v>0</v>
      </c>
      <c r="F76" s="31" t="n">
        <f aca="false">SUMIFS(Trades!$X$2:$X$1146,Trades!$D$2:$D$1146,$A76)</f>
        <v>-43.48</v>
      </c>
      <c r="G76" s="31" t="n">
        <f aca="false">SUMIFS(Trades!$X$2:$X$1146,Trades!$D$2:$D$1146,$A76,Trades!$X$2:$X$1146,"&gt;0")</f>
        <v>0</v>
      </c>
      <c r="H76" s="31" t="n">
        <f aca="false">SUMIFS(Trades!$X$2:$X$1146,Trades!$D$2:$D$1146,$A76,Trades!$X$2:$X$1146,"&lt;0")</f>
        <v>-43.48</v>
      </c>
      <c r="I76" s="32" t="n">
        <f aca="false">IFERROR(G76/-H76,"no loss")</f>
        <v>0</v>
      </c>
      <c r="J76" s="31" t="n">
        <f aca="false">_xlfn.MAXIFS(Trades!$X$2:$X$1146,Trades!$D$2:$D$1146,$A76)</f>
        <v>-43.48</v>
      </c>
      <c r="K76" s="31" t="n">
        <f aca="false">_xlfn.MINIFS(Trades!$X$2:$X$1146,Trades!$D$2:$D$1146,$A76)</f>
        <v>-43.48</v>
      </c>
      <c r="L76" s="33" t="n">
        <f aca="false">SUMIFS(Trades!$Y$2:$Y$1146,Trades!$D$2:$D$1146,$A76)</f>
        <v>-1.09027081243738</v>
      </c>
      <c r="M76" s="31" t="n">
        <f aca="false">P75</f>
        <v>10769.43</v>
      </c>
      <c r="N76" s="30" t="n">
        <f aca="false">IFERROR(F76/M76,0)</f>
        <v>-0.00403735388038179</v>
      </c>
      <c r="O76" s="29" t="str">
        <f aca="false">IF(-N76&gt;=Summary!$C$7,"BREACH","")</f>
        <v/>
      </c>
      <c r="P76" s="31" t="n">
        <f aca="false">M76+F76</f>
        <v>10725.95</v>
      </c>
      <c r="Q76" s="31" t="n">
        <f aca="false">P76-Summary!$C$5</f>
        <v>725.949999999995</v>
      </c>
      <c r="R76" s="2" t="str">
        <f aca="false">TEXT(A76,"ddd")</f>
        <v>Thu</v>
      </c>
    </row>
    <row r="77" customFormat="false" ht="15" hidden="false" customHeight="false" outlineLevel="0" collapsed="false">
      <c r="A77" s="43" t="n">
        <v>44771</v>
      </c>
      <c r="B77" s="29" t="n">
        <f aca="false">COUNTIFS(Trades!$D$2:$D$1146,$A77)</f>
        <v>1</v>
      </c>
      <c r="C77" s="29" t="n">
        <f aca="false">COUNTIFS(Trades!$D$2:$D$1146,$A77,Trades!$Z$2:$Z$1146,"Win")</f>
        <v>0</v>
      </c>
      <c r="D77" s="29" t="n">
        <f aca="false">COUNTIFS(Trades!$D$2:$D$1146,$A77,Trades!$Z$2:$Z$1146,"Loss")</f>
        <v>1</v>
      </c>
      <c r="E77" s="30" t="n">
        <f aca="false">IFERROR(C77/B77,0)</f>
        <v>0</v>
      </c>
      <c r="F77" s="31" t="n">
        <f aca="false">SUMIFS(Trades!$X$2:$X$1146,Trades!$D$2:$D$1146,$A77)</f>
        <v>-1.32</v>
      </c>
      <c r="G77" s="31" t="n">
        <f aca="false">SUMIFS(Trades!$X$2:$X$1146,Trades!$D$2:$D$1146,$A77,Trades!$X$2:$X$1146,"&gt;0")</f>
        <v>0</v>
      </c>
      <c r="H77" s="31" t="n">
        <f aca="false">SUMIFS(Trades!$X$2:$X$1146,Trades!$D$2:$D$1146,$A77,Trades!$X$2:$X$1146,"&lt;0")</f>
        <v>-1.32</v>
      </c>
      <c r="I77" s="32" t="n">
        <f aca="false">IFERROR(G77/-H77,"no loss")</f>
        <v>0</v>
      </c>
      <c r="J77" s="31" t="n">
        <f aca="false">_xlfn.MAXIFS(Trades!$X$2:$X$1146,Trades!$D$2:$D$1146,$A77)</f>
        <v>-1.32</v>
      </c>
      <c r="K77" s="31" t="n">
        <f aca="false">_xlfn.MINIFS(Trades!$X$2:$X$1146,Trades!$D$2:$D$1146,$A77)</f>
        <v>-1.32</v>
      </c>
      <c r="L77" s="33" t="n">
        <f aca="false">SUMIFS(Trades!$Y$2:$Y$1146,Trades!$D$2:$D$1146,$A77)</f>
        <v>-0.0131212723658054</v>
      </c>
      <c r="M77" s="31" t="n">
        <f aca="false">P76</f>
        <v>10725.95</v>
      </c>
      <c r="N77" s="30" t="n">
        <f aca="false">IFERROR(F77/M77,0)</f>
        <v>-0.000123066022123914</v>
      </c>
      <c r="O77" s="29" t="str">
        <f aca="false">IF(-N77&gt;=Summary!$C$7,"BREACH","")</f>
        <v/>
      </c>
      <c r="P77" s="31" t="n">
        <f aca="false">M77+F77</f>
        <v>10724.63</v>
      </c>
      <c r="Q77" s="31" t="n">
        <f aca="false">P77-Summary!$C$5</f>
        <v>724.629999999996</v>
      </c>
      <c r="R77" s="2" t="str">
        <f aca="false">TEXT(A77,"ddd")</f>
        <v>Fri</v>
      </c>
    </row>
    <row r="78" customFormat="false" ht="15" hidden="false" customHeight="false" outlineLevel="0" collapsed="false">
      <c r="A78" s="43" t="n">
        <v>44774</v>
      </c>
      <c r="B78" s="29" t="n">
        <f aca="false">COUNTIFS(Trades!$D$2:$D$1146,$A78)</f>
        <v>1</v>
      </c>
      <c r="C78" s="29" t="n">
        <f aca="false">COUNTIFS(Trades!$D$2:$D$1146,$A78,Trades!$Z$2:$Z$1146,"Win")</f>
        <v>0</v>
      </c>
      <c r="D78" s="29" t="n">
        <f aca="false">COUNTIFS(Trades!$D$2:$D$1146,$A78,Trades!$Z$2:$Z$1146,"Loss")</f>
        <v>1</v>
      </c>
      <c r="E78" s="30" t="n">
        <f aca="false">IFERROR(C78/B78,0)</f>
        <v>0</v>
      </c>
      <c r="F78" s="31" t="n">
        <f aca="false">SUMIFS(Trades!$X$2:$X$1146,Trades!$D$2:$D$1146,$A78)</f>
        <v>-74.48</v>
      </c>
      <c r="G78" s="31" t="n">
        <f aca="false">SUMIFS(Trades!$X$2:$X$1146,Trades!$D$2:$D$1146,$A78,Trades!$X$2:$X$1146,"&gt;0")</f>
        <v>0</v>
      </c>
      <c r="H78" s="31" t="n">
        <f aca="false">SUMIFS(Trades!$X$2:$X$1146,Trades!$D$2:$D$1146,$A78,Trades!$X$2:$X$1146,"&lt;0")</f>
        <v>-74.48</v>
      </c>
      <c r="I78" s="32" t="n">
        <f aca="false">IFERROR(G78/-H78,"no loss")</f>
        <v>0</v>
      </c>
      <c r="J78" s="31" t="n">
        <f aca="false">_xlfn.MAXIFS(Trades!$X$2:$X$1146,Trades!$D$2:$D$1146,$A78)</f>
        <v>-74.48</v>
      </c>
      <c r="K78" s="31" t="n">
        <f aca="false">_xlfn.MINIFS(Trades!$X$2:$X$1146,Trades!$D$2:$D$1146,$A78)</f>
        <v>-74.48</v>
      </c>
      <c r="L78" s="33" t="n">
        <f aca="false">SUMIFS(Trades!$Y$2:$Y$1146,Trades!$D$2:$D$1146,$A78)</f>
        <v>-1.00757575757568</v>
      </c>
      <c r="M78" s="31" t="n">
        <f aca="false">P77</f>
        <v>10724.63</v>
      </c>
      <c r="N78" s="30" t="n">
        <f aca="false">IFERROR(F78/M78,0)</f>
        <v>-0.00694476173070773</v>
      </c>
      <c r="O78" s="29" t="str">
        <f aca="false">IF(-N78&gt;=Summary!$C$7,"BREACH","")</f>
        <v/>
      </c>
      <c r="P78" s="31" t="n">
        <f aca="false">M78+F78</f>
        <v>10650.15</v>
      </c>
      <c r="Q78" s="31" t="n">
        <f aca="false">P78-Summary!$C$5</f>
        <v>650.149999999996</v>
      </c>
      <c r="R78" s="2" t="str">
        <f aca="false">TEXT(A78,"ddd")</f>
        <v>Mon</v>
      </c>
    </row>
    <row r="79" customFormat="false" ht="15" hidden="false" customHeight="false" outlineLevel="0" collapsed="false">
      <c r="A79" s="43" t="n">
        <v>44775</v>
      </c>
      <c r="B79" s="29" t="n">
        <f aca="false">COUNTIFS(Trades!$D$2:$D$1146,$A79)</f>
        <v>1</v>
      </c>
      <c r="C79" s="29" t="n">
        <f aca="false">COUNTIFS(Trades!$D$2:$D$1146,$A79,Trades!$Z$2:$Z$1146,"Win")</f>
        <v>0</v>
      </c>
      <c r="D79" s="29" t="n">
        <f aca="false">COUNTIFS(Trades!$D$2:$D$1146,$A79,Trades!$Z$2:$Z$1146,"Loss")</f>
        <v>1</v>
      </c>
      <c r="E79" s="30" t="n">
        <f aca="false">IFERROR(C79/B79,0)</f>
        <v>0</v>
      </c>
      <c r="F79" s="31" t="n">
        <f aca="false">SUMIFS(Trades!$X$2:$X$1146,Trades!$D$2:$D$1146,$A79)</f>
        <v>-32.72</v>
      </c>
      <c r="G79" s="31" t="n">
        <f aca="false">SUMIFS(Trades!$X$2:$X$1146,Trades!$D$2:$D$1146,$A79,Trades!$X$2:$X$1146,"&gt;0")</f>
        <v>0</v>
      </c>
      <c r="H79" s="31" t="n">
        <f aca="false">SUMIFS(Trades!$X$2:$X$1146,Trades!$D$2:$D$1146,$A79,Trades!$X$2:$X$1146,"&lt;0")</f>
        <v>-32.72</v>
      </c>
      <c r="I79" s="32" t="n">
        <f aca="false">IFERROR(G79/-H79,"no loss")</f>
        <v>0</v>
      </c>
      <c r="J79" s="31" t="n">
        <f aca="false">_xlfn.MAXIFS(Trades!$X$2:$X$1146,Trades!$D$2:$D$1146,$A79)</f>
        <v>-32.72</v>
      </c>
      <c r="K79" s="31" t="n">
        <f aca="false">_xlfn.MINIFS(Trades!$X$2:$X$1146,Trades!$D$2:$D$1146,$A79)</f>
        <v>-32.72</v>
      </c>
      <c r="L79" s="33" t="n">
        <f aca="false">SUMIFS(Trades!$Y$2:$Y$1146,Trades!$D$2:$D$1146,$A79)</f>
        <v>-1.04071246819355</v>
      </c>
      <c r="M79" s="31" t="n">
        <f aca="false">P78</f>
        <v>10650.15</v>
      </c>
      <c r="N79" s="30" t="n">
        <f aca="false">IFERROR(F79/M79,0)</f>
        <v>-0.00307225719825542</v>
      </c>
      <c r="O79" s="29" t="str">
        <f aca="false">IF(-N79&gt;=Summary!$C$7,"BREACH","")</f>
        <v/>
      </c>
      <c r="P79" s="31" t="n">
        <f aca="false">M79+F79</f>
        <v>10617.43</v>
      </c>
      <c r="Q79" s="31" t="n">
        <f aca="false">P79-Summary!$C$5</f>
        <v>617.429999999997</v>
      </c>
      <c r="R79" s="2" t="str">
        <f aca="false">TEXT(A79,"ddd")</f>
        <v>Tue</v>
      </c>
    </row>
    <row r="80" customFormat="false" ht="15" hidden="false" customHeight="false" outlineLevel="0" collapsed="false">
      <c r="A80" s="43" t="n">
        <v>44776</v>
      </c>
      <c r="B80" s="29" t="n">
        <f aca="false">COUNTIFS(Trades!$D$2:$D$1146,$A80)</f>
        <v>1</v>
      </c>
      <c r="C80" s="29" t="n">
        <f aca="false">COUNTIFS(Trades!$D$2:$D$1146,$A80,Trades!$Z$2:$Z$1146,"Win")</f>
        <v>0</v>
      </c>
      <c r="D80" s="29" t="n">
        <f aca="false">COUNTIFS(Trades!$D$2:$D$1146,$A80,Trades!$Z$2:$Z$1146,"Loss")</f>
        <v>1</v>
      </c>
      <c r="E80" s="30" t="n">
        <f aca="false">IFERROR(C80/B80,0)</f>
        <v>0</v>
      </c>
      <c r="F80" s="31" t="n">
        <f aca="false">SUMIFS(Trades!$X$2:$X$1146,Trades!$D$2:$D$1146,$A80)</f>
        <v>-5.6</v>
      </c>
      <c r="G80" s="31" t="n">
        <f aca="false">SUMIFS(Trades!$X$2:$X$1146,Trades!$D$2:$D$1146,$A80,Trades!$X$2:$X$1146,"&gt;0")</f>
        <v>0</v>
      </c>
      <c r="H80" s="31" t="n">
        <f aca="false">SUMIFS(Trades!$X$2:$X$1146,Trades!$D$2:$D$1146,$A80,Trades!$X$2:$X$1146,"&lt;0")</f>
        <v>-5.6</v>
      </c>
      <c r="I80" s="32" t="n">
        <f aca="false">IFERROR(G80/-H80,"no loss")</f>
        <v>0</v>
      </c>
      <c r="J80" s="31" t="n">
        <f aca="false">_xlfn.MAXIFS(Trades!$X$2:$X$1146,Trades!$D$2:$D$1146,$A80)</f>
        <v>-5.6</v>
      </c>
      <c r="K80" s="31" t="n">
        <f aca="false">_xlfn.MINIFS(Trades!$X$2:$X$1146,Trades!$D$2:$D$1146,$A80)</f>
        <v>-5.6</v>
      </c>
      <c r="L80" s="33" t="n">
        <f aca="false">SUMIFS(Trades!$Y$2:$Y$1146,Trades!$D$2:$D$1146,$A80)</f>
        <v>-0.0774764803541794</v>
      </c>
      <c r="M80" s="31" t="n">
        <f aca="false">P79</f>
        <v>10617.43</v>
      </c>
      <c r="N80" s="30" t="n">
        <f aca="false">IFERROR(F80/M80,0)</f>
        <v>-0.000527434605172815</v>
      </c>
      <c r="O80" s="29" t="str">
        <f aca="false">IF(-N80&gt;=Summary!$C$7,"BREACH","")</f>
        <v/>
      </c>
      <c r="P80" s="31" t="n">
        <f aca="false">M80+F80</f>
        <v>10611.83</v>
      </c>
      <c r="Q80" s="31" t="n">
        <f aca="false">P80-Summary!$C$5</f>
        <v>611.829999999996</v>
      </c>
      <c r="R80" s="2" t="str">
        <f aca="false">TEXT(A80,"ddd")</f>
        <v>Wed</v>
      </c>
    </row>
    <row r="81" customFormat="false" ht="15" hidden="false" customHeight="false" outlineLevel="0" collapsed="false">
      <c r="A81" s="43" t="n">
        <v>44777</v>
      </c>
      <c r="B81" s="29" t="n">
        <f aca="false">COUNTIFS(Trades!$D$2:$D$1146,$A81)</f>
        <v>1</v>
      </c>
      <c r="C81" s="29" t="n">
        <f aca="false">COUNTIFS(Trades!$D$2:$D$1146,$A81,Trades!$Z$2:$Z$1146,"Win")</f>
        <v>0</v>
      </c>
      <c r="D81" s="29" t="n">
        <f aca="false">COUNTIFS(Trades!$D$2:$D$1146,$A81,Trades!$Z$2:$Z$1146,"Loss")</f>
        <v>1</v>
      </c>
      <c r="E81" s="30" t="n">
        <f aca="false">IFERROR(C81/B81,0)</f>
        <v>0</v>
      </c>
      <c r="F81" s="31" t="n">
        <f aca="false">SUMIFS(Trades!$X$2:$X$1146,Trades!$D$2:$D$1146,$A81)</f>
        <v>-0.09</v>
      </c>
      <c r="G81" s="31" t="n">
        <f aca="false">SUMIFS(Trades!$X$2:$X$1146,Trades!$D$2:$D$1146,$A81,Trades!$X$2:$X$1146,"&gt;0")</f>
        <v>0</v>
      </c>
      <c r="H81" s="31" t="n">
        <f aca="false">SUMIFS(Trades!$X$2:$X$1146,Trades!$D$2:$D$1146,$A81,Trades!$X$2:$X$1146,"&lt;0")</f>
        <v>-0.09</v>
      </c>
      <c r="I81" s="32" t="n">
        <f aca="false">IFERROR(G81/-H81,"no loss")</f>
        <v>0</v>
      </c>
      <c r="J81" s="31" t="n">
        <f aca="false">_xlfn.MAXIFS(Trades!$X$2:$X$1146,Trades!$D$2:$D$1146,$A81)</f>
        <v>-0.09</v>
      </c>
      <c r="K81" s="31" t="n">
        <f aca="false">_xlfn.MINIFS(Trades!$X$2:$X$1146,Trades!$D$2:$D$1146,$A81)</f>
        <v>-0.09</v>
      </c>
      <c r="L81" s="33" t="n">
        <f aca="false">SUMIFS(Trades!$Y$2:$Y$1146,Trades!$D$2:$D$1146,$A81)</f>
        <v>-0.00422535211267584</v>
      </c>
      <c r="M81" s="31" t="n">
        <f aca="false">P80</f>
        <v>10611.83</v>
      </c>
      <c r="N81" s="30" t="n">
        <f aca="false">IFERROR(F81/M81,0)</f>
        <v>-8.48110080919126E-006</v>
      </c>
      <c r="O81" s="29" t="str">
        <f aca="false">IF(-N81&gt;=Summary!$C$7,"BREACH","")</f>
        <v/>
      </c>
      <c r="P81" s="31" t="n">
        <f aca="false">M81+F81</f>
        <v>10611.74</v>
      </c>
      <c r="Q81" s="31" t="n">
        <f aca="false">P81-Summary!$C$5</f>
        <v>611.739999999996</v>
      </c>
      <c r="R81" s="2" t="str">
        <f aca="false">TEXT(A81,"ddd")</f>
        <v>Thu</v>
      </c>
    </row>
    <row r="82" customFormat="false" ht="15" hidden="false" customHeight="false" outlineLevel="0" collapsed="false">
      <c r="A82" s="43" t="n">
        <v>44778</v>
      </c>
      <c r="B82" s="29" t="n">
        <f aca="false">COUNTIFS(Trades!$D$2:$D$1146,$A82)</f>
        <v>2</v>
      </c>
      <c r="C82" s="29" t="n">
        <f aca="false">COUNTIFS(Trades!$D$2:$D$1146,$A82,Trades!$Z$2:$Z$1146,"Win")</f>
        <v>1</v>
      </c>
      <c r="D82" s="29" t="n">
        <f aca="false">COUNTIFS(Trades!$D$2:$D$1146,$A82,Trades!$Z$2:$Z$1146,"Loss")</f>
        <v>1</v>
      </c>
      <c r="E82" s="30" t="n">
        <f aca="false">IFERROR(C82/B82,0)</f>
        <v>0.5</v>
      </c>
      <c r="F82" s="31" t="n">
        <f aca="false">SUMIFS(Trades!$X$2:$X$1146,Trades!$D$2:$D$1146,$A82)</f>
        <v>148.96</v>
      </c>
      <c r="G82" s="31" t="n">
        <f aca="false">SUMIFS(Trades!$X$2:$X$1146,Trades!$D$2:$D$1146,$A82,Trades!$X$2:$X$1146,"&gt;0")</f>
        <v>169.36</v>
      </c>
      <c r="H82" s="31" t="n">
        <f aca="false">SUMIFS(Trades!$X$2:$X$1146,Trades!$D$2:$D$1146,$A82,Trades!$X$2:$X$1146,"&lt;0")</f>
        <v>-20.4</v>
      </c>
      <c r="I82" s="32" t="n">
        <f aca="false">IFERROR(G82/-H82,"no loss")</f>
        <v>8.30196078431373</v>
      </c>
      <c r="J82" s="31" t="n">
        <f aca="false">_xlfn.MAXIFS(Trades!$X$2:$X$1146,Trades!$D$2:$D$1146,$A82)</f>
        <v>169.36</v>
      </c>
      <c r="K82" s="31" t="n">
        <f aca="false">_xlfn.MINIFS(Trades!$X$2:$X$1146,Trades!$D$2:$D$1146,$A82)</f>
        <v>-20.4</v>
      </c>
      <c r="L82" s="33" t="n">
        <f aca="false">SUMIFS(Trades!$Y$2:$Y$1146,Trades!$D$2:$D$1146,$A82)</f>
        <v>1.30649894786076</v>
      </c>
      <c r="M82" s="31" t="n">
        <f aca="false">P81</f>
        <v>10611.74</v>
      </c>
      <c r="N82" s="30" t="n">
        <f aca="false">IFERROR(F82/M82,0)</f>
        <v>0.0140372832353601</v>
      </c>
      <c r="O82" s="29" t="str">
        <f aca="false">IF(-N82&gt;=Summary!$C$7,"BREACH","")</f>
        <v/>
      </c>
      <c r="P82" s="31" t="n">
        <f aca="false">M82+F82</f>
        <v>10760.7</v>
      </c>
      <c r="Q82" s="31" t="n">
        <f aca="false">P82-Summary!$C$5</f>
        <v>760.699999999995</v>
      </c>
      <c r="R82" s="2" t="str">
        <f aca="false">TEXT(A82,"ddd")</f>
        <v>Fri</v>
      </c>
    </row>
    <row r="83" customFormat="false" ht="15" hidden="false" customHeight="false" outlineLevel="0" collapsed="false">
      <c r="A83" s="43" t="n">
        <v>44781</v>
      </c>
      <c r="B83" s="29" t="n">
        <f aca="false">COUNTIFS(Trades!$D$2:$D$1146,$A83)</f>
        <v>1</v>
      </c>
      <c r="C83" s="29" t="n">
        <f aca="false">COUNTIFS(Trades!$D$2:$D$1146,$A83,Trades!$Z$2:$Z$1146,"Win")</f>
        <v>0</v>
      </c>
      <c r="D83" s="29" t="n">
        <f aca="false">COUNTIFS(Trades!$D$2:$D$1146,$A83,Trades!$Z$2:$Z$1146,"Loss")</f>
        <v>1</v>
      </c>
      <c r="E83" s="30" t="n">
        <f aca="false">IFERROR(C83/B83,0)</f>
        <v>0</v>
      </c>
      <c r="F83" s="31" t="n">
        <f aca="false">SUMIFS(Trades!$X$2:$X$1146,Trades!$D$2:$D$1146,$A83)</f>
        <v>-0.12</v>
      </c>
      <c r="G83" s="31" t="n">
        <f aca="false">SUMIFS(Trades!$X$2:$X$1146,Trades!$D$2:$D$1146,$A83,Trades!$X$2:$X$1146,"&gt;0")</f>
        <v>0</v>
      </c>
      <c r="H83" s="31" t="n">
        <f aca="false">SUMIFS(Trades!$X$2:$X$1146,Trades!$D$2:$D$1146,$A83,Trades!$X$2:$X$1146,"&lt;0")</f>
        <v>-0.12</v>
      </c>
      <c r="I83" s="32" t="n">
        <f aca="false">IFERROR(G83/-H83,"no loss")</f>
        <v>0</v>
      </c>
      <c r="J83" s="31" t="n">
        <f aca="false">_xlfn.MAXIFS(Trades!$X$2:$X$1146,Trades!$D$2:$D$1146,$A83)</f>
        <v>-0.12</v>
      </c>
      <c r="K83" s="31" t="n">
        <f aca="false">_xlfn.MINIFS(Trades!$X$2:$X$1146,Trades!$D$2:$D$1146,$A83)</f>
        <v>-0.12</v>
      </c>
      <c r="L83" s="33" t="n">
        <f aca="false">SUMIFS(Trades!$Y$2:$Y$1146,Trades!$D$2:$D$1146,$A83)</f>
        <v>-0.00156250000000009</v>
      </c>
      <c r="M83" s="31" t="n">
        <f aca="false">P82</f>
        <v>10760.7</v>
      </c>
      <c r="N83" s="30" t="n">
        <f aca="false">IFERROR(F83/M83,0)</f>
        <v>-1.11516908751289E-005</v>
      </c>
      <c r="O83" s="29" t="str">
        <f aca="false">IF(-N83&gt;=Summary!$C$7,"BREACH","")</f>
        <v/>
      </c>
      <c r="P83" s="31" t="n">
        <f aca="false">M83+F83</f>
        <v>10760.58</v>
      </c>
      <c r="Q83" s="31" t="n">
        <f aca="false">P83-Summary!$C$5</f>
        <v>760.579999999995</v>
      </c>
      <c r="R83" s="2" t="str">
        <f aca="false">TEXT(A83,"ddd")</f>
        <v>Mon</v>
      </c>
    </row>
    <row r="84" customFormat="false" ht="15" hidden="false" customHeight="false" outlineLevel="0" collapsed="false">
      <c r="A84" s="43" t="n">
        <v>44782</v>
      </c>
      <c r="B84" s="29" t="n">
        <f aca="false">COUNTIFS(Trades!$D$2:$D$1146,$A84)</f>
        <v>1</v>
      </c>
      <c r="C84" s="29" t="n">
        <f aca="false">COUNTIFS(Trades!$D$2:$D$1146,$A84,Trades!$Z$2:$Z$1146,"Win")</f>
        <v>0</v>
      </c>
      <c r="D84" s="29" t="n">
        <f aca="false">COUNTIFS(Trades!$D$2:$D$1146,$A84,Trades!$Z$2:$Z$1146,"Loss")</f>
        <v>1</v>
      </c>
      <c r="E84" s="30" t="n">
        <f aca="false">IFERROR(C84/B84,0)</f>
        <v>0</v>
      </c>
      <c r="F84" s="31" t="n">
        <f aca="false">SUMIFS(Trades!$X$2:$X$1146,Trades!$D$2:$D$1146,$A84)</f>
        <v>-0.32</v>
      </c>
      <c r="G84" s="31" t="n">
        <f aca="false">SUMIFS(Trades!$X$2:$X$1146,Trades!$D$2:$D$1146,$A84,Trades!$X$2:$X$1146,"&gt;0")</f>
        <v>0</v>
      </c>
      <c r="H84" s="31" t="n">
        <f aca="false">SUMIFS(Trades!$X$2:$X$1146,Trades!$D$2:$D$1146,$A84,Trades!$X$2:$X$1146,"&lt;0")</f>
        <v>-0.32</v>
      </c>
      <c r="I84" s="32" t="n">
        <f aca="false">IFERROR(G84/-H84,"no loss")</f>
        <v>0</v>
      </c>
      <c r="J84" s="31" t="n">
        <f aca="false">_xlfn.MAXIFS(Trades!$X$2:$X$1146,Trades!$D$2:$D$1146,$A84)</f>
        <v>-0.32</v>
      </c>
      <c r="K84" s="31" t="n">
        <f aca="false">_xlfn.MINIFS(Trades!$X$2:$X$1146,Trades!$D$2:$D$1146,$A84)</f>
        <v>-0.32</v>
      </c>
      <c r="L84" s="33" t="n">
        <f aca="false">SUMIFS(Trades!$Y$2:$Y$1146,Trades!$D$2:$D$1146,$A84)</f>
        <v>-0.0125588697017289</v>
      </c>
      <c r="M84" s="31" t="n">
        <f aca="false">P83</f>
        <v>10760.58</v>
      </c>
      <c r="N84" s="30" t="n">
        <f aca="false">IFERROR(F84/M84,0)</f>
        <v>-2.97381739646004E-005</v>
      </c>
      <c r="O84" s="29" t="str">
        <f aca="false">IF(-N84&gt;=Summary!$C$7,"BREACH","")</f>
        <v/>
      </c>
      <c r="P84" s="31" t="n">
        <f aca="false">M84+F84</f>
        <v>10760.26</v>
      </c>
      <c r="Q84" s="31" t="n">
        <f aca="false">P84-Summary!$C$5</f>
        <v>760.259999999995</v>
      </c>
      <c r="R84" s="2" t="str">
        <f aca="false">TEXT(A84,"ddd")</f>
        <v>Tue</v>
      </c>
    </row>
    <row r="85" customFormat="false" ht="15" hidden="false" customHeight="false" outlineLevel="0" collapsed="false">
      <c r="A85" s="43" t="n">
        <v>44783</v>
      </c>
      <c r="B85" s="29" t="n">
        <f aca="false">COUNTIFS(Trades!$D$2:$D$1146,$A85)</f>
        <v>1</v>
      </c>
      <c r="C85" s="29" t="n">
        <f aca="false">COUNTIFS(Trades!$D$2:$D$1146,$A85,Trades!$Z$2:$Z$1146,"Win")</f>
        <v>0</v>
      </c>
      <c r="D85" s="29" t="n">
        <f aca="false">COUNTIFS(Trades!$D$2:$D$1146,$A85,Trades!$Z$2:$Z$1146,"Loss")</f>
        <v>0</v>
      </c>
      <c r="E85" s="30" t="n">
        <f aca="false">IFERROR(C85/B85,0)</f>
        <v>0</v>
      </c>
      <c r="F85" s="31" t="n">
        <f aca="false">SUMIFS(Trades!$X$2:$X$1146,Trades!$D$2:$D$1146,$A85)</f>
        <v>0</v>
      </c>
      <c r="G85" s="31" t="n">
        <f aca="false">SUMIFS(Trades!$X$2:$X$1146,Trades!$D$2:$D$1146,$A85,Trades!$X$2:$X$1146,"&gt;0")</f>
        <v>0</v>
      </c>
      <c r="H85" s="31" t="n">
        <f aca="false">SUMIFS(Trades!$X$2:$X$1146,Trades!$D$2:$D$1146,$A85,Trades!$X$2:$X$1146,"&lt;0")</f>
        <v>0</v>
      </c>
      <c r="I85" s="32" t="str">
        <f aca="false">IFERROR(G85/-H85,"no loss")</f>
        <v>no loss</v>
      </c>
      <c r="J85" s="31" t="n">
        <f aca="false">_xlfn.MAXIFS(Trades!$X$2:$X$1146,Trades!$D$2:$D$1146,$A85)</f>
        <v>0</v>
      </c>
      <c r="K85" s="31" t="n">
        <f aca="false">_xlfn.MINIFS(Trades!$X$2:$X$1146,Trades!$D$2:$D$1146,$A85)</f>
        <v>0</v>
      </c>
      <c r="L85" s="33" t="n">
        <f aca="false">SUMIFS(Trades!$Y$2:$Y$1146,Trades!$D$2:$D$1146,$A85)</f>
        <v>0</v>
      </c>
      <c r="M85" s="31" t="n">
        <f aca="false">P84</f>
        <v>10760.26</v>
      </c>
      <c r="N85" s="30" t="n">
        <f aca="false">IFERROR(F85/M85,0)</f>
        <v>0</v>
      </c>
      <c r="O85" s="29" t="str">
        <f aca="false">IF(-N85&gt;=Summary!$C$7,"BREACH","")</f>
        <v/>
      </c>
      <c r="P85" s="31" t="n">
        <f aca="false">M85+F85</f>
        <v>10760.26</v>
      </c>
      <c r="Q85" s="31" t="n">
        <f aca="false">P85-Summary!$C$5</f>
        <v>760.259999999995</v>
      </c>
      <c r="R85" s="2" t="str">
        <f aca="false">TEXT(A85,"ddd")</f>
        <v>Wed</v>
      </c>
    </row>
    <row r="86" customFormat="false" ht="15" hidden="false" customHeight="false" outlineLevel="0" collapsed="false">
      <c r="A86" s="43" t="n">
        <v>44784</v>
      </c>
      <c r="B86" s="29" t="n">
        <f aca="false">COUNTIFS(Trades!$D$2:$D$1146,$A86)</f>
        <v>1</v>
      </c>
      <c r="C86" s="29" t="n">
        <f aca="false">COUNTIFS(Trades!$D$2:$D$1146,$A86,Trades!$Z$2:$Z$1146,"Win")</f>
        <v>0</v>
      </c>
      <c r="D86" s="29" t="n">
        <f aca="false">COUNTIFS(Trades!$D$2:$D$1146,$A86,Trades!$Z$2:$Z$1146,"Loss")</f>
        <v>1</v>
      </c>
      <c r="E86" s="30" t="n">
        <f aca="false">IFERROR(C86/B86,0)</f>
        <v>0</v>
      </c>
      <c r="F86" s="31" t="n">
        <f aca="false">SUMIFS(Trades!$X$2:$X$1146,Trades!$D$2:$D$1146,$A86)</f>
        <v>-15.92</v>
      </c>
      <c r="G86" s="31" t="n">
        <f aca="false">SUMIFS(Trades!$X$2:$X$1146,Trades!$D$2:$D$1146,$A86,Trades!$X$2:$X$1146,"&gt;0")</f>
        <v>0</v>
      </c>
      <c r="H86" s="31" t="n">
        <f aca="false">SUMIFS(Trades!$X$2:$X$1146,Trades!$D$2:$D$1146,$A86,Trades!$X$2:$X$1146,"&lt;0")</f>
        <v>-15.92</v>
      </c>
      <c r="I86" s="32" t="n">
        <f aca="false">IFERROR(G86/-H86,"no loss")</f>
        <v>0</v>
      </c>
      <c r="J86" s="31" t="n">
        <f aca="false">_xlfn.MAXIFS(Trades!$X$2:$X$1146,Trades!$D$2:$D$1146,$A86)</f>
        <v>-15.92</v>
      </c>
      <c r="K86" s="31" t="n">
        <f aca="false">_xlfn.MINIFS(Trades!$X$2:$X$1146,Trades!$D$2:$D$1146,$A86)</f>
        <v>-15.92</v>
      </c>
      <c r="L86" s="33" t="n">
        <f aca="false">SUMIFS(Trades!$Y$2:$Y$1146,Trades!$D$2:$D$1146,$A86)</f>
        <v>-1.0257731958765</v>
      </c>
      <c r="M86" s="31" t="n">
        <f aca="false">P85</f>
        <v>10760.26</v>
      </c>
      <c r="N86" s="30" t="n">
        <f aca="false">IFERROR(F86/M86,0)</f>
        <v>-0.00147951815290709</v>
      </c>
      <c r="O86" s="29" t="str">
        <f aca="false">IF(-N86&gt;=Summary!$C$7,"BREACH","")</f>
        <v/>
      </c>
      <c r="P86" s="31" t="n">
        <f aca="false">M86+F86</f>
        <v>10744.34</v>
      </c>
      <c r="Q86" s="31" t="n">
        <f aca="false">P86-Summary!$C$5</f>
        <v>744.339999999995</v>
      </c>
      <c r="R86" s="2" t="str">
        <f aca="false">TEXT(A86,"ddd")</f>
        <v>Thu</v>
      </c>
    </row>
    <row r="87" customFormat="false" ht="15" hidden="false" customHeight="false" outlineLevel="0" collapsed="false">
      <c r="A87" s="43" t="n">
        <v>44785</v>
      </c>
      <c r="B87" s="29" t="n">
        <f aca="false">COUNTIFS(Trades!$D$2:$D$1146,$A87)</f>
        <v>1</v>
      </c>
      <c r="C87" s="29" t="n">
        <f aca="false">COUNTIFS(Trades!$D$2:$D$1146,$A87,Trades!$Z$2:$Z$1146,"Win")</f>
        <v>0</v>
      </c>
      <c r="D87" s="29" t="n">
        <f aca="false">COUNTIFS(Trades!$D$2:$D$1146,$A87,Trades!$Z$2:$Z$1146,"Loss")</f>
        <v>1</v>
      </c>
      <c r="E87" s="30" t="n">
        <f aca="false">IFERROR(C87/B87,0)</f>
        <v>0</v>
      </c>
      <c r="F87" s="31" t="n">
        <f aca="false">SUMIFS(Trades!$X$2:$X$1146,Trades!$D$2:$D$1146,$A87)</f>
        <v>-0.24</v>
      </c>
      <c r="G87" s="31" t="n">
        <f aca="false">SUMIFS(Trades!$X$2:$X$1146,Trades!$D$2:$D$1146,$A87,Trades!$X$2:$X$1146,"&gt;0")</f>
        <v>0</v>
      </c>
      <c r="H87" s="31" t="n">
        <f aca="false">SUMIFS(Trades!$X$2:$X$1146,Trades!$D$2:$D$1146,$A87,Trades!$X$2:$X$1146,"&lt;0")</f>
        <v>-0.24</v>
      </c>
      <c r="I87" s="32" t="n">
        <f aca="false">IFERROR(G87/-H87,"no loss")</f>
        <v>0</v>
      </c>
      <c r="J87" s="31" t="n">
        <f aca="false">_xlfn.MAXIFS(Trades!$X$2:$X$1146,Trades!$D$2:$D$1146,$A87)</f>
        <v>-0.24</v>
      </c>
      <c r="K87" s="31" t="n">
        <f aca="false">_xlfn.MINIFS(Trades!$X$2:$X$1146,Trades!$D$2:$D$1146,$A87)</f>
        <v>-0.24</v>
      </c>
      <c r="L87" s="33" t="n">
        <f aca="false">SUMIFS(Trades!$Y$2:$Y$1146,Trades!$D$2:$D$1146,$A87)</f>
        <v>-0.0105820105820113</v>
      </c>
      <c r="M87" s="31" t="n">
        <f aca="false">P86</f>
        <v>10744.34</v>
      </c>
      <c r="N87" s="30" t="n">
        <f aca="false">IFERROR(F87/M87,0)</f>
        <v>-2.23373422657883E-005</v>
      </c>
      <c r="O87" s="29" t="str">
        <f aca="false">IF(-N87&gt;=Summary!$C$7,"BREACH","")</f>
        <v/>
      </c>
      <c r="P87" s="31" t="n">
        <f aca="false">M87+F87</f>
        <v>10744.1</v>
      </c>
      <c r="Q87" s="31" t="n">
        <f aca="false">P87-Summary!$C$5</f>
        <v>744.099999999995</v>
      </c>
      <c r="R87" s="2" t="str">
        <f aca="false">TEXT(A87,"ddd")</f>
        <v>Fri</v>
      </c>
    </row>
    <row r="88" customFormat="false" ht="15" hidden="false" customHeight="false" outlineLevel="0" collapsed="false">
      <c r="A88" s="43" t="n">
        <v>44788</v>
      </c>
      <c r="B88" s="29" t="n">
        <f aca="false">COUNTIFS(Trades!$D$2:$D$1146,$A88)</f>
        <v>1</v>
      </c>
      <c r="C88" s="29" t="n">
        <f aca="false">COUNTIFS(Trades!$D$2:$D$1146,$A88,Trades!$Z$2:$Z$1146,"Win")</f>
        <v>0</v>
      </c>
      <c r="D88" s="29" t="n">
        <f aca="false">COUNTIFS(Trades!$D$2:$D$1146,$A88,Trades!$Z$2:$Z$1146,"Loss")</f>
        <v>1</v>
      </c>
      <c r="E88" s="30" t="n">
        <f aca="false">IFERROR(C88/B88,0)</f>
        <v>0</v>
      </c>
      <c r="F88" s="31" t="n">
        <f aca="false">SUMIFS(Trades!$X$2:$X$1146,Trades!$D$2:$D$1146,$A88)</f>
        <v>-0.06</v>
      </c>
      <c r="G88" s="31" t="n">
        <f aca="false">SUMIFS(Trades!$X$2:$X$1146,Trades!$D$2:$D$1146,$A88,Trades!$X$2:$X$1146,"&gt;0")</f>
        <v>0</v>
      </c>
      <c r="H88" s="31" t="n">
        <f aca="false">SUMIFS(Trades!$X$2:$X$1146,Trades!$D$2:$D$1146,$A88,Trades!$X$2:$X$1146,"&lt;0")</f>
        <v>-0.06</v>
      </c>
      <c r="I88" s="32" t="n">
        <f aca="false">IFERROR(G88/-H88,"no loss")</f>
        <v>0</v>
      </c>
      <c r="J88" s="31" t="n">
        <f aca="false">_xlfn.MAXIFS(Trades!$X$2:$X$1146,Trades!$D$2:$D$1146,$A88)</f>
        <v>-0.06</v>
      </c>
      <c r="K88" s="31" t="n">
        <f aca="false">_xlfn.MINIFS(Trades!$X$2:$X$1146,Trades!$D$2:$D$1146,$A88)</f>
        <v>-0.06</v>
      </c>
      <c r="L88" s="33" t="n">
        <f aca="false">SUMIFS(Trades!$Y$2:$Y$1146,Trades!$D$2:$D$1146,$A88)</f>
        <v>-0.00116822429906549</v>
      </c>
      <c r="M88" s="31" t="n">
        <f aca="false">P87</f>
        <v>10744.1</v>
      </c>
      <c r="N88" s="30" t="n">
        <f aca="false">IFERROR(F88/M88,0)</f>
        <v>-5.58446030844836E-006</v>
      </c>
      <c r="O88" s="29" t="str">
        <f aca="false">IF(-N88&gt;=Summary!$C$7,"BREACH","")</f>
        <v/>
      </c>
      <c r="P88" s="31" t="n">
        <f aca="false">M88+F88</f>
        <v>10744.04</v>
      </c>
      <c r="Q88" s="31" t="n">
        <f aca="false">P88-Summary!$C$5</f>
        <v>744.039999999995</v>
      </c>
      <c r="R88" s="2" t="str">
        <f aca="false">TEXT(A88,"ddd")</f>
        <v>Mon</v>
      </c>
    </row>
    <row r="89" customFormat="false" ht="15" hidden="false" customHeight="false" outlineLevel="0" collapsed="false">
      <c r="A89" s="43" t="n">
        <v>44789</v>
      </c>
      <c r="B89" s="29" t="n">
        <f aca="false">COUNTIFS(Trades!$D$2:$D$1146,$A89)</f>
        <v>1</v>
      </c>
      <c r="C89" s="29" t="n">
        <f aca="false">COUNTIFS(Trades!$D$2:$D$1146,$A89,Trades!$Z$2:$Z$1146,"Win")</f>
        <v>1</v>
      </c>
      <c r="D89" s="29" t="n">
        <f aca="false">COUNTIFS(Trades!$D$2:$D$1146,$A89,Trades!$Z$2:$Z$1146,"Loss")</f>
        <v>0</v>
      </c>
      <c r="E89" s="30" t="n">
        <f aca="false">IFERROR(C89/B89,0)</f>
        <v>1</v>
      </c>
      <c r="F89" s="31" t="n">
        <f aca="false">SUMIFS(Trades!$X$2:$X$1146,Trades!$D$2:$D$1146,$A89)</f>
        <v>53.46</v>
      </c>
      <c r="G89" s="31" t="n">
        <f aca="false">SUMIFS(Trades!$X$2:$X$1146,Trades!$D$2:$D$1146,$A89,Trades!$X$2:$X$1146,"&gt;0")</f>
        <v>53.46</v>
      </c>
      <c r="H89" s="31" t="n">
        <f aca="false">SUMIFS(Trades!$X$2:$X$1146,Trades!$D$2:$D$1146,$A89,Trades!$X$2:$X$1146,"&lt;0")</f>
        <v>0</v>
      </c>
      <c r="I89" s="32" t="str">
        <f aca="false">IFERROR(G89/-H89,"no loss")</f>
        <v>no loss</v>
      </c>
      <c r="J89" s="31" t="n">
        <f aca="false">_xlfn.MAXIFS(Trades!$X$2:$X$1146,Trades!$D$2:$D$1146,$A89)</f>
        <v>53.46</v>
      </c>
      <c r="K89" s="31" t="n">
        <f aca="false">_xlfn.MINIFS(Trades!$X$2:$X$1146,Trades!$D$2:$D$1146,$A89)</f>
        <v>53.46</v>
      </c>
      <c r="L89" s="33" t="n">
        <f aca="false">SUMIFS(Trades!$Y$2:$Y$1146,Trades!$D$2:$D$1146,$A89)</f>
        <v>2.47499999999975</v>
      </c>
      <c r="M89" s="31" t="n">
        <f aca="false">P88</f>
        <v>10744.04</v>
      </c>
      <c r="N89" s="30" t="n">
        <f aca="false">IFERROR(F89/M89,0)</f>
        <v>0.00497578192188414</v>
      </c>
      <c r="O89" s="29" t="str">
        <f aca="false">IF(-N89&gt;=Summary!$C$7,"BREACH","")</f>
        <v/>
      </c>
      <c r="P89" s="31" t="n">
        <f aca="false">M89+F89</f>
        <v>10797.5</v>
      </c>
      <c r="Q89" s="31" t="n">
        <f aca="false">P89-Summary!$C$5</f>
        <v>797.499999999995</v>
      </c>
      <c r="R89" s="2" t="str">
        <f aca="false">TEXT(A89,"ddd")</f>
        <v>Tue</v>
      </c>
    </row>
    <row r="90" customFormat="false" ht="15" hidden="false" customHeight="false" outlineLevel="0" collapsed="false">
      <c r="A90" s="43" t="n">
        <v>44790</v>
      </c>
      <c r="B90" s="29" t="n">
        <f aca="false">COUNTIFS(Trades!$D$2:$D$1146,$A90)</f>
        <v>1</v>
      </c>
      <c r="C90" s="29" t="n">
        <f aca="false">COUNTIFS(Trades!$D$2:$D$1146,$A90,Trades!$Z$2:$Z$1146,"Win")</f>
        <v>0</v>
      </c>
      <c r="D90" s="29" t="n">
        <f aca="false">COUNTIFS(Trades!$D$2:$D$1146,$A90,Trades!$Z$2:$Z$1146,"Loss")</f>
        <v>1</v>
      </c>
      <c r="E90" s="30" t="n">
        <f aca="false">IFERROR(C90/B90,0)</f>
        <v>0</v>
      </c>
      <c r="F90" s="31" t="n">
        <f aca="false">SUMIFS(Trades!$X$2:$X$1146,Trades!$D$2:$D$1146,$A90)</f>
        <v>-0.72</v>
      </c>
      <c r="G90" s="31" t="n">
        <f aca="false">SUMIFS(Trades!$X$2:$X$1146,Trades!$D$2:$D$1146,$A90,Trades!$X$2:$X$1146,"&gt;0")</f>
        <v>0</v>
      </c>
      <c r="H90" s="31" t="n">
        <f aca="false">SUMIFS(Trades!$X$2:$X$1146,Trades!$D$2:$D$1146,$A90,Trades!$X$2:$X$1146,"&lt;0")</f>
        <v>-0.72</v>
      </c>
      <c r="I90" s="32" t="n">
        <f aca="false">IFERROR(G90/-H90,"no loss")</f>
        <v>0</v>
      </c>
      <c r="J90" s="31" t="n">
        <f aca="false">_xlfn.MAXIFS(Trades!$X$2:$X$1146,Trades!$D$2:$D$1146,$A90)</f>
        <v>-0.72</v>
      </c>
      <c r="K90" s="31" t="n">
        <f aca="false">_xlfn.MINIFS(Trades!$X$2:$X$1146,Trades!$D$2:$D$1146,$A90)</f>
        <v>-0.72</v>
      </c>
      <c r="L90" s="33" t="n">
        <f aca="false">SUMIFS(Trades!$Y$2:$Y$1146,Trades!$D$2:$D$1146,$A90)</f>
        <v>-0.0350877192982449</v>
      </c>
      <c r="M90" s="31" t="n">
        <f aca="false">P89</f>
        <v>10797.5</v>
      </c>
      <c r="N90" s="30" t="n">
        <f aca="false">IFERROR(F90/M90,0)</f>
        <v>-6.66821023385043E-005</v>
      </c>
      <c r="O90" s="29" t="str">
        <f aca="false">IF(-N90&gt;=Summary!$C$7,"BREACH","")</f>
        <v/>
      </c>
      <c r="P90" s="31" t="n">
        <f aca="false">M90+F90</f>
        <v>10796.78</v>
      </c>
      <c r="Q90" s="31" t="n">
        <f aca="false">P90-Summary!$C$5</f>
        <v>796.779999999995</v>
      </c>
      <c r="R90" s="2" t="str">
        <f aca="false">TEXT(A90,"ddd")</f>
        <v>Wed</v>
      </c>
    </row>
    <row r="91" customFormat="false" ht="15" hidden="false" customHeight="false" outlineLevel="0" collapsed="false">
      <c r="A91" s="43" t="n">
        <v>44792</v>
      </c>
      <c r="B91" s="29" t="n">
        <f aca="false">COUNTIFS(Trades!$D$2:$D$1146,$A91)</f>
        <v>1</v>
      </c>
      <c r="C91" s="29" t="n">
        <f aca="false">COUNTIFS(Trades!$D$2:$D$1146,$A91,Trades!$Z$2:$Z$1146,"Win")</f>
        <v>0</v>
      </c>
      <c r="D91" s="29" t="n">
        <f aca="false">COUNTIFS(Trades!$D$2:$D$1146,$A91,Trades!$Z$2:$Z$1146,"Loss")</f>
        <v>1</v>
      </c>
      <c r="E91" s="30" t="n">
        <f aca="false">IFERROR(C91/B91,0)</f>
        <v>0</v>
      </c>
      <c r="F91" s="31" t="n">
        <f aca="false">SUMIFS(Trades!$X$2:$X$1146,Trades!$D$2:$D$1146,$A91)</f>
        <v>-27.76</v>
      </c>
      <c r="G91" s="31" t="n">
        <f aca="false">SUMIFS(Trades!$X$2:$X$1146,Trades!$D$2:$D$1146,$A91,Trades!$X$2:$X$1146,"&gt;0")</f>
        <v>0</v>
      </c>
      <c r="H91" s="31" t="n">
        <f aca="false">SUMIFS(Trades!$X$2:$X$1146,Trades!$D$2:$D$1146,$A91,Trades!$X$2:$X$1146,"&lt;0")</f>
        <v>-27.76</v>
      </c>
      <c r="I91" s="32" t="n">
        <f aca="false">IFERROR(G91/-H91,"no loss")</f>
        <v>0</v>
      </c>
      <c r="J91" s="31" t="n">
        <f aca="false">_xlfn.MAXIFS(Trades!$X$2:$X$1146,Trades!$D$2:$D$1146,$A91)</f>
        <v>-27.76</v>
      </c>
      <c r="K91" s="31" t="n">
        <f aca="false">_xlfn.MINIFS(Trades!$X$2:$X$1146,Trades!$D$2:$D$1146,$A91)</f>
        <v>-27.76</v>
      </c>
      <c r="L91" s="33" t="n">
        <f aca="false">SUMIFS(Trades!$Y$2:$Y$1146,Trades!$D$2:$D$1146,$A91)</f>
        <v>-1.0499243570347</v>
      </c>
      <c r="M91" s="31" t="n">
        <f aca="false">P90</f>
        <v>10796.78</v>
      </c>
      <c r="N91" s="30" t="n">
        <f aca="false">IFERROR(F91/M91,0)</f>
        <v>-0.00257113695009068</v>
      </c>
      <c r="O91" s="29" t="str">
        <f aca="false">IF(-N91&gt;=Summary!$C$7,"BREACH","")</f>
        <v/>
      </c>
      <c r="P91" s="31" t="n">
        <f aca="false">M91+F91</f>
        <v>10769.02</v>
      </c>
      <c r="Q91" s="31" t="n">
        <f aca="false">P91-Summary!$C$5</f>
        <v>769.019999999995</v>
      </c>
      <c r="R91" s="2" t="str">
        <f aca="false">TEXT(A91,"ddd")</f>
        <v>Fri</v>
      </c>
    </row>
    <row r="92" customFormat="false" ht="15" hidden="false" customHeight="false" outlineLevel="0" collapsed="false">
      <c r="A92" s="43" t="n">
        <v>44795</v>
      </c>
      <c r="B92" s="29" t="n">
        <f aca="false">COUNTIFS(Trades!$D$2:$D$1146,$A92)</f>
        <v>1</v>
      </c>
      <c r="C92" s="29" t="n">
        <f aca="false">COUNTIFS(Trades!$D$2:$D$1146,$A92,Trades!$Z$2:$Z$1146,"Win")</f>
        <v>0</v>
      </c>
      <c r="D92" s="29" t="n">
        <f aca="false">COUNTIFS(Trades!$D$2:$D$1146,$A92,Trades!$Z$2:$Z$1146,"Loss")</f>
        <v>1</v>
      </c>
      <c r="E92" s="30" t="n">
        <f aca="false">IFERROR(C92/B92,0)</f>
        <v>0</v>
      </c>
      <c r="F92" s="31" t="n">
        <f aca="false">SUMIFS(Trades!$X$2:$X$1146,Trades!$D$2:$D$1146,$A92)</f>
        <v>-60.6</v>
      </c>
      <c r="G92" s="31" t="n">
        <f aca="false">SUMIFS(Trades!$X$2:$X$1146,Trades!$D$2:$D$1146,$A92,Trades!$X$2:$X$1146,"&gt;0")</f>
        <v>0</v>
      </c>
      <c r="H92" s="31" t="n">
        <f aca="false">SUMIFS(Trades!$X$2:$X$1146,Trades!$D$2:$D$1146,$A92,Trades!$X$2:$X$1146,"&lt;0")</f>
        <v>-60.6</v>
      </c>
      <c r="I92" s="32" t="n">
        <f aca="false">IFERROR(G92/-H92,"no loss")</f>
        <v>0</v>
      </c>
      <c r="J92" s="31" t="n">
        <f aca="false">_xlfn.MAXIFS(Trades!$X$2:$X$1146,Trades!$D$2:$D$1146,$A92)</f>
        <v>-60.6</v>
      </c>
      <c r="K92" s="31" t="n">
        <f aca="false">_xlfn.MINIFS(Trades!$X$2:$X$1146,Trades!$D$2:$D$1146,$A92)</f>
        <v>-60.6</v>
      </c>
      <c r="L92" s="33" t="n">
        <f aca="false">SUMIFS(Trades!$Y$2:$Y$1146,Trades!$D$2:$D$1146,$A92)</f>
        <v>-1.05281445448232</v>
      </c>
      <c r="M92" s="31" t="n">
        <f aca="false">P91</f>
        <v>10769.02</v>
      </c>
      <c r="N92" s="30" t="n">
        <f aca="false">IFERROR(F92/M92,0)</f>
        <v>-0.00562725299052282</v>
      </c>
      <c r="O92" s="29" t="str">
        <f aca="false">IF(-N92&gt;=Summary!$C$7,"BREACH","")</f>
        <v/>
      </c>
      <c r="P92" s="31" t="n">
        <f aca="false">M92+F92</f>
        <v>10708.42</v>
      </c>
      <c r="Q92" s="31" t="n">
        <f aca="false">P92-Summary!$C$5</f>
        <v>708.419999999995</v>
      </c>
      <c r="R92" s="2" t="str">
        <f aca="false">TEXT(A92,"ddd")</f>
        <v>Mon</v>
      </c>
    </row>
    <row r="93" customFormat="false" ht="15" hidden="false" customHeight="false" outlineLevel="0" collapsed="false">
      <c r="A93" s="43" t="n">
        <v>44796</v>
      </c>
      <c r="B93" s="29" t="n">
        <f aca="false">COUNTIFS(Trades!$D$2:$D$1146,$A93)</f>
        <v>1</v>
      </c>
      <c r="C93" s="29" t="n">
        <f aca="false">COUNTIFS(Trades!$D$2:$D$1146,$A93,Trades!$Z$2:$Z$1146,"Win")</f>
        <v>1</v>
      </c>
      <c r="D93" s="29" t="n">
        <f aca="false">COUNTIFS(Trades!$D$2:$D$1146,$A93,Trades!$Z$2:$Z$1146,"Loss")</f>
        <v>0</v>
      </c>
      <c r="E93" s="30" t="n">
        <f aca="false">IFERROR(C93/B93,0)</f>
        <v>1</v>
      </c>
      <c r="F93" s="31" t="n">
        <f aca="false">SUMIFS(Trades!$X$2:$X$1146,Trades!$D$2:$D$1146,$A93)</f>
        <v>117</v>
      </c>
      <c r="G93" s="31" t="n">
        <f aca="false">SUMIFS(Trades!$X$2:$X$1146,Trades!$D$2:$D$1146,$A93,Trades!$X$2:$X$1146,"&gt;0")</f>
        <v>117</v>
      </c>
      <c r="H93" s="31" t="n">
        <f aca="false">SUMIFS(Trades!$X$2:$X$1146,Trades!$D$2:$D$1146,$A93,Trades!$X$2:$X$1146,"&lt;0")</f>
        <v>0</v>
      </c>
      <c r="I93" s="32" t="str">
        <f aca="false">IFERROR(G93/-H93,"no loss")</f>
        <v>no loss</v>
      </c>
      <c r="J93" s="31" t="n">
        <f aca="false">_xlfn.MAXIFS(Trades!$X$2:$X$1146,Trades!$D$2:$D$1146,$A93)</f>
        <v>117</v>
      </c>
      <c r="K93" s="31" t="n">
        <f aca="false">_xlfn.MINIFS(Trades!$X$2:$X$1146,Trades!$D$2:$D$1146,$A93)</f>
        <v>117</v>
      </c>
      <c r="L93" s="33" t="n">
        <f aca="false">SUMIFS(Trades!$Y$2:$Y$1146,Trades!$D$2:$D$1146,$A93)</f>
        <v>2.57936507936546</v>
      </c>
      <c r="M93" s="31" t="n">
        <f aca="false">P92</f>
        <v>10708.42</v>
      </c>
      <c r="N93" s="30" t="n">
        <f aca="false">IFERROR(F93/M93,0)</f>
        <v>0.0109259816107325</v>
      </c>
      <c r="O93" s="29" t="str">
        <f aca="false">IF(-N93&gt;=Summary!$C$7,"BREACH","")</f>
        <v/>
      </c>
      <c r="P93" s="31" t="n">
        <f aca="false">M93+F93</f>
        <v>10825.42</v>
      </c>
      <c r="Q93" s="31" t="n">
        <f aca="false">P93-Summary!$C$5</f>
        <v>825.419999999995</v>
      </c>
      <c r="R93" s="2" t="str">
        <f aca="false">TEXT(A93,"ddd")</f>
        <v>Tue</v>
      </c>
    </row>
    <row r="94" customFormat="false" ht="15" hidden="false" customHeight="false" outlineLevel="0" collapsed="false">
      <c r="A94" s="43" t="n">
        <v>44798</v>
      </c>
      <c r="B94" s="29" t="n">
        <f aca="false">COUNTIFS(Trades!$D$2:$D$1146,$A94)</f>
        <v>1</v>
      </c>
      <c r="C94" s="29" t="n">
        <f aca="false">COUNTIFS(Trades!$D$2:$D$1146,$A94,Trades!$Z$2:$Z$1146,"Win")</f>
        <v>0</v>
      </c>
      <c r="D94" s="29" t="n">
        <f aca="false">COUNTIFS(Trades!$D$2:$D$1146,$A94,Trades!$Z$2:$Z$1146,"Loss")</f>
        <v>1</v>
      </c>
      <c r="E94" s="30" t="n">
        <f aca="false">IFERROR(C94/B94,0)</f>
        <v>0</v>
      </c>
      <c r="F94" s="31" t="n">
        <f aca="false">SUMIFS(Trades!$X$2:$X$1146,Trades!$D$2:$D$1146,$A94)</f>
        <v>-86.92</v>
      </c>
      <c r="G94" s="31" t="n">
        <f aca="false">SUMIFS(Trades!$X$2:$X$1146,Trades!$D$2:$D$1146,$A94,Trades!$X$2:$X$1146,"&gt;0")</f>
        <v>0</v>
      </c>
      <c r="H94" s="31" t="n">
        <f aca="false">SUMIFS(Trades!$X$2:$X$1146,Trades!$D$2:$D$1146,$A94,Trades!$X$2:$X$1146,"&lt;0")</f>
        <v>-86.92</v>
      </c>
      <c r="I94" s="32" t="n">
        <f aca="false">IFERROR(G94/-H94,"no loss")</f>
        <v>0</v>
      </c>
      <c r="J94" s="31" t="n">
        <f aca="false">_xlfn.MAXIFS(Trades!$X$2:$X$1146,Trades!$D$2:$D$1146,$A94)</f>
        <v>-86.92</v>
      </c>
      <c r="K94" s="31" t="n">
        <f aca="false">_xlfn.MINIFS(Trades!$X$2:$X$1146,Trades!$D$2:$D$1146,$A94)</f>
        <v>-86.92</v>
      </c>
      <c r="L94" s="33" t="n">
        <f aca="false">SUMIFS(Trades!$Y$2:$Y$1146,Trades!$D$2:$D$1146,$A94)</f>
        <v>-1.15034409740607</v>
      </c>
      <c r="M94" s="31" t="n">
        <f aca="false">P93</f>
        <v>10825.42</v>
      </c>
      <c r="N94" s="30" t="n">
        <f aca="false">IFERROR(F94/M94,0)</f>
        <v>-0.00802924967345378</v>
      </c>
      <c r="O94" s="29" t="str">
        <f aca="false">IF(-N94&gt;=Summary!$C$7,"BREACH","")</f>
        <v/>
      </c>
      <c r="P94" s="31" t="n">
        <f aca="false">M94+F94</f>
        <v>10738.5</v>
      </c>
      <c r="Q94" s="31" t="n">
        <f aca="false">P94-Summary!$C$5</f>
        <v>738.499999999995</v>
      </c>
      <c r="R94" s="2" t="str">
        <f aca="false">TEXT(A94,"ddd")</f>
        <v>Thu</v>
      </c>
    </row>
    <row r="95" customFormat="false" ht="15" hidden="false" customHeight="false" outlineLevel="0" collapsed="false">
      <c r="A95" s="43" t="n">
        <v>44799</v>
      </c>
      <c r="B95" s="29" t="n">
        <f aca="false">COUNTIFS(Trades!$D$2:$D$1146,$A95)</f>
        <v>2</v>
      </c>
      <c r="C95" s="29" t="n">
        <f aca="false">COUNTIFS(Trades!$D$2:$D$1146,$A95,Trades!$Z$2:$Z$1146,"Win")</f>
        <v>2</v>
      </c>
      <c r="D95" s="29" t="n">
        <f aca="false">COUNTIFS(Trades!$D$2:$D$1146,$A95,Trades!$Z$2:$Z$1146,"Loss")</f>
        <v>0</v>
      </c>
      <c r="E95" s="30" t="n">
        <f aca="false">IFERROR(C95/B95,0)</f>
        <v>1</v>
      </c>
      <c r="F95" s="31" t="n">
        <f aca="false">SUMIFS(Trades!$X$2:$X$1146,Trades!$D$2:$D$1146,$A95)</f>
        <v>276.52</v>
      </c>
      <c r="G95" s="31" t="n">
        <f aca="false">SUMIFS(Trades!$X$2:$X$1146,Trades!$D$2:$D$1146,$A95,Trades!$X$2:$X$1146,"&gt;0")</f>
        <v>276.52</v>
      </c>
      <c r="H95" s="31" t="n">
        <f aca="false">SUMIFS(Trades!$X$2:$X$1146,Trades!$D$2:$D$1146,$A95,Trades!$X$2:$X$1146,"&lt;0")</f>
        <v>0</v>
      </c>
      <c r="I95" s="32" t="str">
        <f aca="false">IFERROR(G95/-H95,"no loss")</f>
        <v>no loss</v>
      </c>
      <c r="J95" s="31" t="n">
        <f aca="false">_xlfn.MAXIFS(Trades!$X$2:$X$1146,Trades!$D$2:$D$1146,$A95)</f>
        <v>190.8</v>
      </c>
      <c r="K95" s="31" t="n">
        <f aca="false">_xlfn.MINIFS(Trades!$X$2:$X$1146,Trades!$D$2:$D$1146,$A95)</f>
        <v>85.72</v>
      </c>
      <c r="L95" s="33" t="n">
        <f aca="false">SUMIFS(Trades!$Y$2:$Y$1146,Trades!$D$2:$D$1146,$A95)</f>
        <v>4.80270698269494</v>
      </c>
      <c r="M95" s="31" t="n">
        <f aca="false">P94</f>
        <v>10738.5</v>
      </c>
      <c r="N95" s="30" t="n">
        <f aca="false">IFERROR(F95/M95,0)</f>
        <v>0.0257503375704242</v>
      </c>
      <c r="O95" s="29" t="str">
        <f aca="false">IF(-N95&gt;=Summary!$C$7,"BREACH","")</f>
        <v/>
      </c>
      <c r="P95" s="31" t="n">
        <f aca="false">M95+F95</f>
        <v>11015.02</v>
      </c>
      <c r="Q95" s="31" t="n">
        <f aca="false">P95-Summary!$C$5</f>
        <v>1015.02</v>
      </c>
      <c r="R95" s="2" t="str">
        <f aca="false">TEXT(A95,"ddd")</f>
        <v>Fri</v>
      </c>
    </row>
    <row r="96" customFormat="false" ht="15" hidden="false" customHeight="false" outlineLevel="0" collapsed="false">
      <c r="A96" s="43" t="n">
        <v>44802</v>
      </c>
      <c r="B96" s="29" t="n">
        <f aca="false">COUNTIFS(Trades!$D$2:$D$1146,$A96)</f>
        <v>1</v>
      </c>
      <c r="C96" s="29" t="n">
        <f aca="false">COUNTIFS(Trades!$D$2:$D$1146,$A96,Trades!$Z$2:$Z$1146,"Win")</f>
        <v>0</v>
      </c>
      <c r="D96" s="29" t="n">
        <f aca="false">COUNTIFS(Trades!$D$2:$D$1146,$A96,Trades!$Z$2:$Z$1146,"Loss")</f>
        <v>1</v>
      </c>
      <c r="E96" s="30" t="n">
        <f aca="false">IFERROR(C96/B96,0)</f>
        <v>0</v>
      </c>
      <c r="F96" s="31" t="n">
        <f aca="false">SUMIFS(Trades!$X$2:$X$1146,Trades!$D$2:$D$1146,$A96)</f>
        <v>-0.4</v>
      </c>
      <c r="G96" s="31" t="n">
        <f aca="false">SUMIFS(Trades!$X$2:$X$1146,Trades!$D$2:$D$1146,$A96,Trades!$X$2:$X$1146,"&gt;0")</f>
        <v>0</v>
      </c>
      <c r="H96" s="31" t="n">
        <f aca="false">SUMIFS(Trades!$X$2:$X$1146,Trades!$D$2:$D$1146,$A96,Trades!$X$2:$X$1146,"&lt;0")</f>
        <v>-0.4</v>
      </c>
      <c r="I96" s="32" t="n">
        <f aca="false">IFERROR(G96/-H96,"no loss")</f>
        <v>0</v>
      </c>
      <c r="J96" s="31" t="n">
        <f aca="false">_xlfn.MAXIFS(Trades!$X$2:$X$1146,Trades!$D$2:$D$1146,$A96)</f>
        <v>-0.4</v>
      </c>
      <c r="K96" s="31" t="n">
        <f aca="false">_xlfn.MINIFS(Trades!$X$2:$X$1146,Trades!$D$2:$D$1146,$A96)</f>
        <v>-0.4</v>
      </c>
      <c r="L96" s="33" t="n">
        <f aca="false">SUMIFS(Trades!$Y$2:$Y$1146,Trades!$D$2:$D$1146,$A96)</f>
        <v>-0.00382848392036742</v>
      </c>
      <c r="M96" s="31" t="n">
        <f aca="false">P95</f>
        <v>11015.02</v>
      </c>
      <c r="N96" s="30" t="n">
        <f aca="false">IFERROR(F96/M96,0)</f>
        <v>-3.63140511773923E-005</v>
      </c>
      <c r="O96" s="29" t="str">
        <f aca="false">IF(-N96&gt;=Summary!$C$7,"BREACH","")</f>
        <v/>
      </c>
      <c r="P96" s="31" t="n">
        <f aca="false">M96+F96</f>
        <v>11014.62</v>
      </c>
      <c r="Q96" s="31" t="n">
        <f aca="false">P96-Summary!$C$5</f>
        <v>1014.62</v>
      </c>
      <c r="R96" s="2" t="str">
        <f aca="false">TEXT(A96,"ddd")</f>
        <v>Mon</v>
      </c>
    </row>
    <row r="97" customFormat="false" ht="15" hidden="false" customHeight="false" outlineLevel="0" collapsed="false">
      <c r="A97" s="43" t="n">
        <v>44803</v>
      </c>
      <c r="B97" s="29" t="n">
        <f aca="false">COUNTIFS(Trades!$D$2:$D$1146,$A97)</f>
        <v>2</v>
      </c>
      <c r="C97" s="29" t="n">
        <f aca="false">COUNTIFS(Trades!$D$2:$D$1146,$A97,Trades!$Z$2:$Z$1146,"Win")</f>
        <v>0</v>
      </c>
      <c r="D97" s="29" t="n">
        <f aca="false">COUNTIFS(Trades!$D$2:$D$1146,$A97,Trades!$Z$2:$Z$1146,"Loss")</f>
        <v>2</v>
      </c>
      <c r="E97" s="30" t="n">
        <f aca="false">IFERROR(C97/B97,0)</f>
        <v>0</v>
      </c>
      <c r="F97" s="31" t="n">
        <f aca="false">SUMIFS(Trades!$X$2:$X$1146,Trades!$D$2:$D$1146,$A97)</f>
        <v>-85.32</v>
      </c>
      <c r="G97" s="31" t="n">
        <f aca="false">SUMIFS(Trades!$X$2:$X$1146,Trades!$D$2:$D$1146,$A97,Trades!$X$2:$X$1146,"&gt;0")</f>
        <v>0</v>
      </c>
      <c r="H97" s="31" t="n">
        <f aca="false">SUMIFS(Trades!$X$2:$X$1146,Trades!$D$2:$D$1146,$A97,Trades!$X$2:$X$1146,"&lt;0")</f>
        <v>-85.32</v>
      </c>
      <c r="I97" s="32" t="n">
        <f aca="false">IFERROR(G97/-H97,"no loss")</f>
        <v>0</v>
      </c>
      <c r="J97" s="31" t="n">
        <f aca="false">_xlfn.MAXIFS(Trades!$X$2:$X$1146,Trades!$D$2:$D$1146,$A97)</f>
        <v>-25.32</v>
      </c>
      <c r="K97" s="31" t="n">
        <f aca="false">_xlfn.MINIFS(Trades!$X$2:$X$1146,Trades!$D$2:$D$1146,$A97)</f>
        <v>-60</v>
      </c>
      <c r="L97" s="33" t="n">
        <f aca="false">SUMIFS(Trades!$Y$2:$Y$1146,Trades!$D$2:$D$1146,$A97)</f>
        <v>-2.02447638470741</v>
      </c>
      <c r="M97" s="31" t="n">
        <f aca="false">P96</f>
        <v>11014.62</v>
      </c>
      <c r="N97" s="30" t="n">
        <f aca="false">IFERROR(F97/M97,0)</f>
        <v>-0.00774606840726235</v>
      </c>
      <c r="O97" s="29" t="str">
        <f aca="false">IF(-N97&gt;=Summary!$C$7,"BREACH","")</f>
        <v/>
      </c>
      <c r="P97" s="31" t="n">
        <f aca="false">M97+F97</f>
        <v>10929.3</v>
      </c>
      <c r="Q97" s="31" t="n">
        <f aca="false">P97-Summary!$C$5</f>
        <v>929.299999999996</v>
      </c>
      <c r="R97" s="2" t="str">
        <f aca="false">TEXT(A97,"ddd")</f>
        <v>Tue</v>
      </c>
    </row>
    <row r="98" customFormat="false" ht="15" hidden="false" customHeight="false" outlineLevel="0" collapsed="false">
      <c r="A98" s="43" t="n">
        <v>44805</v>
      </c>
      <c r="B98" s="29" t="n">
        <f aca="false">COUNTIFS(Trades!$D$2:$D$1146,$A98)</f>
        <v>1</v>
      </c>
      <c r="C98" s="29" t="n">
        <f aca="false">COUNTIFS(Trades!$D$2:$D$1146,$A98,Trades!$Z$2:$Z$1146,"Win")</f>
        <v>1</v>
      </c>
      <c r="D98" s="29" t="n">
        <f aca="false">COUNTIFS(Trades!$D$2:$D$1146,$A98,Trades!$Z$2:$Z$1146,"Loss")</f>
        <v>0</v>
      </c>
      <c r="E98" s="30" t="n">
        <f aca="false">IFERROR(C98/B98,0)</f>
        <v>1</v>
      </c>
      <c r="F98" s="31" t="n">
        <f aca="false">SUMIFS(Trades!$X$2:$X$1146,Trades!$D$2:$D$1146,$A98)</f>
        <v>36.48</v>
      </c>
      <c r="G98" s="31" t="n">
        <f aca="false">SUMIFS(Trades!$X$2:$X$1146,Trades!$D$2:$D$1146,$A98,Trades!$X$2:$X$1146,"&gt;0")</f>
        <v>36.48</v>
      </c>
      <c r="H98" s="31" t="n">
        <f aca="false">SUMIFS(Trades!$X$2:$X$1146,Trades!$D$2:$D$1146,$A98,Trades!$X$2:$X$1146,"&lt;0")</f>
        <v>0</v>
      </c>
      <c r="I98" s="32" t="str">
        <f aca="false">IFERROR(G98/-H98,"no loss")</f>
        <v>no loss</v>
      </c>
      <c r="J98" s="31" t="n">
        <f aca="false">_xlfn.MAXIFS(Trades!$X$2:$X$1146,Trades!$D$2:$D$1146,$A98)</f>
        <v>36.48</v>
      </c>
      <c r="K98" s="31" t="n">
        <f aca="false">_xlfn.MINIFS(Trades!$X$2:$X$1146,Trades!$D$2:$D$1146,$A98)</f>
        <v>36.48</v>
      </c>
      <c r="L98" s="33" t="n">
        <f aca="false">SUMIFS(Trades!$Y$2:$Y$1146,Trades!$D$2:$D$1146,$A98)</f>
        <v>2.36883116883095</v>
      </c>
      <c r="M98" s="31" t="n">
        <f aca="false">P97</f>
        <v>10929.3</v>
      </c>
      <c r="N98" s="30" t="n">
        <f aca="false">IFERROR(F98/M98,0)</f>
        <v>0.0033378166945733</v>
      </c>
      <c r="O98" s="29" t="str">
        <f aca="false">IF(-N98&gt;=Summary!$C$7,"BREACH","")</f>
        <v/>
      </c>
      <c r="P98" s="31" t="n">
        <f aca="false">M98+F98</f>
        <v>10965.78</v>
      </c>
      <c r="Q98" s="31" t="n">
        <f aca="false">P98-Summary!$C$5</f>
        <v>965.779999999995</v>
      </c>
      <c r="R98" s="2" t="str">
        <f aca="false">TEXT(A98,"ddd")</f>
        <v>Thu</v>
      </c>
    </row>
    <row r="99" customFormat="false" ht="15" hidden="false" customHeight="false" outlineLevel="0" collapsed="false">
      <c r="A99" s="43" t="n">
        <v>44806</v>
      </c>
      <c r="B99" s="29" t="n">
        <f aca="false">COUNTIFS(Trades!$D$2:$D$1146,$A99)</f>
        <v>1</v>
      </c>
      <c r="C99" s="29" t="n">
        <f aca="false">COUNTIFS(Trades!$D$2:$D$1146,$A99,Trades!$Z$2:$Z$1146,"Win")</f>
        <v>0</v>
      </c>
      <c r="D99" s="29" t="n">
        <f aca="false">COUNTIFS(Trades!$D$2:$D$1146,$A99,Trades!$Z$2:$Z$1146,"Loss")</f>
        <v>1</v>
      </c>
      <c r="E99" s="30" t="n">
        <f aca="false">IFERROR(C99/B99,0)</f>
        <v>0</v>
      </c>
      <c r="F99" s="31" t="n">
        <f aca="false">SUMIFS(Trades!$X$2:$X$1146,Trades!$D$2:$D$1146,$A99)</f>
        <v>-0.68</v>
      </c>
      <c r="G99" s="31" t="n">
        <f aca="false">SUMIFS(Trades!$X$2:$X$1146,Trades!$D$2:$D$1146,$A99,Trades!$X$2:$X$1146,"&gt;0")</f>
        <v>0</v>
      </c>
      <c r="H99" s="31" t="n">
        <f aca="false">SUMIFS(Trades!$X$2:$X$1146,Trades!$D$2:$D$1146,$A99,Trades!$X$2:$X$1146,"&lt;0")</f>
        <v>-0.68</v>
      </c>
      <c r="I99" s="32" t="n">
        <f aca="false">IFERROR(G99/-H99,"no loss")</f>
        <v>0</v>
      </c>
      <c r="J99" s="31" t="n">
        <f aca="false">_xlfn.MAXIFS(Trades!$X$2:$X$1146,Trades!$D$2:$D$1146,$A99)</f>
        <v>-0.68</v>
      </c>
      <c r="K99" s="31" t="n">
        <f aca="false">_xlfn.MINIFS(Trades!$X$2:$X$1146,Trades!$D$2:$D$1146,$A99)</f>
        <v>-0.68</v>
      </c>
      <c r="L99" s="33" t="n">
        <f aca="false">SUMIFS(Trades!$Y$2:$Y$1146,Trades!$D$2:$D$1146,$A99)</f>
        <v>-0.0117322291235336</v>
      </c>
      <c r="M99" s="31" t="n">
        <f aca="false">P98</f>
        <v>10965.78</v>
      </c>
      <c r="N99" s="30" t="n">
        <f aca="false">IFERROR(F99/M99,0)</f>
        <v>-6.20110926901689E-005</v>
      </c>
      <c r="O99" s="29" t="str">
        <f aca="false">IF(-N99&gt;=Summary!$C$7,"BREACH","")</f>
        <v/>
      </c>
      <c r="P99" s="31" t="n">
        <f aca="false">M99+F99</f>
        <v>10965.1</v>
      </c>
      <c r="Q99" s="31" t="n">
        <f aca="false">P99-Summary!$C$5</f>
        <v>965.099999999995</v>
      </c>
      <c r="R99" s="2" t="str">
        <f aca="false">TEXT(A99,"ddd")</f>
        <v>Fri</v>
      </c>
    </row>
    <row r="100" customFormat="false" ht="15" hidden="false" customHeight="false" outlineLevel="0" collapsed="false">
      <c r="A100" s="43" t="n">
        <v>44810</v>
      </c>
      <c r="B100" s="29" t="n">
        <f aca="false">COUNTIFS(Trades!$D$2:$D$1146,$A100)</f>
        <v>2</v>
      </c>
      <c r="C100" s="29" t="n">
        <f aca="false">COUNTIFS(Trades!$D$2:$D$1146,$A100,Trades!$Z$2:$Z$1146,"Win")</f>
        <v>0</v>
      </c>
      <c r="D100" s="29" t="n">
        <f aca="false">COUNTIFS(Trades!$D$2:$D$1146,$A100,Trades!$Z$2:$Z$1146,"Loss")</f>
        <v>2</v>
      </c>
      <c r="E100" s="30" t="n">
        <f aca="false">IFERROR(C100/B100,0)</f>
        <v>0</v>
      </c>
      <c r="F100" s="31" t="n">
        <f aca="false">SUMIFS(Trades!$X$2:$X$1146,Trades!$D$2:$D$1146,$A100)</f>
        <v>-4.12</v>
      </c>
      <c r="G100" s="31" t="n">
        <f aca="false">SUMIFS(Trades!$X$2:$X$1146,Trades!$D$2:$D$1146,$A100,Trades!$X$2:$X$1146,"&gt;0")</f>
        <v>0</v>
      </c>
      <c r="H100" s="31" t="n">
        <f aca="false">SUMIFS(Trades!$X$2:$X$1146,Trades!$D$2:$D$1146,$A100,Trades!$X$2:$X$1146,"&lt;0")</f>
        <v>-4.12</v>
      </c>
      <c r="I100" s="32" t="n">
        <f aca="false">IFERROR(G100/-H100,"no loss")</f>
        <v>0</v>
      </c>
      <c r="J100" s="31" t="n">
        <f aca="false">_xlfn.MAXIFS(Trades!$X$2:$X$1146,Trades!$D$2:$D$1146,$A100)</f>
        <v>-1.4</v>
      </c>
      <c r="K100" s="31" t="n">
        <f aca="false">_xlfn.MINIFS(Trades!$X$2:$X$1146,Trades!$D$2:$D$1146,$A100)</f>
        <v>-2.72</v>
      </c>
      <c r="L100" s="33" t="n">
        <f aca="false">SUMIFS(Trades!$Y$2:$Y$1146,Trades!$D$2:$D$1146,$A100)</f>
        <v>-0.111472427139498</v>
      </c>
      <c r="M100" s="31" t="n">
        <f aca="false">P99</f>
        <v>10965.1</v>
      </c>
      <c r="N100" s="30" t="n">
        <f aca="false">IFERROR(F100/M100,0)</f>
        <v>-0.000375737567372847</v>
      </c>
      <c r="O100" s="29" t="str">
        <f aca="false">IF(-N100&gt;=Summary!$C$7,"BREACH","")</f>
        <v/>
      </c>
      <c r="P100" s="31" t="n">
        <f aca="false">M100+F100</f>
        <v>10960.98</v>
      </c>
      <c r="Q100" s="31" t="n">
        <f aca="false">P100-Summary!$C$5</f>
        <v>960.979999999994</v>
      </c>
      <c r="R100" s="2" t="str">
        <f aca="false">TEXT(A100,"ddd")</f>
        <v>Tue</v>
      </c>
    </row>
    <row r="101" customFormat="false" ht="15" hidden="false" customHeight="false" outlineLevel="0" collapsed="false">
      <c r="A101" s="43" t="n">
        <v>44811</v>
      </c>
      <c r="B101" s="29" t="n">
        <f aca="false">COUNTIFS(Trades!$D$2:$D$1146,$A101)</f>
        <v>2</v>
      </c>
      <c r="C101" s="29" t="n">
        <f aca="false">COUNTIFS(Trades!$D$2:$D$1146,$A101,Trades!$Z$2:$Z$1146,"Win")</f>
        <v>0</v>
      </c>
      <c r="D101" s="29" t="n">
        <f aca="false">COUNTIFS(Trades!$D$2:$D$1146,$A101,Trades!$Z$2:$Z$1146,"Loss")</f>
        <v>2</v>
      </c>
      <c r="E101" s="30" t="n">
        <f aca="false">IFERROR(C101/B101,0)</f>
        <v>0</v>
      </c>
      <c r="F101" s="31" t="n">
        <f aca="false">SUMIFS(Trades!$X$2:$X$1146,Trades!$D$2:$D$1146,$A101)</f>
        <v>-24.32</v>
      </c>
      <c r="G101" s="31" t="n">
        <f aca="false">SUMIFS(Trades!$X$2:$X$1146,Trades!$D$2:$D$1146,$A101,Trades!$X$2:$X$1146,"&gt;0")</f>
        <v>0</v>
      </c>
      <c r="H101" s="31" t="n">
        <f aca="false">SUMIFS(Trades!$X$2:$X$1146,Trades!$D$2:$D$1146,$A101,Trades!$X$2:$X$1146,"&lt;0")</f>
        <v>-24.32</v>
      </c>
      <c r="I101" s="32" t="n">
        <f aca="false">IFERROR(G101/-H101,"no loss")</f>
        <v>0</v>
      </c>
      <c r="J101" s="31" t="n">
        <f aca="false">_xlfn.MAXIFS(Trades!$X$2:$X$1146,Trades!$D$2:$D$1146,$A101)</f>
        <v>-1.84</v>
      </c>
      <c r="K101" s="31" t="n">
        <f aca="false">_xlfn.MINIFS(Trades!$X$2:$X$1146,Trades!$D$2:$D$1146,$A101)</f>
        <v>-22.48</v>
      </c>
      <c r="L101" s="33" t="n">
        <f aca="false">SUMIFS(Trades!$Y$2:$Y$1146,Trades!$D$2:$D$1146,$A101)</f>
        <v>-1.0923587496264</v>
      </c>
      <c r="M101" s="31" t="n">
        <f aca="false">P100</f>
        <v>10960.98</v>
      </c>
      <c r="N101" s="30" t="n">
        <f aca="false">IFERROR(F101/M101,0)</f>
        <v>-0.00221877970765388</v>
      </c>
      <c r="O101" s="29" t="str">
        <f aca="false">IF(-N101&gt;=Summary!$C$7,"BREACH","")</f>
        <v/>
      </c>
      <c r="P101" s="31" t="n">
        <f aca="false">M101+F101</f>
        <v>10936.66</v>
      </c>
      <c r="Q101" s="31" t="n">
        <f aca="false">P101-Summary!$C$5</f>
        <v>936.659999999994</v>
      </c>
      <c r="R101" s="2" t="str">
        <f aca="false">TEXT(A101,"ddd")</f>
        <v>Wed</v>
      </c>
    </row>
    <row r="102" customFormat="false" ht="15" hidden="false" customHeight="false" outlineLevel="0" collapsed="false">
      <c r="A102" s="43" t="n">
        <v>44812</v>
      </c>
      <c r="B102" s="29" t="n">
        <f aca="false">COUNTIFS(Trades!$D$2:$D$1146,$A102)</f>
        <v>1</v>
      </c>
      <c r="C102" s="29" t="n">
        <f aca="false">COUNTIFS(Trades!$D$2:$D$1146,$A102,Trades!$Z$2:$Z$1146,"Win")</f>
        <v>1</v>
      </c>
      <c r="D102" s="29" t="n">
        <f aca="false">COUNTIFS(Trades!$D$2:$D$1146,$A102,Trades!$Z$2:$Z$1146,"Loss")</f>
        <v>0</v>
      </c>
      <c r="E102" s="30" t="n">
        <f aca="false">IFERROR(C102/B102,0)</f>
        <v>1</v>
      </c>
      <c r="F102" s="31" t="n">
        <f aca="false">SUMIFS(Trades!$X$2:$X$1146,Trades!$D$2:$D$1146,$A102)</f>
        <v>57.04</v>
      </c>
      <c r="G102" s="31" t="n">
        <f aca="false">SUMIFS(Trades!$X$2:$X$1146,Trades!$D$2:$D$1146,$A102,Trades!$X$2:$X$1146,"&gt;0")</f>
        <v>57.04</v>
      </c>
      <c r="H102" s="31" t="n">
        <f aca="false">SUMIFS(Trades!$X$2:$X$1146,Trades!$D$2:$D$1146,$A102,Trades!$X$2:$X$1146,"&lt;0")</f>
        <v>0</v>
      </c>
      <c r="I102" s="32" t="str">
        <f aca="false">IFERROR(G102/-H102,"no loss")</f>
        <v>no loss</v>
      </c>
      <c r="J102" s="31" t="n">
        <f aca="false">_xlfn.MAXIFS(Trades!$X$2:$X$1146,Trades!$D$2:$D$1146,$A102)</f>
        <v>57.04</v>
      </c>
      <c r="K102" s="31" t="n">
        <f aca="false">_xlfn.MINIFS(Trades!$X$2:$X$1146,Trades!$D$2:$D$1146,$A102)</f>
        <v>57.04</v>
      </c>
      <c r="L102" s="33" t="n">
        <f aca="false">SUMIFS(Trades!$Y$2:$Y$1146,Trades!$D$2:$D$1146,$A102)</f>
        <v>2.58333333333313</v>
      </c>
      <c r="M102" s="31" t="n">
        <f aca="false">P101</f>
        <v>10936.66</v>
      </c>
      <c r="N102" s="30" t="n">
        <f aca="false">IFERROR(F102/M102,0)</f>
        <v>0.00521548626363076</v>
      </c>
      <c r="O102" s="29" t="str">
        <f aca="false">IF(-N102&gt;=Summary!$C$7,"BREACH","")</f>
        <v/>
      </c>
      <c r="P102" s="31" t="n">
        <f aca="false">M102+F102</f>
        <v>10993.7</v>
      </c>
      <c r="Q102" s="31" t="n">
        <f aca="false">P102-Summary!$C$5</f>
        <v>993.699999999995</v>
      </c>
      <c r="R102" s="2" t="str">
        <f aca="false">TEXT(A102,"ddd")</f>
        <v>Thu</v>
      </c>
    </row>
    <row r="103" customFormat="false" ht="15" hidden="false" customHeight="false" outlineLevel="0" collapsed="false">
      <c r="A103" s="43" t="n">
        <v>44813</v>
      </c>
      <c r="B103" s="29" t="n">
        <f aca="false">COUNTIFS(Trades!$D$2:$D$1146,$A103)</f>
        <v>1</v>
      </c>
      <c r="C103" s="29" t="n">
        <f aca="false">COUNTIFS(Trades!$D$2:$D$1146,$A103,Trades!$Z$2:$Z$1146,"Win")</f>
        <v>0</v>
      </c>
      <c r="D103" s="29" t="n">
        <f aca="false">COUNTIFS(Trades!$D$2:$D$1146,$A103,Trades!$Z$2:$Z$1146,"Loss")</f>
        <v>1</v>
      </c>
      <c r="E103" s="30" t="n">
        <f aca="false">IFERROR(C103/B103,0)</f>
        <v>0</v>
      </c>
      <c r="F103" s="31" t="n">
        <f aca="false">SUMIFS(Trades!$X$2:$X$1146,Trades!$D$2:$D$1146,$A103)</f>
        <v>-0.44</v>
      </c>
      <c r="G103" s="31" t="n">
        <f aca="false">SUMIFS(Trades!$X$2:$X$1146,Trades!$D$2:$D$1146,$A103,Trades!$X$2:$X$1146,"&gt;0")</f>
        <v>0</v>
      </c>
      <c r="H103" s="31" t="n">
        <f aca="false">SUMIFS(Trades!$X$2:$X$1146,Trades!$D$2:$D$1146,$A103,Trades!$X$2:$X$1146,"&lt;0")</f>
        <v>-0.44</v>
      </c>
      <c r="I103" s="32" t="n">
        <f aca="false">IFERROR(G103/-H103,"no loss")</f>
        <v>0</v>
      </c>
      <c r="J103" s="31" t="n">
        <f aca="false">_xlfn.MAXIFS(Trades!$X$2:$X$1146,Trades!$D$2:$D$1146,$A103)</f>
        <v>-0.44</v>
      </c>
      <c r="K103" s="31" t="n">
        <f aca="false">_xlfn.MINIFS(Trades!$X$2:$X$1146,Trades!$D$2:$D$1146,$A103)</f>
        <v>-0.44</v>
      </c>
      <c r="L103" s="33" t="n">
        <f aca="false">SUMIFS(Trades!$Y$2:$Y$1146,Trades!$D$2:$D$1146,$A103)</f>
        <v>-0.01903114186851</v>
      </c>
      <c r="M103" s="31" t="n">
        <f aca="false">P102</f>
        <v>10993.7</v>
      </c>
      <c r="N103" s="30" t="n">
        <f aca="false">IFERROR(F103/M103,0)</f>
        <v>-4.00229222190891E-005</v>
      </c>
      <c r="O103" s="29" t="str">
        <f aca="false">IF(-N103&gt;=Summary!$C$7,"BREACH","")</f>
        <v/>
      </c>
      <c r="P103" s="31" t="n">
        <f aca="false">M103+F103</f>
        <v>10993.26</v>
      </c>
      <c r="Q103" s="31" t="n">
        <f aca="false">P103-Summary!$C$5</f>
        <v>993.259999999995</v>
      </c>
      <c r="R103" s="2" t="str">
        <f aca="false">TEXT(A103,"ddd")</f>
        <v>Fri</v>
      </c>
    </row>
    <row r="104" customFormat="false" ht="15" hidden="false" customHeight="false" outlineLevel="0" collapsed="false">
      <c r="A104" s="43" t="n">
        <v>44816</v>
      </c>
      <c r="B104" s="29" t="n">
        <f aca="false">COUNTIFS(Trades!$D$2:$D$1146,$A104)</f>
        <v>1</v>
      </c>
      <c r="C104" s="29" t="n">
        <f aca="false">COUNTIFS(Trades!$D$2:$D$1146,$A104,Trades!$Z$2:$Z$1146,"Win")</f>
        <v>1</v>
      </c>
      <c r="D104" s="29" t="n">
        <f aca="false">COUNTIFS(Trades!$D$2:$D$1146,$A104,Trades!$Z$2:$Z$1146,"Loss")</f>
        <v>0</v>
      </c>
      <c r="E104" s="30" t="n">
        <f aca="false">IFERROR(C104/B104,0)</f>
        <v>1</v>
      </c>
      <c r="F104" s="31" t="n">
        <f aca="false">SUMIFS(Trades!$X$2:$X$1146,Trades!$D$2:$D$1146,$A104)</f>
        <v>137.6</v>
      </c>
      <c r="G104" s="31" t="n">
        <f aca="false">SUMIFS(Trades!$X$2:$X$1146,Trades!$D$2:$D$1146,$A104,Trades!$X$2:$X$1146,"&gt;0")</f>
        <v>137.6</v>
      </c>
      <c r="H104" s="31" t="n">
        <f aca="false">SUMIFS(Trades!$X$2:$X$1146,Trades!$D$2:$D$1146,$A104,Trades!$X$2:$X$1146,"&lt;0")</f>
        <v>0</v>
      </c>
      <c r="I104" s="32" t="str">
        <f aca="false">IFERROR(G104/-H104,"no loss")</f>
        <v>no loss</v>
      </c>
      <c r="J104" s="31" t="n">
        <f aca="false">_xlfn.MAXIFS(Trades!$X$2:$X$1146,Trades!$D$2:$D$1146,$A104)</f>
        <v>137.6</v>
      </c>
      <c r="K104" s="31" t="n">
        <f aca="false">_xlfn.MINIFS(Trades!$X$2:$X$1146,Trades!$D$2:$D$1146,$A104)</f>
        <v>137.6</v>
      </c>
      <c r="L104" s="33" t="n">
        <f aca="false">SUMIFS(Trades!$Y$2:$Y$1146,Trades!$D$2:$D$1146,$A104)</f>
        <v>2.48017303532823</v>
      </c>
      <c r="M104" s="31" t="n">
        <f aca="false">P103</f>
        <v>10993.26</v>
      </c>
      <c r="N104" s="30" t="n">
        <f aca="false">IFERROR(F104/M104,0)</f>
        <v>0.0125167602694742</v>
      </c>
      <c r="O104" s="29" t="str">
        <f aca="false">IF(-N104&gt;=Summary!$C$7,"BREACH","")</f>
        <v/>
      </c>
      <c r="P104" s="31" t="n">
        <f aca="false">M104+F104</f>
        <v>11130.86</v>
      </c>
      <c r="Q104" s="31" t="n">
        <f aca="false">P104-Summary!$C$5</f>
        <v>1130.86</v>
      </c>
      <c r="R104" s="2" t="str">
        <f aca="false">TEXT(A104,"ddd")</f>
        <v>Mon</v>
      </c>
    </row>
    <row r="105" customFormat="false" ht="15" hidden="false" customHeight="false" outlineLevel="0" collapsed="false">
      <c r="A105" s="43" t="n">
        <v>44817</v>
      </c>
      <c r="B105" s="29" t="n">
        <f aca="false">COUNTIFS(Trades!$D$2:$D$1146,$A105)</f>
        <v>2</v>
      </c>
      <c r="C105" s="29" t="n">
        <f aca="false">COUNTIFS(Trades!$D$2:$D$1146,$A105,Trades!$Z$2:$Z$1146,"Win")</f>
        <v>1</v>
      </c>
      <c r="D105" s="29" t="n">
        <f aca="false">COUNTIFS(Trades!$D$2:$D$1146,$A105,Trades!$Z$2:$Z$1146,"Loss")</f>
        <v>1</v>
      </c>
      <c r="E105" s="30" t="n">
        <f aca="false">IFERROR(C105/B105,0)</f>
        <v>0.5</v>
      </c>
      <c r="F105" s="31" t="n">
        <f aca="false">SUMIFS(Trades!$X$2:$X$1146,Trades!$D$2:$D$1146,$A105)</f>
        <v>689.52</v>
      </c>
      <c r="G105" s="31" t="n">
        <f aca="false">SUMIFS(Trades!$X$2:$X$1146,Trades!$D$2:$D$1146,$A105,Trades!$X$2:$X$1146,"&gt;0")</f>
        <v>708.84</v>
      </c>
      <c r="H105" s="31" t="n">
        <f aca="false">SUMIFS(Trades!$X$2:$X$1146,Trades!$D$2:$D$1146,$A105,Trades!$X$2:$X$1146,"&lt;0")</f>
        <v>-19.32</v>
      </c>
      <c r="I105" s="32" t="n">
        <f aca="false">IFERROR(G105/-H105,"no loss")</f>
        <v>36.6894409937888</v>
      </c>
      <c r="J105" s="31" t="n">
        <f aca="false">_xlfn.MAXIFS(Trades!$X$2:$X$1146,Trades!$D$2:$D$1146,$A105)</f>
        <v>708.84</v>
      </c>
      <c r="K105" s="31" t="n">
        <f aca="false">_xlfn.MINIFS(Trades!$X$2:$X$1146,Trades!$D$2:$D$1146,$A105)</f>
        <v>-19.32</v>
      </c>
      <c r="L105" s="33" t="n">
        <f aca="false">SUMIFS(Trades!$Y$2:$Y$1146,Trades!$D$2:$D$1146,$A105)</f>
        <v>1.21147206666076</v>
      </c>
      <c r="M105" s="31" t="n">
        <f aca="false">P104</f>
        <v>11130.86</v>
      </c>
      <c r="N105" s="30" t="n">
        <f aca="false">IFERROR(F105/M105,0)</f>
        <v>0.0619466959426316</v>
      </c>
      <c r="O105" s="29" t="str">
        <f aca="false">IF(-N105&gt;=Summary!$C$7,"BREACH","")</f>
        <v/>
      </c>
      <c r="P105" s="31" t="n">
        <f aca="false">M105+F105</f>
        <v>11820.38</v>
      </c>
      <c r="Q105" s="31" t="n">
        <f aca="false">P105-Summary!$C$5</f>
        <v>1820.38</v>
      </c>
      <c r="R105" s="2" t="str">
        <f aca="false">TEXT(A105,"ddd")</f>
        <v>Tue</v>
      </c>
    </row>
    <row r="106" customFormat="false" ht="15" hidden="false" customHeight="false" outlineLevel="0" collapsed="false">
      <c r="A106" s="43" t="n">
        <v>44819</v>
      </c>
      <c r="B106" s="29" t="n">
        <f aca="false">COUNTIFS(Trades!$D$2:$D$1146,$A106)</f>
        <v>2</v>
      </c>
      <c r="C106" s="29" t="n">
        <f aca="false">COUNTIFS(Trades!$D$2:$D$1146,$A106,Trades!$Z$2:$Z$1146,"Win")</f>
        <v>2</v>
      </c>
      <c r="D106" s="29" t="n">
        <f aca="false">COUNTIFS(Trades!$D$2:$D$1146,$A106,Trades!$Z$2:$Z$1146,"Loss")</f>
        <v>0</v>
      </c>
      <c r="E106" s="30" t="n">
        <f aca="false">IFERROR(C106/B106,0)</f>
        <v>1</v>
      </c>
      <c r="F106" s="31" t="n">
        <f aca="false">SUMIFS(Trades!$X$2:$X$1146,Trades!$D$2:$D$1146,$A106)</f>
        <v>208</v>
      </c>
      <c r="G106" s="31" t="n">
        <f aca="false">SUMIFS(Trades!$X$2:$X$1146,Trades!$D$2:$D$1146,$A106,Trades!$X$2:$X$1146,"&gt;0")</f>
        <v>208</v>
      </c>
      <c r="H106" s="31" t="n">
        <f aca="false">SUMIFS(Trades!$X$2:$X$1146,Trades!$D$2:$D$1146,$A106,Trades!$X$2:$X$1146,"&lt;0")</f>
        <v>0</v>
      </c>
      <c r="I106" s="32" t="str">
        <f aca="false">IFERROR(G106/-H106,"no loss")</f>
        <v>no loss</v>
      </c>
      <c r="J106" s="31" t="n">
        <f aca="false">_xlfn.MAXIFS(Trades!$X$2:$X$1146,Trades!$D$2:$D$1146,$A106)</f>
        <v>176.96</v>
      </c>
      <c r="K106" s="31" t="n">
        <f aca="false">_xlfn.MINIFS(Trades!$X$2:$X$1146,Trades!$D$2:$D$1146,$A106)</f>
        <v>31.04</v>
      </c>
      <c r="L106" s="33" t="n">
        <f aca="false">SUMIFS(Trades!$Y$2:$Y$1146,Trades!$D$2:$D$1146,$A106)</f>
        <v>4.96931690929492</v>
      </c>
      <c r="M106" s="31" t="n">
        <f aca="false">P105</f>
        <v>11820.38</v>
      </c>
      <c r="N106" s="30" t="n">
        <f aca="false">IFERROR(F106/M106,0)</f>
        <v>0.0175967270087764</v>
      </c>
      <c r="O106" s="29" t="str">
        <f aca="false">IF(-N106&gt;=Summary!$C$7,"BREACH","")</f>
        <v/>
      </c>
      <c r="P106" s="31" t="n">
        <f aca="false">M106+F106</f>
        <v>12028.38</v>
      </c>
      <c r="Q106" s="31" t="n">
        <f aca="false">P106-Summary!$C$5</f>
        <v>2028.38</v>
      </c>
      <c r="R106" s="2" t="str">
        <f aca="false">TEXT(A106,"ddd")</f>
        <v>Thu</v>
      </c>
    </row>
    <row r="107" customFormat="false" ht="15" hidden="false" customHeight="false" outlineLevel="0" collapsed="false">
      <c r="A107" s="43" t="n">
        <v>44820</v>
      </c>
      <c r="B107" s="29" t="n">
        <f aca="false">COUNTIFS(Trades!$D$2:$D$1146,$A107)</f>
        <v>1</v>
      </c>
      <c r="C107" s="29" t="n">
        <f aca="false">COUNTIFS(Trades!$D$2:$D$1146,$A107,Trades!$Z$2:$Z$1146,"Win")</f>
        <v>1</v>
      </c>
      <c r="D107" s="29" t="n">
        <f aca="false">COUNTIFS(Trades!$D$2:$D$1146,$A107,Trades!$Z$2:$Z$1146,"Loss")</f>
        <v>0</v>
      </c>
      <c r="E107" s="30" t="n">
        <f aca="false">IFERROR(C107/B107,0)</f>
        <v>1</v>
      </c>
      <c r="F107" s="31" t="n">
        <f aca="false">SUMIFS(Trades!$X$2:$X$1146,Trades!$D$2:$D$1146,$A107)</f>
        <v>263.65</v>
      </c>
      <c r="G107" s="31" t="n">
        <f aca="false">SUMIFS(Trades!$X$2:$X$1146,Trades!$D$2:$D$1146,$A107,Trades!$X$2:$X$1146,"&gt;0")</f>
        <v>263.65</v>
      </c>
      <c r="H107" s="31" t="n">
        <f aca="false">SUMIFS(Trades!$X$2:$X$1146,Trades!$D$2:$D$1146,$A107,Trades!$X$2:$X$1146,"&lt;0")</f>
        <v>0</v>
      </c>
      <c r="I107" s="32" t="str">
        <f aca="false">IFERROR(G107/-H107,"no loss")</f>
        <v>no loss</v>
      </c>
      <c r="J107" s="31" t="n">
        <f aca="false">_xlfn.MAXIFS(Trades!$X$2:$X$1146,Trades!$D$2:$D$1146,$A107)</f>
        <v>263.65</v>
      </c>
      <c r="K107" s="31" t="n">
        <f aca="false">_xlfn.MINIFS(Trades!$X$2:$X$1146,Trades!$D$2:$D$1146,$A107)</f>
        <v>263.65</v>
      </c>
      <c r="L107" s="33" t="n">
        <f aca="false">SUMIFS(Trades!$Y$2:$Y$1146,Trades!$D$2:$D$1146,$A107)</f>
        <v>2.48726415094352</v>
      </c>
      <c r="M107" s="31" t="n">
        <f aca="false">P106</f>
        <v>12028.38</v>
      </c>
      <c r="N107" s="30" t="n">
        <f aca="false">IFERROR(F107/M107,0)</f>
        <v>0.0219189949103703</v>
      </c>
      <c r="O107" s="29" t="str">
        <f aca="false">IF(-N107&gt;=Summary!$C$7,"BREACH","")</f>
        <v/>
      </c>
      <c r="P107" s="31" t="n">
        <f aca="false">M107+F107</f>
        <v>12292.03</v>
      </c>
      <c r="Q107" s="31" t="n">
        <f aca="false">P107-Summary!$C$5</f>
        <v>2292.03</v>
      </c>
      <c r="R107" s="2" t="str">
        <f aca="false">TEXT(A107,"ddd")</f>
        <v>Fri</v>
      </c>
    </row>
    <row r="108" customFormat="false" ht="15" hidden="false" customHeight="false" outlineLevel="0" collapsed="false">
      <c r="A108" s="43" t="n">
        <v>44823</v>
      </c>
      <c r="B108" s="29" t="n">
        <f aca="false">COUNTIFS(Trades!$D$2:$D$1146,$A108)</f>
        <v>1</v>
      </c>
      <c r="C108" s="29" t="n">
        <f aca="false">COUNTIFS(Trades!$D$2:$D$1146,$A108,Trades!$Z$2:$Z$1146,"Win")</f>
        <v>0</v>
      </c>
      <c r="D108" s="29" t="n">
        <f aca="false">COUNTIFS(Trades!$D$2:$D$1146,$A108,Trades!$Z$2:$Z$1146,"Loss")</f>
        <v>1</v>
      </c>
      <c r="E108" s="30" t="n">
        <f aca="false">IFERROR(C108/B108,0)</f>
        <v>0</v>
      </c>
      <c r="F108" s="31" t="n">
        <f aca="false">SUMIFS(Trades!$X$2:$X$1146,Trades!$D$2:$D$1146,$A108)</f>
        <v>-0.7</v>
      </c>
      <c r="G108" s="31" t="n">
        <f aca="false">SUMIFS(Trades!$X$2:$X$1146,Trades!$D$2:$D$1146,$A108,Trades!$X$2:$X$1146,"&gt;0")</f>
        <v>0</v>
      </c>
      <c r="H108" s="31" t="n">
        <f aca="false">SUMIFS(Trades!$X$2:$X$1146,Trades!$D$2:$D$1146,$A108,Trades!$X$2:$X$1146,"&lt;0")</f>
        <v>-0.7</v>
      </c>
      <c r="I108" s="32" t="n">
        <f aca="false">IFERROR(G108/-H108,"no loss")</f>
        <v>0</v>
      </c>
      <c r="J108" s="31" t="n">
        <f aca="false">_xlfn.MAXIFS(Trades!$X$2:$X$1146,Trades!$D$2:$D$1146,$A108)</f>
        <v>-0.7</v>
      </c>
      <c r="K108" s="31" t="n">
        <f aca="false">_xlfn.MINIFS(Trades!$X$2:$X$1146,Trades!$D$2:$D$1146,$A108)</f>
        <v>-0.7</v>
      </c>
      <c r="L108" s="33" t="n">
        <f aca="false">SUMIFS(Trades!$Y$2:$Y$1146,Trades!$D$2:$D$1146,$A108)</f>
        <v>-0.0124666073018705</v>
      </c>
      <c r="M108" s="31" t="n">
        <f aca="false">P107</f>
        <v>12292.03</v>
      </c>
      <c r="N108" s="30" t="n">
        <f aca="false">IFERROR(F108/M108,0)</f>
        <v>-5.69474692137914E-005</v>
      </c>
      <c r="O108" s="29" t="str">
        <f aca="false">IF(-N108&gt;=Summary!$C$7,"BREACH","")</f>
        <v/>
      </c>
      <c r="P108" s="31" t="n">
        <f aca="false">M108+F108</f>
        <v>12291.33</v>
      </c>
      <c r="Q108" s="31" t="n">
        <f aca="false">P108-Summary!$C$5</f>
        <v>2291.32999999999</v>
      </c>
      <c r="R108" s="2" t="str">
        <f aca="false">TEXT(A108,"ddd")</f>
        <v>Mon</v>
      </c>
    </row>
    <row r="109" customFormat="false" ht="15" hidden="false" customHeight="false" outlineLevel="0" collapsed="false">
      <c r="A109" s="43" t="n">
        <v>44824</v>
      </c>
      <c r="B109" s="29" t="n">
        <f aca="false">COUNTIFS(Trades!$D$2:$D$1146,$A109)</f>
        <v>1</v>
      </c>
      <c r="C109" s="29" t="n">
        <f aca="false">COUNTIFS(Trades!$D$2:$D$1146,$A109,Trades!$Z$2:$Z$1146,"Win")</f>
        <v>0</v>
      </c>
      <c r="D109" s="29" t="n">
        <f aca="false">COUNTIFS(Trades!$D$2:$D$1146,$A109,Trades!$Z$2:$Z$1146,"Loss")</f>
        <v>1</v>
      </c>
      <c r="E109" s="30" t="n">
        <f aca="false">IFERROR(C109/B109,0)</f>
        <v>0</v>
      </c>
      <c r="F109" s="31" t="n">
        <f aca="false">SUMIFS(Trades!$X$2:$X$1146,Trades!$D$2:$D$1146,$A109)</f>
        <v>-18.95</v>
      </c>
      <c r="G109" s="31" t="n">
        <f aca="false">SUMIFS(Trades!$X$2:$X$1146,Trades!$D$2:$D$1146,$A109,Trades!$X$2:$X$1146,"&gt;0")</f>
        <v>0</v>
      </c>
      <c r="H109" s="31" t="n">
        <f aca="false">SUMIFS(Trades!$X$2:$X$1146,Trades!$D$2:$D$1146,$A109,Trades!$X$2:$X$1146,"&lt;0")</f>
        <v>-18.95</v>
      </c>
      <c r="I109" s="32" t="n">
        <f aca="false">IFERROR(G109/-H109,"no loss")</f>
        <v>0</v>
      </c>
      <c r="J109" s="31" t="n">
        <f aca="false">_xlfn.MAXIFS(Trades!$X$2:$X$1146,Trades!$D$2:$D$1146,$A109)</f>
        <v>-18.95</v>
      </c>
      <c r="K109" s="31" t="n">
        <f aca="false">_xlfn.MINIFS(Trades!$X$2:$X$1146,Trades!$D$2:$D$1146,$A109)</f>
        <v>-18.95</v>
      </c>
      <c r="L109" s="33" t="n">
        <f aca="false">SUMIFS(Trades!$Y$2:$Y$1146,Trades!$D$2:$D$1146,$A109)</f>
        <v>-1.0355191256831</v>
      </c>
      <c r="M109" s="31" t="n">
        <f aca="false">P108</f>
        <v>12291.33</v>
      </c>
      <c r="N109" s="30" t="n">
        <f aca="false">IFERROR(F109/M109,0)</f>
        <v>-0.00154173714317328</v>
      </c>
      <c r="O109" s="29" t="str">
        <f aca="false">IF(-N109&gt;=Summary!$C$7,"BREACH","")</f>
        <v/>
      </c>
      <c r="P109" s="31" t="n">
        <f aca="false">M109+F109</f>
        <v>12272.38</v>
      </c>
      <c r="Q109" s="31" t="n">
        <f aca="false">P109-Summary!$C$5</f>
        <v>2272.37999999999</v>
      </c>
      <c r="R109" s="2" t="str">
        <f aca="false">TEXT(A109,"ddd")</f>
        <v>Tue</v>
      </c>
    </row>
    <row r="110" customFormat="false" ht="15" hidden="false" customHeight="false" outlineLevel="0" collapsed="false">
      <c r="A110" s="43" t="n">
        <v>44825</v>
      </c>
      <c r="B110" s="29" t="n">
        <f aca="false">COUNTIFS(Trades!$D$2:$D$1146,$A110)</f>
        <v>1</v>
      </c>
      <c r="C110" s="29" t="n">
        <f aca="false">COUNTIFS(Trades!$D$2:$D$1146,$A110,Trades!$Z$2:$Z$1146,"Win")</f>
        <v>0</v>
      </c>
      <c r="D110" s="29" t="n">
        <f aca="false">COUNTIFS(Trades!$D$2:$D$1146,$A110,Trades!$Z$2:$Z$1146,"Loss")</f>
        <v>1</v>
      </c>
      <c r="E110" s="30" t="n">
        <f aca="false">IFERROR(C110/B110,0)</f>
        <v>0</v>
      </c>
      <c r="F110" s="31" t="n">
        <f aca="false">SUMIFS(Trades!$X$2:$X$1146,Trades!$D$2:$D$1146,$A110)</f>
        <v>-332.1</v>
      </c>
      <c r="G110" s="31" t="n">
        <f aca="false">SUMIFS(Trades!$X$2:$X$1146,Trades!$D$2:$D$1146,$A110,Trades!$X$2:$X$1146,"&gt;0")</f>
        <v>0</v>
      </c>
      <c r="H110" s="31" t="n">
        <f aca="false">SUMIFS(Trades!$X$2:$X$1146,Trades!$D$2:$D$1146,$A110,Trades!$X$2:$X$1146,"&lt;0")</f>
        <v>-332.1</v>
      </c>
      <c r="I110" s="32" t="n">
        <f aca="false">IFERROR(G110/-H110,"no loss")</f>
        <v>0</v>
      </c>
      <c r="J110" s="31" t="n">
        <f aca="false">_xlfn.MAXIFS(Trades!$X$2:$X$1146,Trades!$D$2:$D$1146,$A110)</f>
        <v>-332.1</v>
      </c>
      <c r="K110" s="31" t="n">
        <f aca="false">_xlfn.MINIFS(Trades!$X$2:$X$1146,Trades!$D$2:$D$1146,$A110)</f>
        <v>-332.1</v>
      </c>
      <c r="L110" s="33" t="n">
        <f aca="false">SUMIFS(Trades!$Y$2:$Y$1146,Trades!$D$2:$D$1146,$A110)</f>
        <v>-0.772325581395349</v>
      </c>
      <c r="M110" s="31" t="n">
        <f aca="false">P109</f>
        <v>12272.38</v>
      </c>
      <c r="N110" s="30" t="n">
        <f aca="false">IFERROR(F110/M110,0)</f>
        <v>-0.0270607657194448</v>
      </c>
      <c r="O110" s="29" t="str">
        <f aca="false">IF(-N110&gt;=Summary!$C$7,"BREACH","")</f>
        <v>BREACH</v>
      </c>
      <c r="P110" s="31" t="n">
        <f aca="false">M110+F110</f>
        <v>11940.28</v>
      </c>
      <c r="Q110" s="31" t="n">
        <f aca="false">P110-Summary!$C$5</f>
        <v>1940.27999999999</v>
      </c>
      <c r="R110" s="2" t="str">
        <f aca="false">TEXT(A110,"ddd")</f>
        <v>Wed</v>
      </c>
    </row>
    <row r="111" customFormat="false" ht="15" hidden="false" customHeight="false" outlineLevel="0" collapsed="false">
      <c r="A111" s="43" t="n">
        <v>44826</v>
      </c>
      <c r="B111" s="29" t="n">
        <f aca="false">COUNTIFS(Trades!$D$2:$D$1146,$A111)</f>
        <v>1</v>
      </c>
      <c r="C111" s="29" t="n">
        <f aca="false">COUNTIFS(Trades!$D$2:$D$1146,$A111,Trades!$Z$2:$Z$1146,"Win")</f>
        <v>1</v>
      </c>
      <c r="D111" s="29" t="n">
        <f aca="false">COUNTIFS(Trades!$D$2:$D$1146,$A111,Trades!$Z$2:$Z$1146,"Loss")</f>
        <v>0</v>
      </c>
      <c r="E111" s="30" t="n">
        <f aca="false">IFERROR(C111/B111,0)</f>
        <v>1</v>
      </c>
      <c r="F111" s="31" t="n">
        <f aca="false">SUMIFS(Trades!$X$2:$X$1146,Trades!$D$2:$D$1146,$A111)</f>
        <v>188.85</v>
      </c>
      <c r="G111" s="31" t="n">
        <f aca="false">SUMIFS(Trades!$X$2:$X$1146,Trades!$D$2:$D$1146,$A111,Trades!$X$2:$X$1146,"&gt;0")</f>
        <v>188.85</v>
      </c>
      <c r="H111" s="31" t="n">
        <f aca="false">SUMIFS(Trades!$X$2:$X$1146,Trades!$D$2:$D$1146,$A111,Trades!$X$2:$X$1146,"&lt;0")</f>
        <v>0</v>
      </c>
      <c r="I111" s="32" t="str">
        <f aca="false">IFERROR(G111/-H111,"no loss")</f>
        <v>no loss</v>
      </c>
      <c r="J111" s="31" t="n">
        <f aca="false">_xlfn.MAXIFS(Trades!$X$2:$X$1146,Trades!$D$2:$D$1146,$A111)</f>
        <v>188.85</v>
      </c>
      <c r="K111" s="31" t="n">
        <f aca="false">_xlfn.MINIFS(Trades!$X$2:$X$1146,Trades!$D$2:$D$1146,$A111)</f>
        <v>188.85</v>
      </c>
      <c r="L111" s="33" t="n">
        <f aca="false">SUMIFS(Trades!$Y$2:$Y$1146,Trades!$D$2:$D$1146,$A111)</f>
        <v>2.3950538998097</v>
      </c>
      <c r="M111" s="31" t="n">
        <f aca="false">P110</f>
        <v>11940.28</v>
      </c>
      <c r="N111" s="30" t="n">
        <f aca="false">IFERROR(F111/M111,0)</f>
        <v>0.0158162120151286</v>
      </c>
      <c r="O111" s="29" t="str">
        <f aca="false">IF(-N111&gt;=Summary!$C$7,"BREACH","")</f>
        <v/>
      </c>
      <c r="P111" s="31" t="n">
        <f aca="false">M111+F111</f>
        <v>12129.13</v>
      </c>
      <c r="Q111" s="31" t="n">
        <f aca="false">P111-Summary!$C$5</f>
        <v>2129.12999999999</v>
      </c>
      <c r="R111" s="2" t="str">
        <f aca="false">TEXT(A111,"ddd")</f>
        <v>Thu</v>
      </c>
    </row>
    <row r="112" customFormat="false" ht="15" hidden="false" customHeight="false" outlineLevel="0" collapsed="false">
      <c r="A112" s="43" t="n">
        <v>44827</v>
      </c>
      <c r="B112" s="29" t="n">
        <f aca="false">COUNTIFS(Trades!$D$2:$D$1146,$A112)</f>
        <v>1</v>
      </c>
      <c r="C112" s="29" t="n">
        <f aca="false">COUNTIFS(Trades!$D$2:$D$1146,$A112,Trades!$Z$2:$Z$1146,"Win")</f>
        <v>0</v>
      </c>
      <c r="D112" s="29" t="n">
        <f aca="false">COUNTIFS(Trades!$D$2:$D$1146,$A112,Trades!$Z$2:$Z$1146,"Loss")</f>
        <v>1</v>
      </c>
      <c r="E112" s="30" t="n">
        <f aca="false">IFERROR(C112/B112,0)</f>
        <v>0</v>
      </c>
      <c r="F112" s="31" t="n">
        <f aca="false">SUMIFS(Trades!$X$2:$X$1146,Trades!$D$2:$D$1146,$A112)</f>
        <v>-36.7</v>
      </c>
      <c r="G112" s="31" t="n">
        <f aca="false">SUMIFS(Trades!$X$2:$X$1146,Trades!$D$2:$D$1146,$A112,Trades!$X$2:$X$1146,"&gt;0")</f>
        <v>0</v>
      </c>
      <c r="H112" s="31" t="n">
        <f aca="false">SUMIFS(Trades!$X$2:$X$1146,Trades!$D$2:$D$1146,$A112,Trades!$X$2:$X$1146,"&lt;0")</f>
        <v>-36.7</v>
      </c>
      <c r="I112" s="32" t="n">
        <f aca="false">IFERROR(G112/-H112,"no loss")</f>
        <v>0</v>
      </c>
      <c r="J112" s="31" t="n">
        <f aca="false">_xlfn.MAXIFS(Trades!$X$2:$X$1146,Trades!$D$2:$D$1146,$A112)</f>
        <v>-36.7</v>
      </c>
      <c r="K112" s="31" t="n">
        <f aca="false">_xlfn.MINIFS(Trades!$X$2:$X$1146,Trades!$D$2:$D$1146,$A112)</f>
        <v>-36.7</v>
      </c>
      <c r="L112" s="33" t="n">
        <f aca="false">SUMIFS(Trades!$Y$2:$Y$1146,Trades!$D$2:$D$1146,$A112)</f>
        <v>-1.00685871056254</v>
      </c>
      <c r="M112" s="31" t="n">
        <f aca="false">P111</f>
        <v>12129.13</v>
      </c>
      <c r="N112" s="30" t="n">
        <f aca="false">IFERROR(F112/M112,0)</f>
        <v>-0.00302577348911258</v>
      </c>
      <c r="O112" s="29" t="str">
        <f aca="false">IF(-N112&gt;=Summary!$C$7,"BREACH","")</f>
        <v/>
      </c>
      <c r="P112" s="31" t="n">
        <f aca="false">M112+F112</f>
        <v>12092.43</v>
      </c>
      <c r="Q112" s="31" t="n">
        <f aca="false">P112-Summary!$C$5</f>
        <v>2092.42999999999</v>
      </c>
      <c r="R112" s="2" t="str">
        <f aca="false">TEXT(A112,"ddd")</f>
        <v>Fri</v>
      </c>
    </row>
    <row r="113" customFormat="false" ht="15" hidden="false" customHeight="false" outlineLevel="0" collapsed="false">
      <c r="A113" s="43" t="n">
        <v>44831</v>
      </c>
      <c r="B113" s="29" t="n">
        <f aca="false">COUNTIFS(Trades!$D$2:$D$1146,$A113)</f>
        <v>2</v>
      </c>
      <c r="C113" s="29" t="n">
        <f aca="false">COUNTIFS(Trades!$D$2:$D$1146,$A113,Trades!$Z$2:$Z$1146,"Win")</f>
        <v>0</v>
      </c>
      <c r="D113" s="29" t="n">
        <f aca="false">COUNTIFS(Trades!$D$2:$D$1146,$A113,Trades!$Z$2:$Z$1146,"Loss")</f>
        <v>2</v>
      </c>
      <c r="E113" s="30" t="n">
        <f aca="false">IFERROR(C113/B113,0)</f>
        <v>0</v>
      </c>
      <c r="F113" s="31" t="n">
        <f aca="false">SUMIFS(Trades!$X$2:$X$1146,Trades!$D$2:$D$1146,$A113)</f>
        <v>-78.25</v>
      </c>
      <c r="G113" s="31" t="n">
        <f aca="false">SUMIFS(Trades!$X$2:$X$1146,Trades!$D$2:$D$1146,$A113,Trades!$X$2:$X$1146,"&gt;0")</f>
        <v>0</v>
      </c>
      <c r="H113" s="31" t="n">
        <f aca="false">SUMIFS(Trades!$X$2:$X$1146,Trades!$D$2:$D$1146,$A113,Trades!$X$2:$X$1146,"&lt;0")</f>
        <v>-78.25</v>
      </c>
      <c r="I113" s="32" t="n">
        <f aca="false">IFERROR(G113/-H113,"no loss")</f>
        <v>0</v>
      </c>
      <c r="J113" s="31" t="n">
        <f aca="false">_xlfn.MAXIFS(Trades!$X$2:$X$1146,Trades!$D$2:$D$1146,$A113)</f>
        <v>-0.3</v>
      </c>
      <c r="K113" s="31" t="n">
        <f aca="false">_xlfn.MINIFS(Trades!$X$2:$X$1146,Trades!$D$2:$D$1146,$A113)</f>
        <v>-77.95</v>
      </c>
      <c r="L113" s="33" t="n">
        <f aca="false">SUMIFS(Trades!$Y$2:$Y$1146,Trades!$D$2:$D$1146,$A113)</f>
        <v>-1.01774609219715</v>
      </c>
      <c r="M113" s="31" t="n">
        <f aca="false">P112</f>
        <v>12092.43</v>
      </c>
      <c r="N113" s="30" t="n">
        <f aca="false">IFERROR(F113/M113,0)</f>
        <v>-0.00647099052878537</v>
      </c>
      <c r="O113" s="29" t="str">
        <f aca="false">IF(-N113&gt;=Summary!$C$7,"BREACH","")</f>
        <v/>
      </c>
      <c r="P113" s="31" t="n">
        <f aca="false">M113+F113</f>
        <v>12014.18</v>
      </c>
      <c r="Q113" s="31" t="n">
        <f aca="false">P113-Summary!$C$5</f>
        <v>2014.17999999999</v>
      </c>
      <c r="R113" s="2" t="str">
        <f aca="false">TEXT(A113,"ddd")</f>
        <v>Tue</v>
      </c>
    </row>
    <row r="114" customFormat="false" ht="15" hidden="false" customHeight="false" outlineLevel="0" collapsed="false">
      <c r="A114" s="43" t="n">
        <v>44832</v>
      </c>
      <c r="B114" s="29" t="n">
        <f aca="false">COUNTIFS(Trades!$D$2:$D$1146,$A114)</f>
        <v>2</v>
      </c>
      <c r="C114" s="29" t="n">
        <f aca="false">COUNTIFS(Trades!$D$2:$D$1146,$A114,Trades!$Z$2:$Z$1146,"Win")</f>
        <v>0</v>
      </c>
      <c r="D114" s="29" t="n">
        <f aca="false">COUNTIFS(Trades!$D$2:$D$1146,$A114,Trades!$Z$2:$Z$1146,"Loss")</f>
        <v>2</v>
      </c>
      <c r="E114" s="30" t="n">
        <f aca="false">IFERROR(C114/B114,0)</f>
        <v>0</v>
      </c>
      <c r="F114" s="31" t="n">
        <f aca="false">SUMIFS(Trades!$X$2:$X$1146,Trades!$D$2:$D$1146,$A114)</f>
        <v>-54.7</v>
      </c>
      <c r="G114" s="31" t="n">
        <f aca="false">SUMIFS(Trades!$X$2:$X$1146,Trades!$D$2:$D$1146,$A114,Trades!$X$2:$X$1146,"&gt;0")</f>
        <v>0</v>
      </c>
      <c r="H114" s="31" t="n">
        <f aca="false">SUMIFS(Trades!$X$2:$X$1146,Trades!$D$2:$D$1146,$A114,Trades!$X$2:$X$1146,"&lt;0")</f>
        <v>-54.7</v>
      </c>
      <c r="I114" s="32" t="n">
        <f aca="false">IFERROR(G114/-H114,"no loss")</f>
        <v>0</v>
      </c>
      <c r="J114" s="31" t="n">
        <f aca="false">_xlfn.MAXIFS(Trades!$X$2:$X$1146,Trades!$D$2:$D$1146,$A114)</f>
        <v>-1.3</v>
      </c>
      <c r="K114" s="31" t="n">
        <f aca="false">_xlfn.MINIFS(Trades!$X$2:$X$1146,Trades!$D$2:$D$1146,$A114)</f>
        <v>-53.4</v>
      </c>
      <c r="L114" s="33" t="n">
        <f aca="false">SUMIFS(Trades!$Y$2:$Y$1146,Trades!$D$2:$D$1146,$A114)</f>
        <v>-1.02506719324238</v>
      </c>
      <c r="M114" s="31" t="n">
        <f aca="false">P113</f>
        <v>12014.18</v>
      </c>
      <c r="N114" s="30" t="n">
        <f aca="false">IFERROR(F114/M114,0)</f>
        <v>-0.00455295326023083</v>
      </c>
      <c r="O114" s="29" t="str">
        <f aca="false">IF(-N114&gt;=Summary!$C$7,"BREACH","")</f>
        <v/>
      </c>
      <c r="P114" s="31" t="n">
        <f aca="false">M114+F114</f>
        <v>11959.48</v>
      </c>
      <c r="Q114" s="31" t="n">
        <f aca="false">P114-Summary!$C$5</f>
        <v>1959.47999999999</v>
      </c>
      <c r="R114" s="2" t="str">
        <f aca="false">TEXT(A114,"ddd")</f>
        <v>Wed</v>
      </c>
    </row>
    <row r="115" customFormat="false" ht="15" hidden="false" customHeight="false" outlineLevel="0" collapsed="false">
      <c r="A115" s="43" t="n">
        <v>44833</v>
      </c>
      <c r="B115" s="29" t="n">
        <f aca="false">COUNTIFS(Trades!$D$2:$D$1146,$A115)</f>
        <v>1</v>
      </c>
      <c r="C115" s="29" t="n">
        <f aca="false">COUNTIFS(Trades!$D$2:$D$1146,$A115,Trades!$Z$2:$Z$1146,"Win")</f>
        <v>0</v>
      </c>
      <c r="D115" s="29" t="n">
        <f aca="false">COUNTIFS(Trades!$D$2:$D$1146,$A115,Trades!$Z$2:$Z$1146,"Loss")</f>
        <v>1</v>
      </c>
      <c r="E115" s="30" t="n">
        <f aca="false">IFERROR(C115/B115,0)</f>
        <v>0</v>
      </c>
      <c r="F115" s="31" t="n">
        <f aca="false">SUMIFS(Trades!$X$2:$X$1146,Trades!$D$2:$D$1146,$A115)</f>
        <v>-1.15</v>
      </c>
      <c r="G115" s="31" t="n">
        <f aca="false">SUMIFS(Trades!$X$2:$X$1146,Trades!$D$2:$D$1146,$A115,Trades!$X$2:$X$1146,"&gt;0")</f>
        <v>0</v>
      </c>
      <c r="H115" s="31" t="n">
        <f aca="false">SUMIFS(Trades!$X$2:$X$1146,Trades!$D$2:$D$1146,$A115,Trades!$X$2:$X$1146,"&lt;0")</f>
        <v>-1.15</v>
      </c>
      <c r="I115" s="32" t="n">
        <f aca="false">IFERROR(G115/-H115,"no loss")</f>
        <v>0</v>
      </c>
      <c r="J115" s="31" t="n">
        <f aca="false">_xlfn.MAXIFS(Trades!$X$2:$X$1146,Trades!$D$2:$D$1146,$A115)</f>
        <v>-1.15</v>
      </c>
      <c r="K115" s="31" t="n">
        <f aca="false">_xlfn.MINIFS(Trades!$X$2:$X$1146,Trades!$D$2:$D$1146,$A115)</f>
        <v>-1.15</v>
      </c>
      <c r="L115" s="33" t="n">
        <f aca="false">SUMIFS(Trades!$Y$2:$Y$1146,Trades!$D$2:$D$1146,$A115)</f>
        <v>-0.0228855721393051</v>
      </c>
      <c r="M115" s="31" t="n">
        <f aca="false">P114</f>
        <v>11959.48</v>
      </c>
      <c r="N115" s="30" t="n">
        <f aca="false">IFERROR(F115/M115,0)</f>
        <v>-9.61580269376261E-005</v>
      </c>
      <c r="O115" s="29" t="str">
        <f aca="false">IF(-N115&gt;=Summary!$C$7,"BREACH","")</f>
        <v/>
      </c>
      <c r="P115" s="31" t="n">
        <f aca="false">M115+F115</f>
        <v>11958.33</v>
      </c>
      <c r="Q115" s="31" t="n">
        <f aca="false">P115-Summary!$C$5</f>
        <v>1958.32999999999</v>
      </c>
      <c r="R115" s="2" t="str">
        <f aca="false">TEXT(A115,"ddd")</f>
        <v>Thu</v>
      </c>
    </row>
    <row r="116" customFormat="false" ht="15" hidden="false" customHeight="false" outlineLevel="0" collapsed="false">
      <c r="A116" s="43" t="n">
        <v>44834</v>
      </c>
      <c r="B116" s="29" t="n">
        <f aca="false">COUNTIFS(Trades!$D$2:$D$1146,$A116)</f>
        <v>1</v>
      </c>
      <c r="C116" s="29" t="n">
        <f aca="false">COUNTIFS(Trades!$D$2:$D$1146,$A116,Trades!$Z$2:$Z$1146,"Win")</f>
        <v>0</v>
      </c>
      <c r="D116" s="29" t="n">
        <f aca="false">COUNTIFS(Trades!$D$2:$D$1146,$A116,Trades!$Z$2:$Z$1146,"Loss")</f>
        <v>1</v>
      </c>
      <c r="E116" s="30" t="n">
        <f aca="false">IFERROR(C116/B116,0)</f>
        <v>0</v>
      </c>
      <c r="F116" s="31" t="n">
        <f aca="false">SUMIFS(Trades!$X$2:$X$1146,Trades!$D$2:$D$1146,$A116)</f>
        <v>-67.9</v>
      </c>
      <c r="G116" s="31" t="n">
        <f aca="false">SUMIFS(Trades!$X$2:$X$1146,Trades!$D$2:$D$1146,$A116,Trades!$X$2:$X$1146,"&gt;0")</f>
        <v>0</v>
      </c>
      <c r="H116" s="31" t="n">
        <f aca="false">SUMIFS(Trades!$X$2:$X$1146,Trades!$D$2:$D$1146,$A116,Trades!$X$2:$X$1146,"&lt;0")</f>
        <v>-67.9</v>
      </c>
      <c r="I116" s="32" t="n">
        <f aca="false">IFERROR(G116/-H116,"no loss")</f>
        <v>0</v>
      </c>
      <c r="J116" s="31" t="n">
        <f aca="false">_xlfn.MAXIFS(Trades!$X$2:$X$1146,Trades!$D$2:$D$1146,$A116)</f>
        <v>-67.9</v>
      </c>
      <c r="K116" s="31" t="n">
        <f aca="false">_xlfn.MINIFS(Trades!$X$2:$X$1146,Trades!$D$2:$D$1146,$A116)</f>
        <v>-67.9</v>
      </c>
      <c r="L116" s="33" t="n">
        <f aca="false">SUMIFS(Trades!$Y$2:$Y$1146,Trades!$D$2:$D$1146,$A116)</f>
        <v>-1.04622496147923</v>
      </c>
      <c r="M116" s="31" t="n">
        <f aca="false">P115</f>
        <v>11958.33</v>
      </c>
      <c r="N116" s="30" t="n">
        <f aca="false">IFERROR(F116/M116,0)</f>
        <v>-0.00567805036321962</v>
      </c>
      <c r="O116" s="29" t="str">
        <f aca="false">IF(-N116&gt;=Summary!$C$7,"BREACH","")</f>
        <v/>
      </c>
      <c r="P116" s="31" t="n">
        <f aca="false">M116+F116</f>
        <v>11890.43</v>
      </c>
      <c r="Q116" s="31" t="n">
        <f aca="false">P116-Summary!$C$5</f>
        <v>1890.42999999999</v>
      </c>
      <c r="R116" s="2" t="str">
        <f aca="false">TEXT(A116,"ddd")</f>
        <v>Fri</v>
      </c>
    </row>
    <row r="117" customFormat="false" ht="15" hidden="false" customHeight="false" outlineLevel="0" collapsed="false">
      <c r="A117" s="43" t="n">
        <v>44837</v>
      </c>
      <c r="B117" s="29" t="n">
        <f aca="false">COUNTIFS(Trades!$D$2:$D$1146,$A117)</f>
        <v>2</v>
      </c>
      <c r="C117" s="29" t="n">
        <f aca="false">COUNTIFS(Trades!$D$2:$D$1146,$A117,Trades!$Z$2:$Z$1146,"Win")</f>
        <v>0</v>
      </c>
      <c r="D117" s="29" t="n">
        <f aca="false">COUNTIFS(Trades!$D$2:$D$1146,$A117,Trades!$Z$2:$Z$1146,"Loss")</f>
        <v>2</v>
      </c>
      <c r="E117" s="30" t="n">
        <f aca="false">IFERROR(C117/B117,0)</f>
        <v>0</v>
      </c>
      <c r="F117" s="31" t="n">
        <f aca="false">SUMIFS(Trades!$X$2:$X$1146,Trades!$D$2:$D$1146,$A117)</f>
        <v>-142.7</v>
      </c>
      <c r="G117" s="31" t="n">
        <f aca="false">SUMIFS(Trades!$X$2:$X$1146,Trades!$D$2:$D$1146,$A117,Trades!$X$2:$X$1146,"&gt;0")</f>
        <v>0</v>
      </c>
      <c r="H117" s="31" t="n">
        <f aca="false">SUMIFS(Trades!$X$2:$X$1146,Trades!$D$2:$D$1146,$A117,Trades!$X$2:$X$1146,"&lt;0")</f>
        <v>-142.7</v>
      </c>
      <c r="I117" s="32" t="n">
        <f aca="false">IFERROR(G117/-H117,"no loss")</f>
        <v>0</v>
      </c>
      <c r="J117" s="31" t="n">
        <f aca="false">_xlfn.MAXIFS(Trades!$X$2:$X$1146,Trades!$D$2:$D$1146,$A117)</f>
        <v>-32.45</v>
      </c>
      <c r="K117" s="31" t="n">
        <f aca="false">_xlfn.MINIFS(Trades!$X$2:$X$1146,Trades!$D$2:$D$1146,$A117)</f>
        <v>-110.25</v>
      </c>
      <c r="L117" s="33" t="n">
        <f aca="false">SUMIFS(Trades!$Y$2:$Y$1146,Trades!$D$2:$D$1146,$A117)</f>
        <v>-2.04446206031204</v>
      </c>
      <c r="M117" s="31" t="n">
        <f aca="false">P116</f>
        <v>11890.43</v>
      </c>
      <c r="N117" s="30" t="n">
        <f aca="false">IFERROR(F117/M117,0)</f>
        <v>-0.0120012480625175</v>
      </c>
      <c r="O117" s="29" t="str">
        <f aca="false">IF(-N117&gt;=Summary!$C$7,"BREACH","")</f>
        <v/>
      </c>
      <c r="P117" s="31" t="n">
        <f aca="false">M117+F117</f>
        <v>11747.73</v>
      </c>
      <c r="Q117" s="31" t="n">
        <f aca="false">P117-Summary!$C$5</f>
        <v>1747.72999999999</v>
      </c>
      <c r="R117" s="2" t="str">
        <f aca="false">TEXT(A117,"ddd")</f>
        <v>Mon</v>
      </c>
    </row>
    <row r="118" customFormat="false" ht="15" hidden="false" customHeight="false" outlineLevel="0" collapsed="false">
      <c r="A118" s="43" t="n">
        <v>44838</v>
      </c>
      <c r="B118" s="29" t="n">
        <f aca="false">COUNTIFS(Trades!$D$2:$D$1146,$A118)</f>
        <v>1</v>
      </c>
      <c r="C118" s="29" t="n">
        <f aca="false">COUNTIFS(Trades!$D$2:$D$1146,$A118,Trades!$Z$2:$Z$1146,"Win")</f>
        <v>1</v>
      </c>
      <c r="D118" s="29" t="n">
        <f aca="false">COUNTIFS(Trades!$D$2:$D$1146,$A118,Trades!$Z$2:$Z$1146,"Loss")</f>
        <v>0</v>
      </c>
      <c r="E118" s="30" t="n">
        <f aca="false">IFERROR(C118/B118,0)</f>
        <v>1</v>
      </c>
      <c r="F118" s="31" t="n">
        <f aca="false">SUMIFS(Trades!$X$2:$X$1146,Trades!$D$2:$D$1146,$A118)</f>
        <v>76.45</v>
      </c>
      <c r="G118" s="31" t="n">
        <f aca="false">SUMIFS(Trades!$X$2:$X$1146,Trades!$D$2:$D$1146,$A118,Trades!$X$2:$X$1146,"&gt;0")</f>
        <v>76.45</v>
      </c>
      <c r="H118" s="31" t="n">
        <f aca="false">SUMIFS(Trades!$X$2:$X$1146,Trades!$D$2:$D$1146,$A118,Trades!$X$2:$X$1146,"&lt;0")</f>
        <v>0</v>
      </c>
      <c r="I118" s="32" t="str">
        <f aca="false">IFERROR(G118/-H118,"no loss")</f>
        <v>no loss</v>
      </c>
      <c r="J118" s="31" t="n">
        <f aca="false">_xlfn.MAXIFS(Trades!$X$2:$X$1146,Trades!$D$2:$D$1146,$A118)</f>
        <v>76.45</v>
      </c>
      <c r="K118" s="31" t="n">
        <f aca="false">_xlfn.MINIFS(Trades!$X$2:$X$1146,Trades!$D$2:$D$1146,$A118)</f>
        <v>76.45</v>
      </c>
      <c r="L118" s="33" t="n">
        <f aca="false">SUMIFS(Trades!$Y$2:$Y$1146,Trades!$D$2:$D$1146,$A118)</f>
        <v>2.47011308562177</v>
      </c>
      <c r="M118" s="31" t="n">
        <f aca="false">P117</f>
        <v>11747.73</v>
      </c>
      <c r="N118" s="30" t="n">
        <f aca="false">IFERROR(F118/M118,0)</f>
        <v>0.00650764019942577</v>
      </c>
      <c r="O118" s="29" t="str">
        <f aca="false">IF(-N118&gt;=Summary!$C$7,"BREACH","")</f>
        <v/>
      </c>
      <c r="P118" s="31" t="n">
        <f aca="false">M118+F118</f>
        <v>11824.18</v>
      </c>
      <c r="Q118" s="31" t="n">
        <f aca="false">P118-Summary!$C$5</f>
        <v>1824.17999999999</v>
      </c>
      <c r="R118" s="2" t="str">
        <f aca="false">TEXT(A118,"ddd")</f>
        <v>Tue</v>
      </c>
    </row>
    <row r="119" customFormat="false" ht="15" hidden="false" customHeight="false" outlineLevel="0" collapsed="false">
      <c r="A119" s="43" t="n">
        <v>44839</v>
      </c>
      <c r="B119" s="29" t="n">
        <f aca="false">COUNTIFS(Trades!$D$2:$D$1146,$A119)</f>
        <v>1</v>
      </c>
      <c r="C119" s="29" t="n">
        <f aca="false">COUNTIFS(Trades!$D$2:$D$1146,$A119,Trades!$Z$2:$Z$1146,"Win")</f>
        <v>0</v>
      </c>
      <c r="D119" s="29" t="n">
        <f aca="false">COUNTIFS(Trades!$D$2:$D$1146,$A119,Trades!$Z$2:$Z$1146,"Loss")</f>
        <v>1</v>
      </c>
      <c r="E119" s="30" t="n">
        <f aca="false">IFERROR(C119/B119,0)</f>
        <v>0</v>
      </c>
      <c r="F119" s="31" t="n">
        <f aca="false">SUMIFS(Trades!$X$2:$X$1146,Trades!$D$2:$D$1146,$A119)</f>
        <v>-67.4</v>
      </c>
      <c r="G119" s="31" t="n">
        <f aca="false">SUMIFS(Trades!$X$2:$X$1146,Trades!$D$2:$D$1146,$A119,Trades!$X$2:$X$1146,"&gt;0")</f>
        <v>0</v>
      </c>
      <c r="H119" s="31" t="n">
        <f aca="false">SUMIFS(Trades!$X$2:$X$1146,Trades!$D$2:$D$1146,$A119,Trades!$X$2:$X$1146,"&lt;0")</f>
        <v>-67.4</v>
      </c>
      <c r="I119" s="32" t="n">
        <f aca="false">IFERROR(G119/-H119,"no loss")</f>
        <v>0</v>
      </c>
      <c r="J119" s="31" t="n">
        <f aca="false">_xlfn.MAXIFS(Trades!$X$2:$X$1146,Trades!$D$2:$D$1146,$A119)</f>
        <v>-67.4</v>
      </c>
      <c r="K119" s="31" t="n">
        <f aca="false">_xlfn.MINIFS(Trades!$X$2:$X$1146,Trades!$D$2:$D$1146,$A119)</f>
        <v>-67.4</v>
      </c>
      <c r="L119" s="33" t="n">
        <f aca="false">SUMIFS(Trades!$Y$2:$Y$1146,Trades!$D$2:$D$1146,$A119)</f>
        <v>-1.01049475262368</v>
      </c>
      <c r="M119" s="31" t="n">
        <f aca="false">P118</f>
        <v>11824.18</v>
      </c>
      <c r="N119" s="30" t="n">
        <f aca="false">IFERROR(F119/M119,0)</f>
        <v>-0.00570018386052987</v>
      </c>
      <c r="O119" s="29" t="str">
        <f aca="false">IF(-N119&gt;=Summary!$C$7,"BREACH","")</f>
        <v/>
      </c>
      <c r="P119" s="31" t="n">
        <f aca="false">M119+F119</f>
        <v>11756.78</v>
      </c>
      <c r="Q119" s="31" t="n">
        <f aca="false">P119-Summary!$C$5</f>
        <v>1756.77999999999</v>
      </c>
      <c r="R119" s="2" t="str">
        <f aca="false">TEXT(A119,"ddd")</f>
        <v>Wed</v>
      </c>
    </row>
    <row r="120" customFormat="false" ht="15" hidden="false" customHeight="false" outlineLevel="0" collapsed="false">
      <c r="A120" s="43" t="n">
        <v>44840</v>
      </c>
      <c r="B120" s="29" t="n">
        <f aca="false">COUNTIFS(Trades!$D$2:$D$1146,$A120)</f>
        <v>1</v>
      </c>
      <c r="C120" s="29" t="n">
        <f aca="false">COUNTIFS(Trades!$D$2:$D$1146,$A120,Trades!$Z$2:$Z$1146,"Win")</f>
        <v>0</v>
      </c>
      <c r="D120" s="29" t="n">
        <f aca="false">COUNTIFS(Trades!$D$2:$D$1146,$A120,Trades!$Z$2:$Z$1146,"Loss")</f>
        <v>1</v>
      </c>
      <c r="E120" s="30" t="n">
        <f aca="false">IFERROR(C120/B120,0)</f>
        <v>0</v>
      </c>
      <c r="F120" s="31" t="n">
        <f aca="false">SUMIFS(Trades!$X$2:$X$1146,Trades!$D$2:$D$1146,$A120)</f>
        <v>-0.3</v>
      </c>
      <c r="G120" s="31" t="n">
        <f aca="false">SUMIFS(Trades!$X$2:$X$1146,Trades!$D$2:$D$1146,$A120,Trades!$X$2:$X$1146,"&gt;0")</f>
        <v>0</v>
      </c>
      <c r="H120" s="31" t="n">
        <f aca="false">SUMIFS(Trades!$X$2:$X$1146,Trades!$D$2:$D$1146,$A120,Trades!$X$2:$X$1146,"&lt;0")</f>
        <v>-0.3</v>
      </c>
      <c r="I120" s="32" t="n">
        <f aca="false">IFERROR(G120/-H120,"no loss")</f>
        <v>0</v>
      </c>
      <c r="J120" s="31" t="n">
        <f aca="false">_xlfn.MAXIFS(Trades!$X$2:$X$1146,Trades!$D$2:$D$1146,$A120)</f>
        <v>-0.3</v>
      </c>
      <c r="K120" s="31" t="n">
        <f aca="false">_xlfn.MINIFS(Trades!$X$2:$X$1146,Trades!$D$2:$D$1146,$A120)</f>
        <v>-0.3</v>
      </c>
      <c r="L120" s="33" t="n">
        <f aca="false">SUMIFS(Trades!$Y$2:$Y$1146,Trades!$D$2:$D$1146,$A120)</f>
        <v>-0.0073710073710079</v>
      </c>
      <c r="M120" s="31" t="n">
        <f aca="false">P119</f>
        <v>11756.78</v>
      </c>
      <c r="N120" s="30" t="n">
        <f aca="false">IFERROR(F120/M120,0)</f>
        <v>-2.55171909315306E-005</v>
      </c>
      <c r="O120" s="29" t="str">
        <f aca="false">IF(-N120&gt;=Summary!$C$7,"BREACH","")</f>
        <v/>
      </c>
      <c r="P120" s="31" t="n">
        <f aca="false">M120+F120</f>
        <v>11756.48</v>
      </c>
      <c r="Q120" s="31" t="n">
        <f aca="false">P120-Summary!$C$5</f>
        <v>1756.47999999999</v>
      </c>
      <c r="R120" s="2" t="str">
        <f aca="false">TEXT(A120,"ddd")</f>
        <v>Thu</v>
      </c>
    </row>
    <row r="121" customFormat="false" ht="15" hidden="false" customHeight="false" outlineLevel="0" collapsed="false">
      <c r="A121" s="43" t="n">
        <v>44841</v>
      </c>
      <c r="B121" s="29" t="n">
        <f aca="false">COUNTIFS(Trades!$D$2:$D$1146,$A121)</f>
        <v>1</v>
      </c>
      <c r="C121" s="29" t="n">
        <f aca="false">COUNTIFS(Trades!$D$2:$D$1146,$A121,Trades!$Z$2:$Z$1146,"Win")</f>
        <v>0</v>
      </c>
      <c r="D121" s="29" t="n">
        <f aca="false">COUNTIFS(Trades!$D$2:$D$1146,$A121,Trades!$Z$2:$Z$1146,"Loss")</f>
        <v>1</v>
      </c>
      <c r="E121" s="30" t="n">
        <f aca="false">IFERROR(C121/B121,0)</f>
        <v>0</v>
      </c>
      <c r="F121" s="31" t="n">
        <f aca="false">SUMIFS(Trades!$X$2:$X$1146,Trades!$D$2:$D$1146,$A121)</f>
        <v>-86.75</v>
      </c>
      <c r="G121" s="31" t="n">
        <f aca="false">SUMIFS(Trades!$X$2:$X$1146,Trades!$D$2:$D$1146,$A121,Trades!$X$2:$X$1146,"&gt;0")</f>
        <v>0</v>
      </c>
      <c r="H121" s="31" t="n">
        <f aca="false">SUMIFS(Trades!$X$2:$X$1146,Trades!$D$2:$D$1146,$A121,Trades!$X$2:$X$1146,"&lt;0")</f>
        <v>-86.75</v>
      </c>
      <c r="I121" s="32" t="n">
        <f aca="false">IFERROR(G121/-H121,"no loss")</f>
        <v>0</v>
      </c>
      <c r="J121" s="31" t="n">
        <f aca="false">_xlfn.MAXIFS(Trades!$X$2:$X$1146,Trades!$D$2:$D$1146,$A121)</f>
        <v>-86.75</v>
      </c>
      <c r="K121" s="31" t="n">
        <f aca="false">_xlfn.MINIFS(Trades!$X$2:$X$1146,Trades!$D$2:$D$1146,$A121)</f>
        <v>-86.75</v>
      </c>
      <c r="L121" s="33" t="n">
        <f aca="false">SUMIFS(Trades!$Y$2:$Y$1146,Trades!$D$2:$D$1146,$A121)</f>
        <v>-1.01998824221056</v>
      </c>
      <c r="M121" s="31" t="n">
        <f aca="false">P120</f>
        <v>11756.48</v>
      </c>
      <c r="N121" s="30" t="n">
        <f aca="false">IFERROR(F121/M121,0)</f>
        <v>-0.00737890933340592</v>
      </c>
      <c r="O121" s="29" t="str">
        <f aca="false">IF(-N121&gt;=Summary!$C$7,"BREACH","")</f>
        <v/>
      </c>
      <c r="P121" s="31" t="n">
        <f aca="false">M121+F121</f>
        <v>11669.73</v>
      </c>
      <c r="Q121" s="31" t="n">
        <f aca="false">P121-Summary!$C$5</f>
        <v>1669.72999999999</v>
      </c>
      <c r="R121" s="2" t="str">
        <f aca="false">TEXT(A121,"ddd")</f>
        <v>Fri</v>
      </c>
    </row>
    <row r="122" customFormat="false" ht="15" hidden="false" customHeight="false" outlineLevel="0" collapsed="false">
      <c r="A122" s="43" t="n">
        <v>44844</v>
      </c>
      <c r="B122" s="29" t="n">
        <f aca="false">COUNTIFS(Trades!$D$2:$D$1146,$A122)</f>
        <v>1</v>
      </c>
      <c r="C122" s="29" t="n">
        <f aca="false">COUNTIFS(Trades!$D$2:$D$1146,$A122,Trades!$Z$2:$Z$1146,"Win")</f>
        <v>0</v>
      </c>
      <c r="D122" s="29" t="n">
        <f aca="false">COUNTIFS(Trades!$D$2:$D$1146,$A122,Trades!$Z$2:$Z$1146,"Loss")</f>
        <v>1</v>
      </c>
      <c r="E122" s="30" t="n">
        <f aca="false">IFERROR(C122/B122,0)</f>
        <v>0</v>
      </c>
      <c r="F122" s="31" t="n">
        <f aca="false">SUMIFS(Trades!$X$2:$X$1146,Trades!$D$2:$D$1146,$A122)</f>
        <v>-7.1</v>
      </c>
      <c r="G122" s="31" t="n">
        <f aca="false">SUMIFS(Trades!$X$2:$X$1146,Trades!$D$2:$D$1146,$A122,Trades!$X$2:$X$1146,"&gt;0")</f>
        <v>0</v>
      </c>
      <c r="H122" s="31" t="n">
        <f aca="false">SUMIFS(Trades!$X$2:$X$1146,Trades!$D$2:$D$1146,$A122,Trades!$X$2:$X$1146,"&lt;0")</f>
        <v>-7.1</v>
      </c>
      <c r="I122" s="32" t="n">
        <f aca="false">IFERROR(G122/-H122,"no loss")</f>
        <v>0</v>
      </c>
      <c r="J122" s="31" t="n">
        <f aca="false">_xlfn.MAXIFS(Trades!$X$2:$X$1146,Trades!$D$2:$D$1146,$A122)</f>
        <v>-7.1</v>
      </c>
      <c r="K122" s="31" t="n">
        <f aca="false">_xlfn.MINIFS(Trades!$X$2:$X$1146,Trades!$D$2:$D$1146,$A122)</f>
        <v>-7.1</v>
      </c>
      <c r="L122" s="33" t="n">
        <f aca="false">SUMIFS(Trades!$Y$2:$Y$1146,Trades!$D$2:$D$1146,$A122)</f>
        <v>-0.0670443814919784</v>
      </c>
      <c r="M122" s="31" t="n">
        <f aca="false">P121</f>
        <v>11669.73</v>
      </c>
      <c r="N122" s="30" t="n">
        <f aca="false">IFERROR(F122/M122,0)</f>
        <v>-0.000608411677048227</v>
      </c>
      <c r="O122" s="29" t="str">
        <f aca="false">IF(-N122&gt;=Summary!$C$7,"BREACH","")</f>
        <v/>
      </c>
      <c r="P122" s="31" t="n">
        <f aca="false">M122+F122</f>
        <v>11662.63</v>
      </c>
      <c r="Q122" s="31" t="n">
        <f aca="false">P122-Summary!$C$5</f>
        <v>1662.62999999999</v>
      </c>
      <c r="R122" s="2" t="str">
        <f aca="false">TEXT(A122,"ddd")</f>
        <v>Mon</v>
      </c>
    </row>
    <row r="123" customFormat="false" ht="15" hidden="false" customHeight="false" outlineLevel="0" collapsed="false">
      <c r="A123" s="43" t="n">
        <v>44845</v>
      </c>
      <c r="B123" s="29" t="n">
        <f aca="false">COUNTIFS(Trades!$D$2:$D$1146,$A123)</f>
        <v>1</v>
      </c>
      <c r="C123" s="29" t="n">
        <f aca="false">COUNTIFS(Trades!$D$2:$D$1146,$A123,Trades!$Z$2:$Z$1146,"Win")</f>
        <v>0</v>
      </c>
      <c r="D123" s="29" t="n">
        <f aca="false">COUNTIFS(Trades!$D$2:$D$1146,$A123,Trades!$Z$2:$Z$1146,"Loss")</f>
        <v>1</v>
      </c>
      <c r="E123" s="30" t="n">
        <f aca="false">IFERROR(C123/B123,0)</f>
        <v>0</v>
      </c>
      <c r="F123" s="31" t="n">
        <f aca="false">SUMIFS(Trades!$X$2:$X$1146,Trades!$D$2:$D$1146,$A123)</f>
        <v>-2.7</v>
      </c>
      <c r="G123" s="31" t="n">
        <f aca="false">SUMIFS(Trades!$X$2:$X$1146,Trades!$D$2:$D$1146,$A123,Trades!$X$2:$X$1146,"&gt;0")</f>
        <v>0</v>
      </c>
      <c r="H123" s="31" t="n">
        <f aca="false">SUMIFS(Trades!$X$2:$X$1146,Trades!$D$2:$D$1146,$A123,Trades!$X$2:$X$1146,"&lt;0")</f>
        <v>-2.7</v>
      </c>
      <c r="I123" s="32" t="n">
        <f aca="false">IFERROR(G123/-H123,"no loss")</f>
        <v>0</v>
      </c>
      <c r="J123" s="31" t="n">
        <f aca="false">_xlfn.MAXIFS(Trades!$X$2:$X$1146,Trades!$D$2:$D$1146,$A123)</f>
        <v>-2.7</v>
      </c>
      <c r="K123" s="31" t="n">
        <f aca="false">_xlfn.MINIFS(Trades!$X$2:$X$1146,Trades!$D$2:$D$1146,$A123)</f>
        <v>-2.7</v>
      </c>
      <c r="L123" s="33" t="n">
        <f aca="false">SUMIFS(Trades!$Y$2:$Y$1146,Trades!$D$2:$D$1146,$A123)</f>
        <v>-0.0348162475822045</v>
      </c>
      <c r="M123" s="31" t="n">
        <f aca="false">P122</f>
        <v>11662.63</v>
      </c>
      <c r="N123" s="30" t="n">
        <f aca="false">IFERROR(F123/M123,0)</f>
        <v>-0.000231508673429578</v>
      </c>
      <c r="O123" s="29" t="str">
        <f aca="false">IF(-N123&gt;=Summary!$C$7,"BREACH","")</f>
        <v/>
      </c>
      <c r="P123" s="31" t="n">
        <f aca="false">M123+F123</f>
        <v>11659.93</v>
      </c>
      <c r="Q123" s="31" t="n">
        <f aca="false">P123-Summary!$C$5</f>
        <v>1659.92999999999</v>
      </c>
      <c r="R123" s="2" t="str">
        <f aca="false">TEXT(A123,"ddd")</f>
        <v>Tue</v>
      </c>
    </row>
    <row r="124" customFormat="false" ht="15" hidden="false" customHeight="false" outlineLevel="0" collapsed="false">
      <c r="A124" s="43" t="n">
        <v>44847</v>
      </c>
      <c r="B124" s="29" t="n">
        <f aca="false">COUNTIFS(Trades!$D$2:$D$1146,$A124)</f>
        <v>1</v>
      </c>
      <c r="C124" s="29" t="n">
        <f aca="false">COUNTIFS(Trades!$D$2:$D$1146,$A124,Trades!$Z$2:$Z$1146,"Win")</f>
        <v>0</v>
      </c>
      <c r="D124" s="29" t="n">
        <f aca="false">COUNTIFS(Trades!$D$2:$D$1146,$A124,Trades!$Z$2:$Z$1146,"Loss")</f>
        <v>1</v>
      </c>
      <c r="E124" s="30" t="n">
        <f aca="false">IFERROR(C124/B124,0)</f>
        <v>0</v>
      </c>
      <c r="F124" s="31" t="n">
        <f aca="false">SUMIFS(Trades!$X$2:$X$1146,Trades!$D$2:$D$1146,$A124)</f>
        <v>-291.9</v>
      </c>
      <c r="G124" s="31" t="n">
        <f aca="false">SUMIFS(Trades!$X$2:$X$1146,Trades!$D$2:$D$1146,$A124,Trades!$X$2:$X$1146,"&gt;0")</f>
        <v>0</v>
      </c>
      <c r="H124" s="31" t="n">
        <f aca="false">SUMIFS(Trades!$X$2:$X$1146,Trades!$D$2:$D$1146,$A124,Trades!$X$2:$X$1146,"&lt;0")</f>
        <v>-291.9</v>
      </c>
      <c r="I124" s="32" t="n">
        <f aca="false">IFERROR(G124/-H124,"no loss")</f>
        <v>0</v>
      </c>
      <c r="J124" s="31" t="n">
        <f aca="false">_xlfn.MAXIFS(Trades!$X$2:$X$1146,Trades!$D$2:$D$1146,$A124)</f>
        <v>-291.9</v>
      </c>
      <c r="K124" s="31" t="n">
        <f aca="false">_xlfn.MINIFS(Trades!$X$2:$X$1146,Trades!$D$2:$D$1146,$A124)</f>
        <v>-291.9</v>
      </c>
      <c r="L124" s="33" t="n">
        <f aca="false">SUMIFS(Trades!$Y$2:$Y$1146,Trades!$D$2:$D$1146,$A124)</f>
        <v>-0.610158862876252</v>
      </c>
      <c r="M124" s="31" t="n">
        <f aca="false">P123</f>
        <v>11659.93</v>
      </c>
      <c r="N124" s="30" t="n">
        <f aca="false">IFERROR(F124/M124,0)</f>
        <v>-0.0250344556099394</v>
      </c>
      <c r="O124" s="29" t="str">
        <f aca="false">IF(-N124&gt;=Summary!$C$7,"BREACH","")</f>
        <v>BREACH</v>
      </c>
      <c r="P124" s="31" t="n">
        <f aca="false">M124+F124</f>
        <v>11368.03</v>
      </c>
      <c r="Q124" s="31" t="n">
        <f aca="false">P124-Summary!$C$5</f>
        <v>1368.02999999999</v>
      </c>
      <c r="R124" s="2" t="str">
        <f aca="false">TEXT(A124,"ddd")</f>
        <v>Thu</v>
      </c>
    </row>
    <row r="125" customFormat="false" ht="15" hidden="false" customHeight="false" outlineLevel="0" collapsed="false">
      <c r="A125" s="43" t="n">
        <v>44848</v>
      </c>
      <c r="B125" s="29" t="n">
        <f aca="false">COUNTIFS(Trades!$D$2:$D$1146,$A125)</f>
        <v>1</v>
      </c>
      <c r="C125" s="29" t="n">
        <f aca="false">COUNTIFS(Trades!$D$2:$D$1146,$A125,Trades!$Z$2:$Z$1146,"Win")</f>
        <v>0</v>
      </c>
      <c r="D125" s="29" t="n">
        <f aca="false">COUNTIFS(Trades!$D$2:$D$1146,$A125,Trades!$Z$2:$Z$1146,"Loss")</f>
        <v>1</v>
      </c>
      <c r="E125" s="30" t="n">
        <f aca="false">IFERROR(C125/B125,0)</f>
        <v>0</v>
      </c>
      <c r="F125" s="31" t="n">
        <f aca="false">SUMIFS(Trades!$X$2:$X$1146,Trades!$D$2:$D$1146,$A125)</f>
        <v>-62.6</v>
      </c>
      <c r="G125" s="31" t="n">
        <f aca="false">SUMIFS(Trades!$X$2:$X$1146,Trades!$D$2:$D$1146,$A125,Trades!$X$2:$X$1146,"&gt;0")</f>
        <v>0</v>
      </c>
      <c r="H125" s="31" t="n">
        <f aca="false">SUMIFS(Trades!$X$2:$X$1146,Trades!$D$2:$D$1146,$A125,Trades!$X$2:$X$1146,"&lt;0")</f>
        <v>-62.6</v>
      </c>
      <c r="I125" s="32" t="n">
        <f aca="false">IFERROR(G125/-H125,"no loss")</f>
        <v>0</v>
      </c>
      <c r="J125" s="31" t="n">
        <f aca="false">_xlfn.MAXIFS(Trades!$X$2:$X$1146,Trades!$D$2:$D$1146,$A125)</f>
        <v>-62.6</v>
      </c>
      <c r="K125" s="31" t="n">
        <f aca="false">_xlfn.MINIFS(Trades!$X$2:$X$1146,Trades!$D$2:$D$1146,$A125)</f>
        <v>-62.6</v>
      </c>
      <c r="L125" s="33" t="n">
        <f aca="false">SUMIFS(Trades!$Y$2:$Y$1146,Trades!$D$2:$D$1146,$A125)</f>
        <v>-1.00886381950041</v>
      </c>
      <c r="M125" s="31" t="n">
        <f aca="false">P124</f>
        <v>11368.03</v>
      </c>
      <c r="N125" s="30" t="n">
        <f aca="false">IFERROR(F125/M125,0)</f>
        <v>-0.00550667090076293</v>
      </c>
      <c r="O125" s="29" t="str">
        <f aca="false">IF(-N125&gt;=Summary!$C$7,"BREACH","")</f>
        <v/>
      </c>
      <c r="P125" s="31" t="n">
        <f aca="false">M125+F125</f>
        <v>11305.43</v>
      </c>
      <c r="Q125" s="31" t="n">
        <f aca="false">P125-Summary!$C$5</f>
        <v>1305.42999999999</v>
      </c>
      <c r="R125" s="2" t="str">
        <f aca="false">TEXT(A125,"ddd")</f>
        <v>Fri</v>
      </c>
    </row>
    <row r="126" customFormat="false" ht="15" hidden="false" customHeight="false" outlineLevel="0" collapsed="false">
      <c r="A126" s="43" t="n">
        <v>44852</v>
      </c>
      <c r="B126" s="29" t="n">
        <f aca="false">COUNTIFS(Trades!$D$2:$D$1146,$A126)</f>
        <v>1</v>
      </c>
      <c r="C126" s="29" t="n">
        <f aca="false">COUNTIFS(Trades!$D$2:$D$1146,$A126,Trades!$Z$2:$Z$1146,"Win")</f>
        <v>1</v>
      </c>
      <c r="D126" s="29" t="n">
        <f aca="false">COUNTIFS(Trades!$D$2:$D$1146,$A126,Trades!$Z$2:$Z$1146,"Loss")</f>
        <v>0</v>
      </c>
      <c r="E126" s="30" t="n">
        <f aca="false">IFERROR(C126/B126,0)</f>
        <v>1</v>
      </c>
      <c r="F126" s="31" t="n">
        <f aca="false">SUMIFS(Trades!$X$2:$X$1146,Trades!$D$2:$D$1146,$A126)</f>
        <v>157.45</v>
      </c>
      <c r="G126" s="31" t="n">
        <f aca="false">SUMIFS(Trades!$X$2:$X$1146,Trades!$D$2:$D$1146,$A126,Trades!$X$2:$X$1146,"&gt;0")</f>
        <v>157.45</v>
      </c>
      <c r="H126" s="31" t="n">
        <f aca="false">SUMIFS(Trades!$X$2:$X$1146,Trades!$D$2:$D$1146,$A126,Trades!$X$2:$X$1146,"&lt;0")</f>
        <v>0</v>
      </c>
      <c r="I126" s="32" t="str">
        <f aca="false">IFERROR(G126/-H126,"no loss")</f>
        <v>no loss</v>
      </c>
      <c r="J126" s="31" t="n">
        <f aca="false">_xlfn.MAXIFS(Trades!$X$2:$X$1146,Trades!$D$2:$D$1146,$A126)</f>
        <v>157.45</v>
      </c>
      <c r="K126" s="31" t="n">
        <f aca="false">_xlfn.MINIFS(Trades!$X$2:$X$1146,Trades!$D$2:$D$1146,$A126)</f>
        <v>157.45</v>
      </c>
      <c r="L126" s="33" t="n">
        <f aca="false">SUMIFS(Trades!$Y$2:$Y$1146,Trades!$D$2:$D$1146,$A126)</f>
        <v>2.55186385737436</v>
      </c>
      <c r="M126" s="31" t="n">
        <f aca="false">P125</f>
        <v>11305.43</v>
      </c>
      <c r="N126" s="30" t="n">
        <f aca="false">IFERROR(F126/M126,0)</f>
        <v>0.0139269359944735</v>
      </c>
      <c r="O126" s="29" t="str">
        <f aca="false">IF(-N126&gt;=Summary!$C$7,"BREACH","")</f>
        <v/>
      </c>
      <c r="P126" s="31" t="n">
        <f aca="false">M126+F126</f>
        <v>11462.88</v>
      </c>
      <c r="Q126" s="31" t="n">
        <f aca="false">P126-Summary!$C$5</f>
        <v>1462.87999999999</v>
      </c>
      <c r="R126" s="2" t="str">
        <f aca="false">TEXT(A126,"ddd")</f>
        <v>Tue</v>
      </c>
    </row>
    <row r="127" customFormat="false" ht="15" hidden="false" customHeight="false" outlineLevel="0" collapsed="false">
      <c r="A127" s="43" t="n">
        <v>44853</v>
      </c>
      <c r="B127" s="29" t="n">
        <f aca="false">COUNTIFS(Trades!$D$2:$D$1146,$A127)</f>
        <v>1</v>
      </c>
      <c r="C127" s="29" t="n">
        <f aca="false">COUNTIFS(Trades!$D$2:$D$1146,$A127,Trades!$Z$2:$Z$1146,"Win")</f>
        <v>0</v>
      </c>
      <c r="D127" s="29" t="n">
        <f aca="false">COUNTIFS(Trades!$D$2:$D$1146,$A127,Trades!$Z$2:$Z$1146,"Loss")</f>
        <v>1</v>
      </c>
      <c r="E127" s="30" t="n">
        <f aca="false">IFERROR(C127/B127,0)</f>
        <v>0</v>
      </c>
      <c r="F127" s="31" t="n">
        <f aca="false">SUMIFS(Trades!$X$2:$X$1146,Trades!$D$2:$D$1146,$A127)</f>
        <v>-117.7</v>
      </c>
      <c r="G127" s="31" t="n">
        <f aca="false">SUMIFS(Trades!$X$2:$X$1146,Trades!$D$2:$D$1146,$A127,Trades!$X$2:$X$1146,"&gt;0")</f>
        <v>0</v>
      </c>
      <c r="H127" s="31" t="n">
        <f aca="false">SUMIFS(Trades!$X$2:$X$1146,Trades!$D$2:$D$1146,$A127,Trades!$X$2:$X$1146,"&lt;0")</f>
        <v>-117.7</v>
      </c>
      <c r="I127" s="32" t="n">
        <f aca="false">IFERROR(G127/-H127,"no loss")</f>
        <v>0</v>
      </c>
      <c r="J127" s="31" t="n">
        <f aca="false">_xlfn.MAXIFS(Trades!$X$2:$X$1146,Trades!$D$2:$D$1146,$A127)</f>
        <v>-117.7</v>
      </c>
      <c r="K127" s="31" t="n">
        <f aca="false">_xlfn.MINIFS(Trades!$X$2:$X$1146,Trades!$D$2:$D$1146,$A127)</f>
        <v>-117.7</v>
      </c>
      <c r="L127" s="33" t="n">
        <f aca="false">SUMIFS(Trades!$Y$2:$Y$1146,Trades!$D$2:$D$1146,$A127)</f>
        <v>-1.03290917068894</v>
      </c>
      <c r="M127" s="31" t="n">
        <f aca="false">P126</f>
        <v>11462.88</v>
      </c>
      <c r="N127" s="30" t="n">
        <f aca="false">IFERROR(F127/M127,0)</f>
        <v>-0.0102679256870874</v>
      </c>
      <c r="O127" s="29" t="str">
        <f aca="false">IF(-N127&gt;=Summary!$C$7,"BREACH","")</f>
        <v/>
      </c>
      <c r="P127" s="31" t="n">
        <f aca="false">M127+F127</f>
        <v>11345.18</v>
      </c>
      <c r="Q127" s="31" t="n">
        <f aca="false">P127-Summary!$C$5</f>
        <v>1345.17999999999</v>
      </c>
      <c r="R127" s="2" t="str">
        <f aca="false">TEXT(A127,"ddd")</f>
        <v>Wed</v>
      </c>
    </row>
    <row r="128" customFormat="false" ht="15" hidden="false" customHeight="false" outlineLevel="0" collapsed="false">
      <c r="A128" s="43" t="n">
        <v>44854</v>
      </c>
      <c r="B128" s="29" t="n">
        <f aca="false">COUNTIFS(Trades!$D$2:$D$1146,$A128)</f>
        <v>1</v>
      </c>
      <c r="C128" s="29" t="n">
        <f aca="false">COUNTIFS(Trades!$D$2:$D$1146,$A128,Trades!$Z$2:$Z$1146,"Win")</f>
        <v>0</v>
      </c>
      <c r="D128" s="29" t="n">
        <f aca="false">COUNTIFS(Trades!$D$2:$D$1146,$A128,Trades!$Z$2:$Z$1146,"Loss")</f>
        <v>1</v>
      </c>
      <c r="E128" s="30" t="n">
        <f aca="false">IFERROR(C128/B128,0)</f>
        <v>0</v>
      </c>
      <c r="F128" s="31" t="n">
        <f aca="false">SUMIFS(Trades!$X$2:$X$1146,Trades!$D$2:$D$1146,$A128)</f>
        <v>-64.65</v>
      </c>
      <c r="G128" s="31" t="n">
        <f aca="false">SUMIFS(Trades!$X$2:$X$1146,Trades!$D$2:$D$1146,$A128,Trades!$X$2:$X$1146,"&gt;0")</f>
        <v>0</v>
      </c>
      <c r="H128" s="31" t="n">
        <f aca="false">SUMIFS(Trades!$X$2:$X$1146,Trades!$D$2:$D$1146,$A128,Trades!$X$2:$X$1146,"&lt;0")</f>
        <v>-64.65</v>
      </c>
      <c r="I128" s="32" t="n">
        <f aca="false">IFERROR(G128/-H128,"no loss")</f>
        <v>0</v>
      </c>
      <c r="J128" s="31" t="n">
        <f aca="false">_xlfn.MAXIFS(Trades!$X$2:$X$1146,Trades!$D$2:$D$1146,$A128)</f>
        <v>-64.65</v>
      </c>
      <c r="K128" s="31" t="n">
        <f aca="false">_xlfn.MINIFS(Trades!$X$2:$X$1146,Trades!$D$2:$D$1146,$A128)</f>
        <v>-64.65</v>
      </c>
      <c r="L128" s="33" t="n">
        <f aca="false">SUMIFS(Trades!$Y$2:$Y$1146,Trades!$D$2:$D$1146,$A128)</f>
        <v>-1.05036555645805</v>
      </c>
      <c r="M128" s="31" t="n">
        <f aca="false">P127</f>
        <v>11345.18</v>
      </c>
      <c r="N128" s="30" t="n">
        <f aca="false">IFERROR(F128/M128,0)</f>
        <v>-0.00569845520300251</v>
      </c>
      <c r="O128" s="29" t="str">
        <f aca="false">IF(-N128&gt;=Summary!$C$7,"BREACH","")</f>
        <v/>
      </c>
      <c r="P128" s="31" t="n">
        <f aca="false">M128+F128</f>
        <v>11280.53</v>
      </c>
      <c r="Q128" s="31" t="n">
        <f aca="false">P128-Summary!$C$5</f>
        <v>1280.52999999999</v>
      </c>
      <c r="R128" s="2" t="str">
        <f aca="false">TEXT(A128,"ddd")</f>
        <v>Thu</v>
      </c>
    </row>
    <row r="129" customFormat="false" ht="15" hidden="false" customHeight="false" outlineLevel="0" collapsed="false">
      <c r="A129" s="43" t="n">
        <v>44855</v>
      </c>
      <c r="B129" s="29" t="n">
        <f aca="false">COUNTIFS(Trades!$D$2:$D$1146,$A129)</f>
        <v>2</v>
      </c>
      <c r="C129" s="29" t="n">
        <f aca="false">COUNTIFS(Trades!$D$2:$D$1146,$A129,Trades!$Z$2:$Z$1146,"Win")</f>
        <v>1</v>
      </c>
      <c r="D129" s="29" t="n">
        <f aca="false">COUNTIFS(Trades!$D$2:$D$1146,$A129,Trades!$Z$2:$Z$1146,"Loss")</f>
        <v>1</v>
      </c>
      <c r="E129" s="30" t="n">
        <f aca="false">IFERROR(C129/B129,0)</f>
        <v>0.5</v>
      </c>
      <c r="F129" s="31" t="n">
        <f aca="false">SUMIFS(Trades!$X$2:$X$1146,Trades!$D$2:$D$1146,$A129)</f>
        <v>73.51</v>
      </c>
      <c r="G129" s="31" t="n">
        <f aca="false">SUMIFS(Trades!$X$2:$X$1146,Trades!$D$2:$D$1146,$A129,Trades!$X$2:$X$1146,"&gt;0")</f>
        <v>74.76</v>
      </c>
      <c r="H129" s="31" t="n">
        <f aca="false">SUMIFS(Trades!$X$2:$X$1146,Trades!$D$2:$D$1146,$A129,Trades!$X$2:$X$1146,"&lt;0")</f>
        <v>-1.25</v>
      </c>
      <c r="I129" s="32" t="n">
        <f aca="false">IFERROR(G129/-H129,"no loss")</f>
        <v>59.808</v>
      </c>
      <c r="J129" s="31" t="n">
        <f aca="false">_xlfn.MAXIFS(Trades!$X$2:$X$1146,Trades!$D$2:$D$1146,$A129)</f>
        <v>74.76</v>
      </c>
      <c r="K129" s="31" t="n">
        <f aca="false">_xlfn.MINIFS(Trades!$X$2:$X$1146,Trades!$D$2:$D$1146,$A129)</f>
        <v>-1.25</v>
      </c>
      <c r="L129" s="33" t="n">
        <f aca="false">SUMIFS(Trades!$Y$2:$Y$1146,Trades!$D$2:$D$1146,$A129)</f>
        <v>2.32773570040938</v>
      </c>
      <c r="M129" s="31" t="n">
        <f aca="false">P128</f>
        <v>11280.53</v>
      </c>
      <c r="N129" s="30" t="n">
        <f aca="false">IFERROR(F129/M129,0)</f>
        <v>0.00651653778678839</v>
      </c>
      <c r="O129" s="29" t="str">
        <f aca="false">IF(-N129&gt;=Summary!$C$7,"BREACH","")</f>
        <v/>
      </c>
      <c r="P129" s="31" t="n">
        <f aca="false">M129+F129</f>
        <v>11354.04</v>
      </c>
      <c r="Q129" s="31" t="n">
        <f aca="false">P129-Summary!$C$5</f>
        <v>1354.03999999999</v>
      </c>
      <c r="R129" s="2" t="str">
        <f aca="false">TEXT(A129,"ddd")</f>
        <v>Fri</v>
      </c>
    </row>
    <row r="130" customFormat="false" ht="15" hidden="false" customHeight="false" outlineLevel="0" collapsed="false">
      <c r="A130" s="43" t="n">
        <v>44858</v>
      </c>
      <c r="B130" s="29" t="n">
        <f aca="false">COUNTIFS(Trades!$D$2:$D$1146,$A130)</f>
        <v>1</v>
      </c>
      <c r="C130" s="29" t="n">
        <f aca="false">COUNTIFS(Trades!$D$2:$D$1146,$A130,Trades!$Z$2:$Z$1146,"Win")</f>
        <v>1</v>
      </c>
      <c r="D130" s="29" t="n">
        <f aca="false">COUNTIFS(Trades!$D$2:$D$1146,$A130,Trades!$Z$2:$Z$1146,"Loss")</f>
        <v>0</v>
      </c>
      <c r="E130" s="30" t="n">
        <f aca="false">IFERROR(C130/B130,0)</f>
        <v>1</v>
      </c>
      <c r="F130" s="31" t="n">
        <f aca="false">SUMIFS(Trades!$X$2:$X$1146,Trades!$D$2:$D$1146,$A130)</f>
        <v>226.4</v>
      </c>
      <c r="G130" s="31" t="n">
        <f aca="false">SUMIFS(Trades!$X$2:$X$1146,Trades!$D$2:$D$1146,$A130,Trades!$X$2:$X$1146,"&gt;0")</f>
        <v>226.4</v>
      </c>
      <c r="H130" s="31" t="n">
        <f aca="false">SUMIFS(Trades!$X$2:$X$1146,Trades!$D$2:$D$1146,$A130,Trades!$X$2:$X$1146,"&lt;0")</f>
        <v>0</v>
      </c>
      <c r="I130" s="32" t="str">
        <f aca="false">IFERROR(G130/-H130,"no loss")</f>
        <v>no loss</v>
      </c>
      <c r="J130" s="31" t="n">
        <f aca="false">_xlfn.MAXIFS(Trades!$X$2:$X$1146,Trades!$D$2:$D$1146,$A130)</f>
        <v>226.4</v>
      </c>
      <c r="K130" s="31" t="n">
        <f aca="false">_xlfn.MINIFS(Trades!$X$2:$X$1146,Trades!$D$2:$D$1146,$A130)</f>
        <v>226.4</v>
      </c>
      <c r="L130" s="33" t="n">
        <f aca="false">SUMIFS(Trades!$Y$2:$Y$1146,Trades!$D$2:$D$1146,$A130)</f>
        <v>2.62158406669753</v>
      </c>
      <c r="M130" s="31" t="n">
        <f aca="false">P129</f>
        <v>11354.04</v>
      </c>
      <c r="N130" s="30" t="n">
        <f aca="false">IFERROR(F130/M130,0)</f>
        <v>0.0199400389641044</v>
      </c>
      <c r="O130" s="29" t="str">
        <f aca="false">IF(-N130&gt;=Summary!$C$7,"BREACH","")</f>
        <v/>
      </c>
      <c r="P130" s="31" t="n">
        <f aca="false">M130+F130</f>
        <v>11580.44</v>
      </c>
      <c r="Q130" s="31" t="n">
        <f aca="false">P130-Summary!$C$5</f>
        <v>1580.43999999999</v>
      </c>
      <c r="R130" s="2" t="str">
        <f aca="false">TEXT(A130,"ddd")</f>
        <v>Mon</v>
      </c>
    </row>
    <row r="131" customFormat="false" ht="15" hidden="false" customHeight="false" outlineLevel="0" collapsed="false">
      <c r="A131" s="43" t="n">
        <v>44859</v>
      </c>
      <c r="B131" s="29" t="n">
        <f aca="false">COUNTIFS(Trades!$D$2:$D$1146,$A131)</f>
        <v>1</v>
      </c>
      <c r="C131" s="29" t="n">
        <f aca="false">COUNTIFS(Trades!$D$2:$D$1146,$A131,Trades!$Z$2:$Z$1146,"Win")</f>
        <v>0</v>
      </c>
      <c r="D131" s="29" t="n">
        <f aca="false">COUNTIFS(Trades!$D$2:$D$1146,$A131,Trades!$Z$2:$Z$1146,"Loss")</f>
        <v>1</v>
      </c>
      <c r="E131" s="30" t="n">
        <f aca="false">IFERROR(C131/B131,0)</f>
        <v>0</v>
      </c>
      <c r="F131" s="31" t="n">
        <f aca="false">SUMIFS(Trades!$X$2:$X$1146,Trades!$D$2:$D$1146,$A131)</f>
        <v>-3.1</v>
      </c>
      <c r="G131" s="31" t="n">
        <f aca="false">SUMIFS(Trades!$X$2:$X$1146,Trades!$D$2:$D$1146,$A131,Trades!$X$2:$X$1146,"&gt;0")</f>
        <v>0</v>
      </c>
      <c r="H131" s="31" t="n">
        <f aca="false">SUMIFS(Trades!$X$2:$X$1146,Trades!$D$2:$D$1146,$A131,Trades!$X$2:$X$1146,"&lt;0")</f>
        <v>-3.1</v>
      </c>
      <c r="I131" s="32" t="n">
        <f aca="false">IFERROR(G131/-H131,"no loss")</f>
        <v>0</v>
      </c>
      <c r="J131" s="31" t="n">
        <f aca="false">_xlfn.MAXIFS(Trades!$X$2:$X$1146,Trades!$D$2:$D$1146,$A131)</f>
        <v>-3.1</v>
      </c>
      <c r="K131" s="31" t="n">
        <f aca="false">_xlfn.MINIFS(Trades!$X$2:$X$1146,Trades!$D$2:$D$1146,$A131)</f>
        <v>-3.1</v>
      </c>
      <c r="L131" s="33" t="n">
        <f aca="false">SUMIFS(Trades!$Y$2:$Y$1146,Trades!$D$2:$D$1146,$A131)</f>
        <v>-0.044636429085675</v>
      </c>
      <c r="M131" s="31" t="n">
        <f aca="false">P130</f>
        <v>11580.44</v>
      </c>
      <c r="N131" s="30" t="n">
        <f aca="false">IFERROR(F131/M131,0)</f>
        <v>-0.000267692764696333</v>
      </c>
      <c r="O131" s="29" t="str">
        <f aca="false">IF(-N131&gt;=Summary!$C$7,"BREACH","")</f>
        <v/>
      </c>
      <c r="P131" s="31" t="n">
        <f aca="false">M131+F131</f>
        <v>11577.34</v>
      </c>
      <c r="Q131" s="31" t="n">
        <f aca="false">P131-Summary!$C$5</f>
        <v>1577.33999999999</v>
      </c>
      <c r="R131" s="2" t="str">
        <f aca="false">TEXT(A131,"ddd")</f>
        <v>Tue</v>
      </c>
    </row>
    <row r="132" customFormat="false" ht="15" hidden="false" customHeight="false" outlineLevel="0" collapsed="false">
      <c r="A132" s="43" t="n">
        <v>44860</v>
      </c>
      <c r="B132" s="29" t="n">
        <f aca="false">COUNTIFS(Trades!$D$2:$D$1146,$A132)</f>
        <v>1</v>
      </c>
      <c r="C132" s="29" t="n">
        <f aca="false">COUNTIFS(Trades!$D$2:$D$1146,$A132,Trades!$Z$2:$Z$1146,"Win")</f>
        <v>0</v>
      </c>
      <c r="D132" s="29" t="n">
        <f aca="false">COUNTIFS(Trades!$D$2:$D$1146,$A132,Trades!$Z$2:$Z$1146,"Loss")</f>
        <v>1</v>
      </c>
      <c r="E132" s="30" t="n">
        <f aca="false">IFERROR(C132/B132,0)</f>
        <v>0</v>
      </c>
      <c r="F132" s="31" t="n">
        <f aca="false">SUMIFS(Trades!$X$2:$X$1146,Trades!$D$2:$D$1146,$A132)</f>
        <v>-239.8</v>
      </c>
      <c r="G132" s="31" t="n">
        <f aca="false">SUMIFS(Trades!$X$2:$X$1146,Trades!$D$2:$D$1146,$A132,Trades!$X$2:$X$1146,"&gt;0")</f>
        <v>0</v>
      </c>
      <c r="H132" s="31" t="n">
        <f aca="false">SUMIFS(Trades!$X$2:$X$1146,Trades!$D$2:$D$1146,$A132,Trades!$X$2:$X$1146,"&lt;0")</f>
        <v>-239.8</v>
      </c>
      <c r="I132" s="32" t="n">
        <f aca="false">IFERROR(G132/-H132,"no loss")</f>
        <v>0</v>
      </c>
      <c r="J132" s="31" t="n">
        <f aca="false">_xlfn.MAXIFS(Trades!$X$2:$X$1146,Trades!$D$2:$D$1146,$A132)</f>
        <v>-239.8</v>
      </c>
      <c r="K132" s="31" t="n">
        <f aca="false">_xlfn.MINIFS(Trades!$X$2:$X$1146,Trades!$D$2:$D$1146,$A132)</f>
        <v>-239.8</v>
      </c>
      <c r="L132" s="33" t="n">
        <f aca="false">SUMIFS(Trades!$Y$2:$Y$1146,Trades!$D$2:$D$1146,$A132)</f>
        <v>-1.01266891891891</v>
      </c>
      <c r="M132" s="31" t="n">
        <f aca="false">P131</f>
        <v>11577.34</v>
      </c>
      <c r="N132" s="30" t="n">
        <f aca="false">IFERROR(F132/M132,0)</f>
        <v>-0.0207128753236927</v>
      </c>
      <c r="O132" s="29" t="str">
        <f aca="false">IF(-N132&gt;=Summary!$C$7,"BREACH","")</f>
        <v/>
      </c>
      <c r="P132" s="31" t="n">
        <f aca="false">M132+F132</f>
        <v>11337.54</v>
      </c>
      <c r="Q132" s="31" t="n">
        <f aca="false">P132-Summary!$C$5</f>
        <v>1337.53999999999</v>
      </c>
      <c r="R132" s="2" t="str">
        <f aca="false">TEXT(A132,"ddd")</f>
        <v>Wed</v>
      </c>
    </row>
    <row r="133" customFormat="false" ht="15" hidden="false" customHeight="false" outlineLevel="0" collapsed="false">
      <c r="A133" s="43" t="n">
        <v>44861</v>
      </c>
      <c r="B133" s="29" t="n">
        <f aca="false">COUNTIFS(Trades!$D$2:$D$1146,$A133)</f>
        <v>1</v>
      </c>
      <c r="C133" s="29" t="n">
        <f aca="false">COUNTIFS(Trades!$D$2:$D$1146,$A133,Trades!$Z$2:$Z$1146,"Win")</f>
        <v>0</v>
      </c>
      <c r="D133" s="29" t="n">
        <f aca="false">COUNTIFS(Trades!$D$2:$D$1146,$A133,Trades!$Z$2:$Z$1146,"Loss")</f>
        <v>1</v>
      </c>
      <c r="E133" s="30" t="n">
        <f aca="false">IFERROR(C133/B133,0)</f>
        <v>0</v>
      </c>
      <c r="F133" s="31" t="n">
        <f aca="false">SUMIFS(Trades!$X$2:$X$1146,Trades!$D$2:$D$1146,$A133)</f>
        <v>-30.76</v>
      </c>
      <c r="G133" s="31" t="n">
        <f aca="false">SUMIFS(Trades!$X$2:$X$1146,Trades!$D$2:$D$1146,$A133,Trades!$X$2:$X$1146,"&gt;0")</f>
        <v>0</v>
      </c>
      <c r="H133" s="31" t="n">
        <f aca="false">SUMIFS(Trades!$X$2:$X$1146,Trades!$D$2:$D$1146,$A133,Trades!$X$2:$X$1146,"&lt;0")</f>
        <v>-30.76</v>
      </c>
      <c r="I133" s="32" t="n">
        <f aca="false">IFERROR(G133/-H133,"no loss")</f>
        <v>0</v>
      </c>
      <c r="J133" s="31" t="n">
        <f aca="false">_xlfn.MAXIFS(Trades!$X$2:$X$1146,Trades!$D$2:$D$1146,$A133)</f>
        <v>-30.76</v>
      </c>
      <c r="K133" s="31" t="n">
        <f aca="false">_xlfn.MINIFS(Trades!$X$2:$X$1146,Trades!$D$2:$D$1146,$A133)</f>
        <v>-30.76</v>
      </c>
      <c r="L133" s="33" t="n">
        <f aca="false">SUMIFS(Trades!$Y$2:$Y$1146,Trades!$D$2:$D$1146,$A133)</f>
        <v>-1.01719576719584</v>
      </c>
      <c r="M133" s="31" t="n">
        <f aca="false">P132</f>
        <v>11337.54</v>
      </c>
      <c r="N133" s="30" t="n">
        <f aca="false">IFERROR(F133/M133,0)</f>
        <v>-0.00271311060424043</v>
      </c>
      <c r="O133" s="29" t="str">
        <f aca="false">IF(-N133&gt;=Summary!$C$7,"BREACH","")</f>
        <v/>
      </c>
      <c r="P133" s="31" t="n">
        <f aca="false">M133+F133</f>
        <v>11306.78</v>
      </c>
      <c r="Q133" s="31" t="n">
        <f aca="false">P133-Summary!$C$5</f>
        <v>1306.77999999999</v>
      </c>
      <c r="R133" s="2" t="str">
        <f aca="false">TEXT(A133,"ddd")</f>
        <v>Thu</v>
      </c>
    </row>
    <row r="134" customFormat="false" ht="15" hidden="false" customHeight="false" outlineLevel="0" collapsed="false">
      <c r="A134" s="43" t="n">
        <v>44862</v>
      </c>
      <c r="B134" s="29" t="n">
        <f aca="false">COUNTIFS(Trades!$D$2:$D$1146,$A134)</f>
        <v>1</v>
      </c>
      <c r="C134" s="29" t="n">
        <f aca="false">COUNTIFS(Trades!$D$2:$D$1146,$A134,Trades!$Z$2:$Z$1146,"Win")</f>
        <v>0</v>
      </c>
      <c r="D134" s="29" t="n">
        <f aca="false">COUNTIFS(Trades!$D$2:$D$1146,$A134,Trades!$Z$2:$Z$1146,"Loss")</f>
        <v>1</v>
      </c>
      <c r="E134" s="30" t="n">
        <f aca="false">IFERROR(C134/B134,0)</f>
        <v>0</v>
      </c>
      <c r="F134" s="31" t="n">
        <f aca="false">SUMIFS(Trades!$X$2:$X$1146,Trades!$D$2:$D$1146,$A134)</f>
        <v>-32.36</v>
      </c>
      <c r="G134" s="31" t="n">
        <f aca="false">SUMIFS(Trades!$X$2:$X$1146,Trades!$D$2:$D$1146,$A134,Trades!$X$2:$X$1146,"&gt;0")</f>
        <v>0</v>
      </c>
      <c r="H134" s="31" t="n">
        <f aca="false">SUMIFS(Trades!$X$2:$X$1146,Trades!$D$2:$D$1146,$A134,Trades!$X$2:$X$1146,"&lt;0")</f>
        <v>-32.36</v>
      </c>
      <c r="I134" s="32" t="n">
        <f aca="false">IFERROR(G134/-H134,"no loss")</f>
        <v>0</v>
      </c>
      <c r="J134" s="31" t="n">
        <f aca="false">_xlfn.MAXIFS(Trades!$X$2:$X$1146,Trades!$D$2:$D$1146,$A134)</f>
        <v>-32.36</v>
      </c>
      <c r="K134" s="31" t="n">
        <f aca="false">_xlfn.MINIFS(Trades!$X$2:$X$1146,Trades!$D$2:$D$1146,$A134)</f>
        <v>-32.36</v>
      </c>
      <c r="L134" s="33" t="n">
        <f aca="false">SUMIFS(Trades!$Y$2:$Y$1146,Trades!$D$2:$D$1146,$A134)</f>
        <v>-1.00747198007487</v>
      </c>
      <c r="M134" s="31" t="n">
        <f aca="false">P133</f>
        <v>11306.78</v>
      </c>
      <c r="N134" s="30" t="n">
        <f aca="false">IFERROR(F134/M134,0)</f>
        <v>-0.00286199961439066</v>
      </c>
      <c r="O134" s="29" t="str">
        <f aca="false">IF(-N134&gt;=Summary!$C$7,"BREACH","")</f>
        <v/>
      </c>
      <c r="P134" s="31" t="n">
        <f aca="false">M134+F134</f>
        <v>11274.42</v>
      </c>
      <c r="Q134" s="31" t="n">
        <f aca="false">P134-Summary!$C$5</f>
        <v>1274.41999999999</v>
      </c>
      <c r="R134" s="2" t="str">
        <f aca="false">TEXT(A134,"ddd")</f>
        <v>Fri</v>
      </c>
    </row>
    <row r="135" customFormat="false" ht="15" hidden="false" customHeight="false" outlineLevel="0" collapsed="false">
      <c r="A135" s="43" t="n">
        <v>44866</v>
      </c>
      <c r="B135" s="29" t="n">
        <f aca="false">COUNTIFS(Trades!$D$2:$D$1146,$A135)</f>
        <v>2</v>
      </c>
      <c r="C135" s="29" t="n">
        <f aca="false">COUNTIFS(Trades!$D$2:$D$1146,$A135,Trades!$Z$2:$Z$1146,"Win")</f>
        <v>0</v>
      </c>
      <c r="D135" s="29" t="n">
        <f aca="false">COUNTIFS(Trades!$D$2:$D$1146,$A135,Trades!$Z$2:$Z$1146,"Loss")</f>
        <v>2</v>
      </c>
      <c r="E135" s="30" t="n">
        <f aca="false">IFERROR(C135/B135,0)</f>
        <v>0</v>
      </c>
      <c r="F135" s="31" t="n">
        <f aca="false">SUMIFS(Trades!$X$2:$X$1146,Trades!$D$2:$D$1146,$A135)</f>
        <v>-53.8</v>
      </c>
      <c r="G135" s="31" t="n">
        <f aca="false">SUMIFS(Trades!$X$2:$X$1146,Trades!$D$2:$D$1146,$A135,Trades!$X$2:$X$1146,"&gt;0")</f>
        <v>0</v>
      </c>
      <c r="H135" s="31" t="n">
        <f aca="false">SUMIFS(Trades!$X$2:$X$1146,Trades!$D$2:$D$1146,$A135,Trades!$X$2:$X$1146,"&lt;0")</f>
        <v>-53.8</v>
      </c>
      <c r="I135" s="32" t="n">
        <f aca="false">IFERROR(G135/-H135,"no loss")</f>
        <v>0</v>
      </c>
      <c r="J135" s="31" t="n">
        <f aca="false">_xlfn.MAXIFS(Trades!$X$2:$X$1146,Trades!$D$2:$D$1146,$A135)</f>
        <v>-0.76</v>
      </c>
      <c r="K135" s="31" t="n">
        <f aca="false">_xlfn.MINIFS(Trades!$X$2:$X$1146,Trades!$D$2:$D$1146,$A135)</f>
        <v>-53.04</v>
      </c>
      <c r="L135" s="33" t="n">
        <f aca="false">SUMIFS(Trades!$Y$2:$Y$1146,Trades!$D$2:$D$1146,$A135)</f>
        <v>-1.0403945111493</v>
      </c>
      <c r="M135" s="31" t="n">
        <f aca="false">P134</f>
        <v>11274.42</v>
      </c>
      <c r="N135" s="30" t="n">
        <f aca="false">IFERROR(F135/M135,0)</f>
        <v>-0.00477186409589141</v>
      </c>
      <c r="O135" s="29" t="str">
        <f aca="false">IF(-N135&gt;=Summary!$C$7,"BREACH","")</f>
        <v/>
      </c>
      <c r="P135" s="31" t="n">
        <f aca="false">M135+F135</f>
        <v>11220.62</v>
      </c>
      <c r="Q135" s="31" t="n">
        <f aca="false">P135-Summary!$C$5</f>
        <v>1220.61999999999</v>
      </c>
      <c r="R135" s="2" t="str">
        <f aca="false">TEXT(A135,"ddd")</f>
        <v>Tue</v>
      </c>
    </row>
    <row r="136" customFormat="false" ht="15" hidden="false" customHeight="false" outlineLevel="0" collapsed="false">
      <c r="A136" s="43" t="n">
        <v>44867</v>
      </c>
      <c r="B136" s="29" t="n">
        <f aca="false">COUNTIFS(Trades!$D$2:$D$1146,$A136)</f>
        <v>1</v>
      </c>
      <c r="C136" s="29" t="n">
        <f aca="false">COUNTIFS(Trades!$D$2:$D$1146,$A136,Trades!$Z$2:$Z$1146,"Win")</f>
        <v>0</v>
      </c>
      <c r="D136" s="29" t="n">
        <f aca="false">COUNTIFS(Trades!$D$2:$D$1146,$A136,Trades!$Z$2:$Z$1146,"Loss")</f>
        <v>1</v>
      </c>
      <c r="E136" s="30" t="n">
        <f aca="false">IFERROR(C136/B136,0)</f>
        <v>0</v>
      </c>
      <c r="F136" s="31" t="n">
        <f aca="false">SUMIFS(Trades!$X$2:$X$1146,Trades!$D$2:$D$1146,$A136)</f>
        <v>-63.44</v>
      </c>
      <c r="G136" s="31" t="n">
        <f aca="false">SUMIFS(Trades!$X$2:$X$1146,Trades!$D$2:$D$1146,$A136,Trades!$X$2:$X$1146,"&gt;0")</f>
        <v>0</v>
      </c>
      <c r="H136" s="31" t="n">
        <f aca="false">SUMIFS(Trades!$X$2:$X$1146,Trades!$D$2:$D$1146,$A136,Trades!$X$2:$X$1146,"&lt;0")</f>
        <v>-63.44</v>
      </c>
      <c r="I136" s="32" t="n">
        <f aca="false">IFERROR(G136/-H136,"no loss")</f>
        <v>0</v>
      </c>
      <c r="J136" s="31" t="n">
        <f aca="false">_xlfn.MAXIFS(Trades!$X$2:$X$1146,Trades!$D$2:$D$1146,$A136)</f>
        <v>-63.44</v>
      </c>
      <c r="K136" s="31" t="n">
        <f aca="false">_xlfn.MINIFS(Trades!$X$2:$X$1146,Trades!$D$2:$D$1146,$A136)</f>
        <v>-63.44</v>
      </c>
      <c r="L136" s="33" t="n">
        <f aca="false">SUMIFS(Trades!$Y$2:$Y$1146,Trades!$D$2:$D$1146,$A136)</f>
        <v>-1.059452237809</v>
      </c>
      <c r="M136" s="31" t="n">
        <f aca="false">P135</f>
        <v>11220.62</v>
      </c>
      <c r="N136" s="30" t="n">
        <f aca="false">IFERROR(F136/M136,0)</f>
        <v>-0.00565387652375716</v>
      </c>
      <c r="O136" s="29" t="str">
        <f aca="false">IF(-N136&gt;=Summary!$C$7,"BREACH","")</f>
        <v/>
      </c>
      <c r="P136" s="31" t="n">
        <f aca="false">M136+F136</f>
        <v>11157.18</v>
      </c>
      <c r="Q136" s="31" t="n">
        <f aca="false">P136-Summary!$C$5</f>
        <v>1157.17999999999</v>
      </c>
      <c r="R136" s="2" t="str">
        <f aca="false">TEXT(A136,"ddd")</f>
        <v>Wed</v>
      </c>
    </row>
    <row r="137" customFormat="false" ht="15" hidden="false" customHeight="false" outlineLevel="0" collapsed="false">
      <c r="A137" s="43" t="n">
        <v>44868</v>
      </c>
      <c r="B137" s="29" t="n">
        <f aca="false">COUNTIFS(Trades!$D$2:$D$1146,$A137)</f>
        <v>1</v>
      </c>
      <c r="C137" s="29" t="n">
        <f aca="false">COUNTIFS(Trades!$D$2:$D$1146,$A137,Trades!$Z$2:$Z$1146,"Win")</f>
        <v>0</v>
      </c>
      <c r="D137" s="29" t="n">
        <f aca="false">COUNTIFS(Trades!$D$2:$D$1146,$A137,Trades!$Z$2:$Z$1146,"Loss")</f>
        <v>1</v>
      </c>
      <c r="E137" s="30" t="n">
        <f aca="false">IFERROR(C137/B137,0)</f>
        <v>0</v>
      </c>
      <c r="F137" s="31" t="n">
        <f aca="false">SUMIFS(Trades!$X$2:$X$1146,Trades!$D$2:$D$1146,$A137)</f>
        <v>-45.25</v>
      </c>
      <c r="G137" s="31" t="n">
        <f aca="false">SUMIFS(Trades!$X$2:$X$1146,Trades!$D$2:$D$1146,$A137,Trades!$X$2:$X$1146,"&gt;0")</f>
        <v>0</v>
      </c>
      <c r="H137" s="31" t="n">
        <f aca="false">SUMIFS(Trades!$X$2:$X$1146,Trades!$D$2:$D$1146,$A137,Trades!$X$2:$X$1146,"&lt;0")</f>
        <v>-45.25</v>
      </c>
      <c r="I137" s="32" t="n">
        <f aca="false">IFERROR(G137/-H137,"no loss")</f>
        <v>0</v>
      </c>
      <c r="J137" s="31" t="n">
        <f aca="false">_xlfn.MAXIFS(Trades!$X$2:$X$1146,Trades!$D$2:$D$1146,$A137)</f>
        <v>-45.25</v>
      </c>
      <c r="K137" s="31" t="n">
        <f aca="false">_xlfn.MINIFS(Trades!$X$2:$X$1146,Trades!$D$2:$D$1146,$A137)</f>
        <v>-45.25</v>
      </c>
      <c r="L137" s="33" t="n">
        <f aca="false">SUMIFS(Trades!$Y$2:$Y$1146,Trades!$D$2:$D$1146,$A137)</f>
        <v>-1.14267676767676</v>
      </c>
      <c r="M137" s="31" t="n">
        <f aca="false">P136</f>
        <v>11157.18</v>
      </c>
      <c r="N137" s="30" t="n">
        <f aca="false">IFERROR(F137/M137,0)</f>
        <v>-0.00405568432166551</v>
      </c>
      <c r="O137" s="29" t="str">
        <f aca="false">IF(-N137&gt;=Summary!$C$7,"BREACH","")</f>
        <v/>
      </c>
      <c r="P137" s="31" t="n">
        <f aca="false">M137+F137</f>
        <v>11111.93</v>
      </c>
      <c r="Q137" s="31" t="n">
        <f aca="false">P137-Summary!$C$5</f>
        <v>1111.92999999999</v>
      </c>
      <c r="R137" s="2" t="str">
        <f aca="false">TEXT(A137,"ddd")</f>
        <v>Thu</v>
      </c>
    </row>
    <row r="138" customFormat="false" ht="15" hidden="false" customHeight="false" outlineLevel="0" collapsed="false">
      <c r="A138" s="43" t="n">
        <v>44869</v>
      </c>
      <c r="B138" s="29" t="n">
        <f aca="false">COUNTIFS(Trades!$D$2:$D$1146,$A138)</f>
        <v>1</v>
      </c>
      <c r="C138" s="29" t="n">
        <f aca="false">COUNTIFS(Trades!$D$2:$D$1146,$A138,Trades!$Z$2:$Z$1146,"Win")</f>
        <v>0</v>
      </c>
      <c r="D138" s="29" t="n">
        <f aca="false">COUNTIFS(Trades!$D$2:$D$1146,$A138,Trades!$Z$2:$Z$1146,"Loss")</f>
        <v>1</v>
      </c>
      <c r="E138" s="30" t="n">
        <f aca="false">IFERROR(C138/B138,0)</f>
        <v>0</v>
      </c>
      <c r="F138" s="31" t="n">
        <f aca="false">SUMIFS(Trades!$X$2:$X$1146,Trades!$D$2:$D$1146,$A138)</f>
        <v>-64.4</v>
      </c>
      <c r="G138" s="31" t="n">
        <f aca="false">SUMIFS(Trades!$X$2:$X$1146,Trades!$D$2:$D$1146,$A138,Trades!$X$2:$X$1146,"&gt;0")</f>
        <v>0</v>
      </c>
      <c r="H138" s="31" t="n">
        <f aca="false">SUMIFS(Trades!$X$2:$X$1146,Trades!$D$2:$D$1146,$A138,Trades!$X$2:$X$1146,"&lt;0")</f>
        <v>-64.4</v>
      </c>
      <c r="I138" s="32" t="n">
        <f aca="false">IFERROR(G138/-H138,"no loss")</f>
        <v>0</v>
      </c>
      <c r="J138" s="31" t="n">
        <f aca="false">_xlfn.MAXIFS(Trades!$X$2:$X$1146,Trades!$D$2:$D$1146,$A138)</f>
        <v>-64.4</v>
      </c>
      <c r="K138" s="31" t="n">
        <f aca="false">_xlfn.MINIFS(Trades!$X$2:$X$1146,Trades!$D$2:$D$1146,$A138)</f>
        <v>-64.4</v>
      </c>
      <c r="L138" s="33" t="n">
        <f aca="false">SUMIFS(Trades!$Y$2:$Y$1146,Trades!$D$2:$D$1146,$A138)</f>
        <v>-1.00233463035031</v>
      </c>
      <c r="M138" s="31" t="n">
        <f aca="false">P137</f>
        <v>11111.93</v>
      </c>
      <c r="N138" s="30" t="n">
        <f aca="false">IFERROR(F138/M138,0)</f>
        <v>-0.00579557286627976</v>
      </c>
      <c r="O138" s="29" t="str">
        <f aca="false">IF(-N138&gt;=Summary!$C$7,"BREACH","")</f>
        <v/>
      </c>
      <c r="P138" s="31" t="n">
        <f aca="false">M138+F138</f>
        <v>11047.53</v>
      </c>
      <c r="Q138" s="31" t="n">
        <f aca="false">P138-Summary!$C$5</f>
        <v>1047.52999999999</v>
      </c>
      <c r="R138" s="2" t="str">
        <f aca="false">TEXT(A138,"ddd")</f>
        <v>Fri</v>
      </c>
    </row>
    <row r="139" customFormat="false" ht="15" hidden="false" customHeight="false" outlineLevel="0" collapsed="false">
      <c r="A139" s="43" t="n">
        <v>44872</v>
      </c>
      <c r="B139" s="29" t="n">
        <f aca="false">COUNTIFS(Trades!$D$2:$D$1146,$A139)</f>
        <v>1</v>
      </c>
      <c r="C139" s="29" t="n">
        <f aca="false">COUNTIFS(Trades!$D$2:$D$1146,$A139,Trades!$Z$2:$Z$1146,"Win")</f>
        <v>1</v>
      </c>
      <c r="D139" s="29" t="n">
        <f aca="false">COUNTIFS(Trades!$D$2:$D$1146,$A139,Trades!$Z$2:$Z$1146,"Loss")</f>
        <v>0</v>
      </c>
      <c r="E139" s="30" t="n">
        <f aca="false">IFERROR(C139/B139,0)</f>
        <v>1</v>
      </c>
      <c r="F139" s="31" t="n">
        <f aca="false">SUMIFS(Trades!$X$2:$X$1146,Trades!$D$2:$D$1146,$A139)</f>
        <v>93.95</v>
      </c>
      <c r="G139" s="31" t="n">
        <f aca="false">SUMIFS(Trades!$X$2:$X$1146,Trades!$D$2:$D$1146,$A139,Trades!$X$2:$X$1146,"&gt;0")</f>
        <v>93.95</v>
      </c>
      <c r="H139" s="31" t="n">
        <f aca="false">SUMIFS(Trades!$X$2:$X$1146,Trades!$D$2:$D$1146,$A139,Trades!$X$2:$X$1146,"&lt;0")</f>
        <v>0</v>
      </c>
      <c r="I139" s="32" t="str">
        <f aca="false">IFERROR(G139/-H139,"no loss")</f>
        <v>no loss</v>
      </c>
      <c r="J139" s="31" t="n">
        <f aca="false">_xlfn.MAXIFS(Trades!$X$2:$X$1146,Trades!$D$2:$D$1146,$A139)</f>
        <v>93.95</v>
      </c>
      <c r="K139" s="31" t="n">
        <f aca="false">_xlfn.MINIFS(Trades!$X$2:$X$1146,Trades!$D$2:$D$1146,$A139)</f>
        <v>93.95</v>
      </c>
      <c r="L139" s="33" t="n">
        <f aca="false">SUMIFS(Trades!$Y$2:$Y$1146,Trades!$D$2:$D$1146,$A139)</f>
        <v>2.41516709511548</v>
      </c>
      <c r="M139" s="31" t="n">
        <f aca="false">P138</f>
        <v>11047.53</v>
      </c>
      <c r="N139" s="30" t="n">
        <f aca="false">IFERROR(F139/M139,0)</f>
        <v>0.00850416337407548</v>
      </c>
      <c r="O139" s="29" t="str">
        <f aca="false">IF(-N139&gt;=Summary!$C$7,"BREACH","")</f>
        <v/>
      </c>
      <c r="P139" s="31" t="n">
        <f aca="false">M139+F139</f>
        <v>11141.48</v>
      </c>
      <c r="Q139" s="31" t="n">
        <f aca="false">P139-Summary!$C$5</f>
        <v>1141.47999999999</v>
      </c>
      <c r="R139" s="2" t="str">
        <f aca="false">TEXT(A139,"ddd")</f>
        <v>Mon</v>
      </c>
    </row>
    <row r="140" customFormat="false" ht="15" hidden="false" customHeight="false" outlineLevel="0" collapsed="false">
      <c r="A140" s="43" t="n">
        <v>44873</v>
      </c>
      <c r="B140" s="29" t="n">
        <f aca="false">COUNTIFS(Trades!$D$2:$D$1146,$A140)</f>
        <v>1</v>
      </c>
      <c r="C140" s="29" t="n">
        <f aca="false">COUNTIFS(Trades!$D$2:$D$1146,$A140,Trades!$Z$2:$Z$1146,"Win")</f>
        <v>0</v>
      </c>
      <c r="D140" s="29" t="n">
        <f aca="false">COUNTIFS(Trades!$D$2:$D$1146,$A140,Trades!$Z$2:$Z$1146,"Loss")</f>
        <v>1</v>
      </c>
      <c r="E140" s="30" t="n">
        <f aca="false">IFERROR(C140/B140,0)</f>
        <v>0</v>
      </c>
      <c r="F140" s="31" t="n">
        <f aca="false">SUMIFS(Trades!$X$2:$X$1146,Trades!$D$2:$D$1146,$A140)</f>
        <v>-0.5</v>
      </c>
      <c r="G140" s="31" t="n">
        <f aca="false">SUMIFS(Trades!$X$2:$X$1146,Trades!$D$2:$D$1146,$A140,Trades!$X$2:$X$1146,"&gt;0")</f>
        <v>0</v>
      </c>
      <c r="H140" s="31" t="n">
        <f aca="false">SUMIFS(Trades!$X$2:$X$1146,Trades!$D$2:$D$1146,$A140,Trades!$X$2:$X$1146,"&lt;0")</f>
        <v>-0.5</v>
      </c>
      <c r="I140" s="32" t="n">
        <f aca="false">IFERROR(G140/-H140,"no loss")</f>
        <v>0</v>
      </c>
      <c r="J140" s="31" t="n">
        <f aca="false">_xlfn.MAXIFS(Trades!$X$2:$X$1146,Trades!$D$2:$D$1146,$A140)</f>
        <v>-0.5</v>
      </c>
      <c r="K140" s="31" t="n">
        <f aca="false">_xlfn.MINIFS(Trades!$X$2:$X$1146,Trades!$D$2:$D$1146,$A140)</f>
        <v>-0.5</v>
      </c>
      <c r="L140" s="33" t="n">
        <f aca="false">SUMIFS(Trades!$Y$2:$Y$1146,Trades!$D$2:$D$1146,$A140)</f>
        <v>-0.0157480314960621</v>
      </c>
      <c r="M140" s="31" t="n">
        <f aca="false">P139</f>
        <v>11141.48</v>
      </c>
      <c r="N140" s="30" t="n">
        <f aca="false">IFERROR(F140/M140,0)</f>
        <v>-4.48773412508931E-005</v>
      </c>
      <c r="O140" s="29" t="str">
        <f aca="false">IF(-N140&gt;=Summary!$C$7,"BREACH","")</f>
        <v/>
      </c>
      <c r="P140" s="31" t="n">
        <f aca="false">M140+F140</f>
        <v>11140.98</v>
      </c>
      <c r="Q140" s="31" t="n">
        <f aca="false">P140-Summary!$C$5</f>
        <v>1140.97999999999</v>
      </c>
      <c r="R140" s="2" t="str">
        <f aca="false">TEXT(A140,"ddd")</f>
        <v>Tue</v>
      </c>
    </row>
    <row r="141" customFormat="false" ht="15" hidden="false" customHeight="false" outlineLevel="0" collapsed="false">
      <c r="A141" s="43" t="n">
        <v>44874</v>
      </c>
      <c r="B141" s="29" t="n">
        <f aca="false">COUNTIFS(Trades!$D$2:$D$1146,$A141)</f>
        <v>1</v>
      </c>
      <c r="C141" s="29" t="n">
        <f aca="false">COUNTIFS(Trades!$D$2:$D$1146,$A141,Trades!$Z$2:$Z$1146,"Win")</f>
        <v>1</v>
      </c>
      <c r="D141" s="29" t="n">
        <f aca="false">COUNTIFS(Trades!$D$2:$D$1146,$A141,Trades!$Z$2:$Z$1146,"Loss")</f>
        <v>0</v>
      </c>
      <c r="E141" s="30" t="n">
        <f aca="false">IFERROR(C141/B141,0)</f>
        <v>1</v>
      </c>
      <c r="F141" s="31" t="n">
        <f aca="false">SUMIFS(Trades!$X$2:$X$1146,Trades!$D$2:$D$1146,$A141)</f>
        <v>114.95</v>
      </c>
      <c r="G141" s="31" t="n">
        <f aca="false">SUMIFS(Trades!$X$2:$X$1146,Trades!$D$2:$D$1146,$A141,Trades!$X$2:$X$1146,"&gt;0")</f>
        <v>114.95</v>
      </c>
      <c r="H141" s="31" t="n">
        <f aca="false">SUMIFS(Trades!$X$2:$X$1146,Trades!$D$2:$D$1146,$A141,Trades!$X$2:$X$1146,"&lt;0")</f>
        <v>0</v>
      </c>
      <c r="I141" s="32" t="str">
        <f aca="false">IFERROR(G141/-H141,"no loss")</f>
        <v>no loss</v>
      </c>
      <c r="J141" s="31" t="n">
        <f aca="false">_xlfn.MAXIFS(Trades!$X$2:$X$1146,Trades!$D$2:$D$1146,$A141)</f>
        <v>114.95</v>
      </c>
      <c r="K141" s="31" t="n">
        <f aca="false">_xlfn.MINIFS(Trades!$X$2:$X$1146,Trades!$D$2:$D$1146,$A141)</f>
        <v>114.95</v>
      </c>
      <c r="L141" s="33" t="n">
        <f aca="false">SUMIFS(Trades!$Y$2:$Y$1146,Trades!$D$2:$D$1146,$A141)</f>
        <v>2.47204301075288</v>
      </c>
      <c r="M141" s="31" t="n">
        <f aca="false">P140</f>
        <v>11140.98</v>
      </c>
      <c r="N141" s="30" t="n">
        <f aca="false">IFERROR(F141/M141,0)</f>
        <v>0.0103177637873868</v>
      </c>
      <c r="O141" s="29" t="str">
        <f aca="false">IF(-N141&gt;=Summary!$C$7,"BREACH","")</f>
        <v/>
      </c>
      <c r="P141" s="31" t="n">
        <f aca="false">M141+F141</f>
        <v>11255.93</v>
      </c>
      <c r="Q141" s="31" t="n">
        <f aca="false">P141-Summary!$C$5</f>
        <v>1255.92999999999</v>
      </c>
      <c r="R141" s="2" t="str">
        <f aca="false">TEXT(A141,"ddd")</f>
        <v>Wed</v>
      </c>
    </row>
    <row r="142" customFormat="false" ht="15" hidden="false" customHeight="false" outlineLevel="0" collapsed="false">
      <c r="A142" s="43" t="n">
        <v>44875</v>
      </c>
      <c r="B142" s="29" t="n">
        <f aca="false">COUNTIFS(Trades!$D$2:$D$1146,$A142)</f>
        <v>1</v>
      </c>
      <c r="C142" s="29" t="n">
        <f aca="false">COUNTIFS(Trades!$D$2:$D$1146,$A142,Trades!$Z$2:$Z$1146,"Win")</f>
        <v>1</v>
      </c>
      <c r="D142" s="29" t="n">
        <f aca="false">COUNTIFS(Trades!$D$2:$D$1146,$A142,Trades!$Z$2:$Z$1146,"Loss")</f>
        <v>0</v>
      </c>
      <c r="E142" s="30" t="n">
        <f aca="false">IFERROR(C142/B142,0)</f>
        <v>1</v>
      </c>
      <c r="F142" s="31" t="n">
        <f aca="false">SUMIFS(Trades!$X$2:$X$1146,Trades!$D$2:$D$1146,$A142)</f>
        <v>1073</v>
      </c>
      <c r="G142" s="31" t="n">
        <f aca="false">SUMIFS(Trades!$X$2:$X$1146,Trades!$D$2:$D$1146,$A142,Trades!$X$2:$X$1146,"&gt;0")</f>
        <v>1073</v>
      </c>
      <c r="H142" s="31" t="n">
        <f aca="false">SUMIFS(Trades!$X$2:$X$1146,Trades!$D$2:$D$1146,$A142,Trades!$X$2:$X$1146,"&lt;0")</f>
        <v>0</v>
      </c>
      <c r="I142" s="32" t="str">
        <f aca="false">IFERROR(G142/-H142,"no loss")</f>
        <v>no loss</v>
      </c>
      <c r="J142" s="31" t="n">
        <f aca="false">_xlfn.MAXIFS(Trades!$X$2:$X$1146,Trades!$D$2:$D$1146,$A142)</f>
        <v>1073</v>
      </c>
      <c r="K142" s="31" t="n">
        <f aca="false">_xlfn.MINIFS(Trades!$X$2:$X$1146,Trades!$D$2:$D$1146,$A142)</f>
        <v>1073</v>
      </c>
      <c r="L142" s="33" t="n">
        <f aca="false">SUMIFS(Trades!$Y$2:$Y$1146,Trades!$D$2:$D$1146,$A142)</f>
        <v>2.450890817725</v>
      </c>
      <c r="M142" s="31" t="n">
        <f aca="false">P141</f>
        <v>11255.93</v>
      </c>
      <c r="N142" s="30" t="n">
        <f aca="false">IFERROR(F142/M142,0)</f>
        <v>0.0953275295777426</v>
      </c>
      <c r="O142" s="29" t="str">
        <f aca="false">IF(-N142&gt;=Summary!$C$7,"BREACH","")</f>
        <v/>
      </c>
      <c r="P142" s="31" t="n">
        <f aca="false">M142+F142</f>
        <v>12328.93</v>
      </c>
      <c r="Q142" s="31" t="n">
        <f aca="false">P142-Summary!$C$5</f>
        <v>2328.93</v>
      </c>
      <c r="R142" s="2" t="str">
        <f aca="false">TEXT(A142,"ddd")</f>
        <v>Thu</v>
      </c>
    </row>
    <row r="143" customFormat="false" ht="15" hidden="false" customHeight="false" outlineLevel="0" collapsed="false">
      <c r="A143" s="43" t="n">
        <v>44876</v>
      </c>
      <c r="B143" s="29" t="n">
        <f aca="false">COUNTIFS(Trades!$D$2:$D$1146,$A143)</f>
        <v>1</v>
      </c>
      <c r="C143" s="29" t="n">
        <f aca="false">COUNTIFS(Trades!$D$2:$D$1146,$A143,Trades!$Z$2:$Z$1146,"Win")</f>
        <v>0</v>
      </c>
      <c r="D143" s="29" t="n">
        <f aca="false">COUNTIFS(Trades!$D$2:$D$1146,$A143,Trades!$Z$2:$Z$1146,"Loss")</f>
        <v>1</v>
      </c>
      <c r="E143" s="30" t="n">
        <f aca="false">IFERROR(C143/B143,0)</f>
        <v>0</v>
      </c>
      <c r="F143" s="31" t="n">
        <f aca="false">SUMIFS(Trades!$X$2:$X$1146,Trades!$D$2:$D$1146,$A143)</f>
        <v>-0.2</v>
      </c>
      <c r="G143" s="31" t="n">
        <f aca="false">SUMIFS(Trades!$X$2:$X$1146,Trades!$D$2:$D$1146,$A143,Trades!$X$2:$X$1146,"&gt;0")</f>
        <v>0</v>
      </c>
      <c r="H143" s="31" t="n">
        <f aca="false">SUMIFS(Trades!$X$2:$X$1146,Trades!$D$2:$D$1146,$A143,Trades!$X$2:$X$1146,"&lt;0")</f>
        <v>-0.2</v>
      </c>
      <c r="I143" s="32" t="n">
        <f aca="false">IFERROR(G143/-H143,"no loss")</f>
        <v>0</v>
      </c>
      <c r="J143" s="31" t="n">
        <f aca="false">_xlfn.MAXIFS(Trades!$X$2:$X$1146,Trades!$D$2:$D$1146,$A143)</f>
        <v>-0.2</v>
      </c>
      <c r="K143" s="31" t="n">
        <f aca="false">_xlfn.MINIFS(Trades!$X$2:$X$1146,Trades!$D$2:$D$1146,$A143)</f>
        <v>-0.2</v>
      </c>
      <c r="L143" s="33" t="n">
        <f aca="false">SUMIFS(Trades!$Y$2:$Y$1146,Trades!$D$2:$D$1146,$A143)</f>
        <v>-0.00283486888731421</v>
      </c>
      <c r="M143" s="31" t="n">
        <f aca="false">P142</f>
        <v>12328.93</v>
      </c>
      <c r="N143" s="30" t="n">
        <f aca="false">IFERROR(F143/M143,0)</f>
        <v>-1.62220079114733E-005</v>
      </c>
      <c r="O143" s="29" t="str">
        <f aca="false">IF(-N143&gt;=Summary!$C$7,"BREACH","")</f>
        <v/>
      </c>
      <c r="P143" s="31" t="n">
        <f aca="false">M143+F143</f>
        <v>12328.73</v>
      </c>
      <c r="Q143" s="31" t="n">
        <f aca="false">P143-Summary!$C$5</f>
        <v>2328.72999999999</v>
      </c>
      <c r="R143" s="2" t="str">
        <f aca="false">TEXT(A143,"ddd")</f>
        <v>Fri</v>
      </c>
    </row>
    <row r="144" customFormat="false" ht="15" hidden="false" customHeight="false" outlineLevel="0" collapsed="false">
      <c r="A144" s="43" t="n">
        <v>44879</v>
      </c>
      <c r="B144" s="29" t="n">
        <f aca="false">COUNTIFS(Trades!$D$2:$D$1146,$A144)</f>
        <v>1</v>
      </c>
      <c r="C144" s="29" t="n">
        <f aca="false">COUNTIFS(Trades!$D$2:$D$1146,$A144,Trades!$Z$2:$Z$1146,"Win")</f>
        <v>0</v>
      </c>
      <c r="D144" s="29" t="n">
        <f aca="false">COUNTIFS(Trades!$D$2:$D$1146,$A144,Trades!$Z$2:$Z$1146,"Loss")</f>
        <v>1</v>
      </c>
      <c r="E144" s="30" t="n">
        <f aca="false">IFERROR(C144/B144,0)</f>
        <v>0</v>
      </c>
      <c r="F144" s="31" t="n">
        <f aca="false">SUMIFS(Trades!$X$2:$X$1146,Trades!$D$2:$D$1146,$A144)</f>
        <v>-1.75</v>
      </c>
      <c r="G144" s="31" t="n">
        <f aca="false">SUMIFS(Trades!$X$2:$X$1146,Trades!$D$2:$D$1146,$A144,Trades!$X$2:$X$1146,"&gt;0")</f>
        <v>0</v>
      </c>
      <c r="H144" s="31" t="n">
        <f aca="false">SUMIFS(Trades!$X$2:$X$1146,Trades!$D$2:$D$1146,$A144,Trades!$X$2:$X$1146,"&lt;0")</f>
        <v>-1.75</v>
      </c>
      <c r="I144" s="32" t="n">
        <f aca="false">IFERROR(G144/-H144,"no loss")</f>
        <v>0</v>
      </c>
      <c r="J144" s="31" t="n">
        <f aca="false">_xlfn.MAXIFS(Trades!$X$2:$X$1146,Trades!$D$2:$D$1146,$A144)</f>
        <v>-1.75</v>
      </c>
      <c r="K144" s="31" t="n">
        <f aca="false">_xlfn.MINIFS(Trades!$X$2:$X$1146,Trades!$D$2:$D$1146,$A144)</f>
        <v>-1.75</v>
      </c>
      <c r="L144" s="33" t="n">
        <f aca="false">SUMIFS(Trades!$Y$2:$Y$1146,Trades!$D$2:$D$1146,$A144)</f>
        <v>-0.0517751479289924</v>
      </c>
      <c r="M144" s="31" t="n">
        <f aca="false">P143</f>
        <v>12328.73</v>
      </c>
      <c r="N144" s="30" t="n">
        <f aca="false">IFERROR(F144/M144,0)</f>
        <v>-0.000141944871856225</v>
      </c>
      <c r="O144" s="29" t="str">
        <f aca="false">IF(-N144&gt;=Summary!$C$7,"BREACH","")</f>
        <v/>
      </c>
      <c r="P144" s="31" t="n">
        <f aca="false">M144+F144</f>
        <v>12326.98</v>
      </c>
      <c r="Q144" s="31" t="n">
        <f aca="false">P144-Summary!$C$5</f>
        <v>2326.97999999999</v>
      </c>
      <c r="R144" s="2" t="str">
        <f aca="false">TEXT(A144,"ddd")</f>
        <v>Mon</v>
      </c>
    </row>
    <row r="145" customFormat="false" ht="15" hidden="false" customHeight="false" outlineLevel="0" collapsed="false">
      <c r="A145" s="43" t="n">
        <v>44880</v>
      </c>
      <c r="B145" s="29" t="n">
        <f aca="false">COUNTIFS(Trades!$D$2:$D$1146,$A145)</f>
        <v>1</v>
      </c>
      <c r="C145" s="29" t="n">
        <f aca="false">COUNTIFS(Trades!$D$2:$D$1146,$A145,Trades!$Z$2:$Z$1146,"Win")</f>
        <v>1</v>
      </c>
      <c r="D145" s="29" t="n">
        <f aca="false">COUNTIFS(Trades!$D$2:$D$1146,$A145,Trades!$Z$2:$Z$1146,"Loss")</f>
        <v>0</v>
      </c>
      <c r="E145" s="30" t="n">
        <f aca="false">IFERROR(C145/B145,0)</f>
        <v>1</v>
      </c>
      <c r="F145" s="31" t="n">
        <f aca="false">SUMIFS(Trades!$X$2:$X$1146,Trades!$D$2:$D$1146,$A145)</f>
        <v>90.75</v>
      </c>
      <c r="G145" s="31" t="n">
        <f aca="false">SUMIFS(Trades!$X$2:$X$1146,Trades!$D$2:$D$1146,$A145,Trades!$X$2:$X$1146,"&gt;0")</f>
        <v>90.75</v>
      </c>
      <c r="H145" s="31" t="n">
        <f aca="false">SUMIFS(Trades!$X$2:$X$1146,Trades!$D$2:$D$1146,$A145,Trades!$X$2:$X$1146,"&lt;0")</f>
        <v>0</v>
      </c>
      <c r="I145" s="32" t="str">
        <f aca="false">IFERROR(G145/-H145,"no loss")</f>
        <v>no loss</v>
      </c>
      <c r="J145" s="31" t="n">
        <f aca="false">_xlfn.MAXIFS(Trades!$X$2:$X$1146,Trades!$D$2:$D$1146,$A145)</f>
        <v>90.75</v>
      </c>
      <c r="K145" s="31" t="n">
        <f aca="false">_xlfn.MINIFS(Trades!$X$2:$X$1146,Trades!$D$2:$D$1146,$A145)</f>
        <v>90.75</v>
      </c>
      <c r="L145" s="33" t="n">
        <f aca="false">SUMIFS(Trades!$Y$2:$Y$1146,Trades!$D$2:$D$1146,$A145)</f>
        <v>2.52433936022235</v>
      </c>
      <c r="M145" s="31" t="n">
        <f aca="false">P144</f>
        <v>12326.98</v>
      </c>
      <c r="N145" s="30" t="n">
        <f aca="false">IFERROR(F145/M145,0)</f>
        <v>0.00736190048170761</v>
      </c>
      <c r="O145" s="29" t="str">
        <f aca="false">IF(-N145&gt;=Summary!$C$7,"BREACH","")</f>
        <v/>
      </c>
      <c r="P145" s="31" t="n">
        <f aca="false">M145+F145</f>
        <v>12417.73</v>
      </c>
      <c r="Q145" s="31" t="n">
        <f aca="false">P145-Summary!$C$5</f>
        <v>2417.72999999999</v>
      </c>
      <c r="R145" s="2" t="str">
        <f aca="false">TEXT(A145,"ddd")</f>
        <v>Tue</v>
      </c>
    </row>
    <row r="146" customFormat="false" ht="15" hidden="false" customHeight="false" outlineLevel="0" collapsed="false">
      <c r="A146" s="43" t="n">
        <v>44881</v>
      </c>
      <c r="B146" s="29" t="n">
        <f aca="false">COUNTIFS(Trades!$D$2:$D$1146,$A146)</f>
        <v>1</v>
      </c>
      <c r="C146" s="29" t="n">
        <f aca="false">COUNTIFS(Trades!$D$2:$D$1146,$A146,Trades!$Z$2:$Z$1146,"Win")</f>
        <v>0</v>
      </c>
      <c r="D146" s="29" t="n">
        <f aca="false">COUNTIFS(Trades!$D$2:$D$1146,$A146,Trades!$Z$2:$Z$1146,"Loss")</f>
        <v>1</v>
      </c>
      <c r="E146" s="30" t="n">
        <f aca="false">IFERROR(C146/B146,0)</f>
        <v>0</v>
      </c>
      <c r="F146" s="31" t="n">
        <f aca="false">SUMIFS(Trades!$X$2:$X$1146,Trades!$D$2:$D$1146,$A146)</f>
        <v>-128.15</v>
      </c>
      <c r="G146" s="31" t="n">
        <f aca="false">SUMIFS(Trades!$X$2:$X$1146,Trades!$D$2:$D$1146,$A146,Trades!$X$2:$X$1146,"&gt;0")</f>
        <v>0</v>
      </c>
      <c r="H146" s="31" t="n">
        <f aca="false">SUMIFS(Trades!$X$2:$X$1146,Trades!$D$2:$D$1146,$A146,Trades!$X$2:$X$1146,"&lt;0")</f>
        <v>-128.15</v>
      </c>
      <c r="I146" s="32" t="n">
        <f aca="false">IFERROR(G146/-H146,"no loss")</f>
        <v>0</v>
      </c>
      <c r="J146" s="31" t="n">
        <f aca="false">_xlfn.MAXIFS(Trades!$X$2:$X$1146,Trades!$D$2:$D$1146,$A146)</f>
        <v>-128.15</v>
      </c>
      <c r="K146" s="31" t="n">
        <f aca="false">_xlfn.MINIFS(Trades!$X$2:$X$1146,Trades!$D$2:$D$1146,$A146)</f>
        <v>-128.15</v>
      </c>
      <c r="L146" s="33" t="n">
        <f aca="false">SUMIFS(Trades!$Y$2:$Y$1146,Trades!$D$2:$D$1146,$A146)</f>
        <v>-1.01666005553348</v>
      </c>
      <c r="M146" s="31" t="n">
        <f aca="false">P145</f>
        <v>12417.73</v>
      </c>
      <c r="N146" s="30" t="n">
        <f aca="false">IFERROR(F146/M146,0)</f>
        <v>-0.0103199215959761</v>
      </c>
      <c r="O146" s="29" t="str">
        <f aca="false">IF(-N146&gt;=Summary!$C$7,"BREACH","")</f>
        <v/>
      </c>
      <c r="P146" s="31" t="n">
        <f aca="false">M146+F146</f>
        <v>12289.58</v>
      </c>
      <c r="Q146" s="31" t="n">
        <f aca="false">P146-Summary!$C$5</f>
        <v>2289.57999999999</v>
      </c>
      <c r="R146" s="2" t="str">
        <f aca="false">TEXT(A146,"ddd")</f>
        <v>Wed</v>
      </c>
    </row>
    <row r="147" customFormat="false" ht="15" hidden="false" customHeight="false" outlineLevel="0" collapsed="false">
      <c r="A147" s="43" t="n">
        <v>44882</v>
      </c>
      <c r="B147" s="29" t="n">
        <f aca="false">COUNTIFS(Trades!$D$2:$D$1146,$A147)</f>
        <v>1</v>
      </c>
      <c r="C147" s="29" t="n">
        <f aca="false">COUNTIFS(Trades!$D$2:$D$1146,$A147,Trades!$Z$2:$Z$1146,"Win")</f>
        <v>1</v>
      </c>
      <c r="D147" s="29" t="n">
        <f aca="false">COUNTIFS(Trades!$D$2:$D$1146,$A147,Trades!$Z$2:$Z$1146,"Loss")</f>
        <v>0</v>
      </c>
      <c r="E147" s="30" t="n">
        <f aca="false">IFERROR(C147/B147,0)</f>
        <v>1</v>
      </c>
      <c r="F147" s="31" t="n">
        <f aca="false">SUMIFS(Trades!$X$2:$X$1146,Trades!$D$2:$D$1146,$A147)</f>
        <v>123.9</v>
      </c>
      <c r="G147" s="31" t="n">
        <f aca="false">SUMIFS(Trades!$X$2:$X$1146,Trades!$D$2:$D$1146,$A147,Trades!$X$2:$X$1146,"&gt;0")</f>
        <v>123.9</v>
      </c>
      <c r="H147" s="31" t="n">
        <f aca="false">SUMIFS(Trades!$X$2:$X$1146,Trades!$D$2:$D$1146,$A147,Trades!$X$2:$X$1146,"&lt;0")</f>
        <v>0</v>
      </c>
      <c r="I147" s="32" t="str">
        <f aca="false">IFERROR(G147/-H147,"no loss")</f>
        <v>no loss</v>
      </c>
      <c r="J147" s="31" t="n">
        <f aca="false">_xlfn.MAXIFS(Trades!$X$2:$X$1146,Trades!$D$2:$D$1146,$A147)</f>
        <v>123.9</v>
      </c>
      <c r="K147" s="31" t="n">
        <f aca="false">_xlfn.MINIFS(Trades!$X$2:$X$1146,Trades!$D$2:$D$1146,$A147)</f>
        <v>123.9</v>
      </c>
      <c r="L147" s="33" t="n">
        <f aca="false">SUMIFS(Trades!$Y$2:$Y$1146,Trades!$D$2:$D$1146,$A147)</f>
        <v>2.53115423901918</v>
      </c>
      <c r="M147" s="31" t="n">
        <f aca="false">P146</f>
        <v>12289.58</v>
      </c>
      <c r="N147" s="30" t="n">
        <f aca="false">IFERROR(F147/M147,0)</f>
        <v>0.0100817114986843</v>
      </c>
      <c r="O147" s="29" t="str">
        <f aca="false">IF(-N147&gt;=Summary!$C$7,"BREACH","")</f>
        <v/>
      </c>
      <c r="P147" s="31" t="n">
        <f aca="false">M147+F147</f>
        <v>12413.48</v>
      </c>
      <c r="Q147" s="31" t="n">
        <f aca="false">P147-Summary!$C$5</f>
        <v>2413.47999999999</v>
      </c>
      <c r="R147" s="2" t="str">
        <f aca="false">TEXT(A147,"ddd")</f>
        <v>Thu</v>
      </c>
    </row>
    <row r="148" customFormat="false" ht="15" hidden="false" customHeight="false" outlineLevel="0" collapsed="false">
      <c r="A148" s="43" t="n">
        <v>44883</v>
      </c>
      <c r="B148" s="29" t="n">
        <f aca="false">COUNTIFS(Trades!$D$2:$D$1146,$A148)</f>
        <v>1</v>
      </c>
      <c r="C148" s="29" t="n">
        <f aca="false">COUNTIFS(Trades!$D$2:$D$1146,$A148,Trades!$Z$2:$Z$1146,"Win")</f>
        <v>0</v>
      </c>
      <c r="D148" s="29" t="n">
        <f aca="false">COUNTIFS(Trades!$D$2:$D$1146,$A148,Trades!$Z$2:$Z$1146,"Loss")</f>
        <v>1</v>
      </c>
      <c r="E148" s="30" t="n">
        <f aca="false">IFERROR(C148/B148,0)</f>
        <v>0</v>
      </c>
      <c r="F148" s="31" t="n">
        <f aca="false">SUMIFS(Trades!$X$2:$X$1146,Trades!$D$2:$D$1146,$A148)</f>
        <v>-28.1</v>
      </c>
      <c r="G148" s="31" t="n">
        <f aca="false">SUMIFS(Trades!$X$2:$X$1146,Trades!$D$2:$D$1146,$A148,Trades!$X$2:$X$1146,"&gt;0")</f>
        <v>0</v>
      </c>
      <c r="H148" s="31" t="n">
        <f aca="false">SUMIFS(Trades!$X$2:$X$1146,Trades!$D$2:$D$1146,$A148,Trades!$X$2:$X$1146,"&lt;0")</f>
        <v>-28.1</v>
      </c>
      <c r="I148" s="32" t="n">
        <f aca="false">IFERROR(G148/-H148,"no loss")</f>
        <v>0</v>
      </c>
      <c r="J148" s="31" t="n">
        <f aca="false">_xlfn.MAXIFS(Trades!$X$2:$X$1146,Trades!$D$2:$D$1146,$A148)</f>
        <v>-28.1</v>
      </c>
      <c r="K148" s="31" t="n">
        <f aca="false">_xlfn.MINIFS(Trades!$X$2:$X$1146,Trades!$D$2:$D$1146,$A148)</f>
        <v>-28.1</v>
      </c>
      <c r="L148" s="33" t="n">
        <f aca="false">SUMIFS(Trades!$Y$2:$Y$1146,Trades!$D$2:$D$1146,$A148)</f>
        <v>-1.00357142857136</v>
      </c>
      <c r="M148" s="31" t="n">
        <f aca="false">P147</f>
        <v>12413.48</v>
      </c>
      <c r="N148" s="30" t="n">
        <f aca="false">IFERROR(F148/M148,0)</f>
        <v>-0.00226366820585364</v>
      </c>
      <c r="O148" s="29" t="str">
        <f aca="false">IF(-N148&gt;=Summary!$C$7,"BREACH","")</f>
        <v/>
      </c>
      <c r="P148" s="31" t="n">
        <f aca="false">M148+F148</f>
        <v>12385.38</v>
      </c>
      <c r="Q148" s="31" t="n">
        <f aca="false">P148-Summary!$C$5</f>
        <v>2385.37999999999</v>
      </c>
      <c r="R148" s="2" t="str">
        <f aca="false">TEXT(A148,"ddd")</f>
        <v>Fri</v>
      </c>
    </row>
    <row r="149" customFormat="false" ht="15" hidden="false" customHeight="false" outlineLevel="0" collapsed="false">
      <c r="A149" s="43" t="n">
        <v>44886</v>
      </c>
      <c r="B149" s="29" t="n">
        <f aca="false">COUNTIFS(Trades!$D$2:$D$1146,$A149)</f>
        <v>1</v>
      </c>
      <c r="C149" s="29" t="n">
        <f aca="false">COUNTIFS(Trades!$D$2:$D$1146,$A149,Trades!$Z$2:$Z$1146,"Win")</f>
        <v>0</v>
      </c>
      <c r="D149" s="29" t="n">
        <f aca="false">COUNTIFS(Trades!$D$2:$D$1146,$A149,Trades!$Z$2:$Z$1146,"Loss")</f>
        <v>1</v>
      </c>
      <c r="E149" s="30" t="n">
        <f aca="false">IFERROR(C149/B149,0)</f>
        <v>0</v>
      </c>
      <c r="F149" s="31" t="n">
        <f aca="false">SUMIFS(Trades!$X$2:$X$1146,Trades!$D$2:$D$1146,$A149)</f>
        <v>-36.6</v>
      </c>
      <c r="G149" s="31" t="n">
        <f aca="false">SUMIFS(Trades!$X$2:$X$1146,Trades!$D$2:$D$1146,$A149,Trades!$X$2:$X$1146,"&gt;0")</f>
        <v>0</v>
      </c>
      <c r="H149" s="31" t="n">
        <f aca="false">SUMIFS(Trades!$X$2:$X$1146,Trades!$D$2:$D$1146,$A149,Trades!$X$2:$X$1146,"&lt;0")</f>
        <v>-36.6</v>
      </c>
      <c r="I149" s="32" t="n">
        <f aca="false">IFERROR(G149/-H149,"no loss")</f>
        <v>0</v>
      </c>
      <c r="J149" s="31" t="n">
        <f aca="false">_xlfn.MAXIFS(Trades!$X$2:$X$1146,Trades!$D$2:$D$1146,$A149)</f>
        <v>-36.6</v>
      </c>
      <c r="K149" s="31" t="n">
        <f aca="false">_xlfn.MINIFS(Trades!$X$2:$X$1146,Trades!$D$2:$D$1146,$A149)</f>
        <v>-36.6</v>
      </c>
      <c r="L149" s="33" t="n">
        <f aca="false">SUMIFS(Trades!$Y$2:$Y$1146,Trades!$D$2:$D$1146,$A149)</f>
        <v>-1.26643598615903</v>
      </c>
      <c r="M149" s="31" t="n">
        <f aca="false">P148</f>
        <v>12385.38</v>
      </c>
      <c r="N149" s="30" t="n">
        <f aca="false">IFERROR(F149/M149,0)</f>
        <v>-0.00295509705798288</v>
      </c>
      <c r="O149" s="29" t="str">
        <f aca="false">IF(-N149&gt;=Summary!$C$7,"BREACH","")</f>
        <v/>
      </c>
      <c r="P149" s="31" t="n">
        <f aca="false">M149+F149</f>
        <v>12348.78</v>
      </c>
      <c r="Q149" s="31" t="n">
        <f aca="false">P149-Summary!$C$5</f>
        <v>2348.77999999999</v>
      </c>
      <c r="R149" s="2" t="str">
        <f aca="false">TEXT(A149,"ddd")</f>
        <v>Mon</v>
      </c>
    </row>
    <row r="150" customFormat="false" ht="15" hidden="false" customHeight="false" outlineLevel="0" collapsed="false">
      <c r="A150" s="43" t="n">
        <v>44887</v>
      </c>
      <c r="B150" s="29" t="n">
        <f aca="false">COUNTIFS(Trades!$D$2:$D$1146,$A150)</f>
        <v>2</v>
      </c>
      <c r="C150" s="29" t="n">
        <f aca="false">COUNTIFS(Trades!$D$2:$D$1146,$A150,Trades!$Z$2:$Z$1146,"Win")</f>
        <v>1</v>
      </c>
      <c r="D150" s="29" t="n">
        <f aca="false">COUNTIFS(Trades!$D$2:$D$1146,$A150,Trades!$Z$2:$Z$1146,"Loss")</f>
        <v>1</v>
      </c>
      <c r="E150" s="30" t="n">
        <f aca="false">IFERROR(C150/B150,0)</f>
        <v>0.5</v>
      </c>
      <c r="F150" s="31" t="n">
        <f aca="false">SUMIFS(Trades!$X$2:$X$1146,Trades!$D$2:$D$1146,$A150)</f>
        <v>82.3</v>
      </c>
      <c r="G150" s="31" t="n">
        <f aca="false">SUMIFS(Trades!$X$2:$X$1146,Trades!$D$2:$D$1146,$A150,Trades!$X$2:$X$1146,"&gt;0")</f>
        <v>83.05</v>
      </c>
      <c r="H150" s="31" t="n">
        <f aca="false">SUMIFS(Trades!$X$2:$X$1146,Trades!$D$2:$D$1146,$A150,Trades!$X$2:$X$1146,"&lt;0")</f>
        <v>-0.75</v>
      </c>
      <c r="I150" s="32" t="n">
        <f aca="false">IFERROR(G150/-H150,"no loss")</f>
        <v>110.733333333333</v>
      </c>
      <c r="J150" s="31" t="n">
        <f aca="false">_xlfn.MAXIFS(Trades!$X$2:$X$1146,Trades!$D$2:$D$1146,$A150)</f>
        <v>83.05</v>
      </c>
      <c r="K150" s="31" t="n">
        <f aca="false">_xlfn.MINIFS(Trades!$X$2:$X$1146,Trades!$D$2:$D$1146,$A150)</f>
        <v>-0.75</v>
      </c>
      <c r="L150" s="33" t="n">
        <f aca="false">SUMIFS(Trades!$Y$2:$Y$1146,Trades!$D$2:$D$1146,$A150)</f>
        <v>2.32787353643214</v>
      </c>
      <c r="M150" s="31" t="n">
        <f aca="false">P149</f>
        <v>12348.78</v>
      </c>
      <c r="N150" s="30" t="n">
        <f aca="false">IFERROR(F150/M150,0)</f>
        <v>0.00666462597924654</v>
      </c>
      <c r="O150" s="29" t="str">
        <f aca="false">IF(-N150&gt;=Summary!$C$7,"BREACH","")</f>
        <v/>
      </c>
      <c r="P150" s="31" t="n">
        <f aca="false">M150+F150</f>
        <v>12431.08</v>
      </c>
      <c r="Q150" s="31" t="n">
        <f aca="false">P150-Summary!$C$5</f>
        <v>2431.07999999999</v>
      </c>
      <c r="R150" s="2" t="str">
        <f aca="false">TEXT(A150,"ddd")</f>
        <v>Tue</v>
      </c>
    </row>
    <row r="151" customFormat="false" ht="15" hidden="false" customHeight="false" outlineLevel="0" collapsed="false">
      <c r="A151" s="43" t="n">
        <v>44888</v>
      </c>
      <c r="B151" s="29" t="n">
        <f aca="false">COUNTIFS(Trades!$D$2:$D$1146,$A151)</f>
        <v>1</v>
      </c>
      <c r="C151" s="29" t="n">
        <f aca="false">COUNTIFS(Trades!$D$2:$D$1146,$A151,Trades!$Z$2:$Z$1146,"Win")</f>
        <v>0</v>
      </c>
      <c r="D151" s="29" t="n">
        <f aca="false">COUNTIFS(Trades!$D$2:$D$1146,$A151,Trades!$Z$2:$Z$1146,"Loss")</f>
        <v>1</v>
      </c>
      <c r="E151" s="30" t="n">
        <f aca="false">IFERROR(C151/B151,0)</f>
        <v>0</v>
      </c>
      <c r="F151" s="31" t="n">
        <f aca="false">SUMIFS(Trades!$X$2:$X$1146,Trades!$D$2:$D$1146,$A151)</f>
        <v>-26.8</v>
      </c>
      <c r="G151" s="31" t="n">
        <f aca="false">SUMIFS(Trades!$X$2:$X$1146,Trades!$D$2:$D$1146,$A151,Trades!$X$2:$X$1146,"&gt;0")</f>
        <v>0</v>
      </c>
      <c r="H151" s="31" t="n">
        <f aca="false">SUMIFS(Trades!$X$2:$X$1146,Trades!$D$2:$D$1146,$A151,Trades!$X$2:$X$1146,"&lt;0")</f>
        <v>-26.8</v>
      </c>
      <c r="I151" s="32" t="n">
        <f aca="false">IFERROR(G151/-H151,"no loss")</f>
        <v>0</v>
      </c>
      <c r="J151" s="31" t="n">
        <f aca="false">_xlfn.MAXIFS(Trades!$X$2:$X$1146,Trades!$D$2:$D$1146,$A151)</f>
        <v>-26.8</v>
      </c>
      <c r="K151" s="31" t="n">
        <f aca="false">_xlfn.MINIFS(Trades!$X$2:$X$1146,Trades!$D$2:$D$1146,$A151)</f>
        <v>-26.8</v>
      </c>
      <c r="L151" s="33" t="n">
        <f aca="false">SUMIFS(Trades!$Y$2:$Y$1146,Trades!$D$2:$D$1146,$A151)</f>
        <v>-1.00562851782365</v>
      </c>
      <c r="M151" s="31" t="n">
        <f aca="false">P150</f>
        <v>12431.08</v>
      </c>
      <c r="N151" s="30" t="n">
        <f aca="false">IFERROR(F151/M151,0)</f>
        <v>-0.00215588669689199</v>
      </c>
      <c r="O151" s="29" t="str">
        <f aca="false">IF(-N151&gt;=Summary!$C$7,"BREACH","")</f>
        <v/>
      </c>
      <c r="P151" s="31" t="n">
        <f aca="false">M151+F151</f>
        <v>12404.28</v>
      </c>
      <c r="Q151" s="31" t="n">
        <f aca="false">P151-Summary!$C$5</f>
        <v>2404.27999999999</v>
      </c>
      <c r="R151" s="2" t="str">
        <f aca="false">TEXT(A151,"ddd")</f>
        <v>Wed</v>
      </c>
    </row>
    <row r="152" customFormat="false" ht="15" hidden="false" customHeight="false" outlineLevel="0" collapsed="false">
      <c r="A152" s="43" t="n">
        <v>44889</v>
      </c>
      <c r="B152" s="29" t="n">
        <f aca="false">COUNTIFS(Trades!$D$2:$D$1146,$A152)</f>
        <v>1</v>
      </c>
      <c r="C152" s="29" t="n">
        <f aca="false">COUNTIFS(Trades!$D$2:$D$1146,$A152,Trades!$Z$2:$Z$1146,"Win")</f>
        <v>0</v>
      </c>
      <c r="D152" s="29" t="n">
        <f aca="false">COUNTIFS(Trades!$D$2:$D$1146,$A152,Trades!$Z$2:$Z$1146,"Loss")</f>
        <v>1</v>
      </c>
      <c r="E152" s="30" t="n">
        <f aca="false">IFERROR(C152/B152,0)</f>
        <v>0</v>
      </c>
      <c r="F152" s="31" t="n">
        <f aca="false">SUMIFS(Trades!$X$2:$X$1146,Trades!$D$2:$D$1146,$A152)</f>
        <v>-25.25</v>
      </c>
      <c r="G152" s="31" t="n">
        <f aca="false">SUMIFS(Trades!$X$2:$X$1146,Trades!$D$2:$D$1146,$A152,Trades!$X$2:$X$1146,"&gt;0")</f>
        <v>0</v>
      </c>
      <c r="H152" s="31" t="n">
        <f aca="false">SUMIFS(Trades!$X$2:$X$1146,Trades!$D$2:$D$1146,$A152,Trades!$X$2:$X$1146,"&lt;0")</f>
        <v>-25.25</v>
      </c>
      <c r="I152" s="32" t="n">
        <f aca="false">IFERROR(G152/-H152,"no loss")</f>
        <v>0</v>
      </c>
      <c r="J152" s="31" t="n">
        <f aca="false">_xlfn.MAXIFS(Trades!$X$2:$X$1146,Trades!$D$2:$D$1146,$A152)</f>
        <v>-25.25</v>
      </c>
      <c r="K152" s="31" t="n">
        <f aca="false">_xlfn.MINIFS(Trades!$X$2:$X$1146,Trades!$D$2:$D$1146,$A152)</f>
        <v>-25.25</v>
      </c>
      <c r="L152" s="33" t="n">
        <f aca="false">SUMIFS(Trades!$Y$2:$Y$1146,Trades!$D$2:$D$1146,$A152)</f>
        <v>-1.39118457300236</v>
      </c>
      <c r="M152" s="31" t="n">
        <f aca="false">P151</f>
        <v>12404.28</v>
      </c>
      <c r="N152" s="30" t="n">
        <f aca="false">IFERROR(F152/M152,0)</f>
        <v>-0.00203558771649786</v>
      </c>
      <c r="O152" s="29" t="str">
        <f aca="false">IF(-N152&gt;=Summary!$C$7,"BREACH","")</f>
        <v/>
      </c>
      <c r="P152" s="31" t="n">
        <f aca="false">M152+F152</f>
        <v>12379.03</v>
      </c>
      <c r="Q152" s="31" t="n">
        <f aca="false">P152-Summary!$C$5</f>
        <v>2379.02999999999</v>
      </c>
      <c r="R152" s="2" t="str">
        <f aca="false">TEXT(A152,"ddd")</f>
        <v>Thu</v>
      </c>
    </row>
    <row r="153" customFormat="false" ht="15" hidden="false" customHeight="false" outlineLevel="0" collapsed="false">
      <c r="A153" s="43" t="n">
        <v>44890</v>
      </c>
      <c r="B153" s="29" t="n">
        <f aca="false">COUNTIFS(Trades!$D$2:$D$1146,$A153)</f>
        <v>1</v>
      </c>
      <c r="C153" s="29" t="n">
        <f aca="false">COUNTIFS(Trades!$D$2:$D$1146,$A153,Trades!$Z$2:$Z$1146,"Win")</f>
        <v>1</v>
      </c>
      <c r="D153" s="29" t="n">
        <f aca="false">COUNTIFS(Trades!$D$2:$D$1146,$A153,Trades!$Z$2:$Z$1146,"Loss")</f>
        <v>0</v>
      </c>
      <c r="E153" s="30" t="n">
        <f aca="false">IFERROR(C153/B153,0)</f>
        <v>1</v>
      </c>
      <c r="F153" s="31" t="n">
        <f aca="false">SUMIFS(Trades!$X$2:$X$1146,Trades!$D$2:$D$1146,$A153)</f>
        <v>109.3</v>
      </c>
      <c r="G153" s="31" t="n">
        <f aca="false">SUMIFS(Trades!$X$2:$X$1146,Trades!$D$2:$D$1146,$A153,Trades!$X$2:$X$1146,"&gt;0")</f>
        <v>109.3</v>
      </c>
      <c r="H153" s="31" t="n">
        <f aca="false">SUMIFS(Trades!$X$2:$X$1146,Trades!$D$2:$D$1146,$A153,Trades!$X$2:$X$1146,"&lt;0")</f>
        <v>0</v>
      </c>
      <c r="I153" s="32" t="str">
        <f aca="false">IFERROR(G153/-H153,"no loss")</f>
        <v>no loss</v>
      </c>
      <c r="J153" s="31" t="n">
        <f aca="false">_xlfn.MAXIFS(Trades!$X$2:$X$1146,Trades!$D$2:$D$1146,$A153)</f>
        <v>109.3</v>
      </c>
      <c r="K153" s="31" t="n">
        <f aca="false">_xlfn.MINIFS(Trades!$X$2:$X$1146,Trades!$D$2:$D$1146,$A153)</f>
        <v>109.3</v>
      </c>
      <c r="L153" s="33" t="n">
        <f aca="false">SUMIFS(Trades!$Y$2:$Y$1146,Trades!$D$2:$D$1146,$A153)</f>
        <v>2.45067264573989</v>
      </c>
      <c r="M153" s="31" t="n">
        <f aca="false">P152</f>
        <v>12379.03</v>
      </c>
      <c r="N153" s="30" t="n">
        <f aca="false">IFERROR(F153/M153,0)</f>
        <v>0.00882944786465499</v>
      </c>
      <c r="O153" s="29" t="str">
        <f aca="false">IF(-N153&gt;=Summary!$C$7,"BREACH","")</f>
        <v/>
      </c>
      <c r="P153" s="31" t="n">
        <f aca="false">M153+F153</f>
        <v>12488.33</v>
      </c>
      <c r="Q153" s="31" t="n">
        <f aca="false">P153-Summary!$C$5</f>
        <v>2488.32999999999</v>
      </c>
      <c r="R153" s="2" t="str">
        <f aca="false">TEXT(A153,"ddd")</f>
        <v>Fri</v>
      </c>
    </row>
    <row r="154" customFormat="false" ht="15" hidden="false" customHeight="false" outlineLevel="0" collapsed="false">
      <c r="A154" s="43" t="n">
        <v>44893</v>
      </c>
      <c r="B154" s="29" t="n">
        <f aca="false">COUNTIFS(Trades!$D$2:$D$1146,$A154)</f>
        <v>1</v>
      </c>
      <c r="C154" s="29" t="n">
        <f aca="false">COUNTIFS(Trades!$D$2:$D$1146,$A154,Trades!$Z$2:$Z$1146,"Win")</f>
        <v>0</v>
      </c>
      <c r="D154" s="29" t="n">
        <f aca="false">COUNTIFS(Trades!$D$2:$D$1146,$A154,Trades!$Z$2:$Z$1146,"Loss")</f>
        <v>1</v>
      </c>
      <c r="E154" s="30" t="n">
        <f aca="false">IFERROR(C154/B154,0)</f>
        <v>0</v>
      </c>
      <c r="F154" s="31" t="n">
        <f aca="false">SUMIFS(Trades!$X$2:$X$1146,Trades!$D$2:$D$1146,$A154)</f>
        <v>-89.55</v>
      </c>
      <c r="G154" s="31" t="n">
        <f aca="false">SUMIFS(Trades!$X$2:$X$1146,Trades!$D$2:$D$1146,$A154,Trades!$X$2:$X$1146,"&gt;0")</f>
        <v>0</v>
      </c>
      <c r="H154" s="31" t="n">
        <f aca="false">SUMIFS(Trades!$X$2:$X$1146,Trades!$D$2:$D$1146,$A154,Trades!$X$2:$X$1146,"&lt;0")</f>
        <v>-89.55</v>
      </c>
      <c r="I154" s="32" t="n">
        <f aca="false">IFERROR(G154/-H154,"no loss")</f>
        <v>0</v>
      </c>
      <c r="J154" s="31" t="n">
        <f aca="false">_xlfn.MAXIFS(Trades!$X$2:$X$1146,Trades!$D$2:$D$1146,$A154)</f>
        <v>-89.55</v>
      </c>
      <c r="K154" s="31" t="n">
        <f aca="false">_xlfn.MINIFS(Trades!$X$2:$X$1146,Trades!$D$2:$D$1146,$A154)</f>
        <v>-89.55</v>
      </c>
      <c r="L154" s="33" t="n">
        <f aca="false">SUMIFS(Trades!$Y$2:$Y$1146,Trades!$D$2:$D$1146,$A154)</f>
        <v>-1.00844594594593</v>
      </c>
      <c r="M154" s="31" t="n">
        <f aca="false">P153</f>
        <v>12488.33</v>
      </c>
      <c r="N154" s="30" t="n">
        <f aca="false">IFERROR(F154/M154,0)</f>
        <v>-0.00717069456044163</v>
      </c>
      <c r="O154" s="29" t="str">
        <f aca="false">IF(-N154&gt;=Summary!$C$7,"BREACH","")</f>
        <v/>
      </c>
      <c r="P154" s="31" t="n">
        <f aca="false">M154+F154</f>
        <v>12398.78</v>
      </c>
      <c r="Q154" s="31" t="n">
        <f aca="false">P154-Summary!$C$5</f>
        <v>2398.77999999999</v>
      </c>
      <c r="R154" s="2" t="str">
        <f aca="false">TEXT(A154,"ddd")</f>
        <v>Mon</v>
      </c>
    </row>
    <row r="155" customFormat="false" ht="15" hidden="false" customHeight="false" outlineLevel="0" collapsed="false">
      <c r="A155" s="43" t="n">
        <v>44894</v>
      </c>
      <c r="B155" s="29" t="n">
        <f aca="false">COUNTIFS(Trades!$D$2:$D$1146,$A155)</f>
        <v>1</v>
      </c>
      <c r="C155" s="29" t="n">
        <f aca="false">COUNTIFS(Trades!$D$2:$D$1146,$A155,Trades!$Z$2:$Z$1146,"Win")</f>
        <v>0</v>
      </c>
      <c r="D155" s="29" t="n">
        <f aca="false">COUNTIFS(Trades!$D$2:$D$1146,$A155,Trades!$Z$2:$Z$1146,"Loss")</f>
        <v>1</v>
      </c>
      <c r="E155" s="30" t="n">
        <f aca="false">IFERROR(C155/B155,0)</f>
        <v>0</v>
      </c>
      <c r="F155" s="31" t="n">
        <f aca="false">SUMIFS(Trades!$X$2:$X$1146,Trades!$D$2:$D$1146,$A155)</f>
        <v>-70.35</v>
      </c>
      <c r="G155" s="31" t="n">
        <f aca="false">SUMIFS(Trades!$X$2:$X$1146,Trades!$D$2:$D$1146,$A155,Trades!$X$2:$X$1146,"&gt;0")</f>
        <v>0</v>
      </c>
      <c r="H155" s="31" t="n">
        <f aca="false">SUMIFS(Trades!$X$2:$X$1146,Trades!$D$2:$D$1146,$A155,Trades!$X$2:$X$1146,"&lt;0")</f>
        <v>-70.35</v>
      </c>
      <c r="I155" s="32" t="n">
        <f aca="false">IFERROR(G155/-H155,"no loss")</f>
        <v>0</v>
      </c>
      <c r="J155" s="31" t="n">
        <f aca="false">_xlfn.MAXIFS(Trades!$X$2:$X$1146,Trades!$D$2:$D$1146,$A155)</f>
        <v>-70.35</v>
      </c>
      <c r="K155" s="31" t="n">
        <f aca="false">_xlfn.MINIFS(Trades!$X$2:$X$1146,Trades!$D$2:$D$1146,$A155)</f>
        <v>-70.35</v>
      </c>
      <c r="L155" s="33" t="n">
        <f aca="false">SUMIFS(Trades!$Y$2:$Y$1146,Trades!$D$2:$D$1146,$A155)</f>
        <v>-1.05156950672652</v>
      </c>
      <c r="M155" s="31" t="n">
        <f aca="false">P154</f>
        <v>12398.78</v>
      </c>
      <c r="N155" s="30" t="n">
        <f aca="false">IFERROR(F155/M155,0)</f>
        <v>-0.00567394533978343</v>
      </c>
      <c r="O155" s="29" t="str">
        <f aca="false">IF(-N155&gt;=Summary!$C$7,"BREACH","")</f>
        <v/>
      </c>
      <c r="P155" s="31" t="n">
        <f aca="false">M155+F155</f>
        <v>12328.43</v>
      </c>
      <c r="Q155" s="31" t="n">
        <f aca="false">P155-Summary!$C$5</f>
        <v>2328.42999999999</v>
      </c>
      <c r="R155" s="2" t="str">
        <f aca="false">TEXT(A155,"ddd")</f>
        <v>Tue</v>
      </c>
    </row>
    <row r="156" customFormat="false" ht="15" hidden="false" customHeight="false" outlineLevel="0" collapsed="false">
      <c r="A156" s="43" t="n">
        <v>44895</v>
      </c>
      <c r="B156" s="29" t="n">
        <f aca="false">COUNTIFS(Trades!$D$2:$D$1146,$A156)</f>
        <v>1</v>
      </c>
      <c r="C156" s="29" t="n">
        <f aca="false">COUNTIFS(Trades!$D$2:$D$1146,$A156,Trades!$Z$2:$Z$1146,"Win")</f>
        <v>1</v>
      </c>
      <c r="D156" s="29" t="n">
        <f aca="false">COUNTIFS(Trades!$D$2:$D$1146,$A156,Trades!$Z$2:$Z$1146,"Loss")</f>
        <v>0</v>
      </c>
      <c r="E156" s="30" t="n">
        <f aca="false">IFERROR(C156/B156,0)</f>
        <v>1</v>
      </c>
      <c r="F156" s="31" t="n">
        <f aca="false">SUMIFS(Trades!$X$2:$X$1146,Trades!$D$2:$D$1146,$A156)</f>
        <v>237.7</v>
      </c>
      <c r="G156" s="31" t="n">
        <f aca="false">SUMIFS(Trades!$X$2:$X$1146,Trades!$D$2:$D$1146,$A156,Trades!$X$2:$X$1146,"&gt;0")</f>
        <v>237.7</v>
      </c>
      <c r="H156" s="31" t="n">
        <f aca="false">SUMIFS(Trades!$X$2:$X$1146,Trades!$D$2:$D$1146,$A156,Trades!$X$2:$X$1146,"&lt;0")</f>
        <v>0</v>
      </c>
      <c r="I156" s="32" t="str">
        <f aca="false">IFERROR(G156/-H156,"no loss")</f>
        <v>no loss</v>
      </c>
      <c r="J156" s="31" t="n">
        <f aca="false">_xlfn.MAXIFS(Trades!$X$2:$X$1146,Trades!$D$2:$D$1146,$A156)</f>
        <v>237.7</v>
      </c>
      <c r="K156" s="31" t="n">
        <f aca="false">_xlfn.MINIFS(Trades!$X$2:$X$1146,Trades!$D$2:$D$1146,$A156)</f>
        <v>237.7</v>
      </c>
      <c r="L156" s="33" t="n">
        <f aca="false">SUMIFS(Trades!$Y$2:$Y$1146,Trades!$D$2:$D$1146,$A156)</f>
        <v>2.6352549889134</v>
      </c>
      <c r="M156" s="31" t="n">
        <f aca="false">P155</f>
        <v>12328.43</v>
      </c>
      <c r="N156" s="30" t="n">
        <f aca="false">IFERROR(F156/M156,0)</f>
        <v>0.0192806383294548</v>
      </c>
      <c r="O156" s="29" t="str">
        <f aca="false">IF(-N156&gt;=Summary!$C$7,"BREACH","")</f>
        <v/>
      </c>
      <c r="P156" s="31" t="n">
        <f aca="false">M156+F156</f>
        <v>12566.13</v>
      </c>
      <c r="Q156" s="31" t="n">
        <f aca="false">P156-Summary!$C$5</f>
        <v>2566.12999999999</v>
      </c>
      <c r="R156" s="2" t="str">
        <f aca="false">TEXT(A156,"ddd")</f>
        <v>Wed</v>
      </c>
    </row>
    <row r="157" customFormat="false" ht="15" hidden="false" customHeight="false" outlineLevel="0" collapsed="false">
      <c r="A157" s="43" t="n">
        <v>44896</v>
      </c>
      <c r="B157" s="29" t="n">
        <f aca="false">COUNTIFS(Trades!$D$2:$D$1146,$A157)</f>
        <v>1</v>
      </c>
      <c r="C157" s="29" t="n">
        <f aca="false">COUNTIFS(Trades!$D$2:$D$1146,$A157,Trades!$Z$2:$Z$1146,"Win")</f>
        <v>0</v>
      </c>
      <c r="D157" s="29" t="n">
        <f aca="false">COUNTIFS(Trades!$D$2:$D$1146,$A157,Trades!$Z$2:$Z$1146,"Loss")</f>
        <v>1</v>
      </c>
      <c r="E157" s="30" t="n">
        <f aca="false">IFERROR(C157/B157,0)</f>
        <v>0</v>
      </c>
      <c r="F157" s="31" t="n">
        <f aca="false">SUMIFS(Trades!$X$2:$X$1146,Trades!$D$2:$D$1146,$A157)</f>
        <v>-48.65</v>
      </c>
      <c r="G157" s="31" t="n">
        <f aca="false">SUMIFS(Trades!$X$2:$X$1146,Trades!$D$2:$D$1146,$A157,Trades!$X$2:$X$1146,"&gt;0")</f>
        <v>0</v>
      </c>
      <c r="H157" s="31" t="n">
        <f aca="false">SUMIFS(Trades!$X$2:$X$1146,Trades!$D$2:$D$1146,$A157,Trades!$X$2:$X$1146,"&lt;0")</f>
        <v>-48.65</v>
      </c>
      <c r="I157" s="32" t="n">
        <f aca="false">IFERROR(G157/-H157,"no loss")</f>
        <v>0</v>
      </c>
      <c r="J157" s="31" t="n">
        <f aca="false">_xlfn.MAXIFS(Trades!$X$2:$X$1146,Trades!$D$2:$D$1146,$A157)</f>
        <v>-48.65</v>
      </c>
      <c r="K157" s="31" t="n">
        <f aca="false">_xlfn.MINIFS(Trades!$X$2:$X$1146,Trades!$D$2:$D$1146,$A157)</f>
        <v>-48.65</v>
      </c>
      <c r="L157" s="33" t="n">
        <f aca="false">SUMIFS(Trades!$Y$2:$Y$1146,Trades!$D$2:$D$1146,$A157)</f>
        <v>-1.00309278350508</v>
      </c>
      <c r="M157" s="31" t="n">
        <f aca="false">P156</f>
        <v>12566.13</v>
      </c>
      <c r="N157" s="30" t="n">
        <f aca="false">IFERROR(F157/M157,0)</f>
        <v>-0.00387151812053512</v>
      </c>
      <c r="O157" s="29" t="str">
        <f aca="false">IF(-N157&gt;=Summary!$C$7,"BREACH","")</f>
        <v/>
      </c>
      <c r="P157" s="31" t="n">
        <f aca="false">M157+F157</f>
        <v>12517.48</v>
      </c>
      <c r="Q157" s="31" t="n">
        <f aca="false">P157-Summary!$C$5</f>
        <v>2517.47999999999</v>
      </c>
      <c r="R157" s="2" t="str">
        <f aca="false">TEXT(A157,"ddd")</f>
        <v>Thu</v>
      </c>
    </row>
    <row r="158" customFormat="false" ht="15" hidden="false" customHeight="false" outlineLevel="0" collapsed="false">
      <c r="A158" s="43" t="n">
        <v>44897</v>
      </c>
      <c r="B158" s="29" t="n">
        <f aca="false">COUNTIFS(Trades!$D$2:$D$1146,$A158)</f>
        <v>1</v>
      </c>
      <c r="C158" s="29" t="n">
        <f aca="false">COUNTIFS(Trades!$D$2:$D$1146,$A158,Trades!$Z$2:$Z$1146,"Win")</f>
        <v>0</v>
      </c>
      <c r="D158" s="29" t="n">
        <f aca="false">COUNTIFS(Trades!$D$2:$D$1146,$A158,Trades!$Z$2:$Z$1146,"Loss")</f>
        <v>1</v>
      </c>
      <c r="E158" s="30" t="n">
        <f aca="false">IFERROR(C158/B158,0)</f>
        <v>0</v>
      </c>
      <c r="F158" s="31" t="n">
        <f aca="false">SUMIFS(Trades!$X$2:$X$1146,Trades!$D$2:$D$1146,$A158)</f>
        <v>-10.8</v>
      </c>
      <c r="G158" s="31" t="n">
        <f aca="false">SUMIFS(Trades!$X$2:$X$1146,Trades!$D$2:$D$1146,$A158,Trades!$X$2:$X$1146,"&gt;0")</f>
        <v>0</v>
      </c>
      <c r="H158" s="31" t="n">
        <f aca="false">SUMIFS(Trades!$X$2:$X$1146,Trades!$D$2:$D$1146,$A158,Trades!$X$2:$X$1146,"&lt;0")</f>
        <v>-10.8</v>
      </c>
      <c r="I158" s="32" t="n">
        <f aca="false">IFERROR(G158/-H158,"no loss")</f>
        <v>0</v>
      </c>
      <c r="J158" s="31" t="n">
        <f aca="false">_xlfn.MAXIFS(Trades!$X$2:$X$1146,Trades!$D$2:$D$1146,$A158)</f>
        <v>-10.8</v>
      </c>
      <c r="K158" s="31" t="n">
        <f aca="false">_xlfn.MINIFS(Trades!$X$2:$X$1146,Trades!$D$2:$D$1146,$A158)</f>
        <v>-10.8</v>
      </c>
      <c r="L158" s="33" t="n">
        <f aca="false">SUMIFS(Trades!$Y$2:$Y$1146,Trades!$D$2:$D$1146,$A158)</f>
        <v>-0.0410724472333142</v>
      </c>
      <c r="M158" s="31" t="n">
        <f aca="false">P157</f>
        <v>12517.48</v>
      </c>
      <c r="N158" s="30" t="n">
        <f aca="false">IFERROR(F158/M158,0)</f>
        <v>-0.000862793469612095</v>
      </c>
      <c r="O158" s="29" t="str">
        <f aca="false">IF(-N158&gt;=Summary!$C$7,"BREACH","")</f>
        <v/>
      </c>
      <c r="P158" s="31" t="n">
        <f aca="false">M158+F158</f>
        <v>12506.68</v>
      </c>
      <c r="Q158" s="31" t="n">
        <f aca="false">P158-Summary!$C$5</f>
        <v>2506.68</v>
      </c>
      <c r="R158" s="2" t="str">
        <f aca="false">TEXT(A158,"ddd")</f>
        <v>Fri</v>
      </c>
    </row>
    <row r="159" customFormat="false" ht="15" hidden="false" customHeight="false" outlineLevel="0" collapsed="false">
      <c r="A159" s="43" t="n">
        <v>44901</v>
      </c>
      <c r="B159" s="29" t="n">
        <f aca="false">COUNTIFS(Trades!$D$2:$D$1146,$A159)</f>
        <v>1</v>
      </c>
      <c r="C159" s="29" t="n">
        <f aca="false">COUNTIFS(Trades!$D$2:$D$1146,$A159,Trades!$Z$2:$Z$1146,"Win")</f>
        <v>1</v>
      </c>
      <c r="D159" s="29" t="n">
        <f aca="false">COUNTIFS(Trades!$D$2:$D$1146,$A159,Trades!$Z$2:$Z$1146,"Loss")</f>
        <v>0</v>
      </c>
      <c r="E159" s="30" t="n">
        <f aca="false">IFERROR(C159/B159,0)</f>
        <v>1</v>
      </c>
      <c r="F159" s="31" t="n">
        <f aca="false">SUMIFS(Trades!$X$2:$X$1146,Trades!$D$2:$D$1146,$A159)</f>
        <v>169.35</v>
      </c>
      <c r="G159" s="31" t="n">
        <f aca="false">SUMIFS(Trades!$X$2:$X$1146,Trades!$D$2:$D$1146,$A159,Trades!$X$2:$X$1146,"&gt;0")</f>
        <v>169.35</v>
      </c>
      <c r="H159" s="31" t="n">
        <f aca="false">SUMIFS(Trades!$X$2:$X$1146,Trades!$D$2:$D$1146,$A159,Trades!$X$2:$X$1146,"&lt;0")</f>
        <v>0</v>
      </c>
      <c r="I159" s="32" t="str">
        <f aca="false">IFERROR(G159/-H159,"no loss")</f>
        <v>no loss</v>
      </c>
      <c r="J159" s="31" t="n">
        <f aca="false">_xlfn.MAXIFS(Trades!$X$2:$X$1146,Trades!$D$2:$D$1146,$A159)</f>
        <v>169.35</v>
      </c>
      <c r="K159" s="31" t="n">
        <f aca="false">_xlfn.MINIFS(Trades!$X$2:$X$1146,Trades!$D$2:$D$1146,$A159)</f>
        <v>169.35</v>
      </c>
      <c r="L159" s="33" t="n">
        <f aca="false">SUMIFS(Trades!$Y$2:$Y$1146,Trades!$D$2:$D$1146,$A159)</f>
        <v>2.5620272314676</v>
      </c>
      <c r="M159" s="31" t="n">
        <f aca="false">P158</f>
        <v>12506.68</v>
      </c>
      <c r="N159" s="30" t="n">
        <f aca="false">IFERROR(F159/M159,0)</f>
        <v>0.0135407638158168</v>
      </c>
      <c r="O159" s="29" t="str">
        <f aca="false">IF(-N159&gt;=Summary!$C$7,"BREACH","")</f>
        <v/>
      </c>
      <c r="P159" s="31" t="n">
        <f aca="false">M159+F159</f>
        <v>12676.03</v>
      </c>
      <c r="Q159" s="31" t="n">
        <f aca="false">P159-Summary!$C$5</f>
        <v>2676.03</v>
      </c>
      <c r="R159" s="2" t="str">
        <f aca="false">TEXT(A159,"ddd")</f>
        <v>Tue</v>
      </c>
    </row>
    <row r="160" customFormat="false" ht="15" hidden="false" customHeight="false" outlineLevel="0" collapsed="false">
      <c r="A160" s="43" t="n">
        <v>44902</v>
      </c>
      <c r="B160" s="29" t="n">
        <f aca="false">COUNTIFS(Trades!$D$2:$D$1146,$A160)</f>
        <v>1</v>
      </c>
      <c r="C160" s="29" t="n">
        <f aca="false">COUNTIFS(Trades!$D$2:$D$1146,$A160,Trades!$Z$2:$Z$1146,"Win")</f>
        <v>0</v>
      </c>
      <c r="D160" s="29" t="n">
        <f aca="false">COUNTIFS(Trades!$D$2:$D$1146,$A160,Trades!$Z$2:$Z$1146,"Loss")</f>
        <v>1</v>
      </c>
      <c r="E160" s="30" t="n">
        <f aca="false">IFERROR(C160/B160,0)</f>
        <v>0</v>
      </c>
      <c r="F160" s="31" t="n">
        <f aca="false">SUMIFS(Trades!$X$2:$X$1146,Trades!$D$2:$D$1146,$A160)</f>
        <v>-0.15</v>
      </c>
      <c r="G160" s="31" t="n">
        <f aca="false">SUMIFS(Trades!$X$2:$X$1146,Trades!$D$2:$D$1146,$A160,Trades!$X$2:$X$1146,"&gt;0")</f>
        <v>0</v>
      </c>
      <c r="H160" s="31" t="n">
        <f aca="false">SUMIFS(Trades!$X$2:$X$1146,Trades!$D$2:$D$1146,$A160,Trades!$X$2:$X$1146,"&lt;0")</f>
        <v>-0.15</v>
      </c>
      <c r="I160" s="32" t="n">
        <f aca="false">IFERROR(G160/-H160,"no loss")</f>
        <v>0</v>
      </c>
      <c r="J160" s="31" t="n">
        <f aca="false">_xlfn.MAXIFS(Trades!$X$2:$X$1146,Trades!$D$2:$D$1146,$A160)</f>
        <v>-0.15</v>
      </c>
      <c r="K160" s="31" t="n">
        <f aca="false">_xlfn.MINIFS(Trades!$X$2:$X$1146,Trades!$D$2:$D$1146,$A160)</f>
        <v>-0.15</v>
      </c>
      <c r="L160" s="33" t="n">
        <f aca="false">SUMIFS(Trades!$Y$2:$Y$1146,Trades!$D$2:$D$1146,$A160)</f>
        <v>-0.00378787878787875</v>
      </c>
      <c r="M160" s="31" t="n">
        <f aca="false">P159</f>
        <v>12676.03</v>
      </c>
      <c r="N160" s="30" t="n">
        <f aca="false">IFERROR(F160/M160,0)</f>
        <v>-1.18333579204215E-005</v>
      </c>
      <c r="O160" s="29" t="str">
        <f aca="false">IF(-N160&gt;=Summary!$C$7,"BREACH","")</f>
        <v/>
      </c>
      <c r="P160" s="31" t="n">
        <f aca="false">M160+F160</f>
        <v>12675.88</v>
      </c>
      <c r="Q160" s="31" t="n">
        <f aca="false">P160-Summary!$C$5</f>
        <v>2675.88</v>
      </c>
      <c r="R160" s="2" t="str">
        <f aca="false">TEXT(A160,"ddd")</f>
        <v>Wed</v>
      </c>
    </row>
    <row r="161" customFormat="false" ht="15" hidden="false" customHeight="false" outlineLevel="0" collapsed="false">
      <c r="A161" s="43" t="n">
        <v>44903</v>
      </c>
      <c r="B161" s="29" t="n">
        <f aca="false">COUNTIFS(Trades!$D$2:$D$1146,$A161)</f>
        <v>1</v>
      </c>
      <c r="C161" s="29" t="n">
        <f aca="false">COUNTIFS(Trades!$D$2:$D$1146,$A161,Trades!$Z$2:$Z$1146,"Win")</f>
        <v>0</v>
      </c>
      <c r="D161" s="29" t="n">
        <f aca="false">COUNTIFS(Trades!$D$2:$D$1146,$A161,Trades!$Z$2:$Z$1146,"Loss")</f>
        <v>1</v>
      </c>
      <c r="E161" s="30" t="n">
        <f aca="false">IFERROR(C161/B161,0)</f>
        <v>0</v>
      </c>
      <c r="F161" s="31" t="n">
        <f aca="false">SUMIFS(Trades!$X$2:$X$1146,Trades!$D$2:$D$1146,$A161)</f>
        <v>-3.5</v>
      </c>
      <c r="G161" s="31" t="n">
        <f aca="false">SUMIFS(Trades!$X$2:$X$1146,Trades!$D$2:$D$1146,$A161,Trades!$X$2:$X$1146,"&gt;0")</f>
        <v>0</v>
      </c>
      <c r="H161" s="31" t="n">
        <f aca="false">SUMIFS(Trades!$X$2:$X$1146,Trades!$D$2:$D$1146,$A161,Trades!$X$2:$X$1146,"&lt;0")</f>
        <v>-3.5</v>
      </c>
      <c r="I161" s="32" t="n">
        <f aca="false">IFERROR(G161/-H161,"no loss")</f>
        <v>0</v>
      </c>
      <c r="J161" s="31" t="n">
        <f aca="false">_xlfn.MAXIFS(Trades!$X$2:$X$1146,Trades!$D$2:$D$1146,$A161)</f>
        <v>-3.5</v>
      </c>
      <c r="K161" s="31" t="n">
        <f aca="false">_xlfn.MINIFS(Trades!$X$2:$X$1146,Trades!$D$2:$D$1146,$A161)</f>
        <v>-3.5</v>
      </c>
      <c r="L161" s="33" t="n">
        <f aca="false">SUMIFS(Trades!$Y$2:$Y$1146,Trades!$D$2:$D$1146,$A161)</f>
        <v>-0.048309178743956</v>
      </c>
      <c r="M161" s="31" t="n">
        <f aca="false">P160</f>
        <v>12675.88</v>
      </c>
      <c r="N161" s="30" t="n">
        <f aca="false">IFERROR(F161/M161,0)</f>
        <v>-0.00027611495217689</v>
      </c>
      <c r="O161" s="29" t="str">
        <f aca="false">IF(-N161&gt;=Summary!$C$7,"BREACH","")</f>
        <v/>
      </c>
      <c r="P161" s="31" t="n">
        <f aca="false">M161+F161</f>
        <v>12672.38</v>
      </c>
      <c r="Q161" s="31" t="n">
        <f aca="false">P161-Summary!$C$5</f>
        <v>2672.38</v>
      </c>
      <c r="R161" s="2" t="str">
        <f aca="false">TEXT(A161,"ddd")</f>
        <v>Thu</v>
      </c>
    </row>
    <row r="162" customFormat="false" ht="15" hidden="false" customHeight="false" outlineLevel="0" collapsed="false">
      <c r="A162" s="43" t="n">
        <v>44904</v>
      </c>
      <c r="B162" s="29" t="n">
        <f aca="false">COUNTIFS(Trades!$D$2:$D$1146,$A162)</f>
        <v>1</v>
      </c>
      <c r="C162" s="29" t="n">
        <f aca="false">COUNTIFS(Trades!$D$2:$D$1146,$A162,Trades!$Z$2:$Z$1146,"Win")</f>
        <v>0</v>
      </c>
      <c r="D162" s="29" t="n">
        <f aca="false">COUNTIFS(Trades!$D$2:$D$1146,$A162,Trades!$Z$2:$Z$1146,"Loss")</f>
        <v>1</v>
      </c>
      <c r="E162" s="30" t="n">
        <f aca="false">IFERROR(C162/B162,0)</f>
        <v>0</v>
      </c>
      <c r="F162" s="31" t="n">
        <f aca="false">SUMIFS(Trades!$X$2:$X$1146,Trades!$D$2:$D$1146,$A162)</f>
        <v>-11.15</v>
      </c>
      <c r="G162" s="31" t="n">
        <f aca="false">SUMIFS(Trades!$X$2:$X$1146,Trades!$D$2:$D$1146,$A162,Trades!$X$2:$X$1146,"&gt;0")</f>
        <v>0</v>
      </c>
      <c r="H162" s="31" t="n">
        <f aca="false">SUMIFS(Trades!$X$2:$X$1146,Trades!$D$2:$D$1146,$A162,Trades!$X$2:$X$1146,"&lt;0")</f>
        <v>-11.15</v>
      </c>
      <c r="I162" s="32" t="n">
        <f aca="false">IFERROR(G162/-H162,"no loss")</f>
        <v>0</v>
      </c>
      <c r="J162" s="31" t="n">
        <f aca="false">_xlfn.MAXIFS(Trades!$X$2:$X$1146,Trades!$D$2:$D$1146,$A162)</f>
        <v>-11.15</v>
      </c>
      <c r="K162" s="31" t="n">
        <f aca="false">_xlfn.MINIFS(Trades!$X$2:$X$1146,Trades!$D$2:$D$1146,$A162)</f>
        <v>-11.15</v>
      </c>
      <c r="L162" s="33" t="n">
        <f aca="false">SUMIFS(Trades!$Y$2:$Y$1146,Trades!$D$2:$D$1146,$A162)</f>
        <v>-1.17989417989454</v>
      </c>
      <c r="M162" s="31" t="n">
        <f aca="false">P161</f>
        <v>12672.38</v>
      </c>
      <c r="N162" s="30" t="n">
        <f aca="false">IFERROR(F162/M162,0)</f>
        <v>-0.000879866291888343</v>
      </c>
      <c r="O162" s="29" t="str">
        <f aca="false">IF(-N162&gt;=Summary!$C$7,"BREACH","")</f>
        <v/>
      </c>
      <c r="P162" s="31" t="n">
        <f aca="false">M162+F162</f>
        <v>12661.23</v>
      </c>
      <c r="Q162" s="31" t="n">
        <f aca="false">P162-Summary!$C$5</f>
        <v>2661.23</v>
      </c>
      <c r="R162" s="2" t="str">
        <f aca="false">TEXT(A162,"ddd")</f>
        <v>Fri</v>
      </c>
    </row>
    <row r="163" customFormat="false" ht="15" hidden="false" customHeight="false" outlineLevel="0" collapsed="false">
      <c r="A163" s="43" t="n">
        <v>44908</v>
      </c>
      <c r="B163" s="29" t="n">
        <f aca="false">COUNTIFS(Trades!$D$2:$D$1146,$A163)</f>
        <v>1</v>
      </c>
      <c r="C163" s="29" t="n">
        <f aca="false">COUNTIFS(Trades!$D$2:$D$1146,$A163,Trades!$Z$2:$Z$1146,"Win")</f>
        <v>0</v>
      </c>
      <c r="D163" s="29" t="n">
        <f aca="false">COUNTIFS(Trades!$D$2:$D$1146,$A163,Trades!$Z$2:$Z$1146,"Loss")</f>
        <v>1</v>
      </c>
      <c r="E163" s="30" t="n">
        <f aca="false">IFERROR(C163/B163,0)</f>
        <v>0</v>
      </c>
      <c r="F163" s="31" t="n">
        <f aca="false">SUMIFS(Trades!$X$2:$X$1146,Trades!$D$2:$D$1146,$A163)</f>
        <v>-25</v>
      </c>
      <c r="G163" s="31" t="n">
        <f aca="false">SUMIFS(Trades!$X$2:$X$1146,Trades!$D$2:$D$1146,$A163,Trades!$X$2:$X$1146,"&gt;0")</f>
        <v>0</v>
      </c>
      <c r="H163" s="31" t="n">
        <f aca="false">SUMIFS(Trades!$X$2:$X$1146,Trades!$D$2:$D$1146,$A163,Trades!$X$2:$X$1146,"&lt;0")</f>
        <v>-25</v>
      </c>
      <c r="I163" s="32" t="n">
        <f aca="false">IFERROR(G163/-H163,"no loss")</f>
        <v>0</v>
      </c>
      <c r="J163" s="31" t="n">
        <f aca="false">_xlfn.MAXIFS(Trades!$X$2:$X$1146,Trades!$D$2:$D$1146,$A163)</f>
        <v>-25</v>
      </c>
      <c r="K163" s="31" t="n">
        <f aca="false">_xlfn.MINIFS(Trades!$X$2:$X$1146,Trades!$D$2:$D$1146,$A163)</f>
        <v>-25</v>
      </c>
      <c r="L163" s="33" t="n">
        <f aca="false">SUMIFS(Trades!$Y$2:$Y$1146,Trades!$D$2:$D$1146,$A163)</f>
        <v>-1.16550116550093</v>
      </c>
      <c r="M163" s="31" t="n">
        <f aca="false">P162</f>
        <v>12661.23</v>
      </c>
      <c r="N163" s="30" t="n">
        <f aca="false">IFERROR(F163/M163,0)</f>
        <v>-0.00197453170031664</v>
      </c>
      <c r="O163" s="29" t="str">
        <f aca="false">IF(-N163&gt;=Summary!$C$7,"BREACH","")</f>
        <v/>
      </c>
      <c r="P163" s="31" t="n">
        <f aca="false">M163+F163</f>
        <v>12636.23</v>
      </c>
      <c r="Q163" s="31" t="n">
        <f aca="false">P163-Summary!$C$5</f>
        <v>2636.23</v>
      </c>
      <c r="R163" s="2" t="str">
        <f aca="false">TEXT(A163,"ddd")</f>
        <v>Tue</v>
      </c>
    </row>
    <row r="164" customFormat="false" ht="15" hidden="false" customHeight="false" outlineLevel="0" collapsed="false">
      <c r="A164" s="43" t="n">
        <v>44909</v>
      </c>
      <c r="B164" s="29" t="n">
        <f aca="false">COUNTIFS(Trades!$D$2:$D$1146,$A164)</f>
        <v>1</v>
      </c>
      <c r="C164" s="29" t="n">
        <f aca="false">COUNTIFS(Trades!$D$2:$D$1146,$A164,Trades!$Z$2:$Z$1146,"Win")</f>
        <v>0</v>
      </c>
      <c r="D164" s="29" t="n">
        <f aca="false">COUNTIFS(Trades!$D$2:$D$1146,$A164,Trades!$Z$2:$Z$1146,"Loss")</f>
        <v>1</v>
      </c>
      <c r="E164" s="30" t="n">
        <f aca="false">IFERROR(C164/B164,0)</f>
        <v>0</v>
      </c>
      <c r="F164" s="31" t="n">
        <f aca="false">SUMIFS(Trades!$X$2:$X$1146,Trades!$D$2:$D$1146,$A164)</f>
        <v>-232.75</v>
      </c>
      <c r="G164" s="31" t="n">
        <f aca="false">SUMIFS(Trades!$X$2:$X$1146,Trades!$D$2:$D$1146,$A164,Trades!$X$2:$X$1146,"&gt;0")</f>
        <v>0</v>
      </c>
      <c r="H164" s="31" t="n">
        <f aca="false">SUMIFS(Trades!$X$2:$X$1146,Trades!$D$2:$D$1146,$A164,Trades!$X$2:$X$1146,"&lt;0")</f>
        <v>-232.75</v>
      </c>
      <c r="I164" s="32" t="n">
        <f aca="false">IFERROR(G164/-H164,"no loss")</f>
        <v>0</v>
      </c>
      <c r="J164" s="31" t="n">
        <f aca="false">_xlfn.MAXIFS(Trades!$X$2:$X$1146,Trades!$D$2:$D$1146,$A164)</f>
        <v>-232.75</v>
      </c>
      <c r="K164" s="31" t="n">
        <f aca="false">_xlfn.MINIFS(Trades!$X$2:$X$1146,Trades!$D$2:$D$1146,$A164)</f>
        <v>-232.75</v>
      </c>
      <c r="L164" s="33" t="n">
        <f aca="false">SUMIFS(Trades!$Y$2:$Y$1146,Trades!$D$2:$D$1146,$A164)</f>
        <v>-1.00000000000002</v>
      </c>
      <c r="M164" s="31" t="n">
        <f aca="false">P163</f>
        <v>12636.23</v>
      </c>
      <c r="N164" s="30" t="n">
        <f aca="false">IFERROR(F164/M164,0)</f>
        <v>-0.0184192595418096</v>
      </c>
      <c r="O164" s="29" t="str">
        <f aca="false">IF(-N164&gt;=Summary!$C$7,"BREACH","")</f>
        <v/>
      </c>
      <c r="P164" s="31" t="n">
        <f aca="false">M164+F164</f>
        <v>12403.48</v>
      </c>
      <c r="Q164" s="31" t="n">
        <f aca="false">P164-Summary!$C$5</f>
        <v>2403.48</v>
      </c>
      <c r="R164" s="2" t="str">
        <f aca="false">TEXT(A164,"ddd")</f>
        <v>Wed</v>
      </c>
    </row>
    <row r="165" customFormat="false" ht="15" hidden="false" customHeight="false" outlineLevel="0" collapsed="false">
      <c r="A165" s="43" t="n">
        <v>44910</v>
      </c>
      <c r="B165" s="29" t="n">
        <f aca="false">COUNTIFS(Trades!$D$2:$D$1146,$A165)</f>
        <v>1</v>
      </c>
      <c r="C165" s="29" t="n">
        <f aca="false">COUNTIFS(Trades!$D$2:$D$1146,$A165,Trades!$Z$2:$Z$1146,"Win")</f>
        <v>0</v>
      </c>
      <c r="D165" s="29" t="n">
        <f aca="false">COUNTIFS(Trades!$D$2:$D$1146,$A165,Trades!$Z$2:$Z$1146,"Loss")</f>
        <v>1</v>
      </c>
      <c r="E165" s="30" t="n">
        <f aca="false">IFERROR(C165/B165,0)</f>
        <v>0</v>
      </c>
      <c r="F165" s="31" t="n">
        <f aca="false">SUMIFS(Trades!$X$2:$X$1146,Trades!$D$2:$D$1146,$A165)</f>
        <v>-68.3</v>
      </c>
      <c r="G165" s="31" t="n">
        <f aca="false">SUMIFS(Trades!$X$2:$X$1146,Trades!$D$2:$D$1146,$A165,Trades!$X$2:$X$1146,"&gt;0")</f>
        <v>0</v>
      </c>
      <c r="H165" s="31" t="n">
        <f aca="false">SUMIFS(Trades!$X$2:$X$1146,Trades!$D$2:$D$1146,$A165,Trades!$X$2:$X$1146,"&lt;0")</f>
        <v>-68.3</v>
      </c>
      <c r="I165" s="32" t="n">
        <f aca="false">IFERROR(G165/-H165,"no loss")</f>
        <v>0</v>
      </c>
      <c r="J165" s="31" t="n">
        <f aca="false">_xlfn.MAXIFS(Trades!$X$2:$X$1146,Trades!$D$2:$D$1146,$A165)</f>
        <v>-68.3</v>
      </c>
      <c r="K165" s="31" t="n">
        <f aca="false">_xlfn.MINIFS(Trades!$X$2:$X$1146,Trades!$D$2:$D$1146,$A165)</f>
        <v>-68.3</v>
      </c>
      <c r="L165" s="33" t="n">
        <f aca="false">SUMIFS(Trades!$Y$2:$Y$1146,Trades!$D$2:$D$1146,$A165)</f>
        <v>-1.15664690939886</v>
      </c>
      <c r="M165" s="31" t="n">
        <f aca="false">P164</f>
        <v>12403.48</v>
      </c>
      <c r="N165" s="30" t="n">
        <f aca="false">IFERROR(F165/M165,0)</f>
        <v>-0.00550651913817735</v>
      </c>
      <c r="O165" s="29" t="str">
        <f aca="false">IF(-N165&gt;=Summary!$C$7,"BREACH","")</f>
        <v/>
      </c>
      <c r="P165" s="31" t="n">
        <f aca="false">M165+F165</f>
        <v>12335.18</v>
      </c>
      <c r="Q165" s="31" t="n">
        <f aca="false">P165-Summary!$C$5</f>
        <v>2335.18</v>
      </c>
      <c r="R165" s="2" t="str">
        <f aca="false">TEXT(A165,"ddd")</f>
        <v>Thu</v>
      </c>
    </row>
    <row r="166" customFormat="false" ht="15" hidden="false" customHeight="false" outlineLevel="0" collapsed="false">
      <c r="A166" s="43" t="n">
        <v>44911</v>
      </c>
      <c r="B166" s="29" t="n">
        <f aca="false">COUNTIFS(Trades!$D$2:$D$1146,$A166)</f>
        <v>1</v>
      </c>
      <c r="C166" s="29" t="n">
        <f aca="false">COUNTIFS(Trades!$D$2:$D$1146,$A166,Trades!$Z$2:$Z$1146,"Win")</f>
        <v>1</v>
      </c>
      <c r="D166" s="29" t="n">
        <f aca="false">COUNTIFS(Trades!$D$2:$D$1146,$A166,Trades!$Z$2:$Z$1146,"Loss")</f>
        <v>0</v>
      </c>
      <c r="E166" s="30" t="n">
        <f aca="false">IFERROR(C166/B166,0)</f>
        <v>1</v>
      </c>
      <c r="F166" s="31" t="n">
        <f aca="false">SUMIFS(Trades!$X$2:$X$1146,Trades!$D$2:$D$1146,$A166)</f>
        <v>130.15</v>
      </c>
      <c r="G166" s="31" t="n">
        <f aca="false">SUMIFS(Trades!$X$2:$X$1146,Trades!$D$2:$D$1146,$A166,Trades!$X$2:$X$1146,"&gt;0")</f>
        <v>130.15</v>
      </c>
      <c r="H166" s="31" t="n">
        <f aca="false">SUMIFS(Trades!$X$2:$X$1146,Trades!$D$2:$D$1146,$A166,Trades!$X$2:$X$1146,"&lt;0")</f>
        <v>0</v>
      </c>
      <c r="I166" s="32" t="str">
        <f aca="false">IFERROR(G166/-H166,"no loss")</f>
        <v>no loss</v>
      </c>
      <c r="J166" s="31" t="n">
        <f aca="false">_xlfn.MAXIFS(Trades!$X$2:$X$1146,Trades!$D$2:$D$1146,$A166)</f>
        <v>130.15</v>
      </c>
      <c r="K166" s="31" t="n">
        <f aca="false">_xlfn.MINIFS(Trades!$X$2:$X$1146,Trades!$D$2:$D$1146,$A166)</f>
        <v>130.15</v>
      </c>
      <c r="L166" s="33" t="n">
        <f aca="false">SUMIFS(Trades!$Y$2:$Y$1146,Trades!$D$2:$D$1146,$A166)</f>
        <v>2.39466421343129</v>
      </c>
      <c r="M166" s="31" t="n">
        <f aca="false">P165</f>
        <v>12335.18</v>
      </c>
      <c r="N166" s="30" t="n">
        <f aca="false">IFERROR(F166/M166,0)</f>
        <v>0.0105511228859247</v>
      </c>
      <c r="O166" s="29" t="str">
        <f aca="false">IF(-N166&gt;=Summary!$C$7,"BREACH","")</f>
        <v/>
      </c>
      <c r="P166" s="31" t="n">
        <f aca="false">M166+F166</f>
        <v>12465.33</v>
      </c>
      <c r="Q166" s="31" t="n">
        <f aca="false">P166-Summary!$C$5</f>
        <v>2465.33</v>
      </c>
      <c r="R166" s="2" t="str">
        <f aca="false">TEXT(A166,"ddd")</f>
        <v>Fri</v>
      </c>
    </row>
    <row r="167" customFormat="false" ht="15" hidden="false" customHeight="false" outlineLevel="0" collapsed="false">
      <c r="A167" s="43" t="n">
        <v>44914</v>
      </c>
      <c r="B167" s="29" t="n">
        <f aca="false">COUNTIFS(Trades!$D$2:$D$1146,$A167)</f>
        <v>1</v>
      </c>
      <c r="C167" s="29" t="n">
        <f aca="false">COUNTIFS(Trades!$D$2:$D$1146,$A167,Trades!$Z$2:$Z$1146,"Win")</f>
        <v>1</v>
      </c>
      <c r="D167" s="29" t="n">
        <f aca="false">COUNTIFS(Trades!$D$2:$D$1146,$A167,Trades!$Z$2:$Z$1146,"Loss")</f>
        <v>0</v>
      </c>
      <c r="E167" s="30" t="n">
        <f aca="false">IFERROR(C167/B167,0)</f>
        <v>1</v>
      </c>
      <c r="F167" s="31" t="n">
        <f aca="false">SUMIFS(Trades!$X$2:$X$1146,Trades!$D$2:$D$1146,$A167)</f>
        <v>189.2</v>
      </c>
      <c r="G167" s="31" t="n">
        <f aca="false">SUMIFS(Trades!$X$2:$X$1146,Trades!$D$2:$D$1146,$A167,Trades!$X$2:$X$1146,"&gt;0")</f>
        <v>189.2</v>
      </c>
      <c r="H167" s="31" t="n">
        <f aca="false">SUMIFS(Trades!$X$2:$X$1146,Trades!$D$2:$D$1146,$A167,Trades!$X$2:$X$1146,"&lt;0")</f>
        <v>0</v>
      </c>
      <c r="I167" s="32" t="str">
        <f aca="false">IFERROR(G167/-H167,"no loss")</f>
        <v>no loss</v>
      </c>
      <c r="J167" s="31" t="n">
        <f aca="false">_xlfn.MAXIFS(Trades!$X$2:$X$1146,Trades!$D$2:$D$1146,$A167)</f>
        <v>189.2</v>
      </c>
      <c r="K167" s="31" t="n">
        <f aca="false">_xlfn.MINIFS(Trades!$X$2:$X$1146,Trades!$D$2:$D$1146,$A167)</f>
        <v>189.2</v>
      </c>
      <c r="L167" s="33" t="n">
        <f aca="false">SUMIFS(Trades!$Y$2:$Y$1146,Trades!$D$2:$D$1146,$A167)</f>
        <v>2.24836601307166</v>
      </c>
      <c r="M167" s="31" t="n">
        <f aca="false">P166</f>
        <v>12465.33</v>
      </c>
      <c r="N167" s="30" t="n">
        <f aca="false">IFERROR(F167/M167,0)</f>
        <v>0.0151780979725366</v>
      </c>
      <c r="O167" s="29" t="str">
        <f aca="false">IF(-N167&gt;=Summary!$C$7,"BREACH","")</f>
        <v/>
      </c>
      <c r="P167" s="31" t="n">
        <f aca="false">M167+F167</f>
        <v>12654.53</v>
      </c>
      <c r="Q167" s="31" t="n">
        <f aca="false">P167-Summary!$C$5</f>
        <v>2654.53</v>
      </c>
      <c r="R167" s="2" t="str">
        <f aca="false">TEXT(A167,"ddd")</f>
        <v>Mon</v>
      </c>
    </row>
    <row r="168" customFormat="false" ht="15" hidden="false" customHeight="false" outlineLevel="0" collapsed="false">
      <c r="A168" s="43" t="n">
        <v>44915</v>
      </c>
      <c r="B168" s="29" t="n">
        <f aca="false">COUNTIFS(Trades!$D$2:$D$1146,$A168)</f>
        <v>1</v>
      </c>
      <c r="C168" s="29" t="n">
        <f aca="false">COUNTIFS(Trades!$D$2:$D$1146,$A168,Trades!$Z$2:$Z$1146,"Win")</f>
        <v>1</v>
      </c>
      <c r="D168" s="29" t="n">
        <f aca="false">COUNTIFS(Trades!$D$2:$D$1146,$A168,Trades!$Z$2:$Z$1146,"Loss")</f>
        <v>0</v>
      </c>
      <c r="E168" s="30" t="n">
        <f aca="false">IFERROR(C168/B168,0)</f>
        <v>1</v>
      </c>
      <c r="F168" s="31" t="n">
        <f aca="false">SUMIFS(Trades!$X$2:$X$1146,Trades!$D$2:$D$1146,$A168)</f>
        <v>214.1</v>
      </c>
      <c r="G168" s="31" t="n">
        <f aca="false">SUMIFS(Trades!$X$2:$X$1146,Trades!$D$2:$D$1146,$A168,Trades!$X$2:$X$1146,"&gt;0")</f>
        <v>214.1</v>
      </c>
      <c r="H168" s="31" t="n">
        <f aca="false">SUMIFS(Trades!$X$2:$X$1146,Trades!$D$2:$D$1146,$A168,Trades!$X$2:$X$1146,"&lt;0")</f>
        <v>0</v>
      </c>
      <c r="I168" s="32" t="str">
        <f aca="false">IFERROR(G168/-H168,"no loss")</f>
        <v>no loss</v>
      </c>
      <c r="J168" s="31" t="n">
        <f aca="false">_xlfn.MAXIFS(Trades!$X$2:$X$1146,Trades!$D$2:$D$1146,$A168)</f>
        <v>214.1</v>
      </c>
      <c r="K168" s="31" t="n">
        <f aca="false">_xlfn.MINIFS(Trades!$X$2:$X$1146,Trades!$D$2:$D$1146,$A168)</f>
        <v>214.1</v>
      </c>
      <c r="L168" s="33" t="n">
        <f aca="false">SUMIFS(Trades!$Y$2:$Y$1146,Trades!$D$2:$D$1146,$A168)</f>
        <v>2.53073286052008</v>
      </c>
      <c r="M168" s="31" t="n">
        <f aca="false">P167</f>
        <v>12654.53</v>
      </c>
      <c r="N168" s="30" t="n">
        <f aca="false">IFERROR(F168/M168,0)</f>
        <v>0.01691884250146</v>
      </c>
      <c r="O168" s="29" t="str">
        <f aca="false">IF(-N168&gt;=Summary!$C$7,"BREACH","")</f>
        <v/>
      </c>
      <c r="P168" s="31" t="n">
        <f aca="false">M168+F168</f>
        <v>12868.63</v>
      </c>
      <c r="Q168" s="31" t="n">
        <f aca="false">P168-Summary!$C$5</f>
        <v>2868.63</v>
      </c>
      <c r="R168" s="2" t="str">
        <f aca="false">TEXT(A168,"ddd")</f>
        <v>Tue</v>
      </c>
    </row>
    <row r="169" customFormat="false" ht="15" hidden="false" customHeight="false" outlineLevel="0" collapsed="false">
      <c r="A169" s="43" t="n">
        <v>44916</v>
      </c>
      <c r="B169" s="29" t="n">
        <f aca="false">COUNTIFS(Trades!$D$2:$D$1146,$A169)</f>
        <v>1</v>
      </c>
      <c r="C169" s="29" t="n">
        <f aca="false">COUNTIFS(Trades!$D$2:$D$1146,$A169,Trades!$Z$2:$Z$1146,"Win")</f>
        <v>0</v>
      </c>
      <c r="D169" s="29" t="n">
        <f aca="false">COUNTIFS(Trades!$D$2:$D$1146,$A169,Trades!$Z$2:$Z$1146,"Loss")</f>
        <v>1</v>
      </c>
      <c r="E169" s="30" t="n">
        <f aca="false">IFERROR(C169/B169,0)</f>
        <v>0</v>
      </c>
      <c r="F169" s="31" t="n">
        <f aca="false">SUMIFS(Trades!$X$2:$X$1146,Trades!$D$2:$D$1146,$A169)</f>
        <v>-0.7</v>
      </c>
      <c r="G169" s="31" t="n">
        <f aca="false">SUMIFS(Trades!$X$2:$X$1146,Trades!$D$2:$D$1146,$A169,Trades!$X$2:$X$1146,"&gt;0")</f>
        <v>0</v>
      </c>
      <c r="H169" s="31" t="n">
        <f aca="false">SUMIFS(Trades!$X$2:$X$1146,Trades!$D$2:$D$1146,$A169,Trades!$X$2:$X$1146,"&lt;0")</f>
        <v>-0.7</v>
      </c>
      <c r="I169" s="32" t="n">
        <f aca="false">IFERROR(G169/-H169,"no loss")</f>
        <v>0</v>
      </c>
      <c r="J169" s="31" t="n">
        <f aca="false">_xlfn.MAXIFS(Trades!$X$2:$X$1146,Trades!$D$2:$D$1146,$A169)</f>
        <v>-0.7</v>
      </c>
      <c r="K169" s="31" t="n">
        <f aca="false">_xlfn.MINIFS(Trades!$X$2:$X$1146,Trades!$D$2:$D$1146,$A169)</f>
        <v>-0.7</v>
      </c>
      <c r="L169" s="33" t="n">
        <f aca="false">SUMIFS(Trades!$Y$2:$Y$1146,Trades!$D$2:$D$1146,$A169)</f>
        <v>-0.0207407407407407</v>
      </c>
      <c r="M169" s="31" t="n">
        <f aca="false">P168</f>
        <v>12868.63</v>
      </c>
      <c r="N169" s="30" t="n">
        <f aca="false">IFERROR(F169/M169,0)</f>
        <v>-5.43958447791257E-005</v>
      </c>
      <c r="O169" s="29" t="str">
        <f aca="false">IF(-N169&gt;=Summary!$C$7,"BREACH","")</f>
        <v/>
      </c>
      <c r="P169" s="31" t="n">
        <f aca="false">M169+F169</f>
        <v>12867.93</v>
      </c>
      <c r="Q169" s="31" t="n">
        <f aca="false">P169-Summary!$C$5</f>
        <v>2867.93</v>
      </c>
      <c r="R169" s="2" t="str">
        <f aca="false">TEXT(A169,"ddd")</f>
        <v>Wed</v>
      </c>
    </row>
    <row r="170" customFormat="false" ht="15" hidden="false" customHeight="false" outlineLevel="0" collapsed="false">
      <c r="A170" s="43" t="n">
        <v>44917</v>
      </c>
      <c r="B170" s="29" t="n">
        <f aca="false">COUNTIFS(Trades!$D$2:$D$1146,$A170)</f>
        <v>1</v>
      </c>
      <c r="C170" s="29" t="n">
        <f aca="false">COUNTIFS(Trades!$D$2:$D$1146,$A170,Trades!$Z$2:$Z$1146,"Win")</f>
        <v>1</v>
      </c>
      <c r="D170" s="29" t="n">
        <f aca="false">COUNTIFS(Trades!$D$2:$D$1146,$A170,Trades!$Z$2:$Z$1146,"Loss")</f>
        <v>0</v>
      </c>
      <c r="E170" s="30" t="n">
        <f aca="false">IFERROR(C170/B170,0)</f>
        <v>1</v>
      </c>
      <c r="F170" s="31" t="n">
        <f aca="false">SUMIFS(Trades!$X$2:$X$1146,Trades!$D$2:$D$1146,$A170)</f>
        <v>134.65</v>
      </c>
      <c r="G170" s="31" t="n">
        <f aca="false">SUMIFS(Trades!$X$2:$X$1146,Trades!$D$2:$D$1146,$A170,Trades!$X$2:$X$1146,"&gt;0")</f>
        <v>134.65</v>
      </c>
      <c r="H170" s="31" t="n">
        <f aca="false">SUMIFS(Trades!$X$2:$X$1146,Trades!$D$2:$D$1146,$A170,Trades!$X$2:$X$1146,"&lt;0")</f>
        <v>0</v>
      </c>
      <c r="I170" s="32" t="str">
        <f aca="false">IFERROR(G170/-H170,"no loss")</f>
        <v>no loss</v>
      </c>
      <c r="J170" s="31" t="n">
        <f aca="false">_xlfn.MAXIFS(Trades!$X$2:$X$1146,Trades!$D$2:$D$1146,$A170)</f>
        <v>134.65</v>
      </c>
      <c r="K170" s="31" t="n">
        <f aca="false">_xlfn.MINIFS(Trades!$X$2:$X$1146,Trades!$D$2:$D$1146,$A170)</f>
        <v>134.65</v>
      </c>
      <c r="L170" s="33" t="n">
        <f aca="false">SUMIFS(Trades!$Y$2:$Y$1146,Trades!$D$2:$D$1146,$A170)</f>
        <v>2.54536862003783</v>
      </c>
      <c r="M170" s="31" t="n">
        <f aca="false">P169</f>
        <v>12867.93</v>
      </c>
      <c r="N170" s="30" t="n">
        <f aca="false">IFERROR(F170/M170,0)</f>
        <v>0.0104639984830505</v>
      </c>
      <c r="O170" s="29" t="str">
        <f aca="false">IF(-N170&gt;=Summary!$C$7,"BREACH","")</f>
        <v/>
      </c>
      <c r="P170" s="31" t="n">
        <f aca="false">M170+F170</f>
        <v>13002.58</v>
      </c>
      <c r="Q170" s="31" t="n">
        <f aca="false">P170-Summary!$C$5</f>
        <v>3002.58</v>
      </c>
      <c r="R170" s="2" t="str">
        <f aca="false">TEXT(A170,"ddd")</f>
        <v>Thu</v>
      </c>
    </row>
    <row r="171" customFormat="false" ht="15" hidden="false" customHeight="false" outlineLevel="0" collapsed="false">
      <c r="A171" s="43" t="n">
        <v>44922</v>
      </c>
      <c r="B171" s="29" t="n">
        <f aca="false">COUNTIFS(Trades!$D$2:$D$1146,$A171)</f>
        <v>2</v>
      </c>
      <c r="C171" s="29" t="n">
        <f aca="false">COUNTIFS(Trades!$D$2:$D$1146,$A171,Trades!$Z$2:$Z$1146,"Win")</f>
        <v>1</v>
      </c>
      <c r="D171" s="29" t="n">
        <f aca="false">COUNTIFS(Trades!$D$2:$D$1146,$A171,Trades!$Z$2:$Z$1146,"Loss")</f>
        <v>1</v>
      </c>
      <c r="E171" s="30" t="n">
        <f aca="false">IFERROR(C171/B171,0)</f>
        <v>0.5</v>
      </c>
      <c r="F171" s="31" t="n">
        <f aca="false">SUMIFS(Trades!$X$2:$X$1146,Trades!$D$2:$D$1146,$A171)</f>
        <v>-69.98</v>
      </c>
      <c r="G171" s="31" t="n">
        <f aca="false">SUMIFS(Trades!$X$2:$X$1146,Trades!$D$2:$D$1146,$A171,Trades!$X$2:$X$1146,"&gt;0")</f>
        <v>63.4</v>
      </c>
      <c r="H171" s="31" t="n">
        <f aca="false">SUMIFS(Trades!$X$2:$X$1146,Trades!$D$2:$D$1146,$A171,Trades!$X$2:$X$1146,"&lt;0")</f>
        <v>-133.38</v>
      </c>
      <c r="I171" s="32" t="n">
        <f aca="false">IFERROR(G171/-H171,"no loss")</f>
        <v>0.47533363322837</v>
      </c>
      <c r="J171" s="31" t="n">
        <f aca="false">_xlfn.MAXIFS(Trades!$X$2:$X$1146,Trades!$D$2:$D$1146,$A171)</f>
        <v>63.4</v>
      </c>
      <c r="K171" s="31" t="n">
        <f aca="false">_xlfn.MINIFS(Trades!$X$2:$X$1146,Trades!$D$2:$D$1146,$A171)</f>
        <v>-133.38</v>
      </c>
      <c r="L171" s="33" t="n">
        <f aca="false">SUMIFS(Trades!$Y$2:$Y$1146,Trades!$D$2:$D$1146,$A171)</f>
        <v>1.5695295166913</v>
      </c>
      <c r="M171" s="31" t="n">
        <f aca="false">P170</f>
        <v>13002.58</v>
      </c>
      <c r="N171" s="30" t="n">
        <f aca="false">IFERROR(F171/M171,0)</f>
        <v>-0.0053820088013302</v>
      </c>
      <c r="O171" s="29" t="str">
        <f aca="false">IF(-N171&gt;=Summary!$C$7,"BREACH","")</f>
        <v/>
      </c>
      <c r="P171" s="31" t="n">
        <f aca="false">M171+F171</f>
        <v>12932.6</v>
      </c>
      <c r="Q171" s="31" t="n">
        <f aca="false">P171-Summary!$C$5</f>
        <v>2932.6</v>
      </c>
      <c r="R171" s="2" t="str">
        <f aca="false">TEXT(A171,"ddd")</f>
        <v>Tue</v>
      </c>
    </row>
    <row r="172" customFormat="false" ht="15" hidden="false" customHeight="false" outlineLevel="0" collapsed="false">
      <c r="A172" s="43" t="n">
        <v>44923</v>
      </c>
      <c r="B172" s="29" t="n">
        <f aca="false">COUNTIFS(Trades!$D$2:$D$1146,$A172)</f>
        <v>1</v>
      </c>
      <c r="C172" s="29" t="n">
        <f aca="false">COUNTIFS(Trades!$D$2:$D$1146,$A172,Trades!$Z$2:$Z$1146,"Win")</f>
        <v>0</v>
      </c>
      <c r="D172" s="29" t="n">
        <f aca="false">COUNTIFS(Trades!$D$2:$D$1146,$A172,Trades!$Z$2:$Z$1146,"Loss")</f>
        <v>1</v>
      </c>
      <c r="E172" s="30" t="n">
        <f aca="false">IFERROR(C172/B172,0)</f>
        <v>0</v>
      </c>
      <c r="F172" s="31" t="n">
        <f aca="false">SUMIFS(Trades!$X$2:$X$1146,Trades!$D$2:$D$1146,$A172)</f>
        <v>-35.35</v>
      </c>
      <c r="G172" s="31" t="n">
        <f aca="false">SUMIFS(Trades!$X$2:$X$1146,Trades!$D$2:$D$1146,$A172,Trades!$X$2:$X$1146,"&gt;0")</f>
        <v>0</v>
      </c>
      <c r="H172" s="31" t="n">
        <f aca="false">SUMIFS(Trades!$X$2:$X$1146,Trades!$D$2:$D$1146,$A172,Trades!$X$2:$X$1146,"&lt;0")</f>
        <v>-35.35</v>
      </c>
      <c r="I172" s="32" t="n">
        <f aca="false">IFERROR(G172/-H172,"no loss")</f>
        <v>0</v>
      </c>
      <c r="J172" s="31" t="n">
        <f aca="false">_xlfn.MAXIFS(Trades!$X$2:$X$1146,Trades!$D$2:$D$1146,$A172)</f>
        <v>-35.35</v>
      </c>
      <c r="K172" s="31" t="n">
        <f aca="false">_xlfn.MINIFS(Trades!$X$2:$X$1146,Trades!$D$2:$D$1146,$A172)</f>
        <v>-35.35</v>
      </c>
      <c r="L172" s="33" t="n">
        <f aca="false">SUMIFS(Trades!$Y$2:$Y$1146,Trades!$D$2:$D$1146,$A172)</f>
        <v>-1.03665689149565</v>
      </c>
      <c r="M172" s="31" t="n">
        <f aca="false">P171</f>
        <v>12932.6</v>
      </c>
      <c r="N172" s="30" t="n">
        <f aca="false">IFERROR(F172/M172,0)</f>
        <v>-0.00273340240941497</v>
      </c>
      <c r="O172" s="29" t="str">
        <f aca="false">IF(-N172&gt;=Summary!$C$7,"BREACH","")</f>
        <v/>
      </c>
      <c r="P172" s="31" t="n">
        <f aca="false">M172+F172</f>
        <v>12897.25</v>
      </c>
      <c r="Q172" s="31" t="n">
        <f aca="false">P172-Summary!$C$5</f>
        <v>2897.25</v>
      </c>
      <c r="R172" s="2" t="str">
        <f aca="false">TEXT(A172,"ddd")</f>
        <v>Wed</v>
      </c>
    </row>
    <row r="173" customFormat="false" ht="15" hidden="false" customHeight="false" outlineLevel="0" collapsed="false">
      <c r="A173" s="43" t="n">
        <v>44924</v>
      </c>
      <c r="B173" s="29" t="n">
        <f aca="false">COUNTIFS(Trades!$D$2:$D$1146,$A173)</f>
        <v>1</v>
      </c>
      <c r="C173" s="29" t="n">
        <f aca="false">COUNTIFS(Trades!$D$2:$D$1146,$A173,Trades!$Z$2:$Z$1146,"Win")</f>
        <v>0</v>
      </c>
      <c r="D173" s="29" t="n">
        <f aca="false">COUNTIFS(Trades!$D$2:$D$1146,$A173,Trades!$Z$2:$Z$1146,"Loss")</f>
        <v>1</v>
      </c>
      <c r="E173" s="30" t="n">
        <f aca="false">IFERROR(C173/B173,0)</f>
        <v>0</v>
      </c>
      <c r="F173" s="31" t="n">
        <f aca="false">SUMIFS(Trades!$X$2:$X$1146,Trades!$D$2:$D$1146,$A173)</f>
        <v>-58.5</v>
      </c>
      <c r="G173" s="31" t="n">
        <f aca="false">SUMIFS(Trades!$X$2:$X$1146,Trades!$D$2:$D$1146,$A173,Trades!$X$2:$X$1146,"&gt;0")</f>
        <v>0</v>
      </c>
      <c r="H173" s="31" t="n">
        <f aca="false">SUMIFS(Trades!$X$2:$X$1146,Trades!$D$2:$D$1146,$A173,Trades!$X$2:$X$1146,"&lt;0")</f>
        <v>-58.5</v>
      </c>
      <c r="I173" s="32" t="n">
        <f aca="false">IFERROR(G173/-H173,"no loss")</f>
        <v>0</v>
      </c>
      <c r="J173" s="31" t="n">
        <f aca="false">_xlfn.MAXIFS(Trades!$X$2:$X$1146,Trades!$D$2:$D$1146,$A173)</f>
        <v>-58.5</v>
      </c>
      <c r="K173" s="31" t="n">
        <f aca="false">_xlfn.MINIFS(Trades!$X$2:$X$1146,Trades!$D$2:$D$1146,$A173)</f>
        <v>-58.5</v>
      </c>
      <c r="L173" s="33" t="n">
        <f aca="false">SUMIFS(Trades!$Y$2:$Y$1146,Trades!$D$2:$D$1146,$A173)</f>
        <v>-1.07044830741077</v>
      </c>
      <c r="M173" s="31" t="n">
        <f aca="false">P172</f>
        <v>12897.25</v>
      </c>
      <c r="N173" s="30" t="n">
        <f aca="false">IFERROR(F173/M173,0)</f>
        <v>-0.00453585066583962</v>
      </c>
      <c r="O173" s="29" t="str">
        <f aca="false">IF(-N173&gt;=Summary!$C$7,"BREACH","")</f>
        <v/>
      </c>
      <c r="P173" s="31" t="n">
        <f aca="false">M173+F173</f>
        <v>12838.75</v>
      </c>
      <c r="Q173" s="31" t="n">
        <f aca="false">P173-Summary!$C$5</f>
        <v>2838.75</v>
      </c>
      <c r="R173" s="2" t="str">
        <f aca="false">TEXT(A173,"ddd")</f>
        <v>Thu</v>
      </c>
    </row>
    <row r="174" customFormat="false" ht="15" hidden="false" customHeight="false" outlineLevel="0" collapsed="false">
      <c r="A174" s="43" t="n">
        <v>44929</v>
      </c>
      <c r="B174" s="29" t="n">
        <f aca="false">COUNTIFS(Trades!$D$2:$D$1146,$A174)</f>
        <v>1</v>
      </c>
      <c r="C174" s="29" t="n">
        <f aca="false">COUNTIFS(Trades!$D$2:$D$1146,$A174,Trades!$Z$2:$Z$1146,"Win")</f>
        <v>0</v>
      </c>
      <c r="D174" s="29" t="n">
        <f aca="false">COUNTIFS(Trades!$D$2:$D$1146,$A174,Trades!$Z$2:$Z$1146,"Loss")</f>
        <v>1</v>
      </c>
      <c r="E174" s="30" t="n">
        <f aca="false">IFERROR(C174/B174,0)</f>
        <v>0</v>
      </c>
      <c r="F174" s="31" t="n">
        <f aca="false">SUMIFS(Trades!$X$2:$X$1146,Trades!$D$2:$D$1146,$A174)</f>
        <v>-126.9</v>
      </c>
      <c r="G174" s="31" t="n">
        <f aca="false">SUMIFS(Trades!$X$2:$X$1146,Trades!$D$2:$D$1146,$A174,Trades!$X$2:$X$1146,"&gt;0")</f>
        <v>0</v>
      </c>
      <c r="H174" s="31" t="n">
        <f aca="false">SUMIFS(Trades!$X$2:$X$1146,Trades!$D$2:$D$1146,$A174,Trades!$X$2:$X$1146,"&lt;0")</f>
        <v>-126.9</v>
      </c>
      <c r="I174" s="32" t="n">
        <f aca="false">IFERROR(G174/-H174,"no loss")</f>
        <v>0</v>
      </c>
      <c r="J174" s="31" t="n">
        <f aca="false">_xlfn.MAXIFS(Trades!$X$2:$X$1146,Trades!$D$2:$D$1146,$A174)</f>
        <v>-126.9</v>
      </c>
      <c r="K174" s="31" t="n">
        <f aca="false">_xlfn.MINIFS(Trades!$X$2:$X$1146,Trades!$D$2:$D$1146,$A174)</f>
        <v>-126.9</v>
      </c>
      <c r="L174" s="33" t="n">
        <f aca="false">SUMIFS(Trades!$Y$2:$Y$1146,Trades!$D$2:$D$1146,$A174)</f>
        <v>-1.01155838979673</v>
      </c>
      <c r="M174" s="31" t="n">
        <f aca="false">P173</f>
        <v>12838.75</v>
      </c>
      <c r="N174" s="30" t="n">
        <f aca="false">IFERROR(F174/M174,0)</f>
        <v>-0.00988413981111869</v>
      </c>
      <c r="O174" s="29" t="str">
        <f aca="false">IF(-N174&gt;=Summary!$C$7,"BREACH","")</f>
        <v/>
      </c>
      <c r="P174" s="31" t="n">
        <f aca="false">M174+F174</f>
        <v>12711.85</v>
      </c>
      <c r="Q174" s="31" t="n">
        <f aca="false">P174-Summary!$C$5</f>
        <v>2711.85</v>
      </c>
      <c r="R174" s="2" t="str">
        <f aca="false">TEXT(A174,"ddd")</f>
        <v>Tue</v>
      </c>
    </row>
    <row r="175" customFormat="false" ht="15" hidden="false" customHeight="false" outlineLevel="0" collapsed="false">
      <c r="A175" s="43" t="n">
        <v>44931</v>
      </c>
      <c r="B175" s="29" t="n">
        <f aca="false">COUNTIFS(Trades!$D$2:$D$1146,$A175)</f>
        <v>1</v>
      </c>
      <c r="C175" s="29" t="n">
        <f aca="false">COUNTIFS(Trades!$D$2:$D$1146,$A175,Trades!$Z$2:$Z$1146,"Win")</f>
        <v>0</v>
      </c>
      <c r="D175" s="29" t="n">
        <f aca="false">COUNTIFS(Trades!$D$2:$D$1146,$A175,Trades!$Z$2:$Z$1146,"Loss")</f>
        <v>1</v>
      </c>
      <c r="E175" s="30" t="n">
        <f aca="false">IFERROR(C175/B175,0)</f>
        <v>0</v>
      </c>
      <c r="F175" s="31" t="n">
        <f aca="false">SUMIFS(Trades!$X$2:$X$1146,Trades!$D$2:$D$1146,$A175)</f>
        <v>-10.55</v>
      </c>
      <c r="G175" s="31" t="n">
        <f aca="false">SUMIFS(Trades!$X$2:$X$1146,Trades!$D$2:$D$1146,$A175,Trades!$X$2:$X$1146,"&gt;0")</f>
        <v>0</v>
      </c>
      <c r="H175" s="31" t="n">
        <f aca="false">SUMIFS(Trades!$X$2:$X$1146,Trades!$D$2:$D$1146,$A175,Trades!$X$2:$X$1146,"&lt;0")</f>
        <v>-10.55</v>
      </c>
      <c r="I175" s="32" t="n">
        <f aca="false">IFERROR(G175/-H175,"no loss")</f>
        <v>0</v>
      </c>
      <c r="J175" s="31" t="n">
        <f aca="false">_xlfn.MAXIFS(Trades!$X$2:$X$1146,Trades!$D$2:$D$1146,$A175)</f>
        <v>-10.55</v>
      </c>
      <c r="K175" s="31" t="n">
        <f aca="false">_xlfn.MINIFS(Trades!$X$2:$X$1146,Trades!$D$2:$D$1146,$A175)</f>
        <v>-10.55</v>
      </c>
      <c r="L175" s="33" t="n">
        <f aca="false">SUMIFS(Trades!$Y$2:$Y$1146,Trades!$D$2:$D$1146,$A175)</f>
        <v>-0.100285171102657</v>
      </c>
      <c r="M175" s="31" t="n">
        <f aca="false">P174</f>
        <v>12711.85</v>
      </c>
      <c r="N175" s="30" t="n">
        <f aca="false">IFERROR(F175/M175,0)</f>
        <v>-0.000829934273925511</v>
      </c>
      <c r="O175" s="29" t="str">
        <f aca="false">IF(-N175&gt;=Summary!$C$7,"BREACH","")</f>
        <v/>
      </c>
      <c r="P175" s="31" t="n">
        <f aca="false">M175+F175</f>
        <v>12701.3</v>
      </c>
      <c r="Q175" s="31" t="n">
        <f aca="false">P175-Summary!$C$5</f>
        <v>2701.3</v>
      </c>
      <c r="R175" s="2" t="str">
        <f aca="false">TEXT(A175,"ddd")</f>
        <v>Thu</v>
      </c>
    </row>
    <row r="176" customFormat="false" ht="15" hidden="false" customHeight="false" outlineLevel="0" collapsed="false">
      <c r="A176" s="43" t="n">
        <v>44932</v>
      </c>
      <c r="B176" s="29" t="n">
        <f aca="false">COUNTIFS(Trades!$D$2:$D$1146,$A176)</f>
        <v>2</v>
      </c>
      <c r="C176" s="29" t="n">
        <f aca="false">COUNTIFS(Trades!$D$2:$D$1146,$A176,Trades!$Z$2:$Z$1146,"Win")</f>
        <v>1</v>
      </c>
      <c r="D176" s="29" t="n">
        <f aca="false">COUNTIFS(Trades!$D$2:$D$1146,$A176,Trades!$Z$2:$Z$1146,"Loss")</f>
        <v>1</v>
      </c>
      <c r="E176" s="30" t="n">
        <f aca="false">IFERROR(C176/B176,0)</f>
        <v>0.5</v>
      </c>
      <c r="F176" s="31" t="n">
        <f aca="false">SUMIFS(Trades!$X$2:$X$1146,Trades!$D$2:$D$1146,$A176)</f>
        <v>34.85</v>
      </c>
      <c r="G176" s="31" t="n">
        <f aca="false">SUMIFS(Trades!$X$2:$X$1146,Trades!$D$2:$D$1146,$A176,Trades!$X$2:$X$1146,"&gt;0")</f>
        <v>96.35</v>
      </c>
      <c r="H176" s="31" t="n">
        <f aca="false">SUMIFS(Trades!$X$2:$X$1146,Trades!$D$2:$D$1146,$A176,Trades!$X$2:$X$1146,"&lt;0")</f>
        <v>-61.5</v>
      </c>
      <c r="I176" s="32" t="n">
        <f aca="false">IFERROR(G176/-H176,"no loss")</f>
        <v>1.56666666666667</v>
      </c>
      <c r="J176" s="31" t="n">
        <f aca="false">_xlfn.MAXIFS(Trades!$X$2:$X$1146,Trades!$D$2:$D$1146,$A176)</f>
        <v>96.35</v>
      </c>
      <c r="K176" s="31" t="n">
        <f aca="false">_xlfn.MINIFS(Trades!$X$2:$X$1146,Trades!$D$2:$D$1146,$A176)</f>
        <v>-61.5</v>
      </c>
      <c r="L176" s="33" t="n">
        <f aca="false">SUMIFS(Trades!$Y$2:$Y$1146,Trades!$D$2:$D$1146,$A176)</f>
        <v>2.10099264009933</v>
      </c>
      <c r="M176" s="31" t="n">
        <f aca="false">P175</f>
        <v>12701.3</v>
      </c>
      <c r="N176" s="30" t="n">
        <f aca="false">IFERROR(F176/M176,0)</f>
        <v>0.00274381362537693</v>
      </c>
      <c r="O176" s="29" t="str">
        <f aca="false">IF(-N176&gt;=Summary!$C$7,"BREACH","")</f>
        <v/>
      </c>
      <c r="P176" s="31" t="n">
        <f aca="false">M176+F176</f>
        <v>12736.15</v>
      </c>
      <c r="Q176" s="31" t="n">
        <f aca="false">P176-Summary!$C$5</f>
        <v>2736.15</v>
      </c>
      <c r="R176" s="2" t="str">
        <f aca="false">TEXT(A176,"ddd")</f>
        <v>Fri</v>
      </c>
    </row>
    <row r="177" customFormat="false" ht="15" hidden="false" customHeight="false" outlineLevel="0" collapsed="false">
      <c r="A177" s="43" t="n">
        <v>44935</v>
      </c>
      <c r="B177" s="29" t="n">
        <f aca="false">COUNTIFS(Trades!$D$2:$D$1146,$A177)</f>
        <v>1</v>
      </c>
      <c r="C177" s="29" t="n">
        <f aca="false">COUNTIFS(Trades!$D$2:$D$1146,$A177,Trades!$Z$2:$Z$1146,"Win")</f>
        <v>1</v>
      </c>
      <c r="D177" s="29" t="n">
        <f aca="false">COUNTIFS(Trades!$D$2:$D$1146,$A177,Trades!$Z$2:$Z$1146,"Loss")</f>
        <v>0</v>
      </c>
      <c r="E177" s="30" t="n">
        <f aca="false">IFERROR(C177/B177,0)</f>
        <v>1</v>
      </c>
      <c r="F177" s="31" t="n">
        <f aca="false">SUMIFS(Trades!$X$2:$X$1146,Trades!$D$2:$D$1146,$A177)</f>
        <v>36.5</v>
      </c>
      <c r="G177" s="31" t="n">
        <f aca="false">SUMIFS(Trades!$X$2:$X$1146,Trades!$D$2:$D$1146,$A177,Trades!$X$2:$X$1146,"&gt;0")</f>
        <v>36.5</v>
      </c>
      <c r="H177" s="31" t="n">
        <f aca="false">SUMIFS(Trades!$X$2:$X$1146,Trades!$D$2:$D$1146,$A177,Trades!$X$2:$X$1146,"&lt;0")</f>
        <v>0</v>
      </c>
      <c r="I177" s="32" t="str">
        <f aca="false">IFERROR(G177/-H177,"no loss")</f>
        <v>no loss</v>
      </c>
      <c r="J177" s="31" t="n">
        <f aca="false">_xlfn.MAXIFS(Trades!$X$2:$X$1146,Trades!$D$2:$D$1146,$A177)</f>
        <v>36.5</v>
      </c>
      <c r="K177" s="31" t="n">
        <f aca="false">_xlfn.MINIFS(Trades!$X$2:$X$1146,Trades!$D$2:$D$1146,$A177)</f>
        <v>36.5</v>
      </c>
      <c r="L177" s="33" t="n">
        <f aca="false">SUMIFS(Trades!$Y$2:$Y$1146,Trades!$D$2:$D$1146,$A177)</f>
        <v>2.79693486589976</v>
      </c>
      <c r="M177" s="31" t="n">
        <f aca="false">P176</f>
        <v>12736.15</v>
      </c>
      <c r="N177" s="30" t="n">
        <f aca="false">IFERROR(F177/M177,0)</f>
        <v>0.00286585820675793</v>
      </c>
      <c r="O177" s="29" t="str">
        <f aca="false">IF(-N177&gt;=Summary!$C$7,"BREACH","")</f>
        <v/>
      </c>
      <c r="P177" s="31" t="n">
        <f aca="false">M177+F177</f>
        <v>12772.65</v>
      </c>
      <c r="Q177" s="31" t="n">
        <f aca="false">P177-Summary!$C$5</f>
        <v>2772.65</v>
      </c>
      <c r="R177" s="2" t="str">
        <f aca="false">TEXT(A177,"ddd")</f>
        <v>Mon</v>
      </c>
    </row>
    <row r="178" customFormat="false" ht="15" hidden="false" customHeight="false" outlineLevel="0" collapsed="false">
      <c r="A178" s="43" t="n">
        <v>44936</v>
      </c>
      <c r="B178" s="29" t="n">
        <f aca="false">COUNTIFS(Trades!$D$2:$D$1146,$A178)</f>
        <v>1</v>
      </c>
      <c r="C178" s="29" t="n">
        <f aca="false">COUNTIFS(Trades!$D$2:$D$1146,$A178,Trades!$Z$2:$Z$1146,"Win")</f>
        <v>0</v>
      </c>
      <c r="D178" s="29" t="n">
        <f aca="false">COUNTIFS(Trades!$D$2:$D$1146,$A178,Trades!$Z$2:$Z$1146,"Loss")</f>
        <v>1</v>
      </c>
      <c r="E178" s="30" t="n">
        <f aca="false">IFERROR(C178/B178,0)</f>
        <v>0</v>
      </c>
      <c r="F178" s="31" t="n">
        <f aca="false">SUMIFS(Trades!$X$2:$X$1146,Trades!$D$2:$D$1146,$A178)</f>
        <v>-2.1</v>
      </c>
      <c r="G178" s="31" t="n">
        <f aca="false">SUMIFS(Trades!$X$2:$X$1146,Trades!$D$2:$D$1146,$A178,Trades!$X$2:$X$1146,"&gt;0")</f>
        <v>0</v>
      </c>
      <c r="H178" s="31" t="n">
        <f aca="false">SUMIFS(Trades!$X$2:$X$1146,Trades!$D$2:$D$1146,$A178,Trades!$X$2:$X$1146,"&lt;0")</f>
        <v>-2.1</v>
      </c>
      <c r="I178" s="32" t="n">
        <f aca="false">IFERROR(G178/-H178,"no loss")</f>
        <v>0</v>
      </c>
      <c r="J178" s="31" t="n">
        <f aca="false">_xlfn.MAXIFS(Trades!$X$2:$X$1146,Trades!$D$2:$D$1146,$A178)</f>
        <v>-2.1</v>
      </c>
      <c r="K178" s="31" t="n">
        <f aca="false">_xlfn.MINIFS(Trades!$X$2:$X$1146,Trades!$D$2:$D$1146,$A178)</f>
        <v>-2.1</v>
      </c>
      <c r="L178" s="33" t="n">
        <f aca="false">SUMIFS(Trades!$Y$2:$Y$1146,Trades!$D$2:$D$1146,$A178)</f>
        <v>-0.0460021905805079</v>
      </c>
      <c r="M178" s="31" t="n">
        <f aca="false">P177</f>
        <v>12772.65</v>
      </c>
      <c r="N178" s="30" t="n">
        <f aca="false">IFERROR(F178/M178,0)</f>
        <v>-0.000164413806062172</v>
      </c>
      <c r="O178" s="29" t="str">
        <f aca="false">IF(-N178&gt;=Summary!$C$7,"BREACH","")</f>
        <v/>
      </c>
      <c r="P178" s="31" t="n">
        <f aca="false">M178+F178</f>
        <v>12770.55</v>
      </c>
      <c r="Q178" s="31" t="n">
        <f aca="false">P178-Summary!$C$5</f>
        <v>2770.55</v>
      </c>
      <c r="R178" s="2" t="str">
        <f aca="false">TEXT(A178,"ddd")</f>
        <v>Tue</v>
      </c>
    </row>
    <row r="179" customFormat="false" ht="15" hidden="false" customHeight="false" outlineLevel="0" collapsed="false">
      <c r="A179" s="43" t="n">
        <v>44937</v>
      </c>
      <c r="B179" s="29" t="n">
        <f aca="false">COUNTIFS(Trades!$D$2:$D$1146,$A179)</f>
        <v>1</v>
      </c>
      <c r="C179" s="29" t="n">
        <f aca="false">COUNTIFS(Trades!$D$2:$D$1146,$A179,Trades!$Z$2:$Z$1146,"Win")</f>
        <v>1</v>
      </c>
      <c r="D179" s="29" t="n">
        <f aca="false">COUNTIFS(Trades!$D$2:$D$1146,$A179,Trades!$Z$2:$Z$1146,"Loss")</f>
        <v>0</v>
      </c>
      <c r="E179" s="30" t="n">
        <f aca="false">IFERROR(C179/B179,0)</f>
        <v>1</v>
      </c>
      <c r="F179" s="31" t="n">
        <f aca="false">SUMIFS(Trades!$X$2:$X$1146,Trades!$D$2:$D$1146,$A179)</f>
        <v>36.25</v>
      </c>
      <c r="G179" s="31" t="n">
        <f aca="false">SUMIFS(Trades!$X$2:$X$1146,Trades!$D$2:$D$1146,$A179,Trades!$X$2:$X$1146,"&gt;0")</f>
        <v>36.25</v>
      </c>
      <c r="H179" s="31" t="n">
        <f aca="false">SUMIFS(Trades!$X$2:$X$1146,Trades!$D$2:$D$1146,$A179,Trades!$X$2:$X$1146,"&lt;0")</f>
        <v>0</v>
      </c>
      <c r="I179" s="32" t="str">
        <f aca="false">IFERROR(G179/-H179,"no loss")</f>
        <v>no loss</v>
      </c>
      <c r="J179" s="31" t="n">
        <f aca="false">_xlfn.MAXIFS(Trades!$X$2:$X$1146,Trades!$D$2:$D$1146,$A179)</f>
        <v>36.25</v>
      </c>
      <c r="K179" s="31" t="n">
        <f aca="false">_xlfn.MINIFS(Trades!$X$2:$X$1146,Trades!$D$2:$D$1146,$A179)</f>
        <v>36.25</v>
      </c>
      <c r="L179" s="33" t="n">
        <f aca="false">SUMIFS(Trades!$Y$2:$Y$1146,Trades!$D$2:$D$1146,$A179)</f>
        <v>2.83203124999855</v>
      </c>
      <c r="M179" s="31" t="n">
        <f aca="false">P178</f>
        <v>12770.55</v>
      </c>
      <c r="N179" s="30" t="n">
        <f aca="false">IFERROR(F179/M179,0)</f>
        <v>0.00283856216059606</v>
      </c>
      <c r="O179" s="29" t="str">
        <f aca="false">IF(-N179&gt;=Summary!$C$7,"BREACH","")</f>
        <v/>
      </c>
      <c r="P179" s="31" t="n">
        <f aca="false">M179+F179</f>
        <v>12806.8</v>
      </c>
      <c r="Q179" s="31" t="n">
        <f aca="false">P179-Summary!$C$5</f>
        <v>2806.8</v>
      </c>
      <c r="R179" s="2" t="str">
        <f aca="false">TEXT(A179,"ddd")</f>
        <v>Wed</v>
      </c>
    </row>
    <row r="180" customFormat="false" ht="15" hidden="false" customHeight="false" outlineLevel="0" collapsed="false">
      <c r="A180" s="43" t="n">
        <v>44938</v>
      </c>
      <c r="B180" s="29" t="n">
        <f aca="false">COUNTIFS(Trades!$D$2:$D$1146,$A180)</f>
        <v>1</v>
      </c>
      <c r="C180" s="29" t="n">
        <f aca="false">COUNTIFS(Trades!$D$2:$D$1146,$A180,Trades!$Z$2:$Z$1146,"Win")</f>
        <v>0</v>
      </c>
      <c r="D180" s="29" t="n">
        <f aca="false">COUNTIFS(Trades!$D$2:$D$1146,$A180,Trades!$Z$2:$Z$1146,"Loss")</f>
        <v>1</v>
      </c>
      <c r="E180" s="30" t="n">
        <f aca="false">IFERROR(C180/B180,0)</f>
        <v>0</v>
      </c>
      <c r="F180" s="31" t="n">
        <f aca="false">SUMIFS(Trades!$X$2:$X$1146,Trades!$D$2:$D$1146,$A180)</f>
        <v>-19.45</v>
      </c>
      <c r="G180" s="31" t="n">
        <f aca="false">SUMIFS(Trades!$X$2:$X$1146,Trades!$D$2:$D$1146,$A180,Trades!$X$2:$X$1146,"&gt;0")</f>
        <v>0</v>
      </c>
      <c r="H180" s="31" t="n">
        <f aca="false">SUMIFS(Trades!$X$2:$X$1146,Trades!$D$2:$D$1146,$A180,Trades!$X$2:$X$1146,"&lt;0")</f>
        <v>-19.45</v>
      </c>
      <c r="I180" s="32" t="n">
        <f aca="false">IFERROR(G180/-H180,"no loss")</f>
        <v>0</v>
      </c>
      <c r="J180" s="31" t="n">
        <f aca="false">_xlfn.MAXIFS(Trades!$X$2:$X$1146,Trades!$D$2:$D$1146,$A180)</f>
        <v>-19.45</v>
      </c>
      <c r="K180" s="31" t="n">
        <f aca="false">_xlfn.MINIFS(Trades!$X$2:$X$1146,Trades!$D$2:$D$1146,$A180)</f>
        <v>-19.45</v>
      </c>
      <c r="L180" s="33" t="n">
        <f aca="false">SUMIFS(Trades!$Y$2:$Y$1146,Trades!$D$2:$D$1146,$A180)</f>
        <v>-1.0051679586566</v>
      </c>
      <c r="M180" s="31" t="n">
        <f aca="false">P179</f>
        <v>12806.8</v>
      </c>
      <c r="N180" s="30" t="n">
        <f aca="false">IFERROR(F180/M180,0)</f>
        <v>-0.00151872442764781</v>
      </c>
      <c r="O180" s="29" t="str">
        <f aca="false">IF(-N180&gt;=Summary!$C$7,"BREACH","")</f>
        <v/>
      </c>
      <c r="P180" s="31" t="n">
        <f aca="false">M180+F180</f>
        <v>12787.35</v>
      </c>
      <c r="Q180" s="31" t="n">
        <f aca="false">P180-Summary!$C$5</f>
        <v>2787.35</v>
      </c>
      <c r="R180" s="2" t="str">
        <f aca="false">TEXT(A180,"ddd")</f>
        <v>Thu</v>
      </c>
    </row>
    <row r="181" customFormat="false" ht="15" hidden="false" customHeight="false" outlineLevel="0" collapsed="false">
      <c r="A181" s="43" t="n">
        <v>44939</v>
      </c>
      <c r="B181" s="29" t="n">
        <f aca="false">COUNTIFS(Trades!$D$2:$D$1146,$A181)</f>
        <v>1</v>
      </c>
      <c r="C181" s="29" t="n">
        <f aca="false">COUNTIFS(Trades!$D$2:$D$1146,$A181,Trades!$Z$2:$Z$1146,"Win")</f>
        <v>0</v>
      </c>
      <c r="D181" s="29" t="n">
        <f aca="false">COUNTIFS(Trades!$D$2:$D$1146,$A181,Trades!$Z$2:$Z$1146,"Loss")</f>
        <v>1</v>
      </c>
      <c r="E181" s="30" t="n">
        <f aca="false">IFERROR(C181/B181,0)</f>
        <v>0</v>
      </c>
      <c r="F181" s="31" t="n">
        <f aca="false">SUMIFS(Trades!$X$2:$X$1146,Trades!$D$2:$D$1146,$A181)</f>
        <v>-3.05</v>
      </c>
      <c r="G181" s="31" t="n">
        <f aca="false">SUMIFS(Trades!$X$2:$X$1146,Trades!$D$2:$D$1146,$A181,Trades!$X$2:$X$1146,"&gt;0")</f>
        <v>0</v>
      </c>
      <c r="H181" s="31" t="n">
        <f aca="false">SUMIFS(Trades!$X$2:$X$1146,Trades!$D$2:$D$1146,$A181,Trades!$X$2:$X$1146,"&lt;0")</f>
        <v>-3.05</v>
      </c>
      <c r="I181" s="32" t="n">
        <f aca="false">IFERROR(G181/-H181,"no loss")</f>
        <v>0</v>
      </c>
      <c r="J181" s="31" t="n">
        <f aca="false">_xlfn.MAXIFS(Trades!$X$2:$X$1146,Trades!$D$2:$D$1146,$A181)</f>
        <v>-3.05</v>
      </c>
      <c r="K181" s="31" t="n">
        <f aca="false">_xlfn.MINIFS(Trades!$X$2:$X$1146,Trades!$D$2:$D$1146,$A181)</f>
        <v>-3.05</v>
      </c>
      <c r="L181" s="33" t="n">
        <f aca="false">SUMIFS(Trades!$Y$2:$Y$1146,Trades!$D$2:$D$1146,$A181)</f>
        <v>-0.111111111111116</v>
      </c>
      <c r="M181" s="31" t="n">
        <f aca="false">P180</f>
        <v>12787.35</v>
      </c>
      <c r="N181" s="30" t="n">
        <f aca="false">IFERROR(F181/M181,0)</f>
        <v>-0.000238516971851087</v>
      </c>
      <c r="O181" s="29" t="str">
        <f aca="false">IF(-N181&gt;=Summary!$C$7,"BREACH","")</f>
        <v/>
      </c>
      <c r="P181" s="31" t="n">
        <f aca="false">M181+F181</f>
        <v>12784.3</v>
      </c>
      <c r="Q181" s="31" t="n">
        <f aca="false">P181-Summary!$C$5</f>
        <v>2784.3</v>
      </c>
      <c r="R181" s="2" t="str">
        <f aca="false">TEXT(A181,"ddd")</f>
        <v>Fri</v>
      </c>
    </row>
    <row r="182" customFormat="false" ht="15" hidden="false" customHeight="false" outlineLevel="0" collapsed="false">
      <c r="A182" s="43" t="n">
        <v>44942</v>
      </c>
      <c r="B182" s="29" t="n">
        <f aca="false">COUNTIFS(Trades!$D$2:$D$1146,$A182)</f>
        <v>1</v>
      </c>
      <c r="C182" s="29" t="n">
        <f aca="false">COUNTIFS(Trades!$D$2:$D$1146,$A182,Trades!$Z$2:$Z$1146,"Win")</f>
        <v>0</v>
      </c>
      <c r="D182" s="29" t="n">
        <f aca="false">COUNTIFS(Trades!$D$2:$D$1146,$A182,Trades!$Z$2:$Z$1146,"Loss")</f>
        <v>1</v>
      </c>
      <c r="E182" s="30" t="n">
        <f aca="false">IFERROR(C182/B182,0)</f>
        <v>0</v>
      </c>
      <c r="F182" s="31" t="n">
        <f aca="false">SUMIFS(Trades!$X$2:$X$1146,Trades!$D$2:$D$1146,$A182)</f>
        <v>-31.5</v>
      </c>
      <c r="G182" s="31" t="n">
        <f aca="false">SUMIFS(Trades!$X$2:$X$1146,Trades!$D$2:$D$1146,$A182,Trades!$X$2:$X$1146,"&gt;0")</f>
        <v>0</v>
      </c>
      <c r="H182" s="31" t="n">
        <f aca="false">SUMIFS(Trades!$X$2:$X$1146,Trades!$D$2:$D$1146,$A182,Trades!$X$2:$X$1146,"&lt;0")</f>
        <v>-31.5</v>
      </c>
      <c r="I182" s="32" t="n">
        <f aca="false">IFERROR(G182/-H182,"no loss")</f>
        <v>0</v>
      </c>
      <c r="J182" s="31" t="n">
        <f aca="false">_xlfn.MAXIFS(Trades!$X$2:$X$1146,Trades!$D$2:$D$1146,$A182)</f>
        <v>-31.5</v>
      </c>
      <c r="K182" s="31" t="n">
        <f aca="false">_xlfn.MINIFS(Trades!$X$2:$X$1146,Trades!$D$2:$D$1146,$A182)</f>
        <v>-31.5</v>
      </c>
      <c r="L182" s="33" t="n">
        <f aca="false">SUMIFS(Trades!$Y$2:$Y$1146,Trades!$D$2:$D$1146,$A182)</f>
        <v>-1.05175292153593</v>
      </c>
      <c r="M182" s="31" t="n">
        <f aca="false">P181</f>
        <v>12784.3</v>
      </c>
      <c r="N182" s="30" t="n">
        <f aca="false">IFERROR(F182/M182,0)</f>
        <v>-0.00246395970057023</v>
      </c>
      <c r="O182" s="29" t="str">
        <f aca="false">IF(-N182&gt;=Summary!$C$7,"BREACH","")</f>
        <v/>
      </c>
      <c r="P182" s="31" t="n">
        <f aca="false">M182+F182</f>
        <v>12752.8</v>
      </c>
      <c r="Q182" s="31" t="n">
        <f aca="false">P182-Summary!$C$5</f>
        <v>2752.8</v>
      </c>
      <c r="R182" s="2" t="str">
        <f aca="false">TEXT(A182,"ddd")</f>
        <v>Mon</v>
      </c>
    </row>
    <row r="183" customFormat="false" ht="15" hidden="false" customHeight="false" outlineLevel="0" collapsed="false">
      <c r="A183" s="43" t="n">
        <v>44943</v>
      </c>
      <c r="B183" s="29" t="n">
        <f aca="false">COUNTIFS(Trades!$D$2:$D$1146,$A183)</f>
        <v>1</v>
      </c>
      <c r="C183" s="29" t="n">
        <f aca="false">COUNTIFS(Trades!$D$2:$D$1146,$A183,Trades!$Z$2:$Z$1146,"Win")</f>
        <v>1</v>
      </c>
      <c r="D183" s="29" t="n">
        <f aca="false">COUNTIFS(Trades!$D$2:$D$1146,$A183,Trades!$Z$2:$Z$1146,"Loss")</f>
        <v>0</v>
      </c>
      <c r="E183" s="30" t="n">
        <f aca="false">IFERROR(C183/B183,0)</f>
        <v>1</v>
      </c>
      <c r="F183" s="31" t="n">
        <f aca="false">SUMIFS(Trades!$X$2:$X$1146,Trades!$D$2:$D$1146,$A183)</f>
        <v>175.85</v>
      </c>
      <c r="G183" s="31" t="n">
        <f aca="false">SUMIFS(Trades!$X$2:$X$1146,Trades!$D$2:$D$1146,$A183,Trades!$X$2:$X$1146,"&gt;0")</f>
        <v>175.85</v>
      </c>
      <c r="H183" s="31" t="n">
        <f aca="false">SUMIFS(Trades!$X$2:$X$1146,Trades!$D$2:$D$1146,$A183,Trades!$X$2:$X$1146,"&lt;0")</f>
        <v>0</v>
      </c>
      <c r="I183" s="32" t="str">
        <f aca="false">IFERROR(G183/-H183,"no loss")</f>
        <v>no loss</v>
      </c>
      <c r="J183" s="31" t="n">
        <f aca="false">_xlfn.MAXIFS(Trades!$X$2:$X$1146,Trades!$D$2:$D$1146,$A183)</f>
        <v>175.85</v>
      </c>
      <c r="K183" s="31" t="n">
        <f aca="false">_xlfn.MINIFS(Trades!$X$2:$X$1146,Trades!$D$2:$D$1146,$A183)</f>
        <v>175.85</v>
      </c>
      <c r="L183" s="33" t="n">
        <f aca="false">SUMIFS(Trades!$Y$2:$Y$1146,Trades!$D$2:$D$1146,$A183)</f>
        <v>2.38926630434764</v>
      </c>
      <c r="M183" s="31" t="n">
        <f aca="false">P182</f>
        <v>12752.8</v>
      </c>
      <c r="N183" s="30" t="n">
        <f aca="false">IFERROR(F183/M183,0)</f>
        <v>0.0137891286619409</v>
      </c>
      <c r="O183" s="29" t="str">
        <f aca="false">IF(-N183&gt;=Summary!$C$7,"BREACH","")</f>
        <v/>
      </c>
      <c r="P183" s="31" t="n">
        <f aca="false">M183+F183</f>
        <v>12928.65</v>
      </c>
      <c r="Q183" s="31" t="n">
        <f aca="false">P183-Summary!$C$5</f>
        <v>2928.65</v>
      </c>
      <c r="R183" s="2" t="str">
        <f aca="false">TEXT(A183,"ddd")</f>
        <v>Tue</v>
      </c>
    </row>
    <row r="184" customFormat="false" ht="15" hidden="false" customHeight="false" outlineLevel="0" collapsed="false">
      <c r="A184" s="43" t="n">
        <v>44944</v>
      </c>
      <c r="B184" s="29" t="n">
        <f aca="false">COUNTIFS(Trades!$D$2:$D$1146,$A184)</f>
        <v>2</v>
      </c>
      <c r="C184" s="29" t="n">
        <f aca="false">COUNTIFS(Trades!$D$2:$D$1146,$A184,Trades!$Z$2:$Z$1146,"Win")</f>
        <v>0</v>
      </c>
      <c r="D184" s="29" t="n">
        <f aca="false">COUNTIFS(Trades!$D$2:$D$1146,$A184,Trades!$Z$2:$Z$1146,"Loss")</f>
        <v>2</v>
      </c>
      <c r="E184" s="30" t="n">
        <f aca="false">IFERROR(C184/B184,0)</f>
        <v>0</v>
      </c>
      <c r="F184" s="31" t="n">
        <f aca="false">SUMIFS(Trades!$X$2:$X$1146,Trades!$D$2:$D$1146,$A184)</f>
        <v>-129.8</v>
      </c>
      <c r="G184" s="31" t="n">
        <f aca="false">SUMIFS(Trades!$X$2:$X$1146,Trades!$D$2:$D$1146,$A184,Trades!$X$2:$X$1146,"&gt;0")</f>
        <v>0</v>
      </c>
      <c r="H184" s="31" t="n">
        <f aca="false">SUMIFS(Trades!$X$2:$X$1146,Trades!$D$2:$D$1146,$A184,Trades!$X$2:$X$1146,"&lt;0")</f>
        <v>-129.8</v>
      </c>
      <c r="I184" s="32" t="n">
        <f aca="false">IFERROR(G184/-H184,"no loss")</f>
        <v>0</v>
      </c>
      <c r="J184" s="31" t="n">
        <f aca="false">_xlfn.MAXIFS(Trades!$X$2:$X$1146,Trades!$D$2:$D$1146,$A184)</f>
        <v>-52.95</v>
      </c>
      <c r="K184" s="31" t="n">
        <f aca="false">_xlfn.MINIFS(Trades!$X$2:$X$1146,Trades!$D$2:$D$1146,$A184)</f>
        <v>-76.85</v>
      </c>
      <c r="L184" s="33" t="n">
        <f aca="false">SUMIFS(Trades!$Y$2:$Y$1146,Trades!$D$2:$D$1146,$A184)</f>
        <v>-2.02126598164555</v>
      </c>
      <c r="M184" s="31" t="n">
        <f aca="false">P183</f>
        <v>12928.65</v>
      </c>
      <c r="N184" s="30" t="n">
        <f aca="false">IFERROR(F184/M184,0)</f>
        <v>-0.0100397179906641</v>
      </c>
      <c r="O184" s="29" t="str">
        <f aca="false">IF(-N184&gt;=Summary!$C$7,"BREACH","")</f>
        <v/>
      </c>
      <c r="P184" s="31" t="n">
        <f aca="false">M184+F184</f>
        <v>12798.85</v>
      </c>
      <c r="Q184" s="31" t="n">
        <f aca="false">P184-Summary!$C$5</f>
        <v>2798.85</v>
      </c>
      <c r="R184" s="2" t="str">
        <f aca="false">TEXT(A184,"ddd")</f>
        <v>Wed</v>
      </c>
    </row>
    <row r="185" customFormat="false" ht="15" hidden="false" customHeight="false" outlineLevel="0" collapsed="false">
      <c r="A185" s="43" t="n">
        <v>44945</v>
      </c>
      <c r="B185" s="29" t="n">
        <f aca="false">COUNTIFS(Trades!$D$2:$D$1146,$A185)</f>
        <v>1</v>
      </c>
      <c r="C185" s="29" t="n">
        <f aca="false">COUNTIFS(Trades!$D$2:$D$1146,$A185,Trades!$Z$2:$Z$1146,"Win")</f>
        <v>0</v>
      </c>
      <c r="D185" s="29" t="n">
        <f aca="false">COUNTIFS(Trades!$D$2:$D$1146,$A185,Trades!$Z$2:$Z$1146,"Loss")</f>
        <v>1</v>
      </c>
      <c r="E185" s="30" t="n">
        <f aca="false">IFERROR(C185/B185,0)</f>
        <v>0</v>
      </c>
      <c r="F185" s="31" t="n">
        <f aca="false">SUMIFS(Trades!$X$2:$X$1146,Trades!$D$2:$D$1146,$A185)</f>
        <v>-23.45</v>
      </c>
      <c r="G185" s="31" t="n">
        <f aca="false">SUMIFS(Trades!$X$2:$X$1146,Trades!$D$2:$D$1146,$A185,Trades!$X$2:$X$1146,"&gt;0")</f>
        <v>0</v>
      </c>
      <c r="H185" s="31" t="n">
        <f aca="false">SUMIFS(Trades!$X$2:$X$1146,Trades!$D$2:$D$1146,$A185,Trades!$X$2:$X$1146,"&lt;0")</f>
        <v>-23.45</v>
      </c>
      <c r="I185" s="32" t="n">
        <f aca="false">IFERROR(G185/-H185,"no loss")</f>
        <v>0</v>
      </c>
      <c r="J185" s="31" t="n">
        <f aca="false">_xlfn.MAXIFS(Trades!$X$2:$X$1146,Trades!$D$2:$D$1146,$A185)</f>
        <v>-23.45</v>
      </c>
      <c r="K185" s="31" t="n">
        <f aca="false">_xlfn.MINIFS(Trades!$X$2:$X$1146,Trades!$D$2:$D$1146,$A185)</f>
        <v>-23.45</v>
      </c>
      <c r="L185" s="33" t="n">
        <f aca="false">SUMIFS(Trades!$Y$2:$Y$1146,Trades!$D$2:$D$1146,$A185)</f>
        <v>-1.0756880733948</v>
      </c>
      <c r="M185" s="31" t="n">
        <f aca="false">P184</f>
        <v>12798.85</v>
      </c>
      <c r="N185" s="30" t="n">
        <f aca="false">IFERROR(F185/M185,0)</f>
        <v>-0.00183219586134692</v>
      </c>
      <c r="O185" s="29" t="str">
        <f aca="false">IF(-N185&gt;=Summary!$C$7,"BREACH","")</f>
        <v/>
      </c>
      <c r="P185" s="31" t="n">
        <f aca="false">M185+F185</f>
        <v>12775.4</v>
      </c>
      <c r="Q185" s="31" t="n">
        <f aca="false">P185-Summary!$C$5</f>
        <v>2775.4</v>
      </c>
      <c r="R185" s="2" t="str">
        <f aca="false">TEXT(A185,"ddd")</f>
        <v>Thu</v>
      </c>
    </row>
    <row r="186" customFormat="false" ht="15" hidden="false" customHeight="false" outlineLevel="0" collapsed="false">
      <c r="A186" s="43" t="n">
        <v>44946</v>
      </c>
      <c r="B186" s="29" t="n">
        <f aca="false">COUNTIFS(Trades!$D$2:$D$1146,$A186)</f>
        <v>1</v>
      </c>
      <c r="C186" s="29" t="n">
        <f aca="false">COUNTIFS(Trades!$D$2:$D$1146,$A186,Trades!$Z$2:$Z$1146,"Win")</f>
        <v>0</v>
      </c>
      <c r="D186" s="29" t="n">
        <f aca="false">COUNTIFS(Trades!$D$2:$D$1146,$A186,Trades!$Z$2:$Z$1146,"Loss")</f>
        <v>1</v>
      </c>
      <c r="E186" s="30" t="n">
        <f aca="false">IFERROR(C186/B186,0)</f>
        <v>0</v>
      </c>
      <c r="F186" s="31" t="n">
        <f aca="false">SUMIFS(Trades!$X$2:$X$1146,Trades!$D$2:$D$1146,$A186)</f>
        <v>-72.55</v>
      </c>
      <c r="G186" s="31" t="n">
        <f aca="false">SUMIFS(Trades!$X$2:$X$1146,Trades!$D$2:$D$1146,$A186,Trades!$X$2:$X$1146,"&gt;0")</f>
        <v>0</v>
      </c>
      <c r="H186" s="31" t="n">
        <f aca="false">SUMIFS(Trades!$X$2:$X$1146,Trades!$D$2:$D$1146,$A186,Trades!$X$2:$X$1146,"&lt;0")</f>
        <v>-72.55</v>
      </c>
      <c r="I186" s="32" t="n">
        <f aca="false">IFERROR(G186/-H186,"no loss")</f>
        <v>0</v>
      </c>
      <c r="J186" s="31" t="n">
        <f aca="false">_xlfn.MAXIFS(Trades!$X$2:$X$1146,Trades!$D$2:$D$1146,$A186)</f>
        <v>-72.55</v>
      </c>
      <c r="K186" s="31" t="n">
        <f aca="false">_xlfn.MINIFS(Trades!$X$2:$X$1146,Trades!$D$2:$D$1146,$A186)</f>
        <v>-72.55</v>
      </c>
      <c r="L186" s="33" t="n">
        <f aca="false">SUMIFS(Trades!$Y$2:$Y$1146,Trades!$D$2:$D$1146,$A186)</f>
        <v>-0.999999999999985</v>
      </c>
      <c r="M186" s="31" t="n">
        <f aca="false">P185</f>
        <v>12775.4</v>
      </c>
      <c r="N186" s="30" t="n">
        <f aca="false">IFERROR(F186/M186,0)</f>
        <v>-0.00567888285298308</v>
      </c>
      <c r="O186" s="29" t="str">
        <f aca="false">IF(-N186&gt;=Summary!$C$7,"BREACH","")</f>
        <v/>
      </c>
      <c r="P186" s="31" t="n">
        <f aca="false">M186+F186</f>
        <v>12702.85</v>
      </c>
      <c r="Q186" s="31" t="n">
        <f aca="false">P186-Summary!$C$5</f>
        <v>2702.85</v>
      </c>
      <c r="R186" s="2" t="str">
        <f aca="false">TEXT(A186,"ddd")</f>
        <v>Fri</v>
      </c>
    </row>
    <row r="187" customFormat="false" ht="15" hidden="false" customHeight="false" outlineLevel="0" collapsed="false">
      <c r="A187" s="43" t="n">
        <v>44949</v>
      </c>
      <c r="B187" s="29" t="n">
        <f aca="false">COUNTIFS(Trades!$D$2:$D$1146,$A187)</f>
        <v>1</v>
      </c>
      <c r="C187" s="29" t="n">
        <f aca="false">COUNTIFS(Trades!$D$2:$D$1146,$A187,Trades!$Z$2:$Z$1146,"Win")</f>
        <v>0</v>
      </c>
      <c r="D187" s="29" t="n">
        <f aca="false">COUNTIFS(Trades!$D$2:$D$1146,$A187,Trades!$Z$2:$Z$1146,"Loss")</f>
        <v>1</v>
      </c>
      <c r="E187" s="30" t="n">
        <f aca="false">IFERROR(C187/B187,0)</f>
        <v>0</v>
      </c>
      <c r="F187" s="31" t="n">
        <f aca="false">SUMIFS(Trades!$X$2:$X$1146,Trades!$D$2:$D$1146,$A187)</f>
        <v>-40.45</v>
      </c>
      <c r="G187" s="31" t="n">
        <f aca="false">SUMIFS(Trades!$X$2:$X$1146,Trades!$D$2:$D$1146,$A187,Trades!$X$2:$X$1146,"&gt;0")</f>
        <v>0</v>
      </c>
      <c r="H187" s="31" t="n">
        <f aca="false">SUMIFS(Trades!$X$2:$X$1146,Trades!$D$2:$D$1146,$A187,Trades!$X$2:$X$1146,"&lt;0")</f>
        <v>-40.45</v>
      </c>
      <c r="I187" s="32" t="n">
        <f aca="false">IFERROR(G187/-H187,"no loss")</f>
        <v>0</v>
      </c>
      <c r="J187" s="31" t="n">
        <f aca="false">_xlfn.MAXIFS(Trades!$X$2:$X$1146,Trades!$D$2:$D$1146,$A187)</f>
        <v>-40.45</v>
      </c>
      <c r="K187" s="31" t="n">
        <f aca="false">_xlfn.MINIFS(Trades!$X$2:$X$1146,Trades!$D$2:$D$1146,$A187)</f>
        <v>-40.45</v>
      </c>
      <c r="L187" s="33" t="n">
        <f aca="false">SUMIFS(Trades!$Y$2:$Y$1146,Trades!$D$2:$D$1146,$A187)</f>
        <v>-1.29027113237631</v>
      </c>
      <c r="M187" s="31" t="n">
        <f aca="false">P186</f>
        <v>12702.85</v>
      </c>
      <c r="N187" s="30" t="n">
        <f aca="false">IFERROR(F187/M187,0)</f>
        <v>-0.00318432477751056</v>
      </c>
      <c r="O187" s="29" t="str">
        <f aca="false">IF(-N187&gt;=Summary!$C$7,"BREACH","")</f>
        <v/>
      </c>
      <c r="P187" s="31" t="n">
        <f aca="false">M187+F187</f>
        <v>12662.4</v>
      </c>
      <c r="Q187" s="31" t="n">
        <f aca="false">P187-Summary!$C$5</f>
        <v>2662.4</v>
      </c>
      <c r="R187" s="2" t="str">
        <f aca="false">TEXT(A187,"ddd")</f>
        <v>Mon</v>
      </c>
    </row>
    <row r="188" customFormat="false" ht="15" hidden="false" customHeight="false" outlineLevel="0" collapsed="false">
      <c r="A188" s="43" t="n">
        <v>44951</v>
      </c>
      <c r="B188" s="29" t="n">
        <f aca="false">COUNTIFS(Trades!$D$2:$D$1146,$A188)</f>
        <v>2</v>
      </c>
      <c r="C188" s="29" t="n">
        <f aca="false">COUNTIFS(Trades!$D$2:$D$1146,$A188,Trades!$Z$2:$Z$1146,"Win")</f>
        <v>0</v>
      </c>
      <c r="D188" s="29" t="n">
        <f aca="false">COUNTIFS(Trades!$D$2:$D$1146,$A188,Trades!$Z$2:$Z$1146,"Loss")</f>
        <v>2</v>
      </c>
      <c r="E188" s="30" t="n">
        <f aca="false">IFERROR(C188/B188,0)</f>
        <v>0</v>
      </c>
      <c r="F188" s="31" t="n">
        <f aca="false">SUMIFS(Trades!$X$2:$X$1146,Trades!$D$2:$D$1146,$A188)</f>
        <v>-220.2</v>
      </c>
      <c r="G188" s="31" t="n">
        <f aca="false">SUMIFS(Trades!$X$2:$X$1146,Trades!$D$2:$D$1146,$A188,Trades!$X$2:$X$1146,"&gt;0")</f>
        <v>0</v>
      </c>
      <c r="H188" s="31" t="n">
        <f aca="false">SUMIFS(Trades!$X$2:$X$1146,Trades!$D$2:$D$1146,$A188,Trades!$X$2:$X$1146,"&lt;0")</f>
        <v>-220.2</v>
      </c>
      <c r="I188" s="32" t="n">
        <f aca="false">IFERROR(G188/-H188,"no loss")</f>
        <v>0</v>
      </c>
      <c r="J188" s="31" t="n">
        <f aca="false">_xlfn.MAXIFS(Trades!$X$2:$X$1146,Trades!$D$2:$D$1146,$A188)</f>
        <v>-53.85</v>
      </c>
      <c r="K188" s="31" t="n">
        <f aca="false">_xlfn.MINIFS(Trades!$X$2:$X$1146,Trades!$D$2:$D$1146,$A188)</f>
        <v>-166.35</v>
      </c>
      <c r="L188" s="33" t="n">
        <f aca="false">SUMIFS(Trades!$Y$2:$Y$1146,Trades!$D$2:$D$1146,$A188)</f>
        <v>-2.00767895148922</v>
      </c>
      <c r="M188" s="31" t="n">
        <f aca="false">P187</f>
        <v>12662.4</v>
      </c>
      <c r="N188" s="30" t="n">
        <f aca="false">IFERROR(F188/M188,0)</f>
        <v>-0.0173900682335102</v>
      </c>
      <c r="O188" s="29" t="str">
        <f aca="false">IF(-N188&gt;=Summary!$C$7,"BREACH","")</f>
        <v/>
      </c>
      <c r="P188" s="31" t="n">
        <f aca="false">M188+F188</f>
        <v>12442.2</v>
      </c>
      <c r="Q188" s="31" t="n">
        <f aca="false">P188-Summary!$C$5</f>
        <v>2442.2</v>
      </c>
      <c r="R188" s="2" t="str">
        <f aca="false">TEXT(A188,"ddd")</f>
        <v>Wed</v>
      </c>
    </row>
    <row r="189" customFormat="false" ht="15" hidden="false" customHeight="false" outlineLevel="0" collapsed="false">
      <c r="A189" s="43" t="n">
        <v>44952</v>
      </c>
      <c r="B189" s="29" t="n">
        <f aca="false">COUNTIFS(Trades!$D$2:$D$1146,$A189)</f>
        <v>1</v>
      </c>
      <c r="C189" s="29" t="n">
        <f aca="false">COUNTIFS(Trades!$D$2:$D$1146,$A189,Trades!$Z$2:$Z$1146,"Win")</f>
        <v>1</v>
      </c>
      <c r="D189" s="29" t="n">
        <f aca="false">COUNTIFS(Trades!$D$2:$D$1146,$A189,Trades!$Z$2:$Z$1146,"Loss")</f>
        <v>0</v>
      </c>
      <c r="E189" s="30" t="n">
        <f aca="false">IFERROR(C189/B189,0)</f>
        <v>1</v>
      </c>
      <c r="F189" s="31" t="n">
        <f aca="false">SUMIFS(Trades!$X$2:$X$1146,Trades!$D$2:$D$1146,$A189)</f>
        <v>60.5</v>
      </c>
      <c r="G189" s="31" t="n">
        <f aca="false">SUMIFS(Trades!$X$2:$X$1146,Trades!$D$2:$D$1146,$A189,Trades!$X$2:$X$1146,"&gt;0")</f>
        <v>60.5</v>
      </c>
      <c r="H189" s="31" t="n">
        <f aca="false">SUMIFS(Trades!$X$2:$X$1146,Trades!$D$2:$D$1146,$A189,Trades!$X$2:$X$1146,"&lt;0")</f>
        <v>0</v>
      </c>
      <c r="I189" s="32" t="str">
        <f aca="false">IFERROR(G189/-H189,"no loss")</f>
        <v>no loss</v>
      </c>
      <c r="J189" s="31" t="n">
        <f aca="false">_xlfn.MAXIFS(Trades!$X$2:$X$1146,Trades!$D$2:$D$1146,$A189)</f>
        <v>60.5</v>
      </c>
      <c r="K189" s="31" t="n">
        <f aca="false">_xlfn.MINIFS(Trades!$X$2:$X$1146,Trades!$D$2:$D$1146,$A189)</f>
        <v>60.5</v>
      </c>
      <c r="L189" s="33" t="n">
        <f aca="false">SUMIFS(Trades!$Y$2:$Y$1146,Trades!$D$2:$D$1146,$A189)</f>
        <v>2.50517598343689</v>
      </c>
      <c r="M189" s="31" t="n">
        <f aca="false">P188</f>
        <v>12442.2</v>
      </c>
      <c r="N189" s="30" t="n">
        <f aca="false">IFERROR(F189/M189,0)</f>
        <v>0.00486248412660141</v>
      </c>
      <c r="O189" s="29" t="str">
        <f aca="false">IF(-N189&gt;=Summary!$C$7,"BREACH","")</f>
        <v/>
      </c>
      <c r="P189" s="31" t="n">
        <f aca="false">M189+F189</f>
        <v>12502.7</v>
      </c>
      <c r="Q189" s="31" t="n">
        <f aca="false">P189-Summary!$C$5</f>
        <v>2502.7</v>
      </c>
      <c r="R189" s="2" t="str">
        <f aca="false">TEXT(A189,"ddd")</f>
        <v>Thu</v>
      </c>
    </row>
    <row r="190" customFormat="false" ht="15" hidden="false" customHeight="false" outlineLevel="0" collapsed="false">
      <c r="A190" s="43" t="n">
        <v>44953</v>
      </c>
      <c r="B190" s="29" t="n">
        <f aca="false">COUNTIFS(Trades!$D$2:$D$1146,$A190)</f>
        <v>1</v>
      </c>
      <c r="C190" s="29" t="n">
        <f aca="false">COUNTIFS(Trades!$D$2:$D$1146,$A190,Trades!$Z$2:$Z$1146,"Win")</f>
        <v>0</v>
      </c>
      <c r="D190" s="29" t="n">
        <f aca="false">COUNTIFS(Trades!$D$2:$D$1146,$A190,Trades!$Z$2:$Z$1146,"Loss")</f>
        <v>0</v>
      </c>
      <c r="E190" s="30" t="n">
        <f aca="false">IFERROR(C190/B190,0)</f>
        <v>0</v>
      </c>
      <c r="F190" s="31" t="n">
        <f aca="false">SUMIFS(Trades!$X$2:$X$1146,Trades!$D$2:$D$1146,$A190)</f>
        <v>0</v>
      </c>
      <c r="G190" s="31" t="n">
        <f aca="false">SUMIFS(Trades!$X$2:$X$1146,Trades!$D$2:$D$1146,$A190,Trades!$X$2:$X$1146,"&gt;0")</f>
        <v>0</v>
      </c>
      <c r="H190" s="31" t="n">
        <f aca="false">SUMIFS(Trades!$X$2:$X$1146,Trades!$D$2:$D$1146,$A190,Trades!$X$2:$X$1146,"&lt;0")</f>
        <v>0</v>
      </c>
      <c r="I190" s="32" t="str">
        <f aca="false">IFERROR(G190/-H190,"no loss")</f>
        <v>no loss</v>
      </c>
      <c r="J190" s="31" t="n">
        <f aca="false">_xlfn.MAXIFS(Trades!$X$2:$X$1146,Trades!$D$2:$D$1146,$A190)</f>
        <v>0</v>
      </c>
      <c r="K190" s="31" t="n">
        <f aca="false">_xlfn.MINIFS(Trades!$X$2:$X$1146,Trades!$D$2:$D$1146,$A190)</f>
        <v>0</v>
      </c>
      <c r="L190" s="33" t="n">
        <f aca="false">SUMIFS(Trades!$Y$2:$Y$1146,Trades!$D$2:$D$1146,$A190)</f>
        <v>0</v>
      </c>
      <c r="M190" s="31" t="n">
        <f aca="false">P189</f>
        <v>12502.7</v>
      </c>
      <c r="N190" s="30" t="n">
        <f aca="false">IFERROR(F190/M190,0)</f>
        <v>0</v>
      </c>
      <c r="O190" s="29" t="str">
        <f aca="false">IF(-N190&gt;=Summary!$C$7,"BREACH","")</f>
        <v/>
      </c>
      <c r="P190" s="31" t="n">
        <f aca="false">M190+F190</f>
        <v>12502.7</v>
      </c>
      <c r="Q190" s="31" t="n">
        <f aca="false">P190-Summary!$C$5</f>
        <v>2502.7</v>
      </c>
      <c r="R190" s="2" t="str">
        <f aca="false">TEXT(A190,"ddd")</f>
        <v>Fri</v>
      </c>
    </row>
    <row r="191" customFormat="false" ht="15" hidden="false" customHeight="false" outlineLevel="0" collapsed="false">
      <c r="A191" s="43" t="n">
        <v>44956</v>
      </c>
      <c r="B191" s="29" t="n">
        <f aca="false">COUNTIFS(Trades!$D$2:$D$1146,$A191)</f>
        <v>1</v>
      </c>
      <c r="C191" s="29" t="n">
        <f aca="false">COUNTIFS(Trades!$D$2:$D$1146,$A191,Trades!$Z$2:$Z$1146,"Win")</f>
        <v>0</v>
      </c>
      <c r="D191" s="29" t="n">
        <f aca="false">COUNTIFS(Trades!$D$2:$D$1146,$A191,Trades!$Z$2:$Z$1146,"Loss")</f>
        <v>1</v>
      </c>
      <c r="E191" s="30" t="n">
        <f aca="false">IFERROR(C191/B191,0)</f>
        <v>0</v>
      </c>
      <c r="F191" s="31" t="n">
        <f aca="false">SUMIFS(Trades!$X$2:$X$1146,Trades!$D$2:$D$1146,$A191)</f>
        <v>-0.1</v>
      </c>
      <c r="G191" s="31" t="n">
        <f aca="false">SUMIFS(Trades!$X$2:$X$1146,Trades!$D$2:$D$1146,$A191,Trades!$X$2:$X$1146,"&gt;0")</f>
        <v>0</v>
      </c>
      <c r="H191" s="31" t="n">
        <f aca="false">SUMIFS(Trades!$X$2:$X$1146,Trades!$D$2:$D$1146,$A191,Trades!$X$2:$X$1146,"&lt;0")</f>
        <v>-0.1</v>
      </c>
      <c r="I191" s="32" t="n">
        <f aca="false">IFERROR(G191/-H191,"no loss")</f>
        <v>0</v>
      </c>
      <c r="J191" s="31" t="n">
        <f aca="false">_xlfn.MAXIFS(Trades!$X$2:$X$1146,Trades!$D$2:$D$1146,$A191)</f>
        <v>-0.1</v>
      </c>
      <c r="K191" s="31" t="n">
        <f aca="false">_xlfn.MINIFS(Trades!$X$2:$X$1146,Trades!$D$2:$D$1146,$A191)</f>
        <v>-0.1</v>
      </c>
      <c r="L191" s="33" t="n">
        <f aca="false">SUMIFS(Trades!$Y$2:$Y$1146,Trades!$D$2:$D$1146,$A191)</f>
        <v>-0.00148478099480334</v>
      </c>
      <c r="M191" s="31" t="n">
        <f aca="false">P190</f>
        <v>12502.7</v>
      </c>
      <c r="N191" s="30" t="n">
        <f aca="false">IFERROR(F191/M191,0)</f>
        <v>-7.9982723731674E-006</v>
      </c>
      <c r="O191" s="29" t="str">
        <f aca="false">IF(-N191&gt;=Summary!$C$7,"BREACH","")</f>
        <v/>
      </c>
      <c r="P191" s="31" t="n">
        <f aca="false">M191+F191</f>
        <v>12502.6</v>
      </c>
      <c r="Q191" s="31" t="n">
        <f aca="false">P191-Summary!$C$5</f>
        <v>2502.6</v>
      </c>
      <c r="R191" s="2" t="str">
        <f aca="false">TEXT(A191,"ddd")</f>
        <v>Mon</v>
      </c>
    </row>
    <row r="192" customFormat="false" ht="15" hidden="false" customHeight="false" outlineLevel="0" collapsed="false">
      <c r="A192" s="43" t="n">
        <v>44957</v>
      </c>
      <c r="B192" s="29" t="n">
        <f aca="false">COUNTIFS(Trades!$D$2:$D$1146,$A192)</f>
        <v>1</v>
      </c>
      <c r="C192" s="29" t="n">
        <f aca="false">COUNTIFS(Trades!$D$2:$D$1146,$A192,Trades!$Z$2:$Z$1146,"Win")</f>
        <v>0</v>
      </c>
      <c r="D192" s="29" t="n">
        <f aca="false">COUNTIFS(Trades!$D$2:$D$1146,$A192,Trades!$Z$2:$Z$1146,"Loss")</f>
        <v>0</v>
      </c>
      <c r="E192" s="30" t="n">
        <f aca="false">IFERROR(C192/B192,0)</f>
        <v>0</v>
      </c>
      <c r="F192" s="31" t="n">
        <f aca="false">SUMIFS(Trades!$X$2:$X$1146,Trades!$D$2:$D$1146,$A192)</f>
        <v>0</v>
      </c>
      <c r="G192" s="31" t="n">
        <f aca="false">SUMIFS(Trades!$X$2:$X$1146,Trades!$D$2:$D$1146,$A192,Trades!$X$2:$X$1146,"&gt;0")</f>
        <v>0</v>
      </c>
      <c r="H192" s="31" t="n">
        <f aca="false">SUMIFS(Trades!$X$2:$X$1146,Trades!$D$2:$D$1146,$A192,Trades!$X$2:$X$1146,"&lt;0")</f>
        <v>0</v>
      </c>
      <c r="I192" s="32" t="str">
        <f aca="false">IFERROR(G192/-H192,"no loss")</f>
        <v>no loss</v>
      </c>
      <c r="J192" s="31" t="n">
        <f aca="false">_xlfn.MAXIFS(Trades!$X$2:$X$1146,Trades!$D$2:$D$1146,$A192)</f>
        <v>0</v>
      </c>
      <c r="K192" s="31" t="n">
        <f aca="false">_xlfn.MINIFS(Trades!$X$2:$X$1146,Trades!$D$2:$D$1146,$A192)</f>
        <v>0</v>
      </c>
      <c r="L192" s="33" t="n">
        <f aca="false">SUMIFS(Trades!$Y$2:$Y$1146,Trades!$D$2:$D$1146,$A192)</f>
        <v>0</v>
      </c>
      <c r="M192" s="31" t="n">
        <f aca="false">P191</f>
        <v>12502.6</v>
      </c>
      <c r="N192" s="30" t="n">
        <f aca="false">IFERROR(F192/M192,0)</f>
        <v>0</v>
      </c>
      <c r="O192" s="29" t="str">
        <f aca="false">IF(-N192&gt;=Summary!$C$7,"BREACH","")</f>
        <v/>
      </c>
      <c r="P192" s="31" t="n">
        <f aca="false">M192+F192</f>
        <v>12502.6</v>
      </c>
      <c r="Q192" s="31" t="n">
        <f aca="false">P192-Summary!$C$5</f>
        <v>2502.6</v>
      </c>
      <c r="R192" s="2" t="str">
        <f aca="false">TEXT(A192,"ddd")</f>
        <v>Tue</v>
      </c>
    </row>
    <row r="193" customFormat="false" ht="15" hidden="false" customHeight="false" outlineLevel="0" collapsed="false">
      <c r="A193" s="43" t="n">
        <v>44958</v>
      </c>
      <c r="B193" s="29" t="n">
        <f aca="false">COUNTIFS(Trades!$D$2:$D$1146,$A193)</f>
        <v>1</v>
      </c>
      <c r="C193" s="29" t="n">
        <f aca="false">COUNTIFS(Trades!$D$2:$D$1146,$A193,Trades!$Z$2:$Z$1146,"Win")</f>
        <v>0</v>
      </c>
      <c r="D193" s="29" t="n">
        <f aca="false">COUNTIFS(Trades!$D$2:$D$1146,$A193,Trades!$Z$2:$Z$1146,"Loss")</f>
        <v>1</v>
      </c>
      <c r="E193" s="30" t="n">
        <f aca="false">IFERROR(C193/B193,0)</f>
        <v>0</v>
      </c>
      <c r="F193" s="31" t="n">
        <f aca="false">SUMIFS(Trades!$X$2:$X$1146,Trades!$D$2:$D$1146,$A193)</f>
        <v>-23.3</v>
      </c>
      <c r="G193" s="31" t="n">
        <f aca="false">SUMIFS(Trades!$X$2:$X$1146,Trades!$D$2:$D$1146,$A193,Trades!$X$2:$X$1146,"&gt;0")</f>
        <v>0</v>
      </c>
      <c r="H193" s="31" t="n">
        <f aca="false">SUMIFS(Trades!$X$2:$X$1146,Trades!$D$2:$D$1146,$A193,Trades!$X$2:$X$1146,"&lt;0")</f>
        <v>-23.3</v>
      </c>
      <c r="I193" s="32" t="n">
        <f aca="false">IFERROR(G193/-H193,"no loss")</f>
        <v>0</v>
      </c>
      <c r="J193" s="31" t="n">
        <f aca="false">_xlfn.MAXIFS(Trades!$X$2:$X$1146,Trades!$D$2:$D$1146,$A193)</f>
        <v>-23.3</v>
      </c>
      <c r="K193" s="31" t="n">
        <f aca="false">_xlfn.MINIFS(Trades!$X$2:$X$1146,Trades!$D$2:$D$1146,$A193)</f>
        <v>-23.3</v>
      </c>
      <c r="L193" s="33" t="n">
        <f aca="false">SUMIFS(Trades!$Y$2:$Y$1146,Trades!$D$2:$D$1146,$A193)</f>
        <v>-1.01969365426702</v>
      </c>
      <c r="M193" s="31" t="n">
        <f aca="false">P192</f>
        <v>12502.6</v>
      </c>
      <c r="N193" s="30" t="n">
        <f aca="false">IFERROR(F193/M193,0)</f>
        <v>-0.00186361236862733</v>
      </c>
      <c r="O193" s="29" t="str">
        <f aca="false">IF(-N193&gt;=Summary!$C$7,"BREACH","")</f>
        <v/>
      </c>
      <c r="P193" s="31" t="n">
        <f aca="false">M193+F193</f>
        <v>12479.3</v>
      </c>
      <c r="Q193" s="31" t="n">
        <f aca="false">P193-Summary!$C$5</f>
        <v>2479.3</v>
      </c>
      <c r="R193" s="2" t="str">
        <f aca="false">TEXT(A193,"ddd")</f>
        <v>Wed</v>
      </c>
    </row>
    <row r="194" customFormat="false" ht="15" hidden="false" customHeight="false" outlineLevel="0" collapsed="false">
      <c r="A194" s="43" t="n">
        <v>44959</v>
      </c>
      <c r="B194" s="29" t="n">
        <f aca="false">COUNTIFS(Trades!$D$2:$D$1146,$A194)</f>
        <v>1</v>
      </c>
      <c r="C194" s="29" t="n">
        <f aca="false">COUNTIFS(Trades!$D$2:$D$1146,$A194,Trades!$Z$2:$Z$1146,"Win")</f>
        <v>1</v>
      </c>
      <c r="D194" s="29" t="n">
        <f aca="false">COUNTIFS(Trades!$D$2:$D$1146,$A194,Trades!$Z$2:$Z$1146,"Loss")</f>
        <v>0</v>
      </c>
      <c r="E194" s="30" t="n">
        <f aca="false">IFERROR(C194/B194,0)</f>
        <v>1</v>
      </c>
      <c r="F194" s="31" t="n">
        <f aca="false">SUMIFS(Trades!$X$2:$X$1146,Trades!$D$2:$D$1146,$A194)</f>
        <v>162.35</v>
      </c>
      <c r="G194" s="31" t="n">
        <f aca="false">SUMIFS(Trades!$X$2:$X$1146,Trades!$D$2:$D$1146,$A194,Trades!$X$2:$X$1146,"&gt;0")</f>
        <v>162.35</v>
      </c>
      <c r="H194" s="31" t="n">
        <f aca="false">SUMIFS(Trades!$X$2:$X$1146,Trades!$D$2:$D$1146,$A194,Trades!$X$2:$X$1146,"&lt;0")</f>
        <v>0</v>
      </c>
      <c r="I194" s="32" t="str">
        <f aca="false">IFERROR(G194/-H194,"no loss")</f>
        <v>no loss</v>
      </c>
      <c r="J194" s="31" t="n">
        <f aca="false">_xlfn.MAXIFS(Trades!$X$2:$X$1146,Trades!$D$2:$D$1146,$A194)</f>
        <v>162.35</v>
      </c>
      <c r="K194" s="31" t="n">
        <f aca="false">_xlfn.MINIFS(Trades!$X$2:$X$1146,Trades!$D$2:$D$1146,$A194)</f>
        <v>162.35</v>
      </c>
      <c r="L194" s="33" t="n">
        <f aca="false">SUMIFS(Trades!$Y$2:$Y$1146,Trades!$D$2:$D$1146,$A194)</f>
        <v>2.48621745788677</v>
      </c>
      <c r="M194" s="31" t="n">
        <f aca="false">P193</f>
        <v>12479.3</v>
      </c>
      <c r="N194" s="30" t="n">
        <f aca="false">IFERROR(F194/M194,0)</f>
        <v>0.0130095438045403</v>
      </c>
      <c r="O194" s="29" t="str">
        <f aca="false">IF(-N194&gt;=Summary!$C$7,"BREACH","")</f>
        <v/>
      </c>
      <c r="P194" s="31" t="n">
        <f aca="false">M194+F194</f>
        <v>12641.65</v>
      </c>
      <c r="Q194" s="31" t="n">
        <f aca="false">P194-Summary!$C$5</f>
        <v>2641.65</v>
      </c>
      <c r="R194" s="2" t="str">
        <f aca="false">TEXT(A194,"ddd")</f>
        <v>Thu</v>
      </c>
    </row>
    <row r="195" customFormat="false" ht="15" hidden="false" customHeight="false" outlineLevel="0" collapsed="false">
      <c r="A195" s="43" t="n">
        <v>44963</v>
      </c>
      <c r="B195" s="29" t="n">
        <f aca="false">COUNTIFS(Trades!$D$2:$D$1146,$A195)</f>
        <v>1</v>
      </c>
      <c r="C195" s="29" t="n">
        <f aca="false">COUNTIFS(Trades!$D$2:$D$1146,$A195,Trades!$Z$2:$Z$1146,"Win")</f>
        <v>0</v>
      </c>
      <c r="D195" s="29" t="n">
        <f aca="false">COUNTIFS(Trades!$D$2:$D$1146,$A195,Trades!$Z$2:$Z$1146,"Loss")</f>
        <v>1</v>
      </c>
      <c r="E195" s="30" t="n">
        <f aca="false">IFERROR(C195/B195,0)</f>
        <v>0</v>
      </c>
      <c r="F195" s="31" t="n">
        <f aca="false">SUMIFS(Trades!$X$2:$X$1146,Trades!$D$2:$D$1146,$A195)</f>
        <v>-28.85</v>
      </c>
      <c r="G195" s="31" t="n">
        <f aca="false">SUMIFS(Trades!$X$2:$X$1146,Trades!$D$2:$D$1146,$A195,Trades!$X$2:$X$1146,"&gt;0")</f>
        <v>0</v>
      </c>
      <c r="H195" s="31" t="n">
        <f aca="false">SUMIFS(Trades!$X$2:$X$1146,Trades!$D$2:$D$1146,$A195,Trades!$X$2:$X$1146,"&lt;0")</f>
        <v>-28.85</v>
      </c>
      <c r="I195" s="32" t="n">
        <f aca="false">IFERROR(G195/-H195,"no loss")</f>
        <v>0</v>
      </c>
      <c r="J195" s="31" t="n">
        <f aca="false">_xlfn.MAXIFS(Trades!$X$2:$X$1146,Trades!$D$2:$D$1146,$A195)</f>
        <v>-28.85</v>
      </c>
      <c r="K195" s="31" t="n">
        <f aca="false">_xlfn.MINIFS(Trades!$X$2:$X$1146,Trades!$D$2:$D$1146,$A195)</f>
        <v>-28.85</v>
      </c>
      <c r="L195" s="33" t="n">
        <f aca="false">SUMIFS(Trades!$Y$2:$Y$1146,Trades!$D$2:$D$1146,$A195)</f>
        <v>-1.0665434380773</v>
      </c>
      <c r="M195" s="31" t="n">
        <f aca="false">P194</f>
        <v>12641.65</v>
      </c>
      <c r="N195" s="30" t="n">
        <f aca="false">IFERROR(F195/M195,0)</f>
        <v>-0.00228213880308346</v>
      </c>
      <c r="O195" s="29" t="str">
        <f aca="false">IF(-N195&gt;=Summary!$C$7,"BREACH","")</f>
        <v/>
      </c>
      <c r="P195" s="31" t="n">
        <f aca="false">M195+F195</f>
        <v>12612.8</v>
      </c>
      <c r="Q195" s="31" t="n">
        <f aca="false">P195-Summary!$C$5</f>
        <v>2612.8</v>
      </c>
      <c r="R195" s="2" t="str">
        <f aca="false">TEXT(A195,"ddd")</f>
        <v>Mon</v>
      </c>
    </row>
    <row r="196" customFormat="false" ht="15" hidden="false" customHeight="false" outlineLevel="0" collapsed="false">
      <c r="A196" s="43" t="n">
        <v>44964</v>
      </c>
      <c r="B196" s="29" t="n">
        <f aca="false">COUNTIFS(Trades!$D$2:$D$1146,$A196)</f>
        <v>1</v>
      </c>
      <c r="C196" s="29" t="n">
        <f aca="false">COUNTIFS(Trades!$D$2:$D$1146,$A196,Trades!$Z$2:$Z$1146,"Win")</f>
        <v>0</v>
      </c>
      <c r="D196" s="29" t="n">
        <f aca="false">COUNTIFS(Trades!$D$2:$D$1146,$A196,Trades!$Z$2:$Z$1146,"Loss")</f>
        <v>1</v>
      </c>
      <c r="E196" s="30" t="n">
        <f aca="false">IFERROR(C196/B196,0)</f>
        <v>0</v>
      </c>
      <c r="F196" s="31" t="n">
        <f aca="false">SUMIFS(Trades!$X$2:$X$1146,Trades!$D$2:$D$1146,$A196)</f>
        <v>-88.8</v>
      </c>
      <c r="G196" s="31" t="n">
        <f aca="false">SUMIFS(Trades!$X$2:$X$1146,Trades!$D$2:$D$1146,$A196,Trades!$X$2:$X$1146,"&gt;0")</f>
        <v>0</v>
      </c>
      <c r="H196" s="31" t="n">
        <f aca="false">SUMIFS(Trades!$X$2:$X$1146,Trades!$D$2:$D$1146,$A196,Trades!$X$2:$X$1146,"&lt;0")</f>
        <v>-88.8</v>
      </c>
      <c r="I196" s="32" t="n">
        <f aca="false">IFERROR(G196/-H196,"no loss")</f>
        <v>0</v>
      </c>
      <c r="J196" s="31" t="n">
        <f aca="false">_xlfn.MAXIFS(Trades!$X$2:$X$1146,Trades!$D$2:$D$1146,$A196)</f>
        <v>-88.8</v>
      </c>
      <c r="K196" s="31" t="n">
        <f aca="false">_xlfn.MINIFS(Trades!$X$2:$X$1146,Trades!$D$2:$D$1146,$A196)</f>
        <v>-88.8</v>
      </c>
      <c r="L196" s="33" t="n">
        <f aca="false">SUMIFS(Trades!$Y$2:$Y$1146,Trades!$D$2:$D$1146,$A196)</f>
        <v>-1.00112739571591</v>
      </c>
      <c r="M196" s="31" t="n">
        <f aca="false">P195</f>
        <v>12612.8</v>
      </c>
      <c r="N196" s="30" t="n">
        <f aca="false">IFERROR(F196/M196,0)</f>
        <v>-0.00704046682734999</v>
      </c>
      <c r="O196" s="29" t="str">
        <f aca="false">IF(-N196&gt;=Summary!$C$7,"BREACH","")</f>
        <v/>
      </c>
      <c r="P196" s="31" t="n">
        <f aca="false">M196+F196</f>
        <v>12524</v>
      </c>
      <c r="Q196" s="31" t="n">
        <f aca="false">P196-Summary!$C$5</f>
        <v>2524</v>
      </c>
      <c r="R196" s="2" t="str">
        <f aca="false">TEXT(A196,"ddd")</f>
        <v>Tue</v>
      </c>
    </row>
    <row r="197" customFormat="false" ht="15" hidden="false" customHeight="false" outlineLevel="0" collapsed="false">
      <c r="A197" s="43" t="n">
        <v>44966</v>
      </c>
      <c r="B197" s="29" t="n">
        <f aca="false">COUNTIFS(Trades!$D$2:$D$1146,$A197)</f>
        <v>1</v>
      </c>
      <c r="C197" s="29" t="n">
        <f aca="false">COUNTIFS(Trades!$D$2:$D$1146,$A197,Trades!$Z$2:$Z$1146,"Win")</f>
        <v>0</v>
      </c>
      <c r="D197" s="29" t="n">
        <f aca="false">COUNTIFS(Trades!$D$2:$D$1146,$A197,Trades!$Z$2:$Z$1146,"Loss")</f>
        <v>1</v>
      </c>
      <c r="E197" s="30" t="n">
        <f aca="false">IFERROR(C197/B197,0)</f>
        <v>0</v>
      </c>
      <c r="F197" s="31" t="n">
        <f aca="false">SUMIFS(Trades!$X$2:$X$1146,Trades!$D$2:$D$1146,$A197)</f>
        <v>-51.4</v>
      </c>
      <c r="G197" s="31" t="n">
        <f aca="false">SUMIFS(Trades!$X$2:$X$1146,Trades!$D$2:$D$1146,$A197,Trades!$X$2:$X$1146,"&gt;0")</f>
        <v>0</v>
      </c>
      <c r="H197" s="31" t="n">
        <f aca="false">SUMIFS(Trades!$X$2:$X$1146,Trades!$D$2:$D$1146,$A197,Trades!$X$2:$X$1146,"&lt;0")</f>
        <v>-51.4</v>
      </c>
      <c r="I197" s="32" t="n">
        <f aca="false">IFERROR(G197/-H197,"no loss")</f>
        <v>0</v>
      </c>
      <c r="J197" s="31" t="n">
        <f aca="false">_xlfn.MAXIFS(Trades!$X$2:$X$1146,Trades!$D$2:$D$1146,$A197)</f>
        <v>-51.4</v>
      </c>
      <c r="K197" s="31" t="n">
        <f aca="false">_xlfn.MINIFS(Trades!$X$2:$X$1146,Trades!$D$2:$D$1146,$A197)</f>
        <v>-51.4</v>
      </c>
      <c r="L197" s="33" t="n">
        <f aca="false">SUMIFS(Trades!$Y$2:$Y$1146,Trades!$D$2:$D$1146,$A197)</f>
        <v>-1.00194931773877</v>
      </c>
      <c r="M197" s="31" t="n">
        <f aca="false">P196</f>
        <v>12524</v>
      </c>
      <c r="N197" s="30" t="n">
        <f aca="false">IFERROR(F197/M197,0)</f>
        <v>-0.0041041200894283</v>
      </c>
      <c r="O197" s="29" t="str">
        <f aca="false">IF(-N197&gt;=Summary!$C$7,"BREACH","")</f>
        <v/>
      </c>
      <c r="P197" s="31" t="n">
        <f aca="false">M197+F197</f>
        <v>12472.6</v>
      </c>
      <c r="Q197" s="31" t="n">
        <f aca="false">P197-Summary!$C$5</f>
        <v>2472.6</v>
      </c>
      <c r="R197" s="2" t="str">
        <f aca="false">TEXT(A197,"ddd")</f>
        <v>Thu</v>
      </c>
    </row>
    <row r="198" customFormat="false" ht="15" hidden="false" customHeight="false" outlineLevel="0" collapsed="false">
      <c r="A198" s="43" t="n">
        <v>44967</v>
      </c>
      <c r="B198" s="29" t="n">
        <f aca="false">COUNTIFS(Trades!$D$2:$D$1146,$A198)</f>
        <v>1</v>
      </c>
      <c r="C198" s="29" t="n">
        <f aca="false">COUNTIFS(Trades!$D$2:$D$1146,$A198,Trades!$Z$2:$Z$1146,"Win")</f>
        <v>1</v>
      </c>
      <c r="D198" s="29" t="n">
        <f aca="false">COUNTIFS(Trades!$D$2:$D$1146,$A198,Trades!$Z$2:$Z$1146,"Loss")</f>
        <v>0</v>
      </c>
      <c r="E198" s="30" t="n">
        <f aca="false">IFERROR(C198/B198,0)</f>
        <v>1</v>
      </c>
      <c r="F198" s="31" t="n">
        <f aca="false">SUMIFS(Trades!$X$2:$X$1146,Trades!$D$2:$D$1146,$A198)</f>
        <v>130.2</v>
      </c>
      <c r="G198" s="31" t="n">
        <f aca="false">SUMIFS(Trades!$X$2:$X$1146,Trades!$D$2:$D$1146,$A198,Trades!$X$2:$X$1146,"&gt;0")</f>
        <v>130.2</v>
      </c>
      <c r="H198" s="31" t="n">
        <f aca="false">SUMIFS(Trades!$X$2:$X$1146,Trades!$D$2:$D$1146,$A198,Trades!$X$2:$X$1146,"&lt;0")</f>
        <v>0</v>
      </c>
      <c r="I198" s="32" t="str">
        <f aca="false">IFERROR(G198/-H198,"no loss")</f>
        <v>no loss</v>
      </c>
      <c r="J198" s="31" t="n">
        <f aca="false">_xlfn.MAXIFS(Trades!$X$2:$X$1146,Trades!$D$2:$D$1146,$A198)</f>
        <v>130.2</v>
      </c>
      <c r="K198" s="31" t="n">
        <f aca="false">_xlfn.MINIFS(Trades!$X$2:$X$1146,Trades!$D$2:$D$1146,$A198)</f>
        <v>130.2</v>
      </c>
      <c r="L198" s="33" t="n">
        <f aca="false">SUMIFS(Trades!$Y$2:$Y$1146,Trades!$D$2:$D$1146,$A198)</f>
        <v>2.73529411764746</v>
      </c>
      <c r="M198" s="31" t="n">
        <f aca="false">P197</f>
        <v>12472.6</v>
      </c>
      <c r="N198" s="30" t="n">
        <f aca="false">IFERROR(F198/M198,0)</f>
        <v>0.0104388820294085</v>
      </c>
      <c r="O198" s="29" t="str">
        <f aca="false">IF(-N198&gt;=Summary!$C$7,"BREACH","")</f>
        <v/>
      </c>
      <c r="P198" s="31" t="n">
        <f aca="false">M198+F198</f>
        <v>12602.8</v>
      </c>
      <c r="Q198" s="31" t="n">
        <f aca="false">P198-Summary!$C$5</f>
        <v>2602.8</v>
      </c>
      <c r="R198" s="2" t="str">
        <f aca="false">TEXT(A198,"ddd")</f>
        <v>Fri</v>
      </c>
    </row>
    <row r="199" customFormat="false" ht="15" hidden="false" customHeight="false" outlineLevel="0" collapsed="false">
      <c r="A199" s="43" t="n">
        <v>44970</v>
      </c>
      <c r="B199" s="29" t="n">
        <f aca="false">COUNTIFS(Trades!$D$2:$D$1146,$A199)</f>
        <v>1</v>
      </c>
      <c r="C199" s="29" t="n">
        <f aca="false">COUNTIFS(Trades!$D$2:$D$1146,$A199,Trades!$Z$2:$Z$1146,"Win")</f>
        <v>0</v>
      </c>
      <c r="D199" s="29" t="n">
        <f aca="false">COUNTIFS(Trades!$D$2:$D$1146,$A199,Trades!$Z$2:$Z$1146,"Loss")</f>
        <v>1</v>
      </c>
      <c r="E199" s="30" t="n">
        <f aca="false">IFERROR(C199/B199,0)</f>
        <v>0</v>
      </c>
      <c r="F199" s="31" t="n">
        <f aca="false">SUMIFS(Trades!$X$2:$X$1146,Trades!$D$2:$D$1146,$A199)</f>
        <v>-67.25</v>
      </c>
      <c r="G199" s="31" t="n">
        <f aca="false">SUMIFS(Trades!$X$2:$X$1146,Trades!$D$2:$D$1146,$A199,Trades!$X$2:$X$1146,"&gt;0")</f>
        <v>0</v>
      </c>
      <c r="H199" s="31" t="n">
        <f aca="false">SUMIFS(Trades!$X$2:$X$1146,Trades!$D$2:$D$1146,$A199,Trades!$X$2:$X$1146,"&lt;0")</f>
        <v>-67.25</v>
      </c>
      <c r="I199" s="32" t="n">
        <f aca="false">IFERROR(G199/-H199,"no loss")</f>
        <v>0</v>
      </c>
      <c r="J199" s="31" t="n">
        <f aca="false">_xlfn.MAXIFS(Trades!$X$2:$X$1146,Trades!$D$2:$D$1146,$A199)</f>
        <v>-67.25</v>
      </c>
      <c r="K199" s="31" t="n">
        <f aca="false">_xlfn.MINIFS(Trades!$X$2:$X$1146,Trades!$D$2:$D$1146,$A199)</f>
        <v>-67.25</v>
      </c>
      <c r="L199" s="33" t="n">
        <f aca="false">SUMIFS(Trades!$Y$2:$Y$1146,Trades!$D$2:$D$1146,$A199)</f>
        <v>-1.00074404761901</v>
      </c>
      <c r="M199" s="31" t="n">
        <f aca="false">P198</f>
        <v>12602.8</v>
      </c>
      <c r="N199" s="30" t="n">
        <f aca="false">IFERROR(F199/M199,0)</f>
        <v>-0.00533611578379408</v>
      </c>
      <c r="O199" s="29" t="str">
        <f aca="false">IF(-N199&gt;=Summary!$C$7,"BREACH","")</f>
        <v/>
      </c>
      <c r="P199" s="31" t="n">
        <f aca="false">M199+F199</f>
        <v>12535.55</v>
      </c>
      <c r="Q199" s="31" t="n">
        <f aca="false">P199-Summary!$C$5</f>
        <v>2535.55</v>
      </c>
      <c r="R199" s="2" t="str">
        <f aca="false">TEXT(A199,"ddd")</f>
        <v>Mon</v>
      </c>
    </row>
    <row r="200" customFormat="false" ht="15" hidden="false" customHeight="false" outlineLevel="0" collapsed="false">
      <c r="A200" s="43" t="n">
        <v>44971</v>
      </c>
      <c r="B200" s="29" t="n">
        <f aca="false">COUNTIFS(Trades!$D$2:$D$1146,$A200)</f>
        <v>1</v>
      </c>
      <c r="C200" s="29" t="n">
        <f aca="false">COUNTIFS(Trades!$D$2:$D$1146,$A200,Trades!$Z$2:$Z$1146,"Win")</f>
        <v>1</v>
      </c>
      <c r="D200" s="29" t="n">
        <f aca="false">COUNTIFS(Trades!$D$2:$D$1146,$A200,Trades!$Z$2:$Z$1146,"Loss")</f>
        <v>0</v>
      </c>
      <c r="E200" s="30" t="n">
        <f aca="false">IFERROR(C200/B200,0)</f>
        <v>1</v>
      </c>
      <c r="F200" s="31" t="n">
        <f aca="false">SUMIFS(Trades!$X$2:$X$1146,Trades!$D$2:$D$1146,$A200)</f>
        <v>39.35</v>
      </c>
      <c r="G200" s="31" t="n">
        <f aca="false">SUMIFS(Trades!$X$2:$X$1146,Trades!$D$2:$D$1146,$A200,Trades!$X$2:$X$1146,"&gt;0")</f>
        <v>39.35</v>
      </c>
      <c r="H200" s="31" t="n">
        <f aca="false">SUMIFS(Trades!$X$2:$X$1146,Trades!$D$2:$D$1146,$A200,Trades!$X$2:$X$1146,"&lt;0")</f>
        <v>0</v>
      </c>
      <c r="I200" s="32" t="str">
        <f aca="false">IFERROR(G200/-H200,"no loss")</f>
        <v>no loss</v>
      </c>
      <c r="J200" s="31" t="n">
        <f aca="false">_xlfn.MAXIFS(Trades!$X$2:$X$1146,Trades!$D$2:$D$1146,$A200)</f>
        <v>39.35</v>
      </c>
      <c r="K200" s="31" t="n">
        <f aca="false">_xlfn.MINIFS(Trades!$X$2:$X$1146,Trades!$D$2:$D$1146,$A200)</f>
        <v>39.35</v>
      </c>
      <c r="L200" s="33" t="n">
        <f aca="false">SUMIFS(Trades!$Y$2:$Y$1146,Trades!$D$2:$D$1146,$A200)</f>
        <v>2.60596026490029</v>
      </c>
      <c r="M200" s="31" t="n">
        <f aca="false">P199</f>
        <v>12535.55</v>
      </c>
      <c r="N200" s="30" t="n">
        <f aca="false">IFERROR(F200/M200,0)</f>
        <v>0.00313907247787293</v>
      </c>
      <c r="O200" s="29" t="str">
        <f aca="false">IF(-N200&gt;=Summary!$C$7,"BREACH","")</f>
        <v/>
      </c>
      <c r="P200" s="31" t="n">
        <f aca="false">M200+F200</f>
        <v>12574.9</v>
      </c>
      <c r="Q200" s="31" t="n">
        <f aca="false">P200-Summary!$C$5</f>
        <v>2574.9</v>
      </c>
      <c r="R200" s="2" t="str">
        <f aca="false">TEXT(A200,"ddd")</f>
        <v>Tue</v>
      </c>
    </row>
    <row r="201" customFormat="false" ht="15" hidden="false" customHeight="false" outlineLevel="0" collapsed="false">
      <c r="A201" s="43" t="n">
        <v>44972</v>
      </c>
      <c r="B201" s="29" t="n">
        <f aca="false">COUNTIFS(Trades!$D$2:$D$1146,$A201)</f>
        <v>1</v>
      </c>
      <c r="C201" s="29" t="n">
        <f aca="false">COUNTIFS(Trades!$D$2:$D$1146,$A201,Trades!$Z$2:$Z$1146,"Win")</f>
        <v>0</v>
      </c>
      <c r="D201" s="29" t="n">
        <f aca="false">COUNTIFS(Trades!$D$2:$D$1146,$A201,Trades!$Z$2:$Z$1146,"Loss")</f>
        <v>1</v>
      </c>
      <c r="E201" s="30" t="n">
        <f aca="false">IFERROR(C201/B201,0)</f>
        <v>0</v>
      </c>
      <c r="F201" s="31" t="n">
        <f aca="false">SUMIFS(Trades!$X$2:$X$1146,Trades!$D$2:$D$1146,$A201)</f>
        <v>-20.12</v>
      </c>
      <c r="G201" s="31" t="n">
        <f aca="false">SUMIFS(Trades!$X$2:$X$1146,Trades!$D$2:$D$1146,$A201,Trades!$X$2:$X$1146,"&gt;0")</f>
        <v>0</v>
      </c>
      <c r="H201" s="31" t="n">
        <f aca="false">SUMIFS(Trades!$X$2:$X$1146,Trades!$D$2:$D$1146,$A201,Trades!$X$2:$X$1146,"&lt;0")</f>
        <v>-20.12</v>
      </c>
      <c r="I201" s="32" t="n">
        <f aca="false">IFERROR(G201/-H201,"no loss")</f>
        <v>0</v>
      </c>
      <c r="J201" s="31" t="n">
        <f aca="false">_xlfn.MAXIFS(Trades!$X$2:$X$1146,Trades!$D$2:$D$1146,$A201)</f>
        <v>-20.12</v>
      </c>
      <c r="K201" s="31" t="n">
        <f aca="false">_xlfn.MINIFS(Trades!$X$2:$X$1146,Trades!$D$2:$D$1146,$A201)</f>
        <v>-20.12</v>
      </c>
      <c r="L201" s="33" t="n">
        <f aca="false">SUMIFS(Trades!$Y$2:$Y$1146,Trades!$D$2:$D$1146,$A201)</f>
        <v>-1.02235772357722</v>
      </c>
      <c r="M201" s="31" t="n">
        <f aca="false">P200</f>
        <v>12574.9</v>
      </c>
      <c r="N201" s="30" t="n">
        <f aca="false">IFERROR(F201/M201,0)</f>
        <v>-0.00160001272375923</v>
      </c>
      <c r="O201" s="29" t="str">
        <f aca="false">IF(-N201&gt;=Summary!$C$7,"BREACH","")</f>
        <v/>
      </c>
      <c r="P201" s="31" t="n">
        <f aca="false">M201+F201</f>
        <v>12554.78</v>
      </c>
      <c r="Q201" s="31" t="n">
        <f aca="false">P201-Summary!$C$5</f>
        <v>2554.78</v>
      </c>
      <c r="R201" s="2" t="str">
        <f aca="false">TEXT(A201,"ddd")</f>
        <v>Wed</v>
      </c>
    </row>
    <row r="202" customFormat="false" ht="15" hidden="false" customHeight="false" outlineLevel="0" collapsed="false">
      <c r="A202" s="43" t="n">
        <v>44973</v>
      </c>
      <c r="B202" s="29" t="n">
        <f aca="false">COUNTIFS(Trades!$D$2:$D$1146,$A202)</f>
        <v>2</v>
      </c>
      <c r="C202" s="29" t="n">
        <f aca="false">COUNTIFS(Trades!$D$2:$D$1146,$A202,Trades!$Z$2:$Z$1146,"Win")</f>
        <v>0</v>
      </c>
      <c r="D202" s="29" t="n">
        <f aca="false">COUNTIFS(Trades!$D$2:$D$1146,$A202,Trades!$Z$2:$Z$1146,"Loss")</f>
        <v>2</v>
      </c>
      <c r="E202" s="30" t="n">
        <f aca="false">IFERROR(C202/B202,0)</f>
        <v>0</v>
      </c>
      <c r="F202" s="31" t="n">
        <f aca="false">SUMIFS(Trades!$X$2:$X$1146,Trades!$D$2:$D$1146,$A202)</f>
        <v>-43.08</v>
      </c>
      <c r="G202" s="31" t="n">
        <f aca="false">SUMIFS(Trades!$X$2:$X$1146,Trades!$D$2:$D$1146,$A202,Trades!$X$2:$X$1146,"&gt;0")</f>
        <v>0</v>
      </c>
      <c r="H202" s="31" t="n">
        <f aca="false">SUMIFS(Trades!$X$2:$X$1146,Trades!$D$2:$D$1146,$A202,Trades!$X$2:$X$1146,"&lt;0")</f>
        <v>-43.08</v>
      </c>
      <c r="I202" s="32" t="n">
        <f aca="false">IFERROR(G202/-H202,"no loss")</f>
        <v>0</v>
      </c>
      <c r="J202" s="31" t="n">
        <f aca="false">_xlfn.MAXIFS(Trades!$X$2:$X$1146,Trades!$D$2:$D$1146,$A202)</f>
        <v>-1.08</v>
      </c>
      <c r="K202" s="31" t="n">
        <f aca="false">_xlfn.MINIFS(Trades!$X$2:$X$1146,Trades!$D$2:$D$1146,$A202)</f>
        <v>-42</v>
      </c>
      <c r="L202" s="33" t="n">
        <f aca="false">SUMIFS(Trades!$Y$2:$Y$1146,Trades!$D$2:$D$1146,$A202)</f>
        <v>-1.07150359371444</v>
      </c>
      <c r="M202" s="31" t="n">
        <f aca="false">P201</f>
        <v>12554.78</v>
      </c>
      <c r="N202" s="30" t="n">
        <f aca="false">IFERROR(F202/M202,0)</f>
        <v>-0.00343136239742951</v>
      </c>
      <c r="O202" s="29" t="str">
        <f aca="false">IF(-N202&gt;=Summary!$C$7,"BREACH","")</f>
        <v/>
      </c>
      <c r="P202" s="31" t="n">
        <f aca="false">M202+F202</f>
        <v>12511.7</v>
      </c>
      <c r="Q202" s="31" t="n">
        <f aca="false">P202-Summary!$C$5</f>
        <v>2511.7</v>
      </c>
      <c r="R202" s="2" t="str">
        <f aca="false">TEXT(A202,"ddd")</f>
        <v>Thu</v>
      </c>
    </row>
    <row r="203" customFormat="false" ht="15" hidden="false" customHeight="false" outlineLevel="0" collapsed="false">
      <c r="A203" s="43" t="n">
        <v>44974</v>
      </c>
      <c r="B203" s="29" t="n">
        <f aca="false">COUNTIFS(Trades!$D$2:$D$1146,$A203)</f>
        <v>1</v>
      </c>
      <c r="C203" s="29" t="n">
        <f aca="false">COUNTIFS(Trades!$D$2:$D$1146,$A203,Trades!$Z$2:$Z$1146,"Win")</f>
        <v>1</v>
      </c>
      <c r="D203" s="29" t="n">
        <f aca="false">COUNTIFS(Trades!$D$2:$D$1146,$A203,Trades!$Z$2:$Z$1146,"Loss")</f>
        <v>0</v>
      </c>
      <c r="E203" s="30" t="n">
        <f aca="false">IFERROR(C203/B203,0)</f>
        <v>1</v>
      </c>
      <c r="F203" s="31" t="n">
        <f aca="false">SUMIFS(Trades!$X$2:$X$1146,Trades!$D$2:$D$1146,$A203)</f>
        <v>129.65</v>
      </c>
      <c r="G203" s="31" t="n">
        <f aca="false">SUMIFS(Trades!$X$2:$X$1146,Trades!$D$2:$D$1146,$A203,Trades!$X$2:$X$1146,"&gt;0")</f>
        <v>129.65</v>
      </c>
      <c r="H203" s="31" t="n">
        <f aca="false">SUMIFS(Trades!$X$2:$X$1146,Trades!$D$2:$D$1146,$A203,Trades!$X$2:$X$1146,"&lt;0")</f>
        <v>0</v>
      </c>
      <c r="I203" s="32" t="str">
        <f aca="false">IFERROR(G203/-H203,"no loss")</f>
        <v>no loss</v>
      </c>
      <c r="J203" s="31" t="n">
        <f aca="false">_xlfn.MAXIFS(Trades!$X$2:$X$1146,Trades!$D$2:$D$1146,$A203)</f>
        <v>129.65</v>
      </c>
      <c r="K203" s="31" t="n">
        <f aca="false">_xlfn.MINIFS(Trades!$X$2:$X$1146,Trades!$D$2:$D$1146,$A203)</f>
        <v>129.65</v>
      </c>
      <c r="L203" s="33" t="n">
        <f aca="false">SUMIFS(Trades!$Y$2:$Y$1146,Trades!$D$2:$D$1146,$A203)</f>
        <v>2.3007985803016</v>
      </c>
      <c r="M203" s="31" t="n">
        <f aca="false">P202</f>
        <v>12511.7</v>
      </c>
      <c r="N203" s="30" t="n">
        <f aca="false">IFERROR(F203/M203,0)</f>
        <v>0.0103623008863704</v>
      </c>
      <c r="O203" s="29" t="str">
        <f aca="false">IF(-N203&gt;=Summary!$C$7,"BREACH","")</f>
        <v/>
      </c>
      <c r="P203" s="31" t="n">
        <f aca="false">M203+F203</f>
        <v>12641.35</v>
      </c>
      <c r="Q203" s="31" t="n">
        <f aca="false">P203-Summary!$C$5</f>
        <v>2641.35</v>
      </c>
      <c r="R203" s="2" t="str">
        <f aca="false">TEXT(A203,"ddd")</f>
        <v>Fri</v>
      </c>
    </row>
    <row r="204" customFormat="false" ht="15" hidden="false" customHeight="false" outlineLevel="0" collapsed="false">
      <c r="A204" s="43" t="n">
        <v>44978</v>
      </c>
      <c r="B204" s="29" t="n">
        <f aca="false">COUNTIFS(Trades!$D$2:$D$1146,$A204)</f>
        <v>1</v>
      </c>
      <c r="C204" s="29" t="n">
        <f aca="false">COUNTIFS(Trades!$D$2:$D$1146,$A204,Trades!$Z$2:$Z$1146,"Win")</f>
        <v>1</v>
      </c>
      <c r="D204" s="29" t="n">
        <f aca="false">COUNTIFS(Trades!$D$2:$D$1146,$A204,Trades!$Z$2:$Z$1146,"Loss")</f>
        <v>0</v>
      </c>
      <c r="E204" s="30" t="n">
        <f aca="false">IFERROR(C204/B204,0)</f>
        <v>1</v>
      </c>
      <c r="F204" s="31" t="n">
        <f aca="false">SUMIFS(Trades!$X$2:$X$1146,Trades!$D$2:$D$1146,$A204)</f>
        <v>60</v>
      </c>
      <c r="G204" s="31" t="n">
        <f aca="false">SUMIFS(Trades!$X$2:$X$1146,Trades!$D$2:$D$1146,$A204,Trades!$X$2:$X$1146,"&gt;0")</f>
        <v>60</v>
      </c>
      <c r="H204" s="31" t="n">
        <f aca="false">SUMIFS(Trades!$X$2:$X$1146,Trades!$D$2:$D$1146,$A204,Trades!$X$2:$X$1146,"&lt;0")</f>
        <v>0</v>
      </c>
      <c r="I204" s="32" t="str">
        <f aca="false">IFERROR(G204/-H204,"no loss")</f>
        <v>no loss</v>
      </c>
      <c r="J204" s="31" t="n">
        <f aca="false">_xlfn.MAXIFS(Trades!$X$2:$X$1146,Trades!$D$2:$D$1146,$A204)</f>
        <v>60</v>
      </c>
      <c r="K204" s="31" t="n">
        <f aca="false">_xlfn.MINIFS(Trades!$X$2:$X$1146,Trades!$D$2:$D$1146,$A204)</f>
        <v>60</v>
      </c>
      <c r="L204" s="33" t="n">
        <f aca="false">SUMIFS(Trades!$Y$2:$Y$1146,Trades!$D$2:$D$1146,$A204)</f>
        <v>2.70880361173797</v>
      </c>
      <c r="M204" s="31" t="n">
        <f aca="false">P203</f>
        <v>12641.35</v>
      </c>
      <c r="N204" s="30" t="n">
        <f aca="false">IFERROR(F204/M204,0)</f>
        <v>0.00474632851712831</v>
      </c>
      <c r="O204" s="29" t="str">
        <f aca="false">IF(-N204&gt;=Summary!$C$7,"BREACH","")</f>
        <v/>
      </c>
      <c r="P204" s="31" t="n">
        <f aca="false">M204+F204</f>
        <v>12701.35</v>
      </c>
      <c r="Q204" s="31" t="n">
        <f aca="false">P204-Summary!$C$5</f>
        <v>2701.35</v>
      </c>
      <c r="R204" s="2" t="str">
        <f aca="false">TEXT(A204,"ddd")</f>
        <v>Tue</v>
      </c>
    </row>
    <row r="205" customFormat="false" ht="15" hidden="false" customHeight="false" outlineLevel="0" collapsed="false">
      <c r="A205" s="43" t="n">
        <v>44979</v>
      </c>
      <c r="B205" s="29" t="n">
        <f aca="false">COUNTIFS(Trades!$D$2:$D$1146,$A205)</f>
        <v>1</v>
      </c>
      <c r="C205" s="29" t="n">
        <f aca="false">COUNTIFS(Trades!$D$2:$D$1146,$A205,Trades!$Z$2:$Z$1146,"Win")</f>
        <v>1</v>
      </c>
      <c r="D205" s="29" t="n">
        <f aca="false">COUNTIFS(Trades!$D$2:$D$1146,$A205,Trades!$Z$2:$Z$1146,"Loss")</f>
        <v>0</v>
      </c>
      <c r="E205" s="30" t="n">
        <f aca="false">IFERROR(C205/B205,0)</f>
        <v>1</v>
      </c>
      <c r="F205" s="31" t="n">
        <f aca="false">SUMIFS(Trades!$X$2:$X$1146,Trades!$D$2:$D$1146,$A205)</f>
        <v>76.75</v>
      </c>
      <c r="G205" s="31" t="n">
        <f aca="false">SUMIFS(Trades!$X$2:$X$1146,Trades!$D$2:$D$1146,$A205,Trades!$X$2:$X$1146,"&gt;0")</f>
        <v>76.75</v>
      </c>
      <c r="H205" s="31" t="n">
        <f aca="false">SUMIFS(Trades!$X$2:$X$1146,Trades!$D$2:$D$1146,$A205,Trades!$X$2:$X$1146,"&lt;0")</f>
        <v>0</v>
      </c>
      <c r="I205" s="32" t="str">
        <f aca="false">IFERROR(G205/-H205,"no loss")</f>
        <v>no loss</v>
      </c>
      <c r="J205" s="31" t="n">
        <f aca="false">_xlfn.MAXIFS(Trades!$X$2:$X$1146,Trades!$D$2:$D$1146,$A205)</f>
        <v>76.75</v>
      </c>
      <c r="K205" s="31" t="n">
        <f aca="false">_xlfn.MINIFS(Trades!$X$2:$X$1146,Trades!$D$2:$D$1146,$A205)</f>
        <v>76.75</v>
      </c>
      <c r="L205" s="33" t="n">
        <f aca="false">SUMIFS(Trades!$Y$2:$Y$1146,Trades!$D$2:$D$1146,$A205)</f>
        <v>2.35068912710609</v>
      </c>
      <c r="M205" s="31" t="n">
        <f aca="false">P204</f>
        <v>12701.35</v>
      </c>
      <c r="N205" s="30" t="n">
        <f aca="false">IFERROR(F205/M205,0)</f>
        <v>0.0060426647561086</v>
      </c>
      <c r="O205" s="29" t="str">
        <f aca="false">IF(-N205&gt;=Summary!$C$7,"BREACH","")</f>
        <v/>
      </c>
      <c r="P205" s="31" t="n">
        <f aca="false">M205+F205</f>
        <v>12778.1</v>
      </c>
      <c r="Q205" s="31" t="n">
        <f aca="false">P205-Summary!$C$5</f>
        <v>2778.1</v>
      </c>
      <c r="R205" s="2" t="str">
        <f aca="false">TEXT(A205,"ddd")</f>
        <v>Wed</v>
      </c>
    </row>
    <row r="206" customFormat="false" ht="15" hidden="false" customHeight="false" outlineLevel="0" collapsed="false">
      <c r="A206" s="43" t="n">
        <v>44980</v>
      </c>
      <c r="B206" s="29" t="n">
        <f aca="false">COUNTIFS(Trades!$D$2:$D$1146,$A206)</f>
        <v>2</v>
      </c>
      <c r="C206" s="29" t="n">
        <f aca="false">COUNTIFS(Trades!$D$2:$D$1146,$A206,Trades!$Z$2:$Z$1146,"Win")</f>
        <v>1</v>
      </c>
      <c r="D206" s="29" t="n">
        <f aca="false">COUNTIFS(Trades!$D$2:$D$1146,$A206,Trades!$Z$2:$Z$1146,"Loss")</f>
        <v>1</v>
      </c>
      <c r="E206" s="30" t="n">
        <f aca="false">IFERROR(C206/B206,0)</f>
        <v>0.5</v>
      </c>
      <c r="F206" s="31" t="n">
        <f aca="false">SUMIFS(Trades!$X$2:$X$1146,Trades!$D$2:$D$1146,$A206)</f>
        <v>-2.2</v>
      </c>
      <c r="G206" s="31" t="n">
        <f aca="false">SUMIFS(Trades!$X$2:$X$1146,Trades!$D$2:$D$1146,$A206,Trades!$X$2:$X$1146,"&gt;0")</f>
        <v>44.15</v>
      </c>
      <c r="H206" s="31" t="n">
        <f aca="false">SUMIFS(Trades!$X$2:$X$1146,Trades!$D$2:$D$1146,$A206,Trades!$X$2:$X$1146,"&lt;0")</f>
        <v>-46.35</v>
      </c>
      <c r="I206" s="32" t="n">
        <f aca="false">IFERROR(G206/-H206,"no loss")</f>
        <v>0.952535059331176</v>
      </c>
      <c r="J206" s="31" t="n">
        <f aca="false">_xlfn.MAXIFS(Trades!$X$2:$X$1146,Trades!$D$2:$D$1146,$A206)</f>
        <v>44.15</v>
      </c>
      <c r="K206" s="31" t="n">
        <f aca="false">_xlfn.MINIFS(Trades!$X$2:$X$1146,Trades!$D$2:$D$1146,$A206)</f>
        <v>-46.35</v>
      </c>
      <c r="L206" s="33" t="n">
        <f aca="false">SUMIFS(Trades!$Y$2:$Y$1146,Trades!$D$2:$D$1146,$A206)</f>
        <v>1.34785810090321</v>
      </c>
      <c r="M206" s="31" t="n">
        <f aca="false">P205</f>
        <v>12778.1</v>
      </c>
      <c r="N206" s="30" t="n">
        <f aca="false">IFERROR(F206/M206,0)</f>
        <v>-0.000172169571376026</v>
      </c>
      <c r="O206" s="29" t="str">
        <f aca="false">IF(-N206&gt;=Summary!$C$7,"BREACH","")</f>
        <v/>
      </c>
      <c r="P206" s="31" t="n">
        <f aca="false">M206+F206</f>
        <v>12775.9</v>
      </c>
      <c r="Q206" s="31" t="n">
        <f aca="false">P206-Summary!$C$5</f>
        <v>2775.9</v>
      </c>
      <c r="R206" s="2" t="str">
        <f aca="false">TEXT(A206,"ddd")</f>
        <v>Thu</v>
      </c>
    </row>
    <row r="207" customFormat="false" ht="15" hidden="false" customHeight="false" outlineLevel="0" collapsed="false">
      <c r="A207" s="43" t="n">
        <v>44981</v>
      </c>
      <c r="B207" s="29" t="n">
        <f aca="false">COUNTIFS(Trades!$D$2:$D$1146,$A207)</f>
        <v>1</v>
      </c>
      <c r="C207" s="29" t="n">
        <f aca="false">COUNTIFS(Trades!$D$2:$D$1146,$A207,Trades!$Z$2:$Z$1146,"Win")</f>
        <v>1</v>
      </c>
      <c r="D207" s="29" t="n">
        <f aca="false">COUNTIFS(Trades!$D$2:$D$1146,$A207,Trades!$Z$2:$Z$1146,"Loss")</f>
        <v>0</v>
      </c>
      <c r="E207" s="30" t="n">
        <f aca="false">IFERROR(C207/B207,0)</f>
        <v>1</v>
      </c>
      <c r="F207" s="31" t="n">
        <f aca="false">SUMIFS(Trades!$X$2:$X$1146,Trades!$D$2:$D$1146,$A207)</f>
        <v>215.8</v>
      </c>
      <c r="G207" s="31" t="n">
        <f aca="false">SUMIFS(Trades!$X$2:$X$1146,Trades!$D$2:$D$1146,$A207,Trades!$X$2:$X$1146,"&gt;0")</f>
        <v>215.8</v>
      </c>
      <c r="H207" s="31" t="n">
        <f aca="false">SUMIFS(Trades!$X$2:$X$1146,Trades!$D$2:$D$1146,$A207,Trades!$X$2:$X$1146,"&lt;0")</f>
        <v>0</v>
      </c>
      <c r="I207" s="32" t="str">
        <f aca="false">IFERROR(G207/-H207,"no loss")</f>
        <v>no loss</v>
      </c>
      <c r="J207" s="31" t="n">
        <f aca="false">_xlfn.MAXIFS(Trades!$X$2:$X$1146,Trades!$D$2:$D$1146,$A207)</f>
        <v>215.8</v>
      </c>
      <c r="K207" s="31" t="n">
        <f aca="false">_xlfn.MINIFS(Trades!$X$2:$X$1146,Trades!$D$2:$D$1146,$A207)</f>
        <v>215.8</v>
      </c>
      <c r="L207" s="33" t="n">
        <f aca="false">SUMIFS(Trades!$Y$2:$Y$1146,Trades!$D$2:$D$1146,$A207)</f>
        <v>2.48617511520729</v>
      </c>
      <c r="M207" s="31" t="n">
        <f aca="false">P206</f>
        <v>12775.9</v>
      </c>
      <c r="N207" s="30" t="n">
        <f aca="false">IFERROR(F207/M207,0)</f>
        <v>0.0168911779209293</v>
      </c>
      <c r="O207" s="29" t="str">
        <f aca="false">IF(-N207&gt;=Summary!$C$7,"BREACH","")</f>
        <v/>
      </c>
      <c r="P207" s="31" t="n">
        <f aca="false">M207+F207</f>
        <v>12991.7</v>
      </c>
      <c r="Q207" s="31" t="n">
        <f aca="false">P207-Summary!$C$5</f>
        <v>2991.7</v>
      </c>
      <c r="R207" s="2" t="str">
        <f aca="false">TEXT(A207,"ddd")</f>
        <v>Fri</v>
      </c>
    </row>
    <row r="208" customFormat="false" ht="15" hidden="false" customHeight="false" outlineLevel="0" collapsed="false">
      <c r="A208" s="43" t="n">
        <v>44986</v>
      </c>
      <c r="B208" s="29" t="n">
        <f aca="false">COUNTIFS(Trades!$D$2:$D$1146,$A208)</f>
        <v>1</v>
      </c>
      <c r="C208" s="29" t="n">
        <f aca="false">COUNTIFS(Trades!$D$2:$D$1146,$A208,Trades!$Z$2:$Z$1146,"Win")</f>
        <v>0</v>
      </c>
      <c r="D208" s="29" t="n">
        <f aca="false">COUNTIFS(Trades!$D$2:$D$1146,$A208,Trades!$Z$2:$Z$1146,"Loss")</f>
        <v>1</v>
      </c>
      <c r="E208" s="30" t="n">
        <f aca="false">IFERROR(C208/B208,0)</f>
        <v>0</v>
      </c>
      <c r="F208" s="31" t="n">
        <f aca="false">SUMIFS(Trades!$X$2:$X$1146,Trades!$D$2:$D$1146,$A208)</f>
        <v>-2.9</v>
      </c>
      <c r="G208" s="31" t="n">
        <f aca="false">SUMIFS(Trades!$X$2:$X$1146,Trades!$D$2:$D$1146,$A208,Trades!$X$2:$X$1146,"&gt;0")</f>
        <v>0</v>
      </c>
      <c r="H208" s="31" t="n">
        <f aca="false">SUMIFS(Trades!$X$2:$X$1146,Trades!$D$2:$D$1146,$A208,Trades!$X$2:$X$1146,"&lt;0")</f>
        <v>-2.9</v>
      </c>
      <c r="I208" s="32" t="n">
        <f aca="false">IFERROR(G208/-H208,"no loss")</f>
        <v>0</v>
      </c>
      <c r="J208" s="31" t="n">
        <f aca="false">_xlfn.MAXIFS(Trades!$X$2:$X$1146,Trades!$D$2:$D$1146,$A208)</f>
        <v>-2.9</v>
      </c>
      <c r="K208" s="31" t="n">
        <f aca="false">_xlfn.MINIFS(Trades!$X$2:$X$1146,Trades!$D$2:$D$1146,$A208)</f>
        <v>-2.9</v>
      </c>
      <c r="L208" s="33" t="n">
        <f aca="false">SUMIFS(Trades!$Y$2:$Y$1146,Trades!$D$2:$D$1146,$A208)</f>
        <v>-0.239669421487596</v>
      </c>
      <c r="M208" s="31" t="n">
        <f aca="false">P207</f>
        <v>12991.7</v>
      </c>
      <c r="N208" s="30" t="n">
        <f aca="false">IFERROR(F208/M208,0)</f>
        <v>-0.000223219440104066</v>
      </c>
      <c r="O208" s="29" t="str">
        <f aca="false">IF(-N208&gt;=Summary!$C$7,"BREACH","")</f>
        <v/>
      </c>
      <c r="P208" s="31" t="n">
        <f aca="false">M208+F208</f>
        <v>12988.8</v>
      </c>
      <c r="Q208" s="31" t="n">
        <f aca="false">P208-Summary!$C$5</f>
        <v>2988.8</v>
      </c>
      <c r="R208" s="2" t="str">
        <f aca="false">TEXT(A208,"ddd")</f>
        <v>Wed</v>
      </c>
    </row>
    <row r="209" customFormat="false" ht="15" hidden="false" customHeight="false" outlineLevel="0" collapsed="false">
      <c r="A209" s="43" t="n">
        <v>44987</v>
      </c>
      <c r="B209" s="29" t="n">
        <f aca="false">COUNTIFS(Trades!$D$2:$D$1146,$A209)</f>
        <v>1</v>
      </c>
      <c r="C209" s="29" t="n">
        <f aca="false">COUNTIFS(Trades!$D$2:$D$1146,$A209,Trades!$Z$2:$Z$1146,"Win")</f>
        <v>0</v>
      </c>
      <c r="D209" s="29" t="n">
        <f aca="false">COUNTIFS(Trades!$D$2:$D$1146,$A209,Trades!$Z$2:$Z$1146,"Loss")</f>
        <v>1</v>
      </c>
      <c r="E209" s="30" t="n">
        <f aca="false">IFERROR(C209/B209,0)</f>
        <v>0</v>
      </c>
      <c r="F209" s="31" t="n">
        <f aca="false">SUMIFS(Trades!$X$2:$X$1146,Trades!$D$2:$D$1146,$A209)</f>
        <v>-0.3</v>
      </c>
      <c r="G209" s="31" t="n">
        <f aca="false">SUMIFS(Trades!$X$2:$X$1146,Trades!$D$2:$D$1146,$A209,Trades!$X$2:$X$1146,"&gt;0")</f>
        <v>0</v>
      </c>
      <c r="H209" s="31" t="n">
        <f aca="false">SUMIFS(Trades!$X$2:$X$1146,Trades!$D$2:$D$1146,$A209,Trades!$X$2:$X$1146,"&lt;0")</f>
        <v>-0.3</v>
      </c>
      <c r="I209" s="32" t="n">
        <f aca="false">IFERROR(G209/-H209,"no loss")</f>
        <v>0</v>
      </c>
      <c r="J209" s="31" t="n">
        <f aca="false">_xlfn.MAXIFS(Trades!$X$2:$X$1146,Trades!$D$2:$D$1146,$A209)</f>
        <v>-0.3</v>
      </c>
      <c r="K209" s="31" t="n">
        <f aca="false">_xlfn.MINIFS(Trades!$X$2:$X$1146,Trades!$D$2:$D$1146,$A209)</f>
        <v>-0.3</v>
      </c>
      <c r="L209" s="33" t="n">
        <f aca="false">SUMIFS(Trades!$Y$2:$Y$1146,Trades!$D$2:$D$1146,$A209)</f>
        <v>-0.0108695652173904</v>
      </c>
      <c r="M209" s="31" t="n">
        <f aca="false">P208</f>
        <v>12988.8</v>
      </c>
      <c r="N209" s="30" t="n">
        <f aca="false">IFERROR(F209/M209,0)</f>
        <v>-2.30968218773097E-005</v>
      </c>
      <c r="O209" s="29" t="str">
        <f aca="false">IF(-N209&gt;=Summary!$C$7,"BREACH","")</f>
        <v/>
      </c>
      <c r="P209" s="31" t="n">
        <f aca="false">M209+F209</f>
        <v>12988.5</v>
      </c>
      <c r="Q209" s="31" t="n">
        <f aca="false">P209-Summary!$C$5</f>
        <v>2988.5</v>
      </c>
      <c r="R209" s="2" t="str">
        <f aca="false">TEXT(A209,"ddd")</f>
        <v>Thu</v>
      </c>
    </row>
    <row r="210" customFormat="false" ht="15" hidden="false" customHeight="false" outlineLevel="0" collapsed="false">
      <c r="A210" s="43" t="n">
        <v>44988</v>
      </c>
      <c r="B210" s="29" t="n">
        <f aca="false">COUNTIFS(Trades!$D$2:$D$1146,$A210)</f>
        <v>1</v>
      </c>
      <c r="C210" s="29" t="n">
        <f aca="false">COUNTIFS(Trades!$D$2:$D$1146,$A210,Trades!$Z$2:$Z$1146,"Win")</f>
        <v>0</v>
      </c>
      <c r="D210" s="29" t="n">
        <f aca="false">COUNTIFS(Trades!$D$2:$D$1146,$A210,Trades!$Z$2:$Z$1146,"Loss")</f>
        <v>1</v>
      </c>
      <c r="E210" s="30" t="n">
        <f aca="false">IFERROR(C210/B210,0)</f>
        <v>0</v>
      </c>
      <c r="F210" s="31" t="n">
        <f aca="false">SUMIFS(Trades!$X$2:$X$1146,Trades!$D$2:$D$1146,$A210)</f>
        <v>-0.15</v>
      </c>
      <c r="G210" s="31" t="n">
        <f aca="false">SUMIFS(Trades!$X$2:$X$1146,Trades!$D$2:$D$1146,$A210,Trades!$X$2:$X$1146,"&gt;0")</f>
        <v>0</v>
      </c>
      <c r="H210" s="31" t="n">
        <f aca="false">SUMIFS(Trades!$X$2:$X$1146,Trades!$D$2:$D$1146,$A210,Trades!$X$2:$X$1146,"&lt;0")</f>
        <v>-0.15</v>
      </c>
      <c r="I210" s="32" t="n">
        <f aca="false">IFERROR(G210/-H210,"no loss")</f>
        <v>0</v>
      </c>
      <c r="J210" s="31" t="n">
        <f aca="false">_xlfn.MAXIFS(Trades!$X$2:$X$1146,Trades!$D$2:$D$1146,$A210)</f>
        <v>-0.15</v>
      </c>
      <c r="K210" s="31" t="n">
        <f aca="false">_xlfn.MINIFS(Trades!$X$2:$X$1146,Trades!$D$2:$D$1146,$A210)</f>
        <v>-0.15</v>
      </c>
      <c r="L210" s="33" t="n">
        <f aca="false">SUMIFS(Trades!$Y$2:$Y$1146,Trades!$D$2:$D$1146,$A210)</f>
        <v>-0.00582524271844496</v>
      </c>
      <c r="M210" s="31" t="n">
        <f aca="false">P209</f>
        <v>12988.5</v>
      </c>
      <c r="N210" s="30" t="n">
        <f aca="false">IFERROR(F210/M210,0)</f>
        <v>-1.15486776764061E-005</v>
      </c>
      <c r="O210" s="29" t="str">
        <f aca="false">IF(-N210&gt;=Summary!$C$7,"BREACH","")</f>
        <v/>
      </c>
      <c r="P210" s="31" t="n">
        <f aca="false">M210+F210</f>
        <v>12988.35</v>
      </c>
      <c r="Q210" s="31" t="n">
        <f aca="false">P210-Summary!$C$5</f>
        <v>2988.35</v>
      </c>
      <c r="R210" s="2" t="str">
        <f aca="false">TEXT(A210,"ddd")</f>
        <v>Fri</v>
      </c>
    </row>
    <row r="211" customFormat="false" ht="15" hidden="false" customHeight="false" outlineLevel="0" collapsed="false">
      <c r="A211" s="43" t="n">
        <v>44991</v>
      </c>
      <c r="B211" s="29" t="n">
        <f aca="false">COUNTIFS(Trades!$D$2:$D$1146,$A211)</f>
        <v>1</v>
      </c>
      <c r="C211" s="29" t="n">
        <f aca="false">COUNTIFS(Trades!$D$2:$D$1146,$A211,Trades!$Z$2:$Z$1146,"Win")</f>
        <v>1</v>
      </c>
      <c r="D211" s="29" t="n">
        <f aca="false">COUNTIFS(Trades!$D$2:$D$1146,$A211,Trades!$Z$2:$Z$1146,"Loss")</f>
        <v>0</v>
      </c>
      <c r="E211" s="30" t="n">
        <f aca="false">IFERROR(C211/B211,0)</f>
        <v>1</v>
      </c>
      <c r="F211" s="31" t="n">
        <f aca="false">SUMIFS(Trades!$X$2:$X$1146,Trades!$D$2:$D$1146,$A211)</f>
        <v>90.4</v>
      </c>
      <c r="G211" s="31" t="n">
        <f aca="false">SUMIFS(Trades!$X$2:$X$1146,Trades!$D$2:$D$1146,$A211,Trades!$X$2:$X$1146,"&gt;0")</f>
        <v>90.4</v>
      </c>
      <c r="H211" s="31" t="n">
        <f aca="false">SUMIFS(Trades!$X$2:$X$1146,Trades!$D$2:$D$1146,$A211,Trades!$X$2:$X$1146,"&lt;0")</f>
        <v>0</v>
      </c>
      <c r="I211" s="32" t="str">
        <f aca="false">IFERROR(G211/-H211,"no loss")</f>
        <v>no loss</v>
      </c>
      <c r="J211" s="31" t="n">
        <f aca="false">_xlfn.MAXIFS(Trades!$X$2:$X$1146,Trades!$D$2:$D$1146,$A211)</f>
        <v>90.4</v>
      </c>
      <c r="K211" s="31" t="n">
        <f aca="false">_xlfn.MINIFS(Trades!$X$2:$X$1146,Trades!$D$2:$D$1146,$A211)</f>
        <v>90.4</v>
      </c>
      <c r="L211" s="33" t="n">
        <f aca="false">SUMIFS(Trades!$Y$2:$Y$1146,Trades!$D$2:$D$1146,$A211)</f>
        <v>2.59770114942561</v>
      </c>
      <c r="M211" s="31" t="n">
        <f aca="false">P210</f>
        <v>12988.35</v>
      </c>
      <c r="N211" s="30" t="n">
        <f aca="false">IFERROR(F211/M211,0)</f>
        <v>0.00696008345940786</v>
      </c>
      <c r="O211" s="29" t="str">
        <f aca="false">IF(-N211&gt;=Summary!$C$7,"BREACH","")</f>
        <v/>
      </c>
      <c r="P211" s="31" t="n">
        <f aca="false">M211+F211</f>
        <v>13078.75</v>
      </c>
      <c r="Q211" s="31" t="n">
        <f aca="false">P211-Summary!$C$5</f>
        <v>3078.75</v>
      </c>
      <c r="R211" s="2" t="str">
        <f aca="false">TEXT(A211,"ddd")</f>
        <v>Mon</v>
      </c>
    </row>
    <row r="212" customFormat="false" ht="15" hidden="false" customHeight="false" outlineLevel="0" collapsed="false">
      <c r="A212" s="43" t="n">
        <v>44992</v>
      </c>
      <c r="B212" s="29" t="n">
        <f aca="false">COUNTIFS(Trades!$D$2:$D$1146,$A212)</f>
        <v>1</v>
      </c>
      <c r="C212" s="29" t="n">
        <f aca="false">COUNTIFS(Trades!$D$2:$D$1146,$A212,Trades!$Z$2:$Z$1146,"Win")</f>
        <v>1</v>
      </c>
      <c r="D212" s="29" t="n">
        <f aca="false">COUNTIFS(Trades!$D$2:$D$1146,$A212,Trades!$Z$2:$Z$1146,"Loss")</f>
        <v>0</v>
      </c>
      <c r="E212" s="30" t="n">
        <f aca="false">IFERROR(C212/B212,0)</f>
        <v>1</v>
      </c>
      <c r="F212" s="31" t="n">
        <f aca="false">SUMIFS(Trades!$X$2:$X$1146,Trades!$D$2:$D$1146,$A212)</f>
        <v>275.25</v>
      </c>
      <c r="G212" s="31" t="n">
        <f aca="false">SUMIFS(Trades!$X$2:$X$1146,Trades!$D$2:$D$1146,$A212,Trades!$X$2:$X$1146,"&gt;0")</f>
        <v>275.25</v>
      </c>
      <c r="H212" s="31" t="n">
        <f aca="false">SUMIFS(Trades!$X$2:$X$1146,Trades!$D$2:$D$1146,$A212,Trades!$X$2:$X$1146,"&lt;0")</f>
        <v>0</v>
      </c>
      <c r="I212" s="32" t="str">
        <f aca="false">IFERROR(G212/-H212,"no loss")</f>
        <v>no loss</v>
      </c>
      <c r="J212" s="31" t="n">
        <f aca="false">_xlfn.MAXIFS(Trades!$X$2:$X$1146,Trades!$D$2:$D$1146,$A212)</f>
        <v>275.25</v>
      </c>
      <c r="K212" s="31" t="n">
        <f aca="false">_xlfn.MINIFS(Trades!$X$2:$X$1146,Trades!$D$2:$D$1146,$A212)</f>
        <v>275.25</v>
      </c>
      <c r="L212" s="33" t="n">
        <f aca="false">SUMIFS(Trades!$Y$2:$Y$1146,Trades!$D$2:$D$1146,$A212)</f>
        <v>2.36672398968184</v>
      </c>
      <c r="M212" s="31" t="n">
        <f aca="false">P211</f>
        <v>13078.75</v>
      </c>
      <c r="N212" s="30" t="n">
        <f aca="false">IFERROR(F212/M212,0)</f>
        <v>0.0210455892191532</v>
      </c>
      <c r="O212" s="29" t="str">
        <f aca="false">IF(-N212&gt;=Summary!$C$7,"BREACH","")</f>
        <v/>
      </c>
      <c r="P212" s="31" t="n">
        <f aca="false">M212+F212</f>
        <v>13354</v>
      </c>
      <c r="Q212" s="31" t="n">
        <f aca="false">P212-Summary!$C$5</f>
        <v>3354</v>
      </c>
      <c r="R212" s="2" t="str">
        <f aca="false">TEXT(A212,"ddd")</f>
        <v>Tue</v>
      </c>
    </row>
    <row r="213" customFormat="false" ht="15" hidden="false" customHeight="false" outlineLevel="0" collapsed="false">
      <c r="A213" s="43" t="n">
        <v>44993</v>
      </c>
      <c r="B213" s="29" t="n">
        <f aca="false">COUNTIFS(Trades!$D$2:$D$1146,$A213)</f>
        <v>1</v>
      </c>
      <c r="C213" s="29" t="n">
        <f aca="false">COUNTIFS(Trades!$D$2:$D$1146,$A213,Trades!$Z$2:$Z$1146,"Win")</f>
        <v>0</v>
      </c>
      <c r="D213" s="29" t="n">
        <f aca="false">COUNTIFS(Trades!$D$2:$D$1146,$A213,Trades!$Z$2:$Z$1146,"Loss")</f>
        <v>1</v>
      </c>
      <c r="E213" s="30" t="n">
        <f aca="false">IFERROR(C213/B213,0)</f>
        <v>0</v>
      </c>
      <c r="F213" s="31" t="n">
        <f aca="false">SUMIFS(Trades!$X$2:$X$1146,Trades!$D$2:$D$1146,$A213)</f>
        <v>-22.05</v>
      </c>
      <c r="G213" s="31" t="n">
        <f aca="false">SUMIFS(Trades!$X$2:$X$1146,Trades!$D$2:$D$1146,$A213,Trades!$X$2:$X$1146,"&gt;0")</f>
        <v>0</v>
      </c>
      <c r="H213" s="31" t="n">
        <f aca="false">SUMIFS(Trades!$X$2:$X$1146,Trades!$D$2:$D$1146,$A213,Trades!$X$2:$X$1146,"&lt;0")</f>
        <v>-22.05</v>
      </c>
      <c r="I213" s="32" t="n">
        <f aca="false">IFERROR(G213/-H213,"no loss")</f>
        <v>0</v>
      </c>
      <c r="J213" s="31" t="n">
        <f aca="false">_xlfn.MAXIFS(Trades!$X$2:$X$1146,Trades!$D$2:$D$1146,$A213)</f>
        <v>-22.05</v>
      </c>
      <c r="K213" s="31" t="n">
        <f aca="false">_xlfn.MINIFS(Trades!$X$2:$X$1146,Trades!$D$2:$D$1146,$A213)</f>
        <v>-22.05</v>
      </c>
      <c r="L213" s="33" t="n">
        <f aca="false">SUMIFS(Trades!$Y$2:$Y$1146,Trades!$D$2:$D$1146,$A213)</f>
        <v>-1.04502369668263</v>
      </c>
      <c r="M213" s="31" t="n">
        <f aca="false">P212</f>
        <v>13354</v>
      </c>
      <c r="N213" s="30" t="n">
        <f aca="false">IFERROR(F213/M213,0)</f>
        <v>-0.00165119065448555</v>
      </c>
      <c r="O213" s="29" t="str">
        <f aca="false">IF(-N213&gt;=Summary!$C$7,"BREACH","")</f>
        <v/>
      </c>
      <c r="P213" s="31" t="n">
        <f aca="false">M213+F213</f>
        <v>13331.95</v>
      </c>
      <c r="Q213" s="31" t="n">
        <f aca="false">P213-Summary!$C$5</f>
        <v>3331.95</v>
      </c>
      <c r="R213" s="2" t="str">
        <f aca="false">TEXT(A213,"ddd")</f>
        <v>Wed</v>
      </c>
    </row>
    <row r="214" customFormat="false" ht="15" hidden="false" customHeight="false" outlineLevel="0" collapsed="false">
      <c r="A214" s="43" t="n">
        <v>44994</v>
      </c>
      <c r="B214" s="29" t="n">
        <f aca="false">COUNTIFS(Trades!$D$2:$D$1146,$A214)</f>
        <v>2</v>
      </c>
      <c r="C214" s="29" t="n">
        <f aca="false">COUNTIFS(Trades!$D$2:$D$1146,$A214,Trades!$Z$2:$Z$1146,"Win")</f>
        <v>0</v>
      </c>
      <c r="D214" s="29" t="n">
        <f aca="false">COUNTIFS(Trades!$D$2:$D$1146,$A214,Trades!$Z$2:$Z$1146,"Loss")</f>
        <v>2</v>
      </c>
      <c r="E214" s="30" t="n">
        <f aca="false">IFERROR(C214/B214,0)</f>
        <v>0</v>
      </c>
      <c r="F214" s="31" t="n">
        <f aca="false">SUMIFS(Trades!$X$2:$X$1146,Trades!$D$2:$D$1146,$A214)</f>
        <v>-111.25</v>
      </c>
      <c r="G214" s="31" t="n">
        <f aca="false">SUMIFS(Trades!$X$2:$X$1146,Trades!$D$2:$D$1146,$A214,Trades!$X$2:$X$1146,"&gt;0")</f>
        <v>0</v>
      </c>
      <c r="H214" s="31" t="n">
        <f aca="false">SUMIFS(Trades!$X$2:$X$1146,Trades!$D$2:$D$1146,$A214,Trades!$X$2:$X$1146,"&lt;0")</f>
        <v>-111.25</v>
      </c>
      <c r="I214" s="32" t="n">
        <f aca="false">IFERROR(G214/-H214,"no loss")</f>
        <v>0</v>
      </c>
      <c r="J214" s="31" t="n">
        <f aca="false">_xlfn.MAXIFS(Trades!$X$2:$X$1146,Trades!$D$2:$D$1146,$A214)</f>
        <v>-36.5</v>
      </c>
      <c r="K214" s="31" t="n">
        <f aca="false">_xlfn.MINIFS(Trades!$X$2:$X$1146,Trades!$D$2:$D$1146,$A214)</f>
        <v>-74.75</v>
      </c>
      <c r="L214" s="33" t="n">
        <f aca="false">SUMIFS(Trades!$Y$2:$Y$1146,Trades!$D$2:$D$1146,$A214)</f>
        <v>-2.05346759955025</v>
      </c>
      <c r="M214" s="31" t="n">
        <f aca="false">P213</f>
        <v>13331.95</v>
      </c>
      <c r="N214" s="30" t="n">
        <f aca="false">IFERROR(F214/M214,0)</f>
        <v>-0.00834461575388447</v>
      </c>
      <c r="O214" s="29" t="str">
        <f aca="false">IF(-N214&gt;=Summary!$C$7,"BREACH","")</f>
        <v/>
      </c>
      <c r="P214" s="31" t="n">
        <f aca="false">M214+F214</f>
        <v>13220.7</v>
      </c>
      <c r="Q214" s="31" t="n">
        <f aca="false">P214-Summary!$C$5</f>
        <v>3220.7</v>
      </c>
      <c r="R214" s="2" t="str">
        <f aca="false">TEXT(A214,"ddd")</f>
        <v>Thu</v>
      </c>
    </row>
    <row r="215" customFormat="false" ht="15" hidden="false" customHeight="false" outlineLevel="0" collapsed="false">
      <c r="A215" s="43" t="n">
        <v>44995</v>
      </c>
      <c r="B215" s="29" t="n">
        <f aca="false">COUNTIFS(Trades!$D$2:$D$1146,$A215)</f>
        <v>1</v>
      </c>
      <c r="C215" s="29" t="n">
        <f aca="false">COUNTIFS(Trades!$D$2:$D$1146,$A215,Trades!$Z$2:$Z$1146,"Win")</f>
        <v>0</v>
      </c>
      <c r="D215" s="29" t="n">
        <f aca="false">COUNTIFS(Trades!$D$2:$D$1146,$A215,Trades!$Z$2:$Z$1146,"Loss")</f>
        <v>0</v>
      </c>
      <c r="E215" s="30" t="n">
        <f aca="false">IFERROR(C215/B215,0)</f>
        <v>0</v>
      </c>
      <c r="F215" s="31" t="n">
        <f aca="false">SUMIFS(Trades!$X$2:$X$1146,Trades!$D$2:$D$1146,$A215)</f>
        <v>0</v>
      </c>
      <c r="G215" s="31" t="n">
        <f aca="false">SUMIFS(Trades!$X$2:$X$1146,Trades!$D$2:$D$1146,$A215,Trades!$X$2:$X$1146,"&gt;0")</f>
        <v>0</v>
      </c>
      <c r="H215" s="31" t="n">
        <f aca="false">SUMIFS(Trades!$X$2:$X$1146,Trades!$D$2:$D$1146,$A215,Trades!$X$2:$X$1146,"&lt;0")</f>
        <v>0</v>
      </c>
      <c r="I215" s="32" t="str">
        <f aca="false">IFERROR(G215/-H215,"no loss")</f>
        <v>no loss</v>
      </c>
      <c r="J215" s="31" t="n">
        <f aca="false">_xlfn.MAXIFS(Trades!$X$2:$X$1146,Trades!$D$2:$D$1146,$A215)</f>
        <v>0</v>
      </c>
      <c r="K215" s="31" t="n">
        <f aca="false">_xlfn.MINIFS(Trades!$X$2:$X$1146,Trades!$D$2:$D$1146,$A215)</f>
        <v>0</v>
      </c>
      <c r="L215" s="33" t="n">
        <f aca="false">SUMIFS(Trades!$Y$2:$Y$1146,Trades!$D$2:$D$1146,$A215)</f>
        <v>0</v>
      </c>
      <c r="M215" s="31" t="n">
        <f aca="false">P214</f>
        <v>13220.7</v>
      </c>
      <c r="N215" s="30" t="n">
        <f aca="false">IFERROR(F215/M215,0)</f>
        <v>0</v>
      </c>
      <c r="O215" s="29" t="str">
        <f aca="false">IF(-N215&gt;=Summary!$C$7,"BREACH","")</f>
        <v/>
      </c>
      <c r="P215" s="31" t="n">
        <f aca="false">M215+F215</f>
        <v>13220.7</v>
      </c>
      <c r="Q215" s="31" t="n">
        <f aca="false">P215-Summary!$C$5</f>
        <v>3220.7</v>
      </c>
      <c r="R215" s="2" t="str">
        <f aca="false">TEXT(A215,"ddd")</f>
        <v>Fri</v>
      </c>
    </row>
    <row r="216" customFormat="false" ht="15" hidden="false" customHeight="false" outlineLevel="0" collapsed="false">
      <c r="A216" s="43" t="n">
        <v>44998</v>
      </c>
      <c r="B216" s="29" t="n">
        <f aca="false">COUNTIFS(Trades!$D$2:$D$1146,$A216)</f>
        <v>1</v>
      </c>
      <c r="C216" s="29" t="n">
        <f aca="false">COUNTIFS(Trades!$D$2:$D$1146,$A216,Trades!$Z$2:$Z$1146,"Win")</f>
        <v>0</v>
      </c>
      <c r="D216" s="29" t="n">
        <f aca="false">COUNTIFS(Trades!$D$2:$D$1146,$A216,Trades!$Z$2:$Z$1146,"Loss")</f>
        <v>1</v>
      </c>
      <c r="E216" s="30" t="n">
        <f aca="false">IFERROR(C216/B216,0)</f>
        <v>0</v>
      </c>
      <c r="F216" s="31" t="n">
        <f aca="false">SUMIFS(Trades!$X$2:$X$1146,Trades!$D$2:$D$1146,$A216)</f>
        <v>-88.7</v>
      </c>
      <c r="G216" s="31" t="n">
        <f aca="false">SUMIFS(Trades!$X$2:$X$1146,Trades!$D$2:$D$1146,$A216,Trades!$X$2:$X$1146,"&gt;0")</f>
        <v>0</v>
      </c>
      <c r="H216" s="31" t="n">
        <f aca="false">SUMIFS(Trades!$X$2:$X$1146,Trades!$D$2:$D$1146,$A216,Trades!$X$2:$X$1146,"&lt;0")</f>
        <v>-88.7</v>
      </c>
      <c r="I216" s="32" t="n">
        <f aca="false">IFERROR(G216/-H216,"no loss")</f>
        <v>0</v>
      </c>
      <c r="J216" s="31" t="n">
        <f aca="false">_xlfn.MAXIFS(Trades!$X$2:$X$1146,Trades!$D$2:$D$1146,$A216)</f>
        <v>-88.7</v>
      </c>
      <c r="K216" s="31" t="n">
        <f aca="false">_xlfn.MINIFS(Trades!$X$2:$X$1146,Trades!$D$2:$D$1146,$A216)</f>
        <v>-88.7</v>
      </c>
      <c r="L216" s="33" t="n">
        <f aca="false">SUMIFS(Trades!$Y$2:$Y$1146,Trades!$D$2:$D$1146,$A216)</f>
        <v>-1.01140250855194</v>
      </c>
      <c r="M216" s="31" t="n">
        <f aca="false">P215</f>
        <v>13220.7</v>
      </c>
      <c r="N216" s="30" t="n">
        <f aca="false">IFERROR(F216/M216,0)</f>
        <v>-0.00670917576225162</v>
      </c>
      <c r="O216" s="29" t="str">
        <f aca="false">IF(-N216&gt;=Summary!$C$7,"BREACH","")</f>
        <v/>
      </c>
      <c r="P216" s="31" t="n">
        <f aca="false">M216+F216</f>
        <v>13132</v>
      </c>
      <c r="Q216" s="31" t="n">
        <f aca="false">P216-Summary!$C$5</f>
        <v>3132</v>
      </c>
      <c r="R216" s="2" t="str">
        <f aca="false">TEXT(A216,"ddd")</f>
        <v>Mon</v>
      </c>
    </row>
    <row r="217" customFormat="false" ht="15" hidden="false" customHeight="false" outlineLevel="0" collapsed="false">
      <c r="A217" s="43" t="n">
        <v>44999</v>
      </c>
      <c r="B217" s="29" t="n">
        <f aca="false">COUNTIFS(Trades!$D$2:$D$1146,$A217)</f>
        <v>1</v>
      </c>
      <c r="C217" s="29" t="n">
        <f aca="false">COUNTIFS(Trades!$D$2:$D$1146,$A217,Trades!$Z$2:$Z$1146,"Win")</f>
        <v>0</v>
      </c>
      <c r="D217" s="29" t="n">
        <f aca="false">COUNTIFS(Trades!$D$2:$D$1146,$A217,Trades!$Z$2:$Z$1146,"Loss")</f>
        <v>1</v>
      </c>
      <c r="E217" s="30" t="n">
        <f aca="false">IFERROR(C217/B217,0)</f>
        <v>0</v>
      </c>
      <c r="F217" s="31" t="n">
        <f aca="false">SUMIFS(Trades!$X$2:$X$1146,Trades!$D$2:$D$1146,$A217)</f>
        <v>-67.6</v>
      </c>
      <c r="G217" s="31" t="n">
        <f aca="false">SUMIFS(Trades!$X$2:$X$1146,Trades!$D$2:$D$1146,$A217,Trades!$X$2:$X$1146,"&gt;0")</f>
        <v>0</v>
      </c>
      <c r="H217" s="31" t="n">
        <f aca="false">SUMIFS(Trades!$X$2:$X$1146,Trades!$D$2:$D$1146,$A217,Trades!$X$2:$X$1146,"&lt;0")</f>
        <v>-67.6</v>
      </c>
      <c r="I217" s="32" t="n">
        <f aca="false">IFERROR(G217/-H217,"no loss")</f>
        <v>0</v>
      </c>
      <c r="J217" s="31" t="n">
        <f aca="false">_xlfn.MAXIFS(Trades!$X$2:$X$1146,Trades!$D$2:$D$1146,$A217)</f>
        <v>-67.6</v>
      </c>
      <c r="K217" s="31" t="n">
        <f aca="false">_xlfn.MINIFS(Trades!$X$2:$X$1146,Trades!$D$2:$D$1146,$A217)</f>
        <v>-67.6</v>
      </c>
      <c r="L217" s="33" t="n">
        <f aca="false">SUMIFS(Trades!$Y$2:$Y$1146,Trades!$D$2:$D$1146,$A217)</f>
        <v>-1.04320987654328</v>
      </c>
      <c r="M217" s="31" t="n">
        <f aca="false">P216</f>
        <v>13132</v>
      </c>
      <c r="N217" s="30" t="n">
        <f aca="false">IFERROR(F217/M217,0)</f>
        <v>-0.00514773073408468</v>
      </c>
      <c r="O217" s="29" t="str">
        <f aca="false">IF(-N217&gt;=Summary!$C$7,"BREACH","")</f>
        <v/>
      </c>
      <c r="P217" s="31" t="n">
        <f aca="false">M217+F217</f>
        <v>13064.4</v>
      </c>
      <c r="Q217" s="31" t="n">
        <f aca="false">P217-Summary!$C$5</f>
        <v>3064.4</v>
      </c>
      <c r="R217" s="2" t="str">
        <f aca="false">TEXT(A217,"ddd")</f>
        <v>Tue</v>
      </c>
    </row>
    <row r="218" customFormat="false" ht="15" hidden="false" customHeight="false" outlineLevel="0" collapsed="false">
      <c r="A218" s="43" t="n">
        <v>45000</v>
      </c>
      <c r="B218" s="29" t="n">
        <f aca="false">COUNTIFS(Trades!$D$2:$D$1146,$A218)</f>
        <v>1</v>
      </c>
      <c r="C218" s="29" t="n">
        <f aca="false">COUNTIFS(Trades!$D$2:$D$1146,$A218,Trades!$Z$2:$Z$1146,"Win")</f>
        <v>0</v>
      </c>
      <c r="D218" s="29" t="n">
        <f aca="false">COUNTIFS(Trades!$D$2:$D$1146,$A218,Trades!$Z$2:$Z$1146,"Loss")</f>
        <v>1</v>
      </c>
      <c r="E218" s="30" t="n">
        <f aca="false">IFERROR(C218/B218,0)</f>
        <v>0</v>
      </c>
      <c r="F218" s="31" t="n">
        <f aca="false">SUMIFS(Trades!$X$2:$X$1146,Trades!$D$2:$D$1146,$A218)</f>
        <v>-33.5</v>
      </c>
      <c r="G218" s="31" t="n">
        <f aca="false">SUMIFS(Trades!$X$2:$X$1146,Trades!$D$2:$D$1146,$A218,Trades!$X$2:$X$1146,"&gt;0")</f>
        <v>0</v>
      </c>
      <c r="H218" s="31" t="n">
        <f aca="false">SUMIFS(Trades!$X$2:$X$1146,Trades!$D$2:$D$1146,$A218,Trades!$X$2:$X$1146,"&lt;0")</f>
        <v>-33.5</v>
      </c>
      <c r="I218" s="32" t="n">
        <f aca="false">IFERROR(G218/-H218,"no loss")</f>
        <v>0</v>
      </c>
      <c r="J218" s="31" t="n">
        <f aca="false">_xlfn.MAXIFS(Trades!$X$2:$X$1146,Trades!$D$2:$D$1146,$A218)</f>
        <v>-33.5</v>
      </c>
      <c r="K218" s="31" t="n">
        <f aca="false">_xlfn.MINIFS(Trades!$X$2:$X$1146,Trades!$D$2:$D$1146,$A218)</f>
        <v>-33.5</v>
      </c>
      <c r="L218" s="33" t="n">
        <f aca="false">SUMIFS(Trades!$Y$2:$Y$1146,Trades!$D$2:$D$1146,$A218)</f>
        <v>-0.999999999999891</v>
      </c>
      <c r="M218" s="31" t="n">
        <f aca="false">P217</f>
        <v>13064.4</v>
      </c>
      <c r="N218" s="30" t="n">
        <f aca="false">IFERROR(F218/M218,0)</f>
        <v>-0.00256422032393374</v>
      </c>
      <c r="O218" s="29" t="str">
        <f aca="false">IF(-N218&gt;=Summary!$C$7,"BREACH","")</f>
        <v/>
      </c>
      <c r="P218" s="31" t="n">
        <f aca="false">M218+F218</f>
        <v>13030.9</v>
      </c>
      <c r="Q218" s="31" t="n">
        <f aca="false">P218-Summary!$C$5</f>
        <v>3030.9</v>
      </c>
      <c r="R218" s="2" t="str">
        <f aca="false">TEXT(A218,"ddd")</f>
        <v>Wed</v>
      </c>
    </row>
    <row r="219" customFormat="false" ht="15" hidden="false" customHeight="false" outlineLevel="0" collapsed="false">
      <c r="A219" s="43" t="n">
        <v>45001</v>
      </c>
      <c r="B219" s="29" t="n">
        <f aca="false">COUNTIFS(Trades!$D$2:$D$1146,$A219)</f>
        <v>1</v>
      </c>
      <c r="C219" s="29" t="n">
        <f aca="false">COUNTIFS(Trades!$D$2:$D$1146,$A219,Trades!$Z$2:$Z$1146,"Win")</f>
        <v>0</v>
      </c>
      <c r="D219" s="29" t="n">
        <f aca="false">COUNTIFS(Trades!$D$2:$D$1146,$A219,Trades!$Z$2:$Z$1146,"Loss")</f>
        <v>1</v>
      </c>
      <c r="E219" s="30" t="n">
        <f aca="false">IFERROR(C219/B219,0)</f>
        <v>0</v>
      </c>
      <c r="F219" s="31" t="n">
        <f aca="false">SUMIFS(Trades!$X$2:$X$1146,Trades!$D$2:$D$1146,$A219)</f>
        <v>-2.1</v>
      </c>
      <c r="G219" s="31" t="n">
        <f aca="false">SUMIFS(Trades!$X$2:$X$1146,Trades!$D$2:$D$1146,$A219,Trades!$X$2:$X$1146,"&gt;0")</f>
        <v>0</v>
      </c>
      <c r="H219" s="31" t="n">
        <f aca="false">SUMIFS(Trades!$X$2:$X$1146,Trades!$D$2:$D$1146,$A219,Trades!$X$2:$X$1146,"&lt;0")</f>
        <v>-2.1</v>
      </c>
      <c r="I219" s="32" t="n">
        <f aca="false">IFERROR(G219/-H219,"no loss")</f>
        <v>0</v>
      </c>
      <c r="J219" s="31" t="n">
        <f aca="false">_xlfn.MAXIFS(Trades!$X$2:$X$1146,Trades!$D$2:$D$1146,$A219)</f>
        <v>-2.1</v>
      </c>
      <c r="K219" s="31" t="n">
        <f aca="false">_xlfn.MINIFS(Trades!$X$2:$X$1146,Trades!$D$2:$D$1146,$A219)</f>
        <v>-2.1</v>
      </c>
      <c r="L219" s="33" t="n">
        <f aca="false">SUMIFS(Trades!$Y$2:$Y$1146,Trades!$D$2:$D$1146,$A219)</f>
        <v>-0.0907127429805416</v>
      </c>
      <c r="M219" s="31" t="n">
        <f aca="false">P218</f>
        <v>13030.9</v>
      </c>
      <c r="N219" s="30" t="n">
        <f aca="false">IFERROR(F219/M219,0)</f>
        <v>-0.000161155407531329</v>
      </c>
      <c r="O219" s="29" t="str">
        <f aca="false">IF(-N219&gt;=Summary!$C$7,"BREACH","")</f>
        <v/>
      </c>
      <c r="P219" s="31" t="n">
        <f aca="false">M219+F219</f>
        <v>13028.8</v>
      </c>
      <c r="Q219" s="31" t="n">
        <f aca="false">P219-Summary!$C$5</f>
        <v>3028.8</v>
      </c>
      <c r="R219" s="2" t="str">
        <f aca="false">TEXT(A219,"ddd")</f>
        <v>Thu</v>
      </c>
    </row>
    <row r="220" customFormat="false" ht="15" hidden="false" customHeight="false" outlineLevel="0" collapsed="false">
      <c r="A220" s="43" t="n">
        <v>45002</v>
      </c>
      <c r="B220" s="29" t="n">
        <f aca="false">COUNTIFS(Trades!$D$2:$D$1146,$A220)</f>
        <v>1</v>
      </c>
      <c r="C220" s="29" t="n">
        <f aca="false">COUNTIFS(Trades!$D$2:$D$1146,$A220,Trades!$Z$2:$Z$1146,"Win")</f>
        <v>0</v>
      </c>
      <c r="D220" s="29" t="n">
        <f aca="false">COUNTIFS(Trades!$D$2:$D$1146,$A220,Trades!$Z$2:$Z$1146,"Loss")</f>
        <v>1</v>
      </c>
      <c r="E220" s="30" t="n">
        <f aca="false">IFERROR(C220/B220,0)</f>
        <v>0</v>
      </c>
      <c r="F220" s="31" t="n">
        <f aca="false">SUMIFS(Trades!$X$2:$X$1146,Trades!$D$2:$D$1146,$A220)</f>
        <v>-16.75</v>
      </c>
      <c r="G220" s="31" t="n">
        <f aca="false">SUMIFS(Trades!$X$2:$X$1146,Trades!$D$2:$D$1146,$A220,Trades!$X$2:$X$1146,"&gt;0")</f>
        <v>0</v>
      </c>
      <c r="H220" s="31" t="n">
        <f aca="false">SUMIFS(Trades!$X$2:$X$1146,Trades!$D$2:$D$1146,$A220,Trades!$X$2:$X$1146,"&lt;0")</f>
        <v>-16.75</v>
      </c>
      <c r="I220" s="32" t="n">
        <f aca="false">IFERROR(G220/-H220,"no loss")</f>
        <v>0</v>
      </c>
      <c r="J220" s="31" t="n">
        <f aca="false">_xlfn.MAXIFS(Trades!$X$2:$X$1146,Trades!$D$2:$D$1146,$A220)</f>
        <v>-16.75</v>
      </c>
      <c r="K220" s="31" t="n">
        <f aca="false">_xlfn.MINIFS(Trades!$X$2:$X$1146,Trades!$D$2:$D$1146,$A220)</f>
        <v>-16.75</v>
      </c>
      <c r="L220" s="33" t="n">
        <f aca="false">SUMIFS(Trades!$Y$2:$Y$1146,Trades!$D$2:$D$1146,$A220)</f>
        <v>-1.03715170278652</v>
      </c>
      <c r="M220" s="31" t="n">
        <f aca="false">P219</f>
        <v>13028.8</v>
      </c>
      <c r="N220" s="30" t="n">
        <f aca="false">IFERROR(F220/M220,0)</f>
        <v>-0.00128561341029105</v>
      </c>
      <c r="O220" s="29" t="str">
        <f aca="false">IF(-N220&gt;=Summary!$C$7,"BREACH","")</f>
        <v/>
      </c>
      <c r="P220" s="31" t="n">
        <f aca="false">M220+F220</f>
        <v>13012.05</v>
      </c>
      <c r="Q220" s="31" t="n">
        <f aca="false">P220-Summary!$C$5</f>
        <v>3012.05</v>
      </c>
      <c r="R220" s="2" t="str">
        <f aca="false">TEXT(A220,"ddd")</f>
        <v>Fri</v>
      </c>
    </row>
    <row r="221" customFormat="false" ht="15" hidden="false" customHeight="false" outlineLevel="0" collapsed="false">
      <c r="A221" s="43" t="n">
        <v>45005</v>
      </c>
      <c r="B221" s="29" t="n">
        <f aca="false">COUNTIFS(Trades!$D$2:$D$1146,$A221)</f>
        <v>1</v>
      </c>
      <c r="C221" s="29" t="n">
        <f aca="false">COUNTIFS(Trades!$D$2:$D$1146,$A221,Trades!$Z$2:$Z$1146,"Win")</f>
        <v>1</v>
      </c>
      <c r="D221" s="29" t="n">
        <f aca="false">COUNTIFS(Trades!$D$2:$D$1146,$A221,Trades!$Z$2:$Z$1146,"Loss")</f>
        <v>0</v>
      </c>
      <c r="E221" s="30" t="n">
        <f aca="false">IFERROR(C221/B221,0)</f>
        <v>1</v>
      </c>
      <c r="F221" s="31" t="n">
        <f aca="false">SUMIFS(Trades!$X$2:$X$1146,Trades!$D$2:$D$1146,$A221)</f>
        <v>158.6</v>
      </c>
      <c r="G221" s="31" t="n">
        <f aca="false">SUMIFS(Trades!$X$2:$X$1146,Trades!$D$2:$D$1146,$A221,Trades!$X$2:$X$1146,"&gt;0")</f>
        <v>158.6</v>
      </c>
      <c r="H221" s="31" t="n">
        <f aca="false">SUMIFS(Trades!$X$2:$X$1146,Trades!$D$2:$D$1146,$A221,Trades!$X$2:$X$1146,"&lt;0")</f>
        <v>0</v>
      </c>
      <c r="I221" s="32" t="str">
        <f aca="false">IFERROR(G221/-H221,"no loss")</f>
        <v>no loss</v>
      </c>
      <c r="J221" s="31" t="n">
        <f aca="false">_xlfn.MAXIFS(Trades!$X$2:$X$1146,Trades!$D$2:$D$1146,$A221)</f>
        <v>158.6</v>
      </c>
      <c r="K221" s="31" t="n">
        <f aca="false">_xlfn.MINIFS(Trades!$X$2:$X$1146,Trades!$D$2:$D$1146,$A221)</f>
        <v>158.6</v>
      </c>
      <c r="L221" s="33" t="n">
        <f aca="false">SUMIFS(Trades!$Y$2:$Y$1146,Trades!$D$2:$D$1146,$A221)</f>
        <v>2.44187836797541</v>
      </c>
      <c r="M221" s="31" t="n">
        <f aca="false">P220</f>
        <v>13012.05</v>
      </c>
      <c r="N221" s="30" t="n">
        <f aca="false">IFERROR(F221/M221,0)</f>
        <v>0.0121887020108284</v>
      </c>
      <c r="O221" s="29" t="str">
        <f aca="false">IF(-N221&gt;=Summary!$C$7,"BREACH","")</f>
        <v/>
      </c>
      <c r="P221" s="31" t="n">
        <f aca="false">M221+F221</f>
        <v>13170.65</v>
      </c>
      <c r="Q221" s="31" t="n">
        <f aca="false">P221-Summary!$C$5</f>
        <v>3170.65</v>
      </c>
      <c r="R221" s="2" t="str">
        <f aca="false">TEXT(A221,"ddd")</f>
        <v>Mon</v>
      </c>
    </row>
    <row r="222" customFormat="false" ht="15" hidden="false" customHeight="false" outlineLevel="0" collapsed="false">
      <c r="A222" s="43" t="n">
        <v>45006</v>
      </c>
      <c r="B222" s="29" t="n">
        <f aca="false">COUNTIFS(Trades!$D$2:$D$1146,$A222)</f>
        <v>1</v>
      </c>
      <c r="C222" s="29" t="n">
        <f aca="false">COUNTIFS(Trades!$D$2:$D$1146,$A222,Trades!$Z$2:$Z$1146,"Win")</f>
        <v>0</v>
      </c>
      <c r="D222" s="29" t="n">
        <f aca="false">COUNTIFS(Trades!$D$2:$D$1146,$A222,Trades!$Z$2:$Z$1146,"Loss")</f>
        <v>1</v>
      </c>
      <c r="E222" s="30" t="n">
        <f aca="false">IFERROR(C222/B222,0)</f>
        <v>0</v>
      </c>
      <c r="F222" s="31" t="n">
        <f aca="false">SUMIFS(Trades!$X$2:$X$1146,Trades!$D$2:$D$1146,$A222)</f>
        <v>-26.4</v>
      </c>
      <c r="G222" s="31" t="n">
        <f aca="false">SUMIFS(Trades!$X$2:$X$1146,Trades!$D$2:$D$1146,$A222,Trades!$X$2:$X$1146,"&gt;0")</f>
        <v>0</v>
      </c>
      <c r="H222" s="31" t="n">
        <f aca="false">SUMIFS(Trades!$X$2:$X$1146,Trades!$D$2:$D$1146,$A222,Trades!$X$2:$X$1146,"&lt;0")</f>
        <v>-26.4</v>
      </c>
      <c r="I222" s="32" t="n">
        <f aca="false">IFERROR(G222/-H222,"no loss")</f>
        <v>0</v>
      </c>
      <c r="J222" s="31" t="n">
        <f aca="false">_xlfn.MAXIFS(Trades!$X$2:$X$1146,Trades!$D$2:$D$1146,$A222)</f>
        <v>-26.4</v>
      </c>
      <c r="K222" s="31" t="n">
        <f aca="false">_xlfn.MINIFS(Trades!$X$2:$X$1146,Trades!$D$2:$D$1146,$A222)</f>
        <v>-26.4</v>
      </c>
      <c r="L222" s="33" t="n">
        <f aca="false">SUMIFS(Trades!$Y$2:$Y$1146,Trades!$D$2:$D$1146,$A222)</f>
        <v>-1.04347826086967</v>
      </c>
      <c r="M222" s="31" t="n">
        <f aca="false">P221</f>
        <v>13170.65</v>
      </c>
      <c r="N222" s="30" t="n">
        <f aca="false">IFERROR(F222/M222,0)</f>
        <v>-0.00200445687950101</v>
      </c>
      <c r="O222" s="29" t="str">
        <f aca="false">IF(-N222&gt;=Summary!$C$7,"BREACH","")</f>
        <v/>
      </c>
      <c r="P222" s="31" t="n">
        <f aca="false">M222+F222</f>
        <v>13144.25</v>
      </c>
      <c r="Q222" s="31" t="n">
        <f aca="false">P222-Summary!$C$5</f>
        <v>3144.25</v>
      </c>
      <c r="R222" s="2" t="str">
        <f aca="false">TEXT(A222,"ddd")</f>
        <v>Tue</v>
      </c>
    </row>
    <row r="223" customFormat="false" ht="15" hidden="false" customHeight="false" outlineLevel="0" collapsed="false">
      <c r="A223" s="43" t="n">
        <v>45007</v>
      </c>
      <c r="B223" s="29" t="n">
        <f aca="false">COUNTIFS(Trades!$D$2:$D$1146,$A223)</f>
        <v>1</v>
      </c>
      <c r="C223" s="29" t="n">
        <f aca="false">COUNTIFS(Trades!$D$2:$D$1146,$A223,Trades!$Z$2:$Z$1146,"Win")</f>
        <v>1</v>
      </c>
      <c r="D223" s="29" t="n">
        <f aca="false">COUNTIFS(Trades!$D$2:$D$1146,$A223,Trades!$Z$2:$Z$1146,"Loss")</f>
        <v>0</v>
      </c>
      <c r="E223" s="30" t="n">
        <f aca="false">IFERROR(C223/B223,0)</f>
        <v>1</v>
      </c>
      <c r="F223" s="31" t="n">
        <f aca="false">SUMIFS(Trades!$X$2:$X$1146,Trades!$D$2:$D$1146,$A223)</f>
        <v>110.05</v>
      </c>
      <c r="G223" s="31" t="n">
        <f aca="false">SUMIFS(Trades!$X$2:$X$1146,Trades!$D$2:$D$1146,$A223,Trades!$X$2:$X$1146,"&gt;0")</f>
        <v>110.05</v>
      </c>
      <c r="H223" s="31" t="n">
        <f aca="false">SUMIFS(Trades!$X$2:$X$1146,Trades!$D$2:$D$1146,$A223,Trades!$X$2:$X$1146,"&lt;0")</f>
        <v>0</v>
      </c>
      <c r="I223" s="32" t="str">
        <f aca="false">IFERROR(G223/-H223,"no loss")</f>
        <v>no loss</v>
      </c>
      <c r="J223" s="31" t="n">
        <f aca="false">_xlfn.MAXIFS(Trades!$X$2:$X$1146,Trades!$D$2:$D$1146,$A223)</f>
        <v>110.05</v>
      </c>
      <c r="K223" s="31" t="n">
        <f aca="false">_xlfn.MINIFS(Trades!$X$2:$X$1146,Trades!$D$2:$D$1146,$A223)</f>
        <v>110.05</v>
      </c>
      <c r="L223" s="33" t="n">
        <f aca="false">SUMIFS(Trades!$Y$2:$Y$1146,Trades!$D$2:$D$1146,$A223)</f>
        <v>2.45100222717161</v>
      </c>
      <c r="M223" s="31" t="n">
        <f aca="false">P222</f>
        <v>13144.25</v>
      </c>
      <c r="N223" s="30" t="n">
        <f aca="false">IFERROR(F223/M223,0)</f>
        <v>0.00837248226410788</v>
      </c>
      <c r="O223" s="29" t="str">
        <f aca="false">IF(-N223&gt;=Summary!$C$7,"BREACH","")</f>
        <v/>
      </c>
      <c r="P223" s="31" t="n">
        <f aca="false">M223+F223</f>
        <v>13254.3</v>
      </c>
      <c r="Q223" s="31" t="n">
        <f aca="false">P223-Summary!$C$5</f>
        <v>3254.3</v>
      </c>
      <c r="R223" s="2" t="str">
        <f aca="false">TEXT(A223,"ddd")</f>
        <v>Wed</v>
      </c>
    </row>
    <row r="224" customFormat="false" ht="15" hidden="false" customHeight="false" outlineLevel="0" collapsed="false">
      <c r="A224" s="43" t="n">
        <v>45012</v>
      </c>
      <c r="B224" s="29" t="n">
        <f aca="false">COUNTIFS(Trades!$D$2:$D$1146,$A224)</f>
        <v>1</v>
      </c>
      <c r="C224" s="29" t="n">
        <f aca="false">COUNTIFS(Trades!$D$2:$D$1146,$A224,Trades!$Z$2:$Z$1146,"Win")</f>
        <v>0</v>
      </c>
      <c r="D224" s="29" t="n">
        <f aca="false">COUNTIFS(Trades!$D$2:$D$1146,$A224,Trades!$Z$2:$Z$1146,"Loss")</f>
        <v>1</v>
      </c>
      <c r="E224" s="30" t="n">
        <f aca="false">IFERROR(C224/B224,0)</f>
        <v>0</v>
      </c>
      <c r="F224" s="31" t="n">
        <f aca="false">SUMIFS(Trades!$X$2:$X$1146,Trades!$D$2:$D$1146,$A224)</f>
        <v>-32.4</v>
      </c>
      <c r="G224" s="31" t="n">
        <f aca="false">SUMIFS(Trades!$X$2:$X$1146,Trades!$D$2:$D$1146,$A224,Trades!$X$2:$X$1146,"&gt;0")</f>
        <v>0</v>
      </c>
      <c r="H224" s="31" t="n">
        <f aca="false">SUMIFS(Trades!$X$2:$X$1146,Trades!$D$2:$D$1146,$A224,Trades!$X$2:$X$1146,"&lt;0")</f>
        <v>-32.4</v>
      </c>
      <c r="I224" s="32" t="n">
        <f aca="false">IFERROR(G224/-H224,"no loss")</f>
        <v>0</v>
      </c>
      <c r="J224" s="31" t="n">
        <f aca="false">_xlfn.MAXIFS(Trades!$X$2:$X$1146,Trades!$D$2:$D$1146,$A224)</f>
        <v>-32.4</v>
      </c>
      <c r="K224" s="31" t="n">
        <f aca="false">_xlfn.MINIFS(Trades!$X$2:$X$1146,Trades!$D$2:$D$1146,$A224)</f>
        <v>-32.4</v>
      </c>
      <c r="L224" s="33" t="n">
        <f aca="false">SUMIFS(Trades!$Y$2:$Y$1146,Trades!$D$2:$D$1146,$A224)</f>
        <v>-1.10204081632634</v>
      </c>
      <c r="M224" s="31" t="n">
        <f aca="false">P223</f>
        <v>13254.3</v>
      </c>
      <c r="N224" s="30" t="n">
        <f aca="false">IFERROR(F224/M224,0)</f>
        <v>-0.00244448971277246</v>
      </c>
      <c r="O224" s="29" t="str">
        <f aca="false">IF(-N224&gt;=Summary!$C$7,"BREACH","")</f>
        <v/>
      </c>
      <c r="P224" s="31" t="n">
        <f aca="false">M224+F224</f>
        <v>13221.9</v>
      </c>
      <c r="Q224" s="31" t="n">
        <f aca="false">P224-Summary!$C$5</f>
        <v>3221.9</v>
      </c>
      <c r="R224" s="2" t="str">
        <f aca="false">TEXT(A224,"ddd")</f>
        <v>Mon</v>
      </c>
    </row>
    <row r="225" customFormat="false" ht="15" hidden="false" customHeight="false" outlineLevel="0" collapsed="false">
      <c r="A225" s="43" t="n">
        <v>45013</v>
      </c>
      <c r="B225" s="29" t="n">
        <f aca="false">COUNTIFS(Trades!$D$2:$D$1146,$A225)</f>
        <v>1</v>
      </c>
      <c r="C225" s="29" t="n">
        <f aca="false">COUNTIFS(Trades!$D$2:$D$1146,$A225,Trades!$Z$2:$Z$1146,"Win")</f>
        <v>0</v>
      </c>
      <c r="D225" s="29" t="n">
        <f aca="false">COUNTIFS(Trades!$D$2:$D$1146,$A225,Trades!$Z$2:$Z$1146,"Loss")</f>
        <v>1</v>
      </c>
      <c r="E225" s="30" t="n">
        <f aca="false">IFERROR(C225/B225,0)</f>
        <v>0</v>
      </c>
      <c r="F225" s="31" t="n">
        <f aca="false">SUMIFS(Trades!$X$2:$X$1146,Trades!$D$2:$D$1146,$A225)</f>
        <v>-0.2</v>
      </c>
      <c r="G225" s="31" t="n">
        <f aca="false">SUMIFS(Trades!$X$2:$X$1146,Trades!$D$2:$D$1146,$A225,Trades!$X$2:$X$1146,"&gt;0")</f>
        <v>0</v>
      </c>
      <c r="H225" s="31" t="n">
        <f aca="false">SUMIFS(Trades!$X$2:$X$1146,Trades!$D$2:$D$1146,$A225,Trades!$X$2:$X$1146,"&lt;0")</f>
        <v>-0.2</v>
      </c>
      <c r="I225" s="32" t="n">
        <f aca="false">IFERROR(G225/-H225,"no loss")</f>
        <v>0</v>
      </c>
      <c r="J225" s="31" t="n">
        <f aca="false">_xlfn.MAXIFS(Trades!$X$2:$X$1146,Trades!$D$2:$D$1146,$A225)</f>
        <v>-0.2</v>
      </c>
      <c r="K225" s="31" t="n">
        <f aca="false">_xlfn.MINIFS(Trades!$X$2:$X$1146,Trades!$D$2:$D$1146,$A225)</f>
        <v>-0.2</v>
      </c>
      <c r="L225" s="33" t="n">
        <f aca="false">SUMIFS(Trades!$Y$2:$Y$1146,Trades!$D$2:$D$1146,$A225)</f>
        <v>-0.00589970501475028</v>
      </c>
      <c r="M225" s="31" t="n">
        <f aca="false">P224</f>
        <v>13221.9</v>
      </c>
      <c r="N225" s="30" t="n">
        <f aca="false">IFERROR(F225/M225,0)</f>
        <v>-1.51264190471869E-005</v>
      </c>
      <c r="O225" s="29" t="str">
        <f aca="false">IF(-N225&gt;=Summary!$C$7,"BREACH","")</f>
        <v/>
      </c>
      <c r="P225" s="31" t="n">
        <f aca="false">M225+F225</f>
        <v>13221.7</v>
      </c>
      <c r="Q225" s="31" t="n">
        <f aca="false">P225-Summary!$C$5</f>
        <v>3221.7</v>
      </c>
      <c r="R225" s="2" t="str">
        <f aca="false">TEXT(A225,"ddd")</f>
        <v>Tue</v>
      </c>
    </row>
    <row r="226" customFormat="false" ht="15" hidden="false" customHeight="false" outlineLevel="0" collapsed="false">
      <c r="A226" s="43" t="n">
        <v>45014</v>
      </c>
      <c r="B226" s="29" t="n">
        <f aca="false">COUNTIFS(Trades!$D$2:$D$1146,$A226)</f>
        <v>1</v>
      </c>
      <c r="C226" s="29" t="n">
        <f aca="false">COUNTIFS(Trades!$D$2:$D$1146,$A226,Trades!$Z$2:$Z$1146,"Win")</f>
        <v>0</v>
      </c>
      <c r="D226" s="29" t="n">
        <f aca="false">COUNTIFS(Trades!$D$2:$D$1146,$A226,Trades!$Z$2:$Z$1146,"Loss")</f>
        <v>1</v>
      </c>
      <c r="E226" s="30" t="n">
        <f aca="false">IFERROR(C226/B226,0)</f>
        <v>0</v>
      </c>
      <c r="F226" s="31" t="n">
        <f aca="false">SUMIFS(Trades!$X$2:$X$1146,Trades!$D$2:$D$1146,$A226)</f>
        <v>-41.2</v>
      </c>
      <c r="G226" s="31" t="n">
        <f aca="false">SUMIFS(Trades!$X$2:$X$1146,Trades!$D$2:$D$1146,$A226,Trades!$X$2:$X$1146,"&gt;0")</f>
        <v>0</v>
      </c>
      <c r="H226" s="31" t="n">
        <f aca="false">SUMIFS(Trades!$X$2:$X$1146,Trades!$D$2:$D$1146,$A226,Trades!$X$2:$X$1146,"&lt;0")</f>
        <v>-41.2</v>
      </c>
      <c r="I226" s="32" t="n">
        <f aca="false">IFERROR(G226/-H226,"no loss")</f>
        <v>0</v>
      </c>
      <c r="J226" s="31" t="n">
        <f aca="false">_xlfn.MAXIFS(Trades!$X$2:$X$1146,Trades!$D$2:$D$1146,$A226)</f>
        <v>-41.2</v>
      </c>
      <c r="K226" s="31" t="n">
        <f aca="false">_xlfn.MINIFS(Trades!$X$2:$X$1146,Trades!$D$2:$D$1146,$A226)</f>
        <v>-41.2</v>
      </c>
      <c r="L226" s="33" t="n">
        <f aca="false">SUMIFS(Trades!$Y$2:$Y$1146,Trades!$D$2:$D$1146,$A226)</f>
        <v>-1.06459948320416</v>
      </c>
      <c r="M226" s="31" t="n">
        <f aca="false">P225</f>
        <v>13221.7</v>
      </c>
      <c r="N226" s="30" t="n">
        <f aca="false">IFERROR(F226/M226,0)</f>
        <v>-0.00311608945899544</v>
      </c>
      <c r="O226" s="29" t="str">
        <f aca="false">IF(-N226&gt;=Summary!$C$7,"BREACH","")</f>
        <v/>
      </c>
      <c r="P226" s="31" t="n">
        <f aca="false">M226+F226</f>
        <v>13180.5</v>
      </c>
      <c r="Q226" s="31" t="n">
        <f aca="false">P226-Summary!$C$5</f>
        <v>3180.5</v>
      </c>
      <c r="R226" s="2" t="str">
        <f aca="false">TEXT(A226,"ddd")</f>
        <v>Wed</v>
      </c>
    </row>
    <row r="227" customFormat="false" ht="15" hidden="false" customHeight="false" outlineLevel="0" collapsed="false">
      <c r="A227" s="43" t="n">
        <v>45015</v>
      </c>
      <c r="B227" s="29" t="n">
        <f aca="false">COUNTIFS(Trades!$D$2:$D$1146,$A227)</f>
        <v>1</v>
      </c>
      <c r="C227" s="29" t="n">
        <f aca="false">COUNTIFS(Trades!$D$2:$D$1146,$A227,Trades!$Z$2:$Z$1146,"Win")</f>
        <v>0</v>
      </c>
      <c r="D227" s="29" t="n">
        <f aca="false">COUNTIFS(Trades!$D$2:$D$1146,$A227,Trades!$Z$2:$Z$1146,"Loss")</f>
        <v>1</v>
      </c>
      <c r="E227" s="30" t="n">
        <f aca="false">IFERROR(C227/B227,0)</f>
        <v>0</v>
      </c>
      <c r="F227" s="31" t="n">
        <f aca="false">SUMIFS(Trades!$X$2:$X$1146,Trades!$D$2:$D$1146,$A227)</f>
        <v>-2.5</v>
      </c>
      <c r="G227" s="31" t="n">
        <f aca="false">SUMIFS(Trades!$X$2:$X$1146,Trades!$D$2:$D$1146,$A227,Trades!$X$2:$X$1146,"&gt;0")</f>
        <v>0</v>
      </c>
      <c r="H227" s="31" t="n">
        <f aca="false">SUMIFS(Trades!$X$2:$X$1146,Trades!$D$2:$D$1146,$A227,Trades!$X$2:$X$1146,"&lt;0")</f>
        <v>-2.5</v>
      </c>
      <c r="I227" s="32" t="n">
        <f aca="false">IFERROR(G227/-H227,"no loss")</f>
        <v>0</v>
      </c>
      <c r="J227" s="31" t="n">
        <f aca="false">_xlfn.MAXIFS(Trades!$X$2:$X$1146,Trades!$D$2:$D$1146,$A227)</f>
        <v>-2.5</v>
      </c>
      <c r="K227" s="31" t="n">
        <f aca="false">_xlfn.MINIFS(Trades!$X$2:$X$1146,Trades!$D$2:$D$1146,$A227)</f>
        <v>-2.5</v>
      </c>
      <c r="L227" s="33" t="n">
        <f aca="false">SUMIFS(Trades!$Y$2:$Y$1146,Trades!$D$2:$D$1146,$A227)</f>
        <v>-0.174216027874626</v>
      </c>
      <c r="M227" s="31" t="n">
        <f aca="false">P226</f>
        <v>13180.5</v>
      </c>
      <c r="N227" s="30" t="n">
        <f aca="false">IFERROR(F227/M227,0)</f>
        <v>-0.000189674139827776</v>
      </c>
      <c r="O227" s="29" t="str">
        <f aca="false">IF(-N227&gt;=Summary!$C$7,"BREACH","")</f>
        <v/>
      </c>
      <c r="P227" s="31" t="n">
        <f aca="false">M227+F227</f>
        <v>13178</v>
      </c>
      <c r="Q227" s="31" t="n">
        <f aca="false">P227-Summary!$C$5</f>
        <v>3178</v>
      </c>
      <c r="R227" s="2" t="str">
        <f aca="false">TEXT(A227,"ddd")</f>
        <v>Thu</v>
      </c>
    </row>
    <row r="228" customFormat="false" ht="15" hidden="false" customHeight="false" outlineLevel="0" collapsed="false">
      <c r="A228" s="43" t="n">
        <v>45016</v>
      </c>
      <c r="B228" s="29" t="n">
        <f aca="false">COUNTIFS(Trades!$D$2:$D$1146,$A228)</f>
        <v>1</v>
      </c>
      <c r="C228" s="29" t="n">
        <f aca="false">COUNTIFS(Trades!$D$2:$D$1146,$A228,Trades!$Z$2:$Z$1146,"Win")</f>
        <v>1</v>
      </c>
      <c r="D228" s="29" t="n">
        <f aca="false">COUNTIFS(Trades!$D$2:$D$1146,$A228,Trades!$Z$2:$Z$1146,"Loss")</f>
        <v>0</v>
      </c>
      <c r="E228" s="30" t="n">
        <f aca="false">IFERROR(C228/B228,0)</f>
        <v>1</v>
      </c>
      <c r="F228" s="31" t="n">
        <f aca="false">SUMIFS(Trades!$X$2:$X$1146,Trades!$D$2:$D$1146,$A228)</f>
        <v>52.5</v>
      </c>
      <c r="G228" s="31" t="n">
        <f aca="false">SUMIFS(Trades!$X$2:$X$1146,Trades!$D$2:$D$1146,$A228,Trades!$X$2:$X$1146,"&gt;0")</f>
        <v>52.5</v>
      </c>
      <c r="H228" s="31" t="n">
        <f aca="false">SUMIFS(Trades!$X$2:$X$1146,Trades!$D$2:$D$1146,$A228,Trades!$X$2:$X$1146,"&lt;0")</f>
        <v>0</v>
      </c>
      <c r="I228" s="32" t="str">
        <f aca="false">IFERROR(G228/-H228,"no loss")</f>
        <v>no loss</v>
      </c>
      <c r="J228" s="31" t="n">
        <f aca="false">_xlfn.MAXIFS(Trades!$X$2:$X$1146,Trades!$D$2:$D$1146,$A228)</f>
        <v>52.5</v>
      </c>
      <c r="K228" s="31" t="n">
        <f aca="false">_xlfn.MINIFS(Trades!$X$2:$X$1146,Trades!$D$2:$D$1146,$A228)</f>
        <v>52.5</v>
      </c>
      <c r="L228" s="33" t="n">
        <f aca="false">SUMIFS(Trades!$Y$2:$Y$1146,Trades!$D$2:$D$1146,$A228)</f>
        <v>2.56097560975587</v>
      </c>
      <c r="M228" s="31" t="n">
        <f aca="false">P227</f>
        <v>13178</v>
      </c>
      <c r="N228" s="30" t="n">
        <f aca="false">IFERROR(F228/M228,0)</f>
        <v>0.00398391258157535</v>
      </c>
      <c r="O228" s="29" t="str">
        <f aca="false">IF(-N228&gt;=Summary!$C$7,"BREACH","")</f>
        <v/>
      </c>
      <c r="P228" s="31" t="n">
        <f aca="false">M228+F228</f>
        <v>13230.5</v>
      </c>
      <c r="Q228" s="31" t="n">
        <f aca="false">P228-Summary!$C$5</f>
        <v>3230.5</v>
      </c>
      <c r="R228" s="2" t="str">
        <f aca="false">TEXT(A228,"ddd")</f>
        <v>Fri</v>
      </c>
    </row>
    <row r="229" customFormat="false" ht="15" hidden="false" customHeight="false" outlineLevel="0" collapsed="false">
      <c r="A229" s="43" t="n">
        <v>45020</v>
      </c>
      <c r="B229" s="29" t="n">
        <f aca="false">COUNTIFS(Trades!$D$2:$D$1146,$A229)</f>
        <v>1</v>
      </c>
      <c r="C229" s="29" t="n">
        <f aca="false">COUNTIFS(Trades!$D$2:$D$1146,$A229,Trades!$Z$2:$Z$1146,"Win")</f>
        <v>1</v>
      </c>
      <c r="D229" s="29" t="n">
        <f aca="false">COUNTIFS(Trades!$D$2:$D$1146,$A229,Trades!$Z$2:$Z$1146,"Loss")</f>
        <v>0</v>
      </c>
      <c r="E229" s="30" t="n">
        <f aca="false">IFERROR(C229/B229,0)</f>
        <v>1</v>
      </c>
      <c r="F229" s="31" t="n">
        <f aca="false">SUMIFS(Trades!$X$2:$X$1146,Trades!$D$2:$D$1146,$A229)</f>
        <v>43.15</v>
      </c>
      <c r="G229" s="31" t="n">
        <f aca="false">SUMIFS(Trades!$X$2:$X$1146,Trades!$D$2:$D$1146,$A229,Trades!$X$2:$X$1146,"&gt;0")</f>
        <v>43.15</v>
      </c>
      <c r="H229" s="31" t="n">
        <f aca="false">SUMIFS(Trades!$X$2:$X$1146,Trades!$D$2:$D$1146,$A229,Trades!$X$2:$X$1146,"&lt;0")</f>
        <v>0</v>
      </c>
      <c r="I229" s="32" t="str">
        <f aca="false">IFERROR(G229/-H229,"no loss")</f>
        <v>no loss</v>
      </c>
      <c r="J229" s="31" t="n">
        <f aca="false">_xlfn.MAXIFS(Trades!$X$2:$X$1146,Trades!$D$2:$D$1146,$A229)</f>
        <v>43.15</v>
      </c>
      <c r="K229" s="31" t="n">
        <f aca="false">_xlfn.MINIFS(Trades!$X$2:$X$1146,Trades!$D$2:$D$1146,$A229)</f>
        <v>43.15</v>
      </c>
      <c r="L229" s="33" t="n">
        <f aca="false">SUMIFS(Trades!$Y$2:$Y$1146,Trades!$D$2:$D$1146,$A229)</f>
        <v>2.49421965317851</v>
      </c>
      <c r="M229" s="31" t="n">
        <f aca="false">P228</f>
        <v>13230.5</v>
      </c>
      <c r="N229" s="30" t="n">
        <f aca="false">IFERROR(F229/M229,0)</f>
        <v>0.00326140357507275</v>
      </c>
      <c r="O229" s="29" t="str">
        <f aca="false">IF(-N229&gt;=Summary!$C$7,"BREACH","")</f>
        <v/>
      </c>
      <c r="P229" s="31" t="n">
        <f aca="false">M229+F229</f>
        <v>13273.65</v>
      </c>
      <c r="Q229" s="31" t="n">
        <f aca="false">P229-Summary!$C$5</f>
        <v>3273.65</v>
      </c>
      <c r="R229" s="2" t="str">
        <f aca="false">TEXT(A229,"ddd")</f>
        <v>Tue</v>
      </c>
    </row>
    <row r="230" customFormat="false" ht="15" hidden="false" customHeight="false" outlineLevel="0" collapsed="false">
      <c r="A230" s="43" t="n">
        <v>45021</v>
      </c>
      <c r="B230" s="29" t="n">
        <f aca="false">COUNTIFS(Trades!$D$2:$D$1146,$A230)</f>
        <v>1</v>
      </c>
      <c r="C230" s="29" t="n">
        <f aca="false">COUNTIFS(Trades!$D$2:$D$1146,$A230,Trades!$Z$2:$Z$1146,"Win")</f>
        <v>0</v>
      </c>
      <c r="D230" s="29" t="n">
        <f aca="false">COUNTIFS(Trades!$D$2:$D$1146,$A230,Trades!$Z$2:$Z$1146,"Loss")</f>
        <v>1</v>
      </c>
      <c r="E230" s="30" t="n">
        <f aca="false">IFERROR(C230/B230,0)</f>
        <v>0</v>
      </c>
      <c r="F230" s="31" t="n">
        <f aca="false">SUMIFS(Trades!$X$2:$X$1146,Trades!$D$2:$D$1146,$A230)</f>
        <v>-9.45</v>
      </c>
      <c r="G230" s="31" t="n">
        <f aca="false">SUMIFS(Trades!$X$2:$X$1146,Trades!$D$2:$D$1146,$A230,Trades!$X$2:$X$1146,"&gt;0")</f>
        <v>0</v>
      </c>
      <c r="H230" s="31" t="n">
        <f aca="false">SUMIFS(Trades!$X$2:$X$1146,Trades!$D$2:$D$1146,$A230,Trades!$X$2:$X$1146,"&lt;0")</f>
        <v>-9.45</v>
      </c>
      <c r="I230" s="32" t="n">
        <f aca="false">IFERROR(G230/-H230,"no loss")</f>
        <v>0</v>
      </c>
      <c r="J230" s="31" t="n">
        <f aca="false">_xlfn.MAXIFS(Trades!$X$2:$X$1146,Trades!$D$2:$D$1146,$A230)</f>
        <v>-9.45</v>
      </c>
      <c r="K230" s="31" t="n">
        <f aca="false">_xlfn.MINIFS(Trades!$X$2:$X$1146,Trades!$D$2:$D$1146,$A230)</f>
        <v>-9.45</v>
      </c>
      <c r="L230" s="33" t="n">
        <f aca="false">SUMIFS(Trades!$Y$2:$Y$1146,Trades!$D$2:$D$1146,$A230)</f>
        <v>-0.140834575260823</v>
      </c>
      <c r="M230" s="31" t="n">
        <f aca="false">P229</f>
        <v>13273.65</v>
      </c>
      <c r="N230" s="30" t="n">
        <f aca="false">IFERROR(F230/M230,0)</f>
        <v>-0.000711936807132929</v>
      </c>
      <c r="O230" s="29" t="str">
        <f aca="false">IF(-N230&gt;=Summary!$C$7,"BREACH","")</f>
        <v/>
      </c>
      <c r="P230" s="31" t="n">
        <f aca="false">M230+F230</f>
        <v>13264.2</v>
      </c>
      <c r="Q230" s="31" t="n">
        <f aca="false">P230-Summary!$C$5</f>
        <v>3264.2</v>
      </c>
      <c r="R230" s="2" t="str">
        <f aca="false">TEXT(A230,"ddd")</f>
        <v>Wed</v>
      </c>
    </row>
    <row r="231" customFormat="false" ht="15" hidden="false" customHeight="false" outlineLevel="0" collapsed="false">
      <c r="A231" s="43" t="n">
        <v>45022</v>
      </c>
      <c r="B231" s="29" t="n">
        <f aca="false">COUNTIFS(Trades!$D$2:$D$1146,$A231)</f>
        <v>1</v>
      </c>
      <c r="C231" s="29" t="n">
        <f aca="false">COUNTIFS(Trades!$D$2:$D$1146,$A231,Trades!$Z$2:$Z$1146,"Win")</f>
        <v>1</v>
      </c>
      <c r="D231" s="29" t="n">
        <f aca="false">COUNTIFS(Trades!$D$2:$D$1146,$A231,Trades!$Z$2:$Z$1146,"Loss")</f>
        <v>0</v>
      </c>
      <c r="E231" s="30" t="n">
        <f aca="false">IFERROR(C231/B231,0)</f>
        <v>1</v>
      </c>
      <c r="F231" s="31" t="n">
        <f aca="false">SUMIFS(Trades!$X$2:$X$1146,Trades!$D$2:$D$1146,$A231)</f>
        <v>83.3</v>
      </c>
      <c r="G231" s="31" t="n">
        <f aca="false">SUMIFS(Trades!$X$2:$X$1146,Trades!$D$2:$D$1146,$A231,Trades!$X$2:$X$1146,"&gt;0")</f>
        <v>83.3</v>
      </c>
      <c r="H231" s="31" t="n">
        <f aca="false">SUMIFS(Trades!$X$2:$X$1146,Trades!$D$2:$D$1146,$A231,Trades!$X$2:$X$1146,"&lt;0")</f>
        <v>0</v>
      </c>
      <c r="I231" s="32" t="str">
        <f aca="false">IFERROR(G231/-H231,"no loss")</f>
        <v>no loss</v>
      </c>
      <c r="J231" s="31" t="n">
        <f aca="false">_xlfn.MAXIFS(Trades!$X$2:$X$1146,Trades!$D$2:$D$1146,$A231)</f>
        <v>83.3</v>
      </c>
      <c r="K231" s="31" t="n">
        <f aca="false">_xlfn.MINIFS(Trades!$X$2:$X$1146,Trades!$D$2:$D$1146,$A231)</f>
        <v>83.3</v>
      </c>
      <c r="L231" s="33" t="n">
        <f aca="false">SUMIFS(Trades!$Y$2:$Y$1146,Trades!$D$2:$D$1146,$A231)</f>
        <v>2.44640234948623</v>
      </c>
      <c r="M231" s="31" t="n">
        <f aca="false">P230</f>
        <v>13264.2</v>
      </c>
      <c r="N231" s="30" t="n">
        <f aca="false">IFERROR(F231/M231,0)</f>
        <v>0.00628006212210311</v>
      </c>
      <c r="O231" s="29" t="str">
        <f aca="false">IF(-N231&gt;=Summary!$C$7,"BREACH","")</f>
        <v/>
      </c>
      <c r="P231" s="31" t="n">
        <f aca="false">M231+F231</f>
        <v>13347.5</v>
      </c>
      <c r="Q231" s="31" t="n">
        <f aca="false">P231-Summary!$C$5</f>
        <v>3347.49999999999</v>
      </c>
      <c r="R231" s="2" t="str">
        <f aca="false">TEXT(A231,"ddd")</f>
        <v>Thu</v>
      </c>
    </row>
    <row r="232" customFormat="false" ht="15" hidden="false" customHeight="false" outlineLevel="0" collapsed="false">
      <c r="A232" s="43" t="n">
        <v>45026</v>
      </c>
      <c r="B232" s="29" t="n">
        <f aca="false">COUNTIFS(Trades!$D$2:$D$1146,$A232)</f>
        <v>2</v>
      </c>
      <c r="C232" s="29" t="n">
        <f aca="false">COUNTIFS(Trades!$D$2:$D$1146,$A232,Trades!$Z$2:$Z$1146,"Win")</f>
        <v>0</v>
      </c>
      <c r="D232" s="29" t="n">
        <f aca="false">COUNTIFS(Trades!$D$2:$D$1146,$A232,Trades!$Z$2:$Z$1146,"Loss")</f>
        <v>2</v>
      </c>
      <c r="E232" s="30" t="n">
        <f aca="false">IFERROR(C232/B232,0)</f>
        <v>0</v>
      </c>
      <c r="F232" s="31" t="n">
        <f aca="false">SUMIFS(Trades!$X$2:$X$1146,Trades!$D$2:$D$1146,$A232)</f>
        <v>-46.55</v>
      </c>
      <c r="G232" s="31" t="n">
        <f aca="false">SUMIFS(Trades!$X$2:$X$1146,Trades!$D$2:$D$1146,$A232,Trades!$X$2:$X$1146,"&gt;0")</f>
        <v>0</v>
      </c>
      <c r="H232" s="31" t="n">
        <f aca="false">SUMIFS(Trades!$X$2:$X$1146,Trades!$D$2:$D$1146,$A232,Trades!$X$2:$X$1146,"&lt;0")</f>
        <v>-46.55</v>
      </c>
      <c r="I232" s="32" t="n">
        <f aca="false">IFERROR(G232/-H232,"no loss")</f>
        <v>0</v>
      </c>
      <c r="J232" s="31" t="n">
        <f aca="false">_xlfn.MAXIFS(Trades!$X$2:$X$1146,Trades!$D$2:$D$1146,$A232)</f>
        <v>-12.1</v>
      </c>
      <c r="K232" s="31" t="n">
        <f aca="false">_xlfn.MINIFS(Trades!$X$2:$X$1146,Trades!$D$2:$D$1146,$A232)</f>
        <v>-34.45</v>
      </c>
      <c r="L232" s="33" t="n">
        <f aca="false">SUMIFS(Trades!$Y$2:$Y$1146,Trades!$D$2:$D$1146,$A232)</f>
        <v>-2.11418251511168</v>
      </c>
      <c r="M232" s="31" t="n">
        <f aca="false">P231</f>
        <v>13347.5</v>
      </c>
      <c r="N232" s="30" t="n">
        <f aca="false">IFERROR(F232/M232,0)</f>
        <v>-0.00348754448398577</v>
      </c>
      <c r="O232" s="29" t="str">
        <f aca="false">IF(-N232&gt;=Summary!$C$7,"BREACH","")</f>
        <v/>
      </c>
      <c r="P232" s="31" t="n">
        <f aca="false">M232+F232</f>
        <v>13300.95</v>
      </c>
      <c r="Q232" s="31" t="n">
        <f aca="false">P232-Summary!$C$5</f>
        <v>3300.95</v>
      </c>
      <c r="R232" s="2" t="str">
        <f aca="false">TEXT(A232,"ddd")</f>
        <v>Mon</v>
      </c>
    </row>
    <row r="233" customFormat="false" ht="15" hidden="false" customHeight="false" outlineLevel="0" collapsed="false">
      <c r="A233" s="43" t="n">
        <v>45027</v>
      </c>
      <c r="B233" s="29" t="n">
        <f aca="false">COUNTIFS(Trades!$D$2:$D$1146,$A233)</f>
        <v>1</v>
      </c>
      <c r="C233" s="29" t="n">
        <f aca="false">COUNTIFS(Trades!$D$2:$D$1146,$A233,Trades!$Z$2:$Z$1146,"Win")</f>
        <v>0</v>
      </c>
      <c r="D233" s="29" t="n">
        <f aca="false">COUNTIFS(Trades!$D$2:$D$1146,$A233,Trades!$Z$2:$Z$1146,"Loss")</f>
        <v>1</v>
      </c>
      <c r="E233" s="30" t="n">
        <f aca="false">IFERROR(C233/B233,0)</f>
        <v>0</v>
      </c>
      <c r="F233" s="31" t="n">
        <f aca="false">SUMIFS(Trades!$X$2:$X$1146,Trades!$D$2:$D$1146,$A233)</f>
        <v>-16.25</v>
      </c>
      <c r="G233" s="31" t="n">
        <f aca="false">SUMIFS(Trades!$X$2:$X$1146,Trades!$D$2:$D$1146,$A233,Trades!$X$2:$X$1146,"&gt;0")</f>
        <v>0</v>
      </c>
      <c r="H233" s="31" t="n">
        <f aca="false">SUMIFS(Trades!$X$2:$X$1146,Trades!$D$2:$D$1146,$A233,Trades!$X$2:$X$1146,"&lt;0")</f>
        <v>-16.25</v>
      </c>
      <c r="I233" s="32" t="n">
        <f aca="false">IFERROR(G233/-H233,"no loss")</f>
        <v>0</v>
      </c>
      <c r="J233" s="31" t="n">
        <f aca="false">_xlfn.MAXIFS(Trades!$X$2:$X$1146,Trades!$D$2:$D$1146,$A233)</f>
        <v>-16.25</v>
      </c>
      <c r="K233" s="31" t="n">
        <f aca="false">_xlfn.MINIFS(Trades!$X$2:$X$1146,Trades!$D$2:$D$1146,$A233)</f>
        <v>-16.25</v>
      </c>
      <c r="L233" s="33" t="n">
        <f aca="false">SUMIFS(Trades!$Y$2:$Y$1146,Trades!$D$2:$D$1146,$A233)</f>
        <v>-1.04501607717083</v>
      </c>
      <c r="M233" s="31" t="n">
        <f aca="false">P232</f>
        <v>13300.95</v>
      </c>
      <c r="N233" s="30" t="n">
        <f aca="false">IFERROR(F233/M233,0)</f>
        <v>-0.00122171724576064</v>
      </c>
      <c r="O233" s="29" t="str">
        <f aca="false">IF(-N233&gt;=Summary!$C$7,"BREACH","")</f>
        <v/>
      </c>
      <c r="P233" s="31" t="n">
        <f aca="false">M233+F233</f>
        <v>13284.7</v>
      </c>
      <c r="Q233" s="31" t="n">
        <f aca="false">P233-Summary!$C$5</f>
        <v>3284.7</v>
      </c>
      <c r="R233" s="2" t="str">
        <f aca="false">TEXT(A233,"ddd")</f>
        <v>Tue</v>
      </c>
    </row>
    <row r="234" customFormat="false" ht="15" hidden="false" customHeight="false" outlineLevel="0" collapsed="false">
      <c r="A234" s="43" t="n">
        <v>45028</v>
      </c>
      <c r="B234" s="29" t="n">
        <f aca="false">COUNTIFS(Trades!$D$2:$D$1146,$A234)</f>
        <v>2</v>
      </c>
      <c r="C234" s="29" t="n">
        <f aca="false">COUNTIFS(Trades!$D$2:$D$1146,$A234,Trades!$Z$2:$Z$1146,"Win")</f>
        <v>0</v>
      </c>
      <c r="D234" s="29" t="n">
        <f aca="false">COUNTIFS(Trades!$D$2:$D$1146,$A234,Trades!$Z$2:$Z$1146,"Loss")</f>
        <v>2</v>
      </c>
      <c r="E234" s="30" t="n">
        <f aca="false">IFERROR(C234/B234,0)</f>
        <v>0</v>
      </c>
      <c r="F234" s="31" t="n">
        <f aca="false">SUMIFS(Trades!$X$2:$X$1146,Trades!$D$2:$D$1146,$A234)</f>
        <v>-247.2</v>
      </c>
      <c r="G234" s="31" t="n">
        <f aca="false">SUMIFS(Trades!$X$2:$X$1146,Trades!$D$2:$D$1146,$A234,Trades!$X$2:$X$1146,"&gt;0")</f>
        <v>0</v>
      </c>
      <c r="H234" s="31" t="n">
        <f aca="false">SUMIFS(Trades!$X$2:$X$1146,Trades!$D$2:$D$1146,$A234,Trades!$X$2:$X$1146,"&lt;0")</f>
        <v>-247.2</v>
      </c>
      <c r="I234" s="32" t="n">
        <f aca="false">IFERROR(G234/-H234,"no loss")</f>
        <v>0</v>
      </c>
      <c r="J234" s="31" t="n">
        <f aca="false">_xlfn.MAXIFS(Trades!$X$2:$X$1146,Trades!$D$2:$D$1146,$A234)</f>
        <v>-22.7</v>
      </c>
      <c r="K234" s="31" t="n">
        <f aca="false">_xlfn.MINIFS(Trades!$X$2:$X$1146,Trades!$D$2:$D$1146,$A234)</f>
        <v>-224.5</v>
      </c>
      <c r="L234" s="33" t="n">
        <f aca="false">SUMIFS(Trades!$Y$2:$Y$1146,Trades!$D$2:$D$1146,$A234)</f>
        <v>-2.07110163593888</v>
      </c>
      <c r="M234" s="31" t="n">
        <f aca="false">P233</f>
        <v>13284.7</v>
      </c>
      <c r="N234" s="30" t="n">
        <f aca="false">IFERROR(F234/M234,0)</f>
        <v>-0.0186078722139002</v>
      </c>
      <c r="O234" s="29" t="str">
        <f aca="false">IF(-N234&gt;=Summary!$C$7,"BREACH","")</f>
        <v/>
      </c>
      <c r="P234" s="31" t="n">
        <f aca="false">M234+F234</f>
        <v>13037.5</v>
      </c>
      <c r="Q234" s="31" t="n">
        <f aca="false">P234-Summary!$C$5</f>
        <v>3037.49999999999</v>
      </c>
      <c r="R234" s="2" t="str">
        <f aca="false">TEXT(A234,"ddd")</f>
        <v>Wed</v>
      </c>
    </row>
    <row r="235" customFormat="false" ht="15" hidden="false" customHeight="false" outlineLevel="0" collapsed="false">
      <c r="A235" s="43" t="n">
        <v>45029</v>
      </c>
      <c r="B235" s="29" t="n">
        <f aca="false">COUNTIFS(Trades!$D$2:$D$1146,$A235)</f>
        <v>1</v>
      </c>
      <c r="C235" s="29" t="n">
        <f aca="false">COUNTIFS(Trades!$D$2:$D$1146,$A235,Trades!$Z$2:$Z$1146,"Win")</f>
        <v>0</v>
      </c>
      <c r="D235" s="29" t="n">
        <f aca="false">COUNTIFS(Trades!$D$2:$D$1146,$A235,Trades!$Z$2:$Z$1146,"Loss")</f>
        <v>1</v>
      </c>
      <c r="E235" s="30" t="n">
        <f aca="false">IFERROR(C235/B235,0)</f>
        <v>0</v>
      </c>
      <c r="F235" s="31" t="n">
        <f aca="false">SUMIFS(Trades!$X$2:$X$1146,Trades!$D$2:$D$1146,$A235)</f>
        <v>-6.35</v>
      </c>
      <c r="G235" s="31" t="n">
        <f aca="false">SUMIFS(Trades!$X$2:$X$1146,Trades!$D$2:$D$1146,$A235,Trades!$X$2:$X$1146,"&gt;0")</f>
        <v>0</v>
      </c>
      <c r="H235" s="31" t="n">
        <f aca="false">SUMIFS(Trades!$X$2:$X$1146,Trades!$D$2:$D$1146,$A235,Trades!$X$2:$X$1146,"&lt;0")</f>
        <v>-6.35</v>
      </c>
      <c r="I235" s="32" t="n">
        <f aca="false">IFERROR(G235/-H235,"no loss")</f>
        <v>0</v>
      </c>
      <c r="J235" s="31" t="n">
        <f aca="false">_xlfn.MAXIFS(Trades!$X$2:$X$1146,Trades!$D$2:$D$1146,$A235)</f>
        <v>-6.35</v>
      </c>
      <c r="K235" s="31" t="n">
        <f aca="false">_xlfn.MINIFS(Trades!$X$2:$X$1146,Trades!$D$2:$D$1146,$A235)</f>
        <v>-6.35</v>
      </c>
      <c r="L235" s="33" t="n">
        <f aca="false">SUMIFS(Trades!$Y$2:$Y$1146,Trades!$D$2:$D$1146,$A235)</f>
        <v>-0.42760942760926</v>
      </c>
      <c r="M235" s="31" t="n">
        <f aca="false">P234</f>
        <v>13037.5</v>
      </c>
      <c r="N235" s="30" t="n">
        <f aca="false">IFERROR(F235/M235,0)</f>
        <v>-0.000487056567593481</v>
      </c>
      <c r="O235" s="29" t="str">
        <f aca="false">IF(-N235&gt;=Summary!$C$7,"BREACH","")</f>
        <v/>
      </c>
      <c r="P235" s="31" t="n">
        <f aca="false">M235+F235</f>
        <v>13031.15</v>
      </c>
      <c r="Q235" s="31" t="n">
        <f aca="false">P235-Summary!$C$5</f>
        <v>3031.14999999999</v>
      </c>
      <c r="R235" s="2" t="str">
        <f aca="false">TEXT(A235,"ddd")</f>
        <v>Thu</v>
      </c>
    </row>
    <row r="236" customFormat="false" ht="15" hidden="false" customHeight="false" outlineLevel="0" collapsed="false">
      <c r="A236" s="43" t="n">
        <v>45030</v>
      </c>
      <c r="B236" s="29" t="n">
        <f aca="false">COUNTIFS(Trades!$D$2:$D$1146,$A236)</f>
        <v>1</v>
      </c>
      <c r="C236" s="29" t="n">
        <f aca="false">COUNTIFS(Trades!$D$2:$D$1146,$A236,Trades!$Z$2:$Z$1146,"Win")</f>
        <v>0</v>
      </c>
      <c r="D236" s="29" t="n">
        <f aca="false">COUNTIFS(Trades!$D$2:$D$1146,$A236,Trades!$Z$2:$Z$1146,"Loss")</f>
        <v>1</v>
      </c>
      <c r="E236" s="30" t="n">
        <f aca="false">IFERROR(C236/B236,0)</f>
        <v>0</v>
      </c>
      <c r="F236" s="31" t="n">
        <f aca="false">SUMIFS(Trades!$X$2:$X$1146,Trades!$D$2:$D$1146,$A236)</f>
        <v>-0.16</v>
      </c>
      <c r="G236" s="31" t="n">
        <f aca="false">SUMIFS(Trades!$X$2:$X$1146,Trades!$D$2:$D$1146,$A236,Trades!$X$2:$X$1146,"&gt;0")</f>
        <v>0</v>
      </c>
      <c r="H236" s="31" t="n">
        <f aca="false">SUMIFS(Trades!$X$2:$X$1146,Trades!$D$2:$D$1146,$A236,Trades!$X$2:$X$1146,"&lt;0")</f>
        <v>-0.16</v>
      </c>
      <c r="I236" s="32" t="n">
        <f aca="false">IFERROR(G236/-H236,"no loss")</f>
        <v>0</v>
      </c>
      <c r="J236" s="31" t="n">
        <f aca="false">_xlfn.MAXIFS(Trades!$X$2:$X$1146,Trades!$D$2:$D$1146,$A236)</f>
        <v>-0.16</v>
      </c>
      <c r="K236" s="31" t="n">
        <f aca="false">_xlfn.MINIFS(Trades!$X$2:$X$1146,Trades!$D$2:$D$1146,$A236)</f>
        <v>-0.16</v>
      </c>
      <c r="L236" s="33" t="n">
        <f aca="false">SUMIFS(Trades!$Y$2:$Y$1146,Trades!$D$2:$D$1146,$A236)</f>
        <v>-0.00443458980044325</v>
      </c>
      <c r="M236" s="31" t="n">
        <f aca="false">P235</f>
        <v>13031.15</v>
      </c>
      <c r="N236" s="30" t="n">
        <f aca="false">IFERROR(F236/M236,0)</f>
        <v>-1.22782716797827E-005</v>
      </c>
      <c r="O236" s="29" t="str">
        <f aca="false">IF(-N236&gt;=Summary!$C$7,"BREACH","")</f>
        <v/>
      </c>
      <c r="P236" s="31" t="n">
        <f aca="false">M236+F236</f>
        <v>13030.99</v>
      </c>
      <c r="Q236" s="31" t="n">
        <f aca="false">P236-Summary!$C$5</f>
        <v>3030.98999999999</v>
      </c>
      <c r="R236" s="2" t="str">
        <f aca="false">TEXT(A236,"ddd")</f>
        <v>Fri</v>
      </c>
    </row>
    <row r="237" customFormat="false" ht="15" hidden="false" customHeight="false" outlineLevel="0" collapsed="false">
      <c r="A237" s="43" t="n">
        <v>45034</v>
      </c>
      <c r="B237" s="29" t="n">
        <f aca="false">COUNTIFS(Trades!$D$2:$D$1146,$A237)</f>
        <v>1</v>
      </c>
      <c r="C237" s="29" t="n">
        <f aca="false">COUNTIFS(Trades!$D$2:$D$1146,$A237,Trades!$Z$2:$Z$1146,"Win")</f>
        <v>0</v>
      </c>
      <c r="D237" s="29" t="n">
        <f aca="false">COUNTIFS(Trades!$D$2:$D$1146,$A237,Trades!$Z$2:$Z$1146,"Loss")</f>
        <v>1</v>
      </c>
      <c r="E237" s="30" t="n">
        <f aca="false">IFERROR(C237/B237,0)</f>
        <v>0</v>
      </c>
      <c r="F237" s="31" t="n">
        <f aca="false">SUMIFS(Trades!$X$2:$X$1146,Trades!$D$2:$D$1146,$A237)</f>
        <v>-27.84</v>
      </c>
      <c r="G237" s="31" t="n">
        <f aca="false">SUMIFS(Trades!$X$2:$X$1146,Trades!$D$2:$D$1146,$A237,Trades!$X$2:$X$1146,"&gt;0")</f>
        <v>0</v>
      </c>
      <c r="H237" s="31" t="n">
        <f aca="false">SUMIFS(Trades!$X$2:$X$1146,Trades!$D$2:$D$1146,$A237,Trades!$X$2:$X$1146,"&lt;0")</f>
        <v>-27.84</v>
      </c>
      <c r="I237" s="32" t="n">
        <f aca="false">IFERROR(G237/-H237,"no loss")</f>
        <v>0</v>
      </c>
      <c r="J237" s="31" t="n">
        <f aca="false">_xlfn.MAXIFS(Trades!$X$2:$X$1146,Trades!$D$2:$D$1146,$A237)</f>
        <v>-27.84</v>
      </c>
      <c r="K237" s="31" t="n">
        <f aca="false">_xlfn.MINIFS(Trades!$X$2:$X$1146,Trades!$D$2:$D$1146,$A237)</f>
        <v>-27.84</v>
      </c>
      <c r="L237" s="33" t="n">
        <f aca="false">SUMIFS(Trades!$Y$2:$Y$1146,Trades!$D$2:$D$1146,$A237)</f>
        <v>-1.00000000000013</v>
      </c>
      <c r="M237" s="31" t="n">
        <f aca="false">P236</f>
        <v>13030.99</v>
      </c>
      <c r="N237" s="30" t="n">
        <f aca="false">IFERROR(F237/M237,0)</f>
        <v>-0.00213644550414052</v>
      </c>
      <c r="O237" s="29" t="str">
        <f aca="false">IF(-N237&gt;=Summary!$C$7,"BREACH","")</f>
        <v/>
      </c>
      <c r="P237" s="31" t="n">
        <f aca="false">M237+F237</f>
        <v>13003.15</v>
      </c>
      <c r="Q237" s="31" t="n">
        <f aca="false">P237-Summary!$C$5</f>
        <v>3003.14999999999</v>
      </c>
      <c r="R237" s="2" t="str">
        <f aca="false">TEXT(A237,"ddd")</f>
        <v>Tue</v>
      </c>
    </row>
    <row r="238" customFormat="false" ht="15" hidden="false" customHeight="false" outlineLevel="0" collapsed="false">
      <c r="A238" s="43" t="n">
        <v>45035</v>
      </c>
      <c r="B238" s="29" t="n">
        <f aca="false">COUNTIFS(Trades!$D$2:$D$1146,$A238)</f>
        <v>1</v>
      </c>
      <c r="C238" s="29" t="n">
        <f aca="false">COUNTIFS(Trades!$D$2:$D$1146,$A238,Trades!$Z$2:$Z$1146,"Win")</f>
        <v>1</v>
      </c>
      <c r="D238" s="29" t="n">
        <f aca="false">COUNTIFS(Trades!$D$2:$D$1146,$A238,Trades!$Z$2:$Z$1146,"Loss")</f>
        <v>0</v>
      </c>
      <c r="E238" s="30" t="n">
        <f aca="false">IFERROR(C238/B238,0)</f>
        <v>1</v>
      </c>
      <c r="F238" s="31" t="n">
        <f aca="false">SUMIFS(Trades!$X$2:$X$1146,Trades!$D$2:$D$1146,$A238)</f>
        <v>55.92</v>
      </c>
      <c r="G238" s="31" t="n">
        <f aca="false">SUMIFS(Trades!$X$2:$X$1146,Trades!$D$2:$D$1146,$A238,Trades!$X$2:$X$1146,"&gt;0")</f>
        <v>55.92</v>
      </c>
      <c r="H238" s="31" t="n">
        <f aca="false">SUMIFS(Trades!$X$2:$X$1146,Trades!$D$2:$D$1146,$A238,Trades!$X$2:$X$1146,"&lt;0")</f>
        <v>0</v>
      </c>
      <c r="I238" s="32" t="str">
        <f aca="false">IFERROR(G238/-H238,"no loss")</f>
        <v>no loss</v>
      </c>
      <c r="J238" s="31" t="n">
        <f aca="false">_xlfn.MAXIFS(Trades!$X$2:$X$1146,Trades!$D$2:$D$1146,$A238)</f>
        <v>55.92</v>
      </c>
      <c r="K238" s="31" t="n">
        <f aca="false">_xlfn.MINIFS(Trades!$X$2:$X$1146,Trades!$D$2:$D$1146,$A238)</f>
        <v>55.92</v>
      </c>
      <c r="L238" s="33" t="n">
        <f aca="false">SUMIFS(Trades!$Y$2:$Y$1146,Trades!$D$2:$D$1146,$A238)</f>
        <v>2.53260869565281</v>
      </c>
      <c r="M238" s="31" t="n">
        <f aca="false">P237</f>
        <v>13003.15</v>
      </c>
      <c r="N238" s="30" t="n">
        <f aca="false">IFERROR(F238/M238,0)</f>
        <v>0.0043004964181756</v>
      </c>
      <c r="O238" s="29" t="str">
        <f aca="false">IF(-N238&gt;=Summary!$C$7,"BREACH","")</f>
        <v/>
      </c>
      <c r="P238" s="31" t="n">
        <f aca="false">M238+F238</f>
        <v>13059.07</v>
      </c>
      <c r="Q238" s="31" t="n">
        <f aca="false">P238-Summary!$C$5</f>
        <v>3059.06999999999</v>
      </c>
      <c r="R238" s="2" t="str">
        <f aca="false">TEXT(A238,"ddd")</f>
        <v>Wed</v>
      </c>
    </row>
    <row r="239" customFormat="false" ht="15" hidden="false" customHeight="false" outlineLevel="0" collapsed="false">
      <c r="A239" s="43" t="n">
        <v>45036</v>
      </c>
      <c r="B239" s="29" t="n">
        <f aca="false">COUNTIFS(Trades!$D$2:$D$1146,$A239)</f>
        <v>1</v>
      </c>
      <c r="C239" s="29" t="n">
        <f aca="false">COUNTIFS(Trades!$D$2:$D$1146,$A239,Trades!$Z$2:$Z$1146,"Win")</f>
        <v>0</v>
      </c>
      <c r="D239" s="29" t="n">
        <f aca="false">COUNTIFS(Trades!$D$2:$D$1146,$A239,Trades!$Z$2:$Z$1146,"Loss")</f>
        <v>1</v>
      </c>
      <c r="E239" s="30" t="n">
        <f aca="false">IFERROR(C239/B239,0)</f>
        <v>0</v>
      </c>
      <c r="F239" s="31" t="n">
        <f aca="false">SUMIFS(Trades!$X$2:$X$1146,Trades!$D$2:$D$1146,$A239)</f>
        <v>-34.1</v>
      </c>
      <c r="G239" s="31" t="n">
        <f aca="false">SUMIFS(Trades!$X$2:$X$1146,Trades!$D$2:$D$1146,$A239,Trades!$X$2:$X$1146,"&gt;0")</f>
        <v>0</v>
      </c>
      <c r="H239" s="31" t="n">
        <f aca="false">SUMIFS(Trades!$X$2:$X$1146,Trades!$D$2:$D$1146,$A239,Trades!$X$2:$X$1146,"&lt;0")</f>
        <v>-34.1</v>
      </c>
      <c r="I239" s="32" t="n">
        <f aca="false">IFERROR(G239/-H239,"no loss")</f>
        <v>0</v>
      </c>
      <c r="J239" s="31" t="n">
        <f aca="false">_xlfn.MAXIFS(Trades!$X$2:$X$1146,Trades!$D$2:$D$1146,$A239)</f>
        <v>-34.1</v>
      </c>
      <c r="K239" s="31" t="n">
        <f aca="false">_xlfn.MINIFS(Trades!$X$2:$X$1146,Trades!$D$2:$D$1146,$A239)</f>
        <v>-34.1</v>
      </c>
      <c r="L239" s="33" t="n">
        <f aca="false">SUMIFS(Trades!$Y$2:$Y$1146,Trades!$D$2:$D$1146,$A239)</f>
        <v>-1.01337295690943</v>
      </c>
      <c r="M239" s="31" t="n">
        <f aca="false">P238</f>
        <v>13059.07</v>
      </c>
      <c r="N239" s="30" t="n">
        <f aca="false">IFERROR(F239/M239,0)</f>
        <v>-0.00261121197757574</v>
      </c>
      <c r="O239" s="29" t="str">
        <f aca="false">IF(-N239&gt;=Summary!$C$7,"BREACH","")</f>
        <v/>
      </c>
      <c r="P239" s="31" t="n">
        <f aca="false">M239+F239</f>
        <v>13024.97</v>
      </c>
      <c r="Q239" s="31" t="n">
        <f aca="false">P239-Summary!$C$5</f>
        <v>3024.96999999999</v>
      </c>
      <c r="R239" s="2" t="str">
        <f aca="false">TEXT(A239,"ddd")</f>
        <v>Thu</v>
      </c>
    </row>
    <row r="240" customFormat="false" ht="15" hidden="false" customHeight="false" outlineLevel="0" collapsed="false">
      <c r="A240" s="43" t="n">
        <v>45037</v>
      </c>
      <c r="B240" s="29" t="n">
        <f aca="false">COUNTIFS(Trades!$D$2:$D$1146,$A240)</f>
        <v>1</v>
      </c>
      <c r="C240" s="29" t="n">
        <f aca="false">COUNTIFS(Trades!$D$2:$D$1146,$A240,Trades!$Z$2:$Z$1146,"Win")</f>
        <v>0</v>
      </c>
      <c r="D240" s="29" t="n">
        <f aca="false">COUNTIFS(Trades!$D$2:$D$1146,$A240,Trades!$Z$2:$Z$1146,"Loss")</f>
        <v>1</v>
      </c>
      <c r="E240" s="30" t="n">
        <f aca="false">IFERROR(C240/B240,0)</f>
        <v>0</v>
      </c>
      <c r="F240" s="31" t="n">
        <f aca="false">SUMIFS(Trades!$X$2:$X$1146,Trades!$D$2:$D$1146,$A240)</f>
        <v>-25.65</v>
      </c>
      <c r="G240" s="31" t="n">
        <f aca="false">SUMIFS(Trades!$X$2:$X$1146,Trades!$D$2:$D$1146,$A240,Trades!$X$2:$X$1146,"&gt;0")</f>
        <v>0</v>
      </c>
      <c r="H240" s="31" t="n">
        <f aca="false">SUMIFS(Trades!$X$2:$X$1146,Trades!$D$2:$D$1146,$A240,Trades!$X$2:$X$1146,"&lt;0")</f>
        <v>-25.65</v>
      </c>
      <c r="I240" s="32" t="n">
        <f aca="false">IFERROR(G240/-H240,"no loss")</f>
        <v>0</v>
      </c>
      <c r="J240" s="31" t="n">
        <f aca="false">_xlfn.MAXIFS(Trades!$X$2:$X$1146,Trades!$D$2:$D$1146,$A240)</f>
        <v>-25.65</v>
      </c>
      <c r="K240" s="31" t="n">
        <f aca="false">_xlfn.MINIFS(Trades!$X$2:$X$1146,Trades!$D$2:$D$1146,$A240)</f>
        <v>-25.65</v>
      </c>
      <c r="L240" s="33" t="n">
        <f aca="false">SUMIFS(Trades!$Y$2:$Y$1146,Trades!$D$2:$D$1146,$A240)</f>
        <v>-1.00000000000016</v>
      </c>
      <c r="M240" s="31" t="n">
        <f aca="false">P239</f>
        <v>13024.97</v>
      </c>
      <c r="N240" s="30" t="n">
        <f aca="false">IFERROR(F240/M240,0)</f>
        <v>-0.00196929436305804</v>
      </c>
      <c r="O240" s="29" t="str">
        <f aca="false">IF(-N240&gt;=Summary!$C$7,"BREACH","")</f>
        <v/>
      </c>
      <c r="P240" s="31" t="n">
        <f aca="false">M240+F240</f>
        <v>12999.32</v>
      </c>
      <c r="Q240" s="31" t="n">
        <f aca="false">P240-Summary!$C$5</f>
        <v>2999.31999999999</v>
      </c>
      <c r="R240" s="2" t="str">
        <f aca="false">TEXT(A240,"ddd")</f>
        <v>Fri</v>
      </c>
    </row>
    <row r="241" customFormat="false" ht="15" hidden="false" customHeight="false" outlineLevel="0" collapsed="false">
      <c r="A241" s="43" t="n">
        <v>45040</v>
      </c>
      <c r="B241" s="29" t="n">
        <f aca="false">COUNTIFS(Trades!$D$2:$D$1146,$A241)</f>
        <v>2</v>
      </c>
      <c r="C241" s="29" t="n">
        <f aca="false">COUNTIFS(Trades!$D$2:$D$1146,$A241,Trades!$Z$2:$Z$1146,"Win")</f>
        <v>0</v>
      </c>
      <c r="D241" s="29" t="n">
        <f aca="false">COUNTIFS(Trades!$D$2:$D$1146,$A241,Trades!$Z$2:$Z$1146,"Loss")</f>
        <v>2</v>
      </c>
      <c r="E241" s="30" t="n">
        <f aca="false">IFERROR(C241/B241,0)</f>
        <v>0</v>
      </c>
      <c r="F241" s="31" t="n">
        <f aca="false">SUMIFS(Trades!$X$2:$X$1146,Trades!$D$2:$D$1146,$A241)</f>
        <v>-57.54</v>
      </c>
      <c r="G241" s="31" t="n">
        <f aca="false">SUMIFS(Trades!$X$2:$X$1146,Trades!$D$2:$D$1146,$A241,Trades!$X$2:$X$1146,"&gt;0")</f>
        <v>0</v>
      </c>
      <c r="H241" s="31" t="n">
        <f aca="false">SUMIFS(Trades!$X$2:$X$1146,Trades!$D$2:$D$1146,$A241,Trades!$X$2:$X$1146,"&lt;0")</f>
        <v>-57.54</v>
      </c>
      <c r="I241" s="32" t="n">
        <f aca="false">IFERROR(G241/-H241,"no loss")</f>
        <v>0</v>
      </c>
      <c r="J241" s="31" t="n">
        <f aca="false">_xlfn.MAXIFS(Trades!$X$2:$X$1146,Trades!$D$2:$D$1146,$A241)</f>
        <v>-0.9</v>
      </c>
      <c r="K241" s="31" t="n">
        <f aca="false">_xlfn.MINIFS(Trades!$X$2:$X$1146,Trades!$D$2:$D$1146,$A241)</f>
        <v>-56.64</v>
      </c>
      <c r="L241" s="33" t="n">
        <f aca="false">SUMIFS(Trades!$Y$2:$Y$1146,Trades!$D$2:$D$1146,$A241)</f>
        <v>-1.04063254947025</v>
      </c>
      <c r="M241" s="31" t="n">
        <f aca="false">P240</f>
        <v>12999.32</v>
      </c>
      <c r="N241" s="30" t="n">
        <f aca="false">IFERROR(F241/M241,0)</f>
        <v>-0.00442638538015835</v>
      </c>
      <c r="O241" s="29" t="str">
        <f aca="false">IF(-N241&gt;=Summary!$C$7,"BREACH","")</f>
        <v/>
      </c>
      <c r="P241" s="31" t="n">
        <f aca="false">M241+F241</f>
        <v>12941.78</v>
      </c>
      <c r="Q241" s="31" t="n">
        <f aca="false">P241-Summary!$C$5</f>
        <v>2941.77999999999</v>
      </c>
      <c r="R241" s="2" t="str">
        <f aca="false">TEXT(A241,"ddd")</f>
        <v>Mon</v>
      </c>
    </row>
    <row r="242" customFormat="false" ht="15" hidden="false" customHeight="false" outlineLevel="0" collapsed="false">
      <c r="A242" s="43" t="n">
        <v>45041</v>
      </c>
      <c r="B242" s="29" t="n">
        <f aca="false">COUNTIFS(Trades!$D$2:$D$1146,$A242)</f>
        <v>1</v>
      </c>
      <c r="C242" s="29" t="n">
        <f aca="false">COUNTIFS(Trades!$D$2:$D$1146,$A242,Trades!$Z$2:$Z$1146,"Win")</f>
        <v>0</v>
      </c>
      <c r="D242" s="29" t="n">
        <f aca="false">COUNTIFS(Trades!$D$2:$D$1146,$A242,Trades!$Z$2:$Z$1146,"Loss")</f>
        <v>1</v>
      </c>
      <c r="E242" s="30" t="n">
        <f aca="false">IFERROR(C242/B242,0)</f>
        <v>0</v>
      </c>
      <c r="F242" s="31" t="n">
        <f aca="false">SUMIFS(Trades!$X$2:$X$1146,Trades!$D$2:$D$1146,$A242)</f>
        <v>-37.7</v>
      </c>
      <c r="G242" s="31" t="n">
        <f aca="false">SUMIFS(Trades!$X$2:$X$1146,Trades!$D$2:$D$1146,$A242,Trades!$X$2:$X$1146,"&gt;0")</f>
        <v>0</v>
      </c>
      <c r="H242" s="31" t="n">
        <f aca="false">SUMIFS(Trades!$X$2:$X$1146,Trades!$D$2:$D$1146,$A242,Trades!$X$2:$X$1146,"&lt;0")</f>
        <v>-37.7</v>
      </c>
      <c r="I242" s="32" t="n">
        <f aca="false">IFERROR(G242/-H242,"no loss")</f>
        <v>0</v>
      </c>
      <c r="J242" s="31" t="n">
        <f aca="false">_xlfn.MAXIFS(Trades!$X$2:$X$1146,Trades!$D$2:$D$1146,$A242)</f>
        <v>-37.7</v>
      </c>
      <c r="K242" s="31" t="n">
        <f aca="false">_xlfn.MINIFS(Trades!$X$2:$X$1146,Trades!$D$2:$D$1146,$A242)</f>
        <v>-37.7</v>
      </c>
      <c r="L242" s="33" t="n">
        <f aca="false">SUMIFS(Trades!$Y$2:$Y$1146,Trades!$D$2:$D$1146,$A242)</f>
        <v>-1.02168021680228</v>
      </c>
      <c r="M242" s="31" t="n">
        <f aca="false">P241</f>
        <v>12941.78</v>
      </c>
      <c r="N242" s="30" t="n">
        <f aca="false">IFERROR(F242/M242,0)</f>
        <v>-0.00291304596431094</v>
      </c>
      <c r="O242" s="29" t="str">
        <f aca="false">IF(-N242&gt;=Summary!$C$7,"BREACH","")</f>
        <v/>
      </c>
      <c r="P242" s="31" t="n">
        <f aca="false">M242+F242</f>
        <v>12904.08</v>
      </c>
      <c r="Q242" s="31" t="n">
        <f aca="false">P242-Summary!$C$5</f>
        <v>2904.07999999999</v>
      </c>
      <c r="R242" s="2" t="str">
        <f aca="false">TEXT(A242,"ddd")</f>
        <v>Tue</v>
      </c>
    </row>
    <row r="243" customFormat="false" ht="15" hidden="false" customHeight="false" outlineLevel="0" collapsed="false">
      <c r="A243" s="43" t="n">
        <v>45043</v>
      </c>
      <c r="B243" s="29" t="n">
        <f aca="false">COUNTIFS(Trades!$D$2:$D$1146,$A243)</f>
        <v>1</v>
      </c>
      <c r="C243" s="29" t="n">
        <f aca="false">COUNTIFS(Trades!$D$2:$D$1146,$A243,Trades!$Z$2:$Z$1146,"Win")</f>
        <v>1</v>
      </c>
      <c r="D243" s="29" t="n">
        <f aca="false">COUNTIFS(Trades!$D$2:$D$1146,$A243,Trades!$Z$2:$Z$1146,"Loss")</f>
        <v>0</v>
      </c>
      <c r="E243" s="30" t="n">
        <f aca="false">IFERROR(C243/B243,0)</f>
        <v>1</v>
      </c>
      <c r="F243" s="31" t="n">
        <f aca="false">SUMIFS(Trades!$X$2:$X$1146,Trades!$D$2:$D$1146,$A243)</f>
        <v>56.24</v>
      </c>
      <c r="G243" s="31" t="n">
        <f aca="false">SUMIFS(Trades!$X$2:$X$1146,Trades!$D$2:$D$1146,$A243,Trades!$X$2:$X$1146,"&gt;0")</f>
        <v>56.24</v>
      </c>
      <c r="H243" s="31" t="n">
        <f aca="false">SUMIFS(Trades!$X$2:$X$1146,Trades!$D$2:$D$1146,$A243,Trades!$X$2:$X$1146,"&lt;0")</f>
        <v>0</v>
      </c>
      <c r="I243" s="32" t="str">
        <f aca="false">IFERROR(G243/-H243,"no loss")</f>
        <v>no loss</v>
      </c>
      <c r="J243" s="31" t="n">
        <f aca="false">_xlfn.MAXIFS(Trades!$X$2:$X$1146,Trades!$D$2:$D$1146,$A243)</f>
        <v>56.24</v>
      </c>
      <c r="K243" s="31" t="n">
        <f aca="false">_xlfn.MINIFS(Trades!$X$2:$X$1146,Trades!$D$2:$D$1146,$A243)</f>
        <v>56.24</v>
      </c>
      <c r="L243" s="33" t="n">
        <f aca="false">SUMIFS(Trades!$Y$2:$Y$1146,Trades!$D$2:$D$1146,$A243)</f>
        <v>2.50623885918059</v>
      </c>
      <c r="M243" s="31" t="n">
        <f aca="false">P242</f>
        <v>12904.08</v>
      </c>
      <c r="N243" s="30" t="n">
        <f aca="false">IFERROR(F243/M243,0)</f>
        <v>0.00435831147978004</v>
      </c>
      <c r="O243" s="29" t="str">
        <f aca="false">IF(-N243&gt;=Summary!$C$7,"BREACH","")</f>
        <v/>
      </c>
      <c r="P243" s="31" t="n">
        <f aca="false">M243+F243</f>
        <v>12960.32</v>
      </c>
      <c r="Q243" s="31" t="n">
        <f aca="false">P243-Summary!$C$5</f>
        <v>2960.31999999999</v>
      </c>
      <c r="R243" s="2" t="str">
        <f aca="false">TEXT(A243,"ddd")</f>
        <v>Thu</v>
      </c>
    </row>
    <row r="244" customFormat="false" ht="15" hidden="false" customHeight="false" outlineLevel="0" collapsed="false">
      <c r="A244" s="43" t="n">
        <v>45044</v>
      </c>
      <c r="B244" s="29" t="n">
        <f aca="false">COUNTIFS(Trades!$D$2:$D$1146,$A244)</f>
        <v>1</v>
      </c>
      <c r="C244" s="29" t="n">
        <f aca="false">COUNTIFS(Trades!$D$2:$D$1146,$A244,Trades!$Z$2:$Z$1146,"Win")</f>
        <v>0</v>
      </c>
      <c r="D244" s="29" t="n">
        <f aca="false">COUNTIFS(Trades!$D$2:$D$1146,$A244,Trades!$Z$2:$Z$1146,"Loss")</f>
        <v>1</v>
      </c>
      <c r="E244" s="30" t="n">
        <f aca="false">IFERROR(C244/B244,0)</f>
        <v>0</v>
      </c>
      <c r="F244" s="31" t="n">
        <f aca="false">SUMIFS(Trades!$X$2:$X$1146,Trades!$D$2:$D$1146,$A244)</f>
        <v>-37.12</v>
      </c>
      <c r="G244" s="31" t="n">
        <f aca="false">SUMIFS(Trades!$X$2:$X$1146,Trades!$D$2:$D$1146,$A244,Trades!$X$2:$X$1146,"&gt;0")</f>
        <v>0</v>
      </c>
      <c r="H244" s="31" t="n">
        <f aca="false">SUMIFS(Trades!$X$2:$X$1146,Trades!$D$2:$D$1146,$A244,Trades!$X$2:$X$1146,"&lt;0")</f>
        <v>-37.12</v>
      </c>
      <c r="I244" s="32" t="n">
        <f aca="false">IFERROR(G244/-H244,"no loss")</f>
        <v>0</v>
      </c>
      <c r="J244" s="31" t="n">
        <f aca="false">_xlfn.MAXIFS(Trades!$X$2:$X$1146,Trades!$D$2:$D$1146,$A244)</f>
        <v>-37.12</v>
      </c>
      <c r="K244" s="31" t="n">
        <f aca="false">_xlfn.MINIFS(Trades!$X$2:$X$1146,Trades!$D$2:$D$1146,$A244)</f>
        <v>-37.12</v>
      </c>
      <c r="L244" s="33" t="n">
        <f aca="false">SUMIFS(Trades!$Y$2:$Y$1146,Trades!$D$2:$D$1146,$A244)</f>
        <v>-1.0021598272138</v>
      </c>
      <c r="M244" s="31" t="n">
        <f aca="false">P243</f>
        <v>12960.32</v>
      </c>
      <c r="N244" s="30" t="n">
        <f aca="false">IFERROR(F244/M244,0)</f>
        <v>-0.00286412681168366</v>
      </c>
      <c r="O244" s="29" t="str">
        <f aca="false">IF(-N244&gt;=Summary!$C$7,"BREACH","")</f>
        <v/>
      </c>
      <c r="P244" s="31" t="n">
        <f aca="false">M244+F244</f>
        <v>12923.2</v>
      </c>
      <c r="Q244" s="31" t="n">
        <f aca="false">P244-Summary!$C$5</f>
        <v>2923.19999999999</v>
      </c>
      <c r="R244" s="2" t="str">
        <f aca="false">TEXT(A244,"ddd")</f>
        <v>Fri</v>
      </c>
    </row>
    <row r="245" customFormat="false" ht="15" hidden="false" customHeight="false" outlineLevel="0" collapsed="false">
      <c r="A245" s="43" t="n">
        <v>45047</v>
      </c>
      <c r="B245" s="29" t="n">
        <f aca="false">COUNTIFS(Trades!$D$2:$D$1146,$A245)</f>
        <v>1</v>
      </c>
      <c r="C245" s="29" t="n">
        <f aca="false">COUNTIFS(Trades!$D$2:$D$1146,$A245,Trades!$Z$2:$Z$1146,"Win")</f>
        <v>0</v>
      </c>
      <c r="D245" s="29" t="n">
        <f aca="false">COUNTIFS(Trades!$D$2:$D$1146,$A245,Trades!$Z$2:$Z$1146,"Loss")</f>
        <v>1</v>
      </c>
      <c r="E245" s="30" t="n">
        <f aca="false">IFERROR(C245/B245,0)</f>
        <v>0</v>
      </c>
      <c r="F245" s="31" t="n">
        <f aca="false">SUMIFS(Trades!$X$2:$X$1146,Trades!$D$2:$D$1146,$A245)</f>
        <v>-22.8</v>
      </c>
      <c r="G245" s="31" t="n">
        <f aca="false">SUMIFS(Trades!$X$2:$X$1146,Trades!$D$2:$D$1146,$A245,Trades!$X$2:$X$1146,"&gt;0")</f>
        <v>0</v>
      </c>
      <c r="H245" s="31" t="n">
        <f aca="false">SUMIFS(Trades!$X$2:$X$1146,Trades!$D$2:$D$1146,$A245,Trades!$X$2:$X$1146,"&lt;0")</f>
        <v>-22.8</v>
      </c>
      <c r="I245" s="32" t="n">
        <f aca="false">IFERROR(G245/-H245,"no loss")</f>
        <v>0</v>
      </c>
      <c r="J245" s="31" t="n">
        <f aca="false">_xlfn.MAXIFS(Trades!$X$2:$X$1146,Trades!$D$2:$D$1146,$A245)</f>
        <v>-22.8</v>
      </c>
      <c r="K245" s="31" t="n">
        <f aca="false">_xlfn.MINIFS(Trades!$X$2:$X$1146,Trades!$D$2:$D$1146,$A245)</f>
        <v>-22.8</v>
      </c>
      <c r="L245" s="33" t="n">
        <f aca="false">SUMIFS(Trades!$Y$2:$Y$1146,Trades!$D$2:$D$1146,$A245)</f>
        <v>-1.0017574692442</v>
      </c>
      <c r="M245" s="31" t="n">
        <f aca="false">P244</f>
        <v>12923.2</v>
      </c>
      <c r="N245" s="30" t="n">
        <f aca="false">IFERROR(F245/M245,0)</f>
        <v>-0.00176426891172465</v>
      </c>
      <c r="O245" s="29" t="str">
        <f aca="false">IF(-N245&gt;=Summary!$C$7,"BREACH","")</f>
        <v/>
      </c>
      <c r="P245" s="31" t="n">
        <f aca="false">M245+F245</f>
        <v>12900.4</v>
      </c>
      <c r="Q245" s="31" t="n">
        <f aca="false">P245-Summary!$C$5</f>
        <v>2900.39999999999</v>
      </c>
      <c r="R245" s="2" t="str">
        <f aca="false">TEXT(A245,"ddd")</f>
        <v>Mon</v>
      </c>
    </row>
    <row r="246" customFormat="false" ht="15" hidden="false" customHeight="false" outlineLevel="0" collapsed="false">
      <c r="A246" s="43" t="n">
        <v>45048</v>
      </c>
      <c r="B246" s="29" t="n">
        <f aca="false">COUNTIFS(Trades!$D$2:$D$1146,$A246)</f>
        <v>1</v>
      </c>
      <c r="C246" s="29" t="n">
        <f aca="false">COUNTIFS(Trades!$D$2:$D$1146,$A246,Trades!$Z$2:$Z$1146,"Win")</f>
        <v>1</v>
      </c>
      <c r="D246" s="29" t="n">
        <f aca="false">COUNTIFS(Trades!$D$2:$D$1146,$A246,Trades!$Z$2:$Z$1146,"Loss")</f>
        <v>0</v>
      </c>
      <c r="E246" s="30" t="n">
        <f aca="false">IFERROR(C246/B246,0)</f>
        <v>1</v>
      </c>
      <c r="F246" s="31" t="n">
        <f aca="false">SUMIFS(Trades!$X$2:$X$1146,Trades!$D$2:$D$1146,$A246)</f>
        <v>106.88</v>
      </c>
      <c r="G246" s="31" t="n">
        <f aca="false">SUMIFS(Trades!$X$2:$X$1146,Trades!$D$2:$D$1146,$A246,Trades!$X$2:$X$1146,"&gt;0")</f>
        <v>106.88</v>
      </c>
      <c r="H246" s="31" t="n">
        <f aca="false">SUMIFS(Trades!$X$2:$X$1146,Trades!$D$2:$D$1146,$A246,Trades!$X$2:$X$1146,"&lt;0")</f>
        <v>0</v>
      </c>
      <c r="I246" s="32" t="str">
        <f aca="false">IFERROR(G246/-H246,"no loss")</f>
        <v>no loss</v>
      </c>
      <c r="J246" s="31" t="n">
        <f aca="false">_xlfn.MAXIFS(Trades!$X$2:$X$1146,Trades!$D$2:$D$1146,$A246)</f>
        <v>106.88</v>
      </c>
      <c r="K246" s="31" t="n">
        <f aca="false">_xlfn.MINIFS(Trades!$X$2:$X$1146,Trades!$D$2:$D$1146,$A246)</f>
        <v>106.88</v>
      </c>
      <c r="L246" s="33" t="n">
        <f aca="false">SUMIFS(Trades!$Y$2:$Y$1146,Trades!$D$2:$D$1146,$A246)</f>
        <v>2.45588235294095</v>
      </c>
      <c r="M246" s="31" t="n">
        <f aca="false">P245</f>
        <v>12900.4</v>
      </c>
      <c r="N246" s="30" t="n">
        <f aca="false">IFERROR(F246/M246,0)</f>
        <v>0.00828501441815758</v>
      </c>
      <c r="O246" s="29" t="str">
        <f aca="false">IF(-N246&gt;=Summary!$C$7,"BREACH","")</f>
        <v/>
      </c>
      <c r="P246" s="31" t="n">
        <f aca="false">M246+F246</f>
        <v>13007.28</v>
      </c>
      <c r="Q246" s="31" t="n">
        <f aca="false">P246-Summary!$C$5</f>
        <v>3007.27999999999</v>
      </c>
      <c r="R246" s="2" t="str">
        <f aca="false">TEXT(A246,"ddd")</f>
        <v>Tue</v>
      </c>
    </row>
    <row r="247" customFormat="false" ht="15" hidden="false" customHeight="false" outlineLevel="0" collapsed="false">
      <c r="A247" s="43" t="n">
        <v>45049</v>
      </c>
      <c r="B247" s="29" t="n">
        <f aca="false">COUNTIFS(Trades!$D$2:$D$1146,$A247)</f>
        <v>1</v>
      </c>
      <c r="C247" s="29" t="n">
        <f aca="false">COUNTIFS(Trades!$D$2:$D$1146,$A247,Trades!$Z$2:$Z$1146,"Win")</f>
        <v>0</v>
      </c>
      <c r="D247" s="29" t="n">
        <f aca="false">COUNTIFS(Trades!$D$2:$D$1146,$A247,Trades!$Z$2:$Z$1146,"Loss")</f>
        <v>1</v>
      </c>
      <c r="E247" s="30" t="n">
        <f aca="false">IFERROR(C247/B247,0)</f>
        <v>0</v>
      </c>
      <c r="F247" s="31" t="n">
        <f aca="false">SUMIFS(Trades!$X$2:$X$1146,Trades!$D$2:$D$1146,$A247)</f>
        <v>-85.2</v>
      </c>
      <c r="G247" s="31" t="n">
        <f aca="false">SUMIFS(Trades!$X$2:$X$1146,Trades!$D$2:$D$1146,$A247,Trades!$X$2:$X$1146,"&gt;0")</f>
        <v>0</v>
      </c>
      <c r="H247" s="31" t="n">
        <f aca="false">SUMIFS(Trades!$X$2:$X$1146,Trades!$D$2:$D$1146,$A247,Trades!$X$2:$X$1146,"&lt;0")</f>
        <v>-85.2</v>
      </c>
      <c r="I247" s="32" t="n">
        <f aca="false">IFERROR(G247/-H247,"no loss")</f>
        <v>0</v>
      </c>
      <c r="J247" s="31" t="n">
        <f aca="false">_xlfn.MAXIFS(Trades!$X$2:$X$1146,Trades!$D$2:$D$1146,$A247)</f>
        <v>-85.2</v>
      </c>
      <c r="K247" s="31" t="n">
        <f aca="false">_xlfn.MINIFS(Trades!$X$2:$X$1146,Trades!$D$2:$D$1146,$A247)</f>
        <v>-85.2</v>
      </c>
      <c r="L247" s="33" t="n">
        <f aca="false">SUMIFS(Trades!$Y$2:$Y$1146,Trades!$D$2:$D$1146,$A247)</f>
        <v>-1.02109300095874</v>
      </c>
      <c r="M247" s="31" t="n">
        <f aca="false">P246</f>
        <v>13007.28</v>
      </c>
      <c r="N247" s="30" t="n">
        <f aca="false">IFERROR(F247/M247,0)</f>
        <v>-0.00655017805413584</v>
      </c>
      <c r="O247" s="29" t="str">
        <f aca="false">IF(-N247&gt;=Summary!$C$7,"BREACH","")</f>
        <v/>
      </c>
      <c r="P247" s="31" t="n">
        <f aca="false">M247+F247</f>
        <v>12922.08</v>
      </c>
      <c r="Q247" s="31" t="n">
        <f aca="false">P247-Summary!$C$5</f>
        <v>2922.07999999999</v>
      </c>
      <c r="R247" s="2" t="str">
        <f aca="false">TEXT(A247,"ddd")</f>
        <v>Wed</v>
      </c>
    </row>
    <row r="248" customFormat="false" ht="15" hidden="false" customHeight="false" outlineLevel="0" collapsed="false">
      <c r="A248" s="43" t="n">
        <v>45050</v>
      </c>
      <c r="B248" s="29" t="n">
        <f aca="false">COUNTIFS(Trades!$D$2:$D$1146,$A248)</f>
        <v>1</v>
      </c>
      <c r="C248" s="29" t="n">
        <f aca="false">COUNTIFS(Trades!$D$2:$D$1146,$A248,Trades!$Z$2:$Z$1146,"Win")</f>
        <v>0</v>
      </c>
      <c r="D248" s="29" t="n">
        <f aca="false">COUNTIFS(Trades!$D$2:$D$1146,$A248,Trades!$Z$2:$Z$1146,"Loss")</f>
        <v>1</v>
      </c>
      <c r="E248" s="30" t="n">
        <f aca="false">IFERROR(C248/B248,0)</f>
        <v>0</v>
      </c>
      <c r="F248" s="31" t="n">
        <f aca="false">SUMIFS(Trades!$X$2:$X$1146,Trades!$D$2:$D$1146,$A248)</f>
        <v>-2.16</v>
      </c>
      <c r="G248" s="31" t="n">
        <f aca="false">SUMIFS(Trades!$X$2:$X$1146,Trades!$D$2:$D$1146,$A248,Trades!$X$2:$X$1146,"&gt;0")</f>
        <v>0</v>
      </c>
      <c r="H248" s="31" t="n">
        <f aca="false">SUMIFS(Trades!$X$2:$X$1146,Trades!$D$2:$D$1146,$A248,Trades!$X$2:$X$1146,"&lt;0")</f>
        <v>-2.16</v>
      </c>
      <c r="I248" s="32" t="n">
        <f aca="false">IFERROR(G248/-H248,"no loss")</f>
        <v>0</v>
      </c>
      <c r="J248" s="31" t="n">
        <f aca="false">_xlfn.MAXIFS(Trades!$X$2:$X$1146,Trades!$D$2:$D$1146,$A248)</f>
        <v>-2.16</v>
      </c>
      <c r="K248" s="31" t="n">
        <f aca="false">_xlfn.MINIFS(Trades!$X$2:$X$1146,Trades!$D$2:$D$1146,$A248)</f>
        <v>-2.16</v>
      </c>
      <c r="L248" s="33" t="n">
        <f aca="false">SUMIFS(Trades!$Y$2:$Y$1146,Trades!$D$2:$D$1146,$A248)</f>
        <v>-0.0347490347490369</v>
      </c>
      <c r="M248" s="31" t="n">
        <f aca="false">P247</f>
        <v>12922.08</v>
      </c>
      <c r="N248" s="30" t="n">
        <f aca="false">IFERROR(F248/M248,0)</f>
        <v>-0.000167155752015156</v>
      </c>
      <c r="O248" s="29" t="str">
        <f aca="false">IF(-N248&gt;=Summary!$C$7,"BREACH","")</f>
        <v/>
      </c>
      <c r="P248" s="31" t="n">
        <f aca="false">M248+F248</f>
        <v>12919.92</v>
      </c>
      <c r="Q248" s="31" t="n">
        <f aca="false">P248-Summary!$C$5</f>
        <v>2919.91999999999</v>
      </c>
      <c r="R248" s="2" t="str">
        <f aca="false">TEXT(A248,"ddd")</f>
        <v>Thu</v>
      </c>
    </row>
    <row r="249" customFormat="false" ht="15" hidden="false" customHeight="false" outlineLevel="0" collapsed="false">
      <c r="A249" s="43" t="n">
        <v>45051</v>
      </c>
      <c r="B249" s="29" t="n">
        <f aca="false">COUNTIFS(Trades!$D$2:$D$1146,$A249)</f>
        <v>1</v>
      </c>
      <c r="C249" s="29" t="n">
        <f aca="false">COUNTIFS(Trades!$D$2:$D$1146,$A249,Trades!$Z$2:$Z$1146,"Win")</f>
        <v>0</v>
      </c>
      <c r="D249" s="29" t="n">
        <f aca="false">COUNTIFS(Trades!$D$2:$D$1146,$A249,Trades!$Z$2:$Z$1146,"Loss")</f>
        <v>1</v>
      </c>
      <c r="E249" s="30" t="n">
        <f aca="false">IFERROR(C249/B249,0)</f>
        <v>0</v>
      </c>
      <c r="F249" s="31" t="n">
        <f aca="false">SUMIFS(Trades!$X$2:$X$1146,Trades!$D$2:$D$1146,$A249)</f>
        <v>-0.96</v>
      </c>
      <c r="G249" s="31" t="n">
        <f aca="false">SUMIFS(Trades!$X$2:$X$1146,Trades!$D$2:$D$1146,$A249,Trades!$X$2:$X$1146,"&gt;0")</f>
        <v>0</v>
      </c>
      <c r="H249" s="31" t="n">
        <f aca="false">SUMIFS(Trades!$X$2:$X$1146,Trades!$D$2:$D$1146,$A249,Trades!$X$2:$X$1146,"&lt;0")</f>
        <v>-0.96</v>
      </c>
      <c r="I249" s="32" t="n">
        <f aca="false">IFERROR(G249/-H249,"no loss")</f>
        <v>0</v>
      </c>
      <c r="J249" s="31" t="n">
        <f aca="false">_xlfn.MAXIFS(Trades!$X$2:$X$1146,Trades!$D$2:$D$1146,$A249)</f>
        <v>-0.96</v>
      </c>
      <c r="K249" s="31" t="n">
        <f aca="false">_xlfn.MINIFS(Trades!$X$2:$X$1146,Trades!$D$2:$D$1146,$A249)</f>
        <v>-0.96</v>
      </c>
      <c r="L249" s="33" t="n">
        <f aca="false">SUMIFS(Trades!$Y$2:$Y$1146,Trades!$D$2:$D$1146,$A249)</f>
        <v>-0.0245398773006119</v>
      </c>
      <c r="M249" s="31" t="n">
        <f aca="false">P248</f>
        <v>12919.92</v>
      </c>
      <c r="N249" s="30" t="n">
        <f aca="false">IFERROR(F249/M249,0)</f>
        <v>-7.43038656586109E-005</v>
      </c>
      <c r="O249" s="29" t="str">
        <f aca="false">IF(-N249&gt;=Summary!$C$7,"BREACH","")</f>
        <v/>
      </c>
      <c r="P249" s="31" t="n">
        <f aca="false">M249+F249</f>
        <v>12918.96</v>
      </c>
      <c r="Q249" s="31" t="n">
        <f aca="false">P249-Summary!$C$5</f>
        <v>2918.95999999999</v>
      </c>
      <c r="R249" s="2" t="str">
        <f aca="false">TEXT(A249,"ddd")</f>
        <v>Fri</v>
      </c>
    </row>
    <row r="250" customFormat="false" ht="15" hidden="false" customHeight="false" outlineLevel="0" collapsed="false">
      <c r="A250" s="43" t="n">
        <v>45054</v>
      </c>
      <c r="B250" s="29" t="n">
        <f aca="false">COUNTIFS(Trades!$D$2:$D$1146,$A250)</f>
        <v>1</v>
      </c>
      <c r="C250" s="29" t="n">
        <f aca="false">COUNTIFS(Trades!$D$2:$D$1146,$A250,Trades!$Z$2:$Z$1146,"Win")</f>
        <v>0</v>
      </c>
      <c r="D250" s="29" t="n">
        <f aca="false">COUNTIFS(Trades!$D$2:$D$1146,$A250,Trades!$Z$2:$Z$1146,"Loss")</f>
        <v>1</v>
      </c>
      <c r="E250" s="30" t="n">
        <f aca="false">IFERROR(C250/B250,0)</f>
        <v>0</v>
      </c>
      <c r="F250" s="31" t="n">
        <f aca="false">SUMIFS(Trades!$X$2:$X$1146,Trades!$D$2:$D$1146,$A250)</f>
        <v>-0.32</v>
      </c>
      <c r="G250" s="31" t="n">
        <f aca="false">SUMIFS(Trades!$X$2:$X$1146,Trades!$D$2:$D$1146,$A250,Trades!$X$2:$X$1146,"&gt;0")</f>
        <v>0</v>
      </c>
      <c r="H250" s="31" t="n">
        <f aca="false">SUMIFS(Trades!$X$2:$X$1146,Trades!$D$2:$D$1146,$A250,Trades!$X$2:$X$1146,"&lt;0")</f>
        <v>-0.32</v>
      </c>
      <c r="I250" s="32" t="n">
        <f aca="false">IFERROR(G250/-H250,"no loss")</f>
        <v>0</v>
      </c>
      <c r="J250" s="31" t="n">
        <f aca="false">_xlfn.MAXIFS(Trades!$X$2:$X$1146,Trades!$D$2:$D$1146,$A250)</f>
        <v>-0.32</v>
      </c>
      <c r="K250" s="31" t="n">
        <f aca="false">_xlfn.MINIFS(Trades!$X$2:$X$1146,Trades!$D$2:$D$1146,$A250)</f>
        <v>-0.32</v>
      </c>
      <c r="L250" s="33" t="n">
        <f aca="false">SUMIFS(Trades!$Y$2:$Y$1146,Trades!$D$2:$D$1146,$A250)</f>
        <v>-0.0184757505773675</v>
      </c>
      <c r="M250" s="31" t="n">
        <f aca="false">P249</f>
        <v>12918.96</v>
      </c>
      <c r="N250" s="30" t="n">
        <f aca="false">IFERROR(F250/M250,0)</f>
        <v>-2.47697957111099E-005</v>
      </c>
      <c r="O250" s="29" t="str">
        <f aca="false">IF(-N250&gt;=Summary!$C$7,"BREACH","")</f>
        <v/>
      </c>
      <c r="P250" s="31" t="n">
        <f aca="false">M250+F250</f>
        <v>12918.64</v>
      </c>
      <c r="Q250" s="31" t="n">
        <f aca="false">P250-Summary!$C$5</f>
        <v>2918.63999999999</v>
      </c>
      <c r="R250" s="2" t="str">
        <f aca="false">TEXT(A250,"ddd")</f>
        <v>Mon</v>
      </c>
    </row>
    <row r="251" customFormat="false" ht="15" hidden="false" customHeight="false" outlineLevel="0" collapsed="false">
      <c r="A251" s="43" t="n">
        <v>45056</v>
      </c>
      <c r="B251" s="29" t="n">
        <f aca="false">COUNTIFS(Trades!$D$2:$D$1146,$A251)</f>
        <v>2</v>
      </c>
      <c r="C251" s="29" t="n">
        <f aca="false">COUNTIFS(Trades!$D$2:$D$1146,$A251,Trades!$Z$2:$Z$1146,"Win")</f>
        <v>1</v>
      </c>
      <c r="D251" s="29" t="n">
        <f aca="false">COUNTIFS(Trades!$D$2:$D$1146,$A251,Trades!$Z$2:$Z$1146,"Loss")</f>
        <v>1</v>
      </c>
      <c r="E251" s="30" t="n">
        <f aca="false">IFERROR(C251/B251,0)</f>
        <v>0.5</v>
      </c>
      <c r="F251" s="31" t="n">
        <f aca="false">SUMIFS(Trades!$X$2:$X$1146,Trades!$D$2:$D$1146,$A251)</f>
        <v>120.88</v>
      </c>
      <c r="G251" s="31" t="n">
        <f aca="false">SUMIFS(Trades!$X$2:$X$1146,Trades!$D$2:$D$1146,$A251,Trades!$X$2:$X$1146,"&gt;0")</f>
        <v>141.48</v>
      </c>
      <c r="H251" s="31" t="n">
        <f aca="false">SUMIFS(Trades!$X$2:$X$1146,Trades!$D$2:$D$1146,$A251,Trades!$X$2:$X$1146,"&lt;0")</f>
        <v>-20.6</v>
      </c>
      <c r="I251" s="32" t="n">
        <f aca="false">IFERROR(G251/-H251,"no loss")</f>
        <v>6.86796116504854</v>
      </c>
      <c r="J251" s="31" t="n">
        <f aca="false">_xlfn.MAXIFS(Trades!$X$2:$X$1146,Trades!$D$2:$D$1146,$A251)</f>
        <v>141.48</v>
      </c>
      <c r="K251" s="31" t="n">
        <f aca="false">_xlfn.MINIFS(Trades!$X$2:$X$1146,Trades!$D$2:$D$1146,$A251)</f>
        <v>-20.6</v>
      </c>
      <c r="L251" s="33" t="n">
        <f aca="false">SUMIFS(Trades!$Y$2:$Y$1146,Trades!$D$2:$D$1146,$A251)</f>
        <v>1.31025473546702</v>
      </c>
      <c r="M251" s="31" t="n">
        <f aca="false">P250</f>
        <v>12918.64</v>
      </c>
      <c r="N251" s="30" t="n">
        <f aca="false">IFERROR(F251/M251,0)</f>
        <v>0.00935702210139768</v>
      </c>
      <c r="O251" s="29" t="str">
        <f aca="false">IF(-N251&gt;=Summary!$C$7,"BREACH","")</f>
        <v/>
      </c>
      <c r="P251" s="31" t="n">
        <f aca="false">M251+F251</f>
        <v>13039.52</v>
      </c>
      <c r="Q251" s="31" t="n">
        <f aca="false">P251-Summary!$C$5</f>
        <v>3039.51999999999</v>
      </c>
      <c r="R251" s="2" t="str">
        <f aca="false">TEXT(A251,"ddd")</f>
        <v>Wed</v>
      </c>
    </row>
    <row r="252" customFormat="false" ht="15" hidden="false" customHeight="false" outlineLevel="0" collapsed="false">
      <c r="A252" s="43" t="n">
        <v>45057</v>
      </c>
      <c r="B252" s="29" t="n">
        <f aca="false">COUNTIFS(Trades!$D$2:$D$1146,$A252)</f>
        <v>1</v>
      </c>
      <c r="C252" s="29" t="n">
        <f aca="false">COUNTIFS(Trades!$D$2:$D$1146,$A252,Trades!$Z$2:$Z$1146,"Win")</f>
        <v>0</v>
      </c>
      <c r="D252" s="29" t="n">
        <f aca="false">COUNTIFS(Trades!$D$2:$D$1146,$A252,Trades!$Z$2:$Z$1146,"Loss")</f>
        <v>1</v>
      </c>
      <c r="E252" s="30" t="n">
        <f aca="false">IFERROR(C252/B252,0)</f>
        <v>0</v>
      </c>
      <c r="F252" s="31" t="n">
        <f aca="false">SUMIFS(Trades!$X$2:$X$1146,Trades!$D$2:$D$1146,$A252)</f>
        <v>-20.04</v>
      </c>
      <c r="G252" s="31" t="n">
        <f aca="false">SUMIFS(Trades!$X$2:$X$1146,Trades!$D$2:$D$1146,$A252,Trades!$X$2:$X$1146,"&gt;0")</f>
        <v>0</v>
      </c>
      <c r="H252" s="31" t="n">
        <f aca="false">SUMIFS(Trades!$X$2:$X$1146,Trades!$D$2:$D$1146,$A252,Trades!$X$2:$X$1146,"&lt;0")</f>
        <v>-20.04</v>
      </c>
      <c r="I252" s="32" t="n">
        <f aca="false">IFERROR(G252/-H252,"no loss")</f>
        <v>0</v>
      </c>
      <c r="J252" s="31" t="n">
        <f aca="false">_xlfn.MAXIFS(Trades!$X$2:$X$1146,Trades!$D$2:$D$1146,$A252)</f>
        <v>-20.04</v>
      </c>
      <c r="K252" s="31" t="n">
        <f aca="false">_xlfn.MINIFS(Trades!$X$2:$X$1146,Trades!$D$2:$D$1146,$A252)</f>
        <v>-20.04</v>
      </c>
      <c r="L252" s="33" t="n">
        <f aca="false">SUMIFS(Trades!$Y$2:$Y$1146,Trades!$D$2:$D$1146,$A252)</f>
        <v>-1.01622718052732</v>
      </c>
      <c r="M252" s="31" t="n">
        <f aca="false">P251</f>
        <v>13039.52</v>
      </c>
      <c r="N252" s="30" t="n">
        <f aca="false">IFERROR(F252/M252,0)</f>
        <v>-0.00153686638771979</v>
      </c>
      <c r="O252" s="29" t="str">
        <f aca="false">IF(-N252&gt;=Summary!$C$7,"BREACH","")</f>
        <v/>
      </c>
      <c r="P252" s="31" t="n">
        <f aca="false">M252+F252</f>
        <v>13019.48</v>
      </c>
      <c r="Q252" s="31" t="n">
        <f aca="false">P252-Summary!$C$5</f>
        <v>3019.47999999999</v>
      </c>
      <c r="R252" s="2" t="str">
        <f aca="false">TEXT(A252,"ddd")</f>
        <v>Thu</v>
      </c>
    </row>
    <row r="253" customFormat="false" ht="15" hidden="false" customHeight="false" outlineLevel="0" collapsed="false">
      <c r="A253" s="43" t="n">
        <v>45058</v>
      </c>
      <c r="B253" s="29" t="n">
        <f aca="false">COUNTIFS(Trades!$D$2:$D$1146,$A253)</f>
        <v>2</v>
      </c>
      <c r="C253" s="29" t="n">
        <f aca="false">COUNTIFS(Trades!$D$2:$D$1146,$A253,Trades!$Z$2:$Z$1146,"Win")</f>
        <v>0</v>
      </c>
      <c r="D253" s="29" t="n">
        <f aca="false">COUNTIFS(Trades!$D$2:$D$1146,$A253,Trades!$Z$2:$Z$1146,"Loss")</f>
        <v>2</v>
      </c>
      <c r="E253" s="30" t="n">
        <f aca="false">IFERROR(C253/B253,0)</f>
        <v>0</v>
      </c>
      <c r="F253" s="31" t="n">
        <f aca="false">SUMIFS(Trades!$X$2:$X$1146,Trades!$D$2:$D$1146,$A253)</f>
        <v>-49</v>
      </c>
      <c r="G253" s="31" t="n">
        <f aca="false">SUMIFS(Trades!$X$2:$X$1146,Trades!$D$2:$D$1146,$A253,Trades!$X$2:$X$1146,"&gt;0")</f>
        <v>0</v>
      </c>
      <c r="H253" s="31" t="n">
        <f aca="false">SUMIFS(Trades!$X$2:$X$1146,Trades!$D$2:$D$1146,$A253,Trades!$X$2:$X$1146,"&lt;0")</f>
        <v>-49</v>
      </c>
      <c r="I253" s="32" t="n">
        <f aca="false">IFERROR(G253/-H253,"no loss")</f>
        <v>0</v>
      </c>
      <c r="J253" s="31" t="n">
        <f aca="false">_xlfn.MAXIFS(Trades!$X$2:$X$1146,Trades!$D$2:$D$1146,$A253)</f>
        <v>-19.92</v>
      </c>
      <c r="K253" s="31" t="n">
        <f aca="false">_xlfn.MINIFS(Trades!$X$2:$X$1146,Trades!$D$2:$D$1146,$A253)</f>
        <v>-29.08</v>
      </c>
      <c r="L253" s="33" t="n">
        <f aca="false">SUMIFS(Trades!$Y$2:$Y$1146,Trades!$D$2:$D$1146,$A253)</f>
        <v>-2.11557291023545</v>
      </c>
      <c r="M253" s="31" t="n">
        <f aca="false">P252</f>
        <v>13019.48</v>
      </c>
      <c r="N253" s="30" t="n">
        <f aca="false">IFERROR(F253/M253,0)</f>
        <v>-0.00376359117261212</v>
      </c>
      <c r="O253" s="29" t="str">
        <f aca="false">IF(-N253&gt;=Summary!$C$7,"BREACH","")</f>
        <v/>
      </c>
      <c r="P253" s="31" t="n">
        <f aca="false">M253+F253</f>
        <v>12970.48</v>
      </c>
      <c r="Q253" s="31" t="n">
        <f aca="false">P253-Summary!$C$5</f>
        <v>2970.47999999999</v>
      </c>
      <c r="R253" s="2" t="str">
        <f aca="false">TEXT(A253,"ddd")</f>
        <v>Fri</v>
      </c>
    </row>
    <row r="254" customFormat="false" ht="15" hidden="false" customHeight="false" outlineLevel="0" collapsed="false">
      <c r="A254" s="43" t="n">
        <v>45062</v>
      </c>
      <c r="B254" s="29" t="n">
        <f aca="false">COUNTIFS(Trades!$D$2:$D$1146,$A254)</f>
        <v>1</v>
      </c>
      <c r="C254" s="29" t="n">
        <f aca="false">COUNTIFS(Trades!$D$2:$D$1146,$A254,Trades!$Z$2:$Z$1146,"Win")</f>
        <v>0</v>
      </c>
      <c r="D254" s="29" t="n">
        <f aca="false">COUNTIFS(Trades!$D$2:$D$1146,$A254,Trades!$Z$2:$Z$1146,"Loss")</f>
        <v>1</v>
      </c>
      <c r="E254" s="30" t="n">
        <f aca="false">IFERROR(C254/B254,0)</f>
        <v>0</v>
      </c>
      <c r="F254" s="31" t="n">
        <f aca="false">SUMIFS(Trades!$X$2:$X$1146,Trades!$D$2:$D$1146,$A254)</f>
        <v>-18.36</v>
      </c>
      <c r="G254" s="31" t="n">
        <f aca="false">SUMIFS(Trades!$X$2:$X$1146,Trades!$D$2:$D$1146,$A254,Trades!$X$2:$X$1146,"&gt;0")</f>
        <v>0</v>
      </c>
      <c r="H254" s="31" t="n">
        <f aca="false">SUMIFS(Trades!$X$2:$X$1146,Trades!$D$2:$D$1146,$A254,Trades!$X$2:$X$1146,"&lt;0")</f>
        <v>-18.36</v>
      </c>
      <c r="I254" s="32" t="n">
        <f aca="false">IFERROR(G254/-H254,"no loss")</f>
        <v>0</v>
      </c>
      <c r="J254" s="31" t="n">
        <f aca="false">_xlfn.MAXIFS(Trades!$X$2:$X$1146,Trades!$D$2:$D$1146,$A254)</f>
        <v>-18.36</v>
      </c>
      <c r="K254" s="31" t="n">
        <f aca="false">_xlfn.MINIFS(Trades!$X$2:$X$1146,Trades!$D$2:$D$1146,$A254)</f>
        <v>-18.36</v>
      </c>
      <c r="L254" s="33" t="n">
        <f aca="false">SUMIFS(Trades!$Y$2:$Y$1146,Trades!$D$2:$D$1146,$A254)</f>
        <v>-1.00879120879137</v>
      </c>
      <c r="M254" s="31" t="n">
        <f aca="false">P253</f>
        <v>12970.48</v>
      </c>
      <c r="N254" s="30" t="n">
        <f aca="false">IFERROR(F254/M254,0)</f>
        <v>-0.00141552201614744</v>
      </c>
      <c r="O254" s="29" t="str">
        <f aca="false">IF(-N254&gt;=Summary!$C$7,"BREACH","")</f>
        <v/>
      </c>
      <c r="P254" s="31" t="n">
        <f aca="false">M254+F254</f>
        <v>12952.12</v>
      </c>
      <c r="Q254" s="31" t="n">
        <f aca="false">P254-Summary!$C$5</f>
        <v>2952.11999999999</v>
      </c>
      <c r="R254" s="2" t="str">
        <f aca="false">TEXT(A254,"ddd")</f>
        <v>Tue</v>
      </c>
    </row>
    <row r="255" customFormat="false" ht="15" hidden="false" customHeight="false" outlineLevel="0" collapsed="false">
      <c r="A255" s="43" t="n">
        <v>45063</v>
      </c>
      <c r="B255" s="29" t="n">
        <f aca="false">COUNTIFS(Trades!$D$2:$D$1146,$A255)</f>
        <v>1</v>
      </c>
      <c r="C255" s="29" t="n">
        <f aca="false">COUNTIFS(Trades!$D$2:$D$1146,$A255,Trades!$Z$2:$Z$1146,"Win")</f>
        <v>0</v>
      </c>
      <c r="D255" s="29" t="n">
        <f aca="false">COUNTIFS(Trades!$D$2:$D$1146,$A255,Trades!$Z$2:$Z$1146,"Loss")</f>
        <v>1</v>
      </c>
      <c r="E255" s="30" t="n">
        <f aca="false">IFERROR(C255/B255,0)</f>
        <v>0</v>
      </c>
      <c r="F255" s="31" t="n">
        <f aca="false">SUMIFS(Trades!$X$2:$X$1146,Trades!$D$2:$D$1146,$A255)</f>
        <v>-19.84</v>
      </c>
      <c r="G255" s="31" t="n">
        <f aca="false">SUMIFS(Trades!$X$2:$X$1146,Trades!$D$2:$D$1146,$A255,Trades!$X$2:$X$1146,"&gt;0")</f>
        <v>0</v>
      </c>
      <c r="H255" s="31" t="n">
        <f aca="false">SUMIFS(Trades!$X$2:$X$1146,Trades!$D$2:$D$1146,$A255,Trades!$X$2:$X$1146,"&lt;0")</f>
        <v>-19.84</v>
      </c>
      <c r="I255" s="32" t="n">
        <f aca="false">IFERROR(G255/-H255,"no loss")</f>
        <v>0</v>
      </c>
      <c r="J255" s="31" t="n">
        <f aca="false">_xlfn.MAXIFS(Trades!$X$2:$X$1146,Trades!$D$2:$D$1146,$A255)</f>
        <v>-19.84</v>
      </c>
      <c r="K255" s="31" t="n">
        <f aca="false">_xlfn.MINIFS(Trades!$X$2:$X$1146,Trades!$D$2:$D$1146,$A255)</f>
        <v>-19.84</v>
      </c>
      <c r="L255" s="33" t="n">
        <f aca="false">SUMIFS(Trades!$Y$2:$Y$1146,Trades!$D$2:$D$1146,$A255)</f>
        <v>-1.05531914893601</v>
      </c>
      <c r="M255" s="31" t="n">
        <f aca="false">P254</f>
        <v>12952.12</v>
      </c>
      <c r="N255" s="30" t="n">
        <f aca="false">IFERROR(F255/M255,0)</f>
        <v>-0.00153179556705775</v>
      </c>
      <c r="O255" s="29" t="str">
        <f aca="false">IF(-N255&gt;=Summary!$C$7,"BREACH","")</f>
        <v/>
      </c>
      <c r="P255" s="31" t="n">
        <f aca="false">M255+F255</f>
        <v>12932.28</v>
      </c>
      <c r="Q255" s="31" t="n">
        <f aca="false">P255-Summary!$C$5</f>
        <v>2932.27999999999</v>
      </c>
      <c r="R255" s="2" t="str">
        <f aca="false">TEXT(A255,"ddd")</f>
        <v>Wed</v>
      </c>
    </row>
    <row r="256" customFormat="false" ht="15" hidden="false" customHeight="false" outlineLevel="0" collapsed="false">
      <c r="A256" s="43" t="n">
        <v>45064</v>
      </c>
      <c r="B256" s="29" t="n">
        <f aca="false">COUNTIFS(Trades!$D$2:$D$1146,$A256)</f>
        <v>1</v>
      </c>
      <c r="C256" s="29" t="n">
        <f aca="false">COUNTIFS(Trades!$D$2:$D$1146,$A256,Trades!$Z$2:$Z$1146,"Win")</f>
        <v>0</v>
      </c>
      <c r="D256" s="29" t="n">
        <f aca="false">COUNTIFS(Trades!$D$2:$D$1146,$A256,Trades!$Z$2:$Z$1146,"Loss")</f>
        <v>1</v>
      </c>
      <c r="E256" s="30" t="n">
        <f aca="false">IFERROR(C256/B256,0)</f>
        <v>0</v>
      </c>
      <c r="F256" s="31" t="n">
        <f aca="false">SUMIFS(Trades!$X$2:$X$1146,Trades!$D$2:$D$1146,$A256)</f>
        <v>-15.24</v>
      </c>
      <c r="G256" s="31" t="n">
        <f aca="false">SUMIFS(Trades!$X$2:$X$1146,Trades!$D$2:$D$1146,$A256,Trades!$X$2:$X$1146,"&gt;0")</f>
        <v>0</v>
      </c>
      <c r="H256" s="31" t="n">
        <f aca="false">SUMIFS(Trades!$X$2:$X$1146,Trades!$D$2:$D$1146,$A256,Trades!$X$2:$X$1146,"&lt;0")</f>
        <v>-15.24</v>
      </c>
      <c r="I256" s="32" t="n">
        <f aca="false">IFERROR(G256/-H256,"no loss")</f>
        <v>0</v>
      </c>
      <c r="J256" s="31" t="n">
        <f aca="false">_xlfn.MAXIFS(Trades!$X$2:$X$1146,Trades!$D$2:$D$1146,$A256)</f>
        <v>-15.24</v>
      </c>
      <c r="K256" s="31" t="n">
        <f aca="false">_xlfn.MINIFS(Trades!$X$2:$X$1146,Trades!$D$2:$D$1146,$A256)</f>
        <v>-15.24</v>
      </c>
      <c r="L256" s="33" t="n">
        <f aca="false">SUMIFS(Trades!$Y$2:$Y$1146,Trades!$D$2:$D$1146,$A256)</f>
        <v>-1.01329787234037</v>
      </c>
      <c r="M256" s="31" t="n">
        <f aca="false">P255</f>
        <v>12932.28</v>
      </c>
      <c r="N256" s="30" t="n">
        <f aca="false">IFERROR(F256/M256,0)</f>
        <v>-0.00117844649203389</v>
      </c>
      <c r="O256" s="29" t="str">
        <f aca="false">IF(-N256&gt;=Summary!$C$7,"BREACH","")</f>
        <v/>
      </c>
      <c r="P256" s="31" t="n">
        <f aca="false">M256+F256</f>
        <v>12917.04</v>
      </c>
      <c r="Q256" s="31" t="n">
        <f aca="false">P256-Summary!$C$5</f>
        <v>2917.03999999999</v>
      </c>
      <c r="R256" s="2" t="str">
        <f aca="false">TEXT(A256,"ddd")</f>
        <v>Thu</v>
      </c>
    </row>
    <row r="257" customFormat="false" ht="15" hidden="false" customHeight="false" outlineLevel="0" collapsed="false">
      <c r="A257" s="43" t="n">
        <v>45065</v>
      </c>
      <c r="B257" s="29" t="n">
        <f aca="false">COUNTIFS(Trades!$D$2:$D$1146,$A257)</f>
        <v>1</v>
      </c>
      <c r="C257" s="29" t="n">
        <f aca="false">COUNTIFS(Trades!$D$2:$D$1146,$A257,Trades!$Z$2:$Z$1146,"Win")</f>
        <v>1</v>
      </c>
      <c r="D257" s="29" t="n">
        <f aca="false">COUNTIFS(Trades!$D$2:$D$1146,$A257,Trades!$Z$2:$Z$1146,"Loss")</f>
        <v>0</v>
      </c>
      <c r="E257" s="30" t="n">
        <f aca="false">IFERROR(C257/B257,0)</f>
        <v>1</v>
      </c>
      <c r="F257" s="31" t="n">
        <f aca="false">SUMIFS(Trades!$X$2:$X$1146,Trades!$D$2:$D$1146,$A257)</f>
        <v>50.12</v>
      </c>
      <c r="G257" s="31" t="n">
        <f aca="false">SUMIFS(Trades!$X$2:$X$1146,Trades!$D$2:$D$1146,$A257,Trades!$X$2:$X$1146,"&gt;0")</f>
        <v>50.12</v>
      </c>
      <c r="H257" s="31" t="n">
        <f aca="false">SUMIFS(Trades!$X$2:$X$1146,Trades!$D$2:$D$1146,$A257,Trades!$X$2:$X$1146,"&lt;0")</f>
        <v>0</v>
      </c>
      <c r="I257" s="32" t="str">
        <f aca="false">IFERROR(G257/-H257,"no loss")</f>
        <v>no loss</v>
      </c>
      <c r="J257" s="31" t="n">
        <f aca="false">_xlfn.MAXIFS(Trades!$X$2:$X$1146,Trades!$D$2:$D$1146,$A257)</f>
        <v>50.12</v>
      </c>
      <c r="K257" s="31" t="n">
        <f aca="false">_xlfn.MINIFS(Trades!$X$2:$X$1146,Trades!$D$2:$D$1146,$A257)</f>
        <v>50.12</v>
      </c>
      <c r="L257" s="33" t="n">
        <f aca="false">SUMIFS(Trades!$Y$2:$Y$1146,Trades!$D$2:$D$1146,$A257)</f>
        <v>2.69462365591419</v>
      </c>
      <c r="M257" s="31" t="n">
        <f aca="false">P256</f>
        <v>12917.04</v>
      </c>
      <c r="N257" s="30" t="n">
        <f aca="false">IFERROR(F257/M257,0)</f>
        <v>0.00388014591578257</v>
      </c>
      <c r="O257" s="29" t="str">
        <f aca="false">IF(-N257&gt;=Summary!$C$7,"BREACH","")</f>
        <v/>
      </c>
      <c r="P257" s="31" t="n">
        <f aca="false">M257+F257</f>
        <v>12967.16</v>
      </c>
      <c r="Q257" s="31" t="n">
        <f aca="false">P257-Summary!$C$5</f>
        <v>2967.15999999999</v>
      </c>
      <c r="R257" s="2" t="str">
        <f aca="false">TEXT(A257,"ddd")</f>
        <v>Fri</v>
      </c>
    </row>
    <row r="258" customFormat="false" ht="15" hidden="false" customHeight="false" outlineLevel="0" collapsed="false">
      <c r="A258" s="43" t="n">
        <v>45068</v>
      </c>
      <c r="B258" s="29" t="n">
        <f aca="false">COUNTIFS(Trades!$D$2:$D$1146,$A258)</f>
        <v>1</v>
      </c>
      <c r="C258" s="29" t="n">
        <f aca="false">COUNTIFS(Trades!$D$2:$D$1146,$A258,Trades!$Z$2:$Z$1146,"Win")</f>
        <v>0</v>
      </c>
      <c r="D258" s="29" t="n">
        <f aca="false">COUNTIFS(Trades!$D$2:$D$1146,$A258,Trades!$Z$2:$Z$1146,"Loss")</f>
        <v>1</v>
      </c>
      <c r="E258" s="30" t="n">
        <f aca="false">IFERROR(C258/B258,0)</f>
        <v>0</v>
      </c>
      <c r="F258" s="31" t="n">
        <f aca="false">SUMIFS(Trades!$X$2:$X$1146,Trades!$D$2:$D$1146,$A258)</f>
        <v>-36.2</v>
      </c>
      <c r="G258" s="31" t="n">
        <f aca="false">SUMIFS(Trades!$X$2:$X$1146,Trades!$D$2:$D$1146,$A258,Trades!$X$2:$X$1146,"&gt;0")</f>
        <v>0</v>
      </c>
      <c r="H258" s="31" t="n">
        <f aca="false">SUMIFS(Trades!$X$2:$X$1146,Trades!$D$2:$D$1146,$A258,Trades!$X$2:$X$1146,"&lt;0")</f>
        <v>-36.2</v>
      </c>
      <c r="I258" s="32" t="n">
        <f aca="false">IFERROR(G258/-H258,"no loss")</f>
        <v>0</v>
      </c>
      <c r="J258" s="31" t="n">
        <f aca="false">_xlfn.MAXIFS(Trades!$X$2:$X$1146,Trades!$D$2:$D$1146,$A258)</f>
        <v>-36.2</v>
      </c>
      <c r="K258" s="31" t="n">
        <f aca="false">_xlfn.MINIFS(Trades!$X$2:$X$1146,Trades!$D$2:$D$1146,$A258)</f>
        <v>-36.2</v>
      </c>
      <c r="L258" s="33" t="n">
        <f aca="false">SUMIFS(Trades!$Y$2:$Y$1146,Trades!$D$2:$D$1146,$A258)</f>
        <v>-1.00110619469037</v>
      </c>
      <c r="M258" s="31" t="n">
        <f aca="false">P257</f>
        <v>12967.16</v>
      </c>
      <c r="N258" s="30" t="n">
        <f aca="false">IFERROR(F258/M258,0)</f>
        <v>-0.00279166756637537</v>
      </c>
      <c r="O258" s="29" t="str">
        <f aca="false">IF(-N258&gt;=Summary!$C$7,"BREACH","")</f>
        <v/>
      </c>
      <c r="P258" s="31" t="n">
        <f aca="false">M258+F258</f>
        <v>12930.96</v>
      </c>
      <c r="Q258" s="31" t="n">
        <f aca="false">P258-Summary!$C$5</f>
        <v>2930.95999999999</v>
      </c>
      <c r="R258" s="2" t="str">
        <f aca="false">TEXT(A258,"ddd")</f>
        <v>Mon</v>
      </c>
    </row>
    <row r="259" customFormat="false" ht="15" hidden="false" customHeight="false" outlineLevel="0" collapsed="false">
      <c r="A259" s="43" t="n">
        <v>45069</v>
      </c>
      <c r="B259" s="29" t="n">
        <f aca="false">COUNTIFS(Trades!$D$2:$D$1146,$A259)</f>
        <v>2</v>
      </c>
      <c r="C259" s="29" t="n">
        <f aca="false">COUNTIFS(Trades!$D$2:$D$1146,$A259,Trades!$Z$2:$Z$1146,"Win")</f>
        <v>0</v>
      </c>
      <c r="D259" s="29" t="n">
        <f aca="false">COUNTIFS(Trades!$D$2:$D$1146,$A259,Trades!$Z$2:$Z$1146,"Loss")</f>
        <v>2</v>
      </c>
      <c r="E259" s="30" t="n">
        <f aca="false">IFERROR(C259/B259,0)</f>
        <v>0</v>
      </c>
      <c r="F259" s="31" t="n">
        <f aca="false">SUMIFS(Trades!$X$2:$X$1146,Trades!$D$2:$D$1146,$A259)</f>
        <v>-20.28</v>
      </c>
      <c r="G259" s="31" t="n">
        <f aca="false">SUMIFS(Trades!$X$2:$X$1146,Trades!$D$2:$D$1146,$A259,Trades!$X$2:$X$1146,"&gt;0")</f>
        <v>0</v>
      </c>
      <c r="H259" s="31" t="n">
        <f aca="false">SUMIFS(Trades!$X$2:$X$1146,Trades!$D$2:$D$1146,$A259,Trades!$X$2:$X$1146,"&lt;0")</f>
        <v>-20.28</v>
      </c>
      <c r="I259" s="32" t="n">
        <f aca="false">IFERROR(G259/-H259,"no loss")</f>
        <v>0</v>
      </c>
      <c r="J259" s="31" t="n">
        <f aca="false">_xlfn.MAXIFS(Trades!$X$2:$X$1146,Trades!$D$2:$D$1146,$A259)</f>
        <v>-1.28</v>
      </c>
      <c r="K259" s="31" t="n">
        <f aca="false">_xlfn.MINIFS(Trades!$X$2:$X$1146,Trades!$D$2:$D$1146,$A259)</f>
        <v>-19</v>
      </c>
      <c r="L259" s="33" t="n">
        <f aca="false">SUMIFS(Trades!$Y$2:$Y$1146,Trades!$D$2:$D$1146,$A259)</f>
        <v>-1.03669692979401</v>
      </c>
      <c r="M259" s="31" t="n">
        <f aca="false">P258</f>
        <v>12930.96</v>
      </c>
      <c r="N259" s="30" t="n">
        <f aca="false">IFERROR(F259/M259,0)</f>
        <v>-0.00156832903357523</v>
      </c>
      <c r="O259" s="29" t="str">
        <f aca="false">IF(-N259&gt;=Summary!$C$7,"BREACH","")</f>
        <v/>
      </c>
      <c r="P259" s="31" t="n">
        <f aca="false">M259+F259</f>
        <v>12910.68</v>
      </c>
      <c r="Q259" s="31" t="n">
        <f aca="false">P259-Summary!$C$5</f>
        <v>2910.67999999999</v>
      </c>
      <c r="R259" s="2" t="str">
        <f aca="false">TEXT(A259,"ddd")</f>
        <v>Tue</v>
      </c>
    </row>
    <row r="260" customFormat="false" ht="15" hidden="false" customHeight="false" outlineLevel="0" collapsed="false">
      <c r="A260" s="43" t="n">
        <v>45070</v>
      </c>
      <c r="B260" s="29" t="n">
        <f aca="false">COUNTIFS(Trades!$D$2:$D$1146,$A260)</f>
        <v>1</v>
      </c>
      <c r="C260" s="29" t="n">
        <f aca="false">COUNTIFS(Trades!$D$2:$D$1146,$A260,Trades!$Z$2:$Z$1146,"Win")</f>
        <v>0</v>
      </c>
      <c r="D260" s="29" t="n">
        <f aca="false">COUNTIFS(Trades!$D$2:$D$1146,$A260,Trades!$Z$2:$Z$1146,"Loss")</f>
        <v>1</v>
      </c>
      <c r="E260" s="30" t="n">
        <f aca="false">IFERROR(C260/B260,0)</f>
        <v>0</v>
      </c>
      <c r="F260" s="31" t="n">
        <f aca="false">SUMIFS(Trades!$X$2:$X$1146,Trades!$D$2:$D$1146,$A260)</f>
        <v>-25.6</v>
      </c>
      <c r="G260" s="31" t="n">
        <f aca="false">SUMIFS(Trades!$X$2:$X$1146,Trades!$D$2:$D$1146,$A260,Trades!$X$2:$X$1146,"&gt;0")</f>
        <v>0</v>
      </c>
      <c r="H260" s="31" t="n">
        <f aca="false">SUMIFS(Trades!$X$2:$X$1146,Trades!$D$2:$D$1146,$A260,Trades!$X$2:$X$1146,"&lt;0")</f>
        <v>-25.6</v>
      </c>
      <c r="I260" s="32" t="n">
        <f aca="false">IFERROR(G260/-H260,"no loss")</f>
        <v>0</v>
      </c>
      <c r="J260" s="31" t="n">
        <f aca="false">_xlfn.MAXIFS(Trades!$X$2:$X$1146,Trades!$D$2:$D$1146,$A260)</f>
        <v>-25.6</v>
      </c>
      <c r="K260" s="31" t="n">
        <f aca="false">_xlfn.MINIFS(Trades!$X$2:$X$1146,Trades!$D$2:$D$1146,$A260)</f>
        <v>-25.6</v>
      </c>
      <c r="L260" s="33" t="n">
        <f aca="false">SUMIFS(Trades!$Y$2:$Y$1146,Trades!$D$2:$D$1146,$A260)</f>
        <v>-0.999999999999773</v>
      </c>
      <c r="M260" s="31" t="n">
        <f aca="false">P259</f>
        <v>12910.68</v>
      </c>
      <c r="N260" s="30" t="n">
        <f aca="false">IFERROR(F260/M260,0)</f>
        <v>-0.00198285450495249</v>
      </c>
      <c r="O260" s="29" t="str">
        <f aca="false">IF(-N260&gt;=Summary!$C$7,"BREACH","")</f>
        <v/>
      </c>
      <c r="P260" s="31" t="n">
        <f aca="false">M260+F260</f>
        <v>12885.08</v>
      </c>
      <c r="Q260" s="31" t="n">
        <f aca="false">P260-Summary!$C$5</f>
        <v>2885.07999999999</v>
      </c>
      <c r="R260" s="2" t="str">
        <f aca="false">TEXT(A260,"ddd")</f>
        <v>Wed</v>
      </c>
    </row>
    <row r="261" customFormat="false" ht="15" hidden="false" customHeight="false" outlineLevel="0" collapsed="false">
      <c r="A261" s="43" t="n">
        <v>45071</v>
      </c>
      <c r="B261" s="29" t="n">
        <f aca="false">COUNTIFS(Trades!$D$2:$D$1146,$A261)</f>
        <v>1</v>
      </c>
      <c r="C261" s="29" t="n">
        <f aca="false">COUNTIFS(Trades!$D$2:$D$1146,$A261,Trades!$Z$2:$Z$1146,"Win")</f>
        <v>0</v>
      </c>
      <c r="D261" s="29" t="n">
        <f aca="false">COUNTIFS(Trades!$D$2:$D$1146,$A261,Trades!$Z$2:$Z$1146,"Loss")</f>
        <v>1</v>
      </c>
      <c r="E261" s="30" t="n">
        <f aca="false">IFERROR(C261/B261,0)</f>
        <v>0</v>
      </c>
      <c r="F261" s="31" t="n">
        <f aca="false">SUMIFS(Trades!$X$2:$X$1146,Trades!$D$2:$D$1146,$A261)</f>
        <v>-203.04</v>
      </c>
      <c r="G261" s="31" t="n">
        <f aca="false">SUMIFS(Trades!$X$2:$X$1146,Trades!$D$2:$D$1146,$A261,Trades!$X$2:$X$1146,"&gt;0")</f>
        <v>0</v>
      </c>
      <c r="H261" s="31" t="n">
        <f aca="false">SUMIFS(Trades!$X$2:$X$1146,Trades!$D$2:$D$1146,$A261,Trades!$X$2:$X$1146,"&lt;0")</f>
        <v>-203.04</v>
      </c>
      <c r="I261" s="32" t="n">
        <f aca="false">IFERROR(G261/-H261,"no loss")</f>
        <v>0</v>
      </c>
      <c r="J261" s="31" t="n">
        <f aca="false">_xlfn.MAXIFS(Trades!$X$2:$X$1146,Trades!$D$2:$D$1146,$A261)</f>
        <v>-203.04</v>
      </c>
      <c r="K261" s="31" t="n">
        <f aca="false">_xlfn.MINIFS(Trades!$X$2:$X$1146,Trades!$D$2:$D$1146,$A261)</f>
        <v>-203.04</v>
      </c>
      <c r="L261" s="33" t="n">
        <f aca="false">SUMIFS(Trades!$Y$2:$Y$1146,Trades!$D$2:$D$1146,$A261)</f>
        <v>-1.0029638411381</v>
      </c>
      <c r="M261" s="31" t="n">
        <f aca="false">P260</f>
        <v>12885.08</v>
      </c>
      <c r="N261" s="30" t="n">
        <f aca="false">IFERROR(F261/M261,0)</f>
        <v>-0.0157577601380822</v>
      </c>
      <c r="O261" s="29" t="str">
        <f aca="false">IF(-N261&gt;=Summary!$C$7,"BREACH","")</f>
        <v/>
      </c>
      <c r="P261" s="31" t="n">
        <f aca="false">M261+F261</f>
        <v>12682.04</v>
      </c>
      <c r="Q261" s="31" t="n">
        <f aca="false">P261-Summary!$C$5</f>
        <v>2682.03999999999</v>
      </c>
      <c r="R261" s="2" t="str">
        <f aca="false">TEXT(A261,"ddd")</f>
        <v>Thu</v>
      </c>
    </row>
    <row r="262" customFormat="false" ht="15" hidden="false" customHeight="false" outlineLevel="0" collapsed="false">
      <c r="A262" s="43" t="n">
        <v>45072</v>
      </c>
      <c r="B262" s="29" t="n">
        <f aca="false">COUNTIFS(Trades!$D$2:$D$1146,$A262)</f>
        <v>1</v>
      </c>
      <c r="C262" s="29" t="n">
        <f aca="false">COUNTIFS(Trades!$D$2:$D$1146,$A262,Trades!$Z$2:$Z$1146,"Win")</f>
        <v>0</v>
      </c>
      <c r="D262" s="29" t="n">
        <f aca="false">COUNTIFS(Trades!$D$2:$D$1146,$A262,Trades!$Z$2:$Z$1146,"Loss")</f>
        <v>1</v>
      </c>
      <c r="E262" s="30" t="n">
        <f aca="false">IFERROR(C262/B262,0)</f>
        <v>0</v>
      </c>
      <c r="F262" s="31" t="n">
        <f aca="false">SUMIFS(Trades!$X$2:$X$1146,Trades!$D$2:$D$1146,$A262)</f>
        <v>-0.64</v>
      </c>
      <c r="G262" s="31" t="n">
        <f aca="false">SUMIFS(Trades!$X$2:$X$1146,Trades!$D$2:$D$1146,$A262,Trades!$X$2:$X$1146,"&gt;0")</f>
        <v>0</v>
      </c>
      <c r="H262" s="31" t="n">
        <f aca="false">SUMIFS(Trades!$X$2:$X$1146,Trades!$D$2:$D$1146,$A262,Trades!$X$2:$X$1146,"&lt;0")</f>
        <v>-0.64</v>
      </c>
      <c r="I262" s="32" t="n">
        <f aca="false">IFERROR(G262/-H262,"no loss")</f>
        <v>0</v>
      </c>
      <c r="J262" s="31" t="n">
        <f aca="false">_xlfn.MAXIFS(Trades!$X$2:$X$1146,Trades!$D$2:$D$1146,$A262)</f>
        <v>-0.64</v>
      </c>
      <c r="K262" s="31" t="n">
        <f aca="false">_xlfn.MINIFS(Trades!$X$2:$X$1146,Trades!$D$2:$D$1146,$A262)</f>
        <v>-0.64</v>
      </c>
      <c r="L262" s="33" t="n">
        <f aca="false">SUMIFS(Trades!$Y$2:$Y$1146,Trades!$D$2:$D$1146,$A262)</f>
        <v>-0.0352422907488919</v>
      </c>
      <c r="M262" s="31" t="n">
        <f aca="false">P261</f>
        <v>12682.04</v>
      </c>
      <c r="N262" s="30" t="n">
        <f aca="false">IFERROR(F262/M262,0)</f>
        <v>-5.04650671343097E-005</v>
      </c>
      <c r="O262" s="29" t="str">
        <f aca="false">IF(-N262&gt;=Summary!$C$7,"BREACH","")</f>
        <v/>
      </c>
      <c r="P262" s="31" t="n">
        <f aca="false">M262+F262</f>
        <v>12681.4</v>
      </c>
      <c r="Q262" s="31" t="n">
        <f aca="false">P262-Summary!$C$5</f>
        <v>2681.39999999999</v>
      </c>
      <c r="R262" s="2" t="str">
        <f aca="false">TEXT(A262,"ddd")</f>
        <v>Fri</v>
      </c>
    </row>
    <row r="263" customFormat="false" ht="15" hidden="false" customHeight="false" outlineLevel="0" collapsed="false">
      <c r="A263" s="43" t="n">
        <v>45075</v>
      </c>
      <c r="B263" s="29" t="n">
        <f aca="false">COUNTIFS(Trades!$D$2:$D$1146,$A263)</f>
        <v>1</v>
      </c>
      <c r="C263" s="29" t="n">
        <f aca="false">COUNTIFS(Trades!$D$2:$D$1146,$A263,Trades!$Z$2:$Z$1146,"Win")</f>
        <v>0</v>
      </c>
      <c r="D263" s="29" t="n">
        <f aca="false">COUNTIFS(Trades!$D$2:$D$1146,$A263,Trades!$Z$2:$Z$1146,"Loss")</f>
        <v>1</v>
      </c>
      <c r="E263" s="30" t="n">
        <f aca="false">IFERROR(C263/B263,0)</f>
        <v>0</v>
      </c>
      <c r="F263" s="31" t="n">
        <f aca="false">SUMIFS(Trades!$X$2:$X$1146,Trades!$D$2:$D$1146,$A263)</f>
        <v>-63.16</v>
      </c>
      <c r="G263" s="31" t="n">
        <f aca="false">SUMIFS(Trades!$X$2:$X$1146,Trades!$D$2:$D$1146,$A263,Trades!$X$2:$X$1146,"&gt;0")</f>
        <v>0</v>
      </c>
      <c r="H263" s="31" t="n">
        <f aca="false">SUMIFS(Trades!$X$2:$X$1146,Trades!$D$2:$D$1146,$A263,Trades!$X$2:$X$1146,"&lt;0")</f>
        <v>-63.16</v>
      </c>
      <c r="I263" s="32" t="n">
        <f aca="false">IFERROR(G263/-H263,"no loss")</f>
        <v>0</v>
      </c>
      <c r="J263" s="31" t="n">
        <f aca="false">_xlfn.MAXIFS(Trades!$X$2:$X$1146,Trades!$D$2:$D$1146,$A263)</f>
        <v>-63.16</v>
      </c>
      <c r="K263" s="31" t="n">
        <f aca="false">_xlfn.MINIFS(Trades!$X$2:$X$1146,Trades!$D$2:$D$1146,$A263)</f>
        <v>-63.16</v>
      </c>
      <c r="L263" s="33" t="n">
        <f aca="false">SUMIFS(Trades!$Y$2:$Y$1146,Trades!$D$2:$D$1146,$A263)</f>
        <v>-1.01543408360133</v>
      </c>
      <c r="M263" s="31" t="n">
        <f aca="false">P262</f>
        <v>12681.4</v>
      </c>
      <c r="N263" s="30" t="n">
        <f aca="false">IFERROR(F263/M263,0)</f>
        <v>-0.00498052265522735</v>
      </c>
      <c r="O263" s="29" t="str">
        <f aca="false">IF(-N263&gt;=Summary!$C$7,"BREACH","")</f>
        <v/>
      </c>
      <c r="P263" s="31" t="n">
        <f aca="false">M263+F263</f>
        <v>12618.24</v>
      </c>
      <c r="Q263" s="31" t="n">
        <f aca="false">P263-Summary!$C$5</f>
        <v>2618.23999999999</v>
      </c>
      <c r="R263" s="2" t="str">
        <f aca="false">TEXT(A263,"ddd")</f>
        <v>Mon</v>
      </c>
    </row>
    <row r="264" customFormat="false" ht="15" hidden="false" customHeight="false" outlineLevel="0" collapsed="false">
      <c r="A264" s="43" t="n">
        <v>45076</v>
      </c>
      <c r="B264" s="29" t="n">
        <f aca="false">COUNTIFS(Trades!$D$2:$D$1146,$A264)</f>
        <v>2</v>
      </c>
      <c r="C264" s="29" t="n">
        <f aca="false">COUNTIFS(Trades!$D$2:$D$1146,$A264,Trades!$Z$2:$Z$1146,"Win")</f>
        <v>2</v>
      </c>
      <c r="D264" s="29" t="n">
        <f aca="false">COUNTIFS(Trades!$D$2:$D$1146,$A264,Trades!$Z$2:$Z$1146,"Loss")</f>
        <v>0</v>
      </c>
      <c r="E264" s="30" t="n">
        <f aca="false">IFERROR(C264/B264,0)</f>
        <v>1</v>
      </c>
      <c r="F264" s="31" t="n">
        <f aca="false">SUMIFS(Trades!$X$2:$X$1146,Trades!$D$2:$D$1146,$A264)</f>
        <v>161.44</v>
      </c>
      <c r="G264" s="31" t="n">
        <f aca="false">SUMIFS(Trades!$X$2:$X$1146,Trades!$D$2:$D$1146,$A264,Trades!$X$2:$X$1146,"&gt;0")</f>
        <v>161.44</v>
      </c>
      <c r="H264" s="31" t="n">
        <f aca="false">SUMIFS(Trades!$X$2:$X$1146,Trades!$D$2:$D$1146,$A264,Trades!$X$2:$X$1146,"&lt;0")</f>
        <v>0</v>
      </c>
      <c r="I264" s="32" t="str">
        <f aca="false">IFERROR(G264/-H264,"no loss")</f>
        <v>no loss</v>
      </c>
      <c r="J264" s="31" t="n">
        <f aca="false">_xlfn.MAXIFS(Trades!$X$2:$X$1146,Trades!$D$2:$D$1146,$A264)</f>
        <v>101.24</v>
      </c>
      <c r="K264" s="31" t="n">
        <f aca="false">_xlfn.MINIFS(Trades!$X$2:$X$1146,Trades!$D$2:$D$1146,$A264)</f>
        <v>60.2</v>
      </c>
      <c r="L264" s="33" t="n">
        <f aca="false">SUMIFS(Trades!$Y$2:$Y$1146,Trades!$D$2:$D$1146,$A264)</f>
        <v>5.02236226572486</v>
      </c>
      <c r="M264" s="31" t="n">
        <f aca="false">P263</f>
        <v>12618.24</v>
      </c>
      <c r="N264" s="30" t="n">
        <f aca="false">IFERROR(F264/M264,0)</f>
        <v>0.0127941773179144</v>
      </c>
      <c r="O264" s="29" t="str">
        <f aca="false">IF(-N264&gt;=Summary!$C$7,"BREACH","")</f>
        <v/>
      </c>
      <c r="P264" s="31" t="n">
        <f aca="false">M264+F264</f>
        <v>12779.68</v>
      </c>
      <c r="Q264" s="31" t="n">
        <f aca="false">P264-Summary!$C$5</f>
        <v>2779.67999999999</v>
      </c>
      <c r="R264" s="2" t="str">
        <f aca="false">TEXT(A264,"ddd")</f>
        <v>Tue</v>
      </c>
    </row>
    <row r="265" customFormat="false" ht="15" hidden="false" customHeight="false" outlineLevel="0" collapsed="false">
      <c r="A265" s="43" t="n">
        <v>45077</v>
      </c>
      <c r="B265" s="29" t="n">
        <f aca="false">COUNTIFS(Trades!$D$2:$D$1146,$A265)</f>
        <v>1</v>
      </c>
      <c r="C265" s="29" t="n">
        <f aca="false">COUNTIFS(Trades!$D$2:$D$1146,$A265,Trades!$Z$2:$Z$1146,"Win")</f>
        <v>0</v>
      </c>
      <c r="D265" s="29" t="n">
        <f aca="false">COUNTIFS(Trades!$D$2:$D$1146,$A265,Trades!$Z$2:$Z$1146,"Loss")</f>
        <v>1</v>
      </c>
      <c r="E265" s="30" t="n">
        <f aca="false">IFERROR(C265/B265,0)</f>
        <v>0</v>
      </c>
      <c r="F265" s="31" t="n">
        <f aca="false">SUMIFS(Trades!$X$2:$X$1146,Trades!$D$2:$D$1146,$A265)</f>
        <v>-0.2</v>
      </c>
      <c r="G265" s="31" t="n">
        <f aca="false">SUMIFS(Trades!$X$2:$X$1146,Trades!$D$2:$D$1146,$A265,Trades!$X$2:$X$1146,"&gt;0")</f>
        <v>0</v>
      </c>
      <c r="H265" s="31" t="n">
        <f aca="false">SUMIFS(Trades!$X$2:$X$1146,Trades!$D$2:$D$1146,$A265,Trades!$X$2:$X$1146,"&lt;0")</f>
        <v>-0.2</v>
      </c>
      <c r="I265" s="32" t="n">
        <f aca="false">IFERROR(G265/-H265,"no loss")</f>
        <v>0</v>
      </c>
      <c r="J265" s="31" t="n">
        <f aca="false">_xlfn.MAXIFS(Trades!$X$2:$X$1146,Trades!$D$2:$D$1146,$A265)</f>
        <v>-0.2</v>
      </c>
      <c r="K265" s="31" t="n">
        <f aca="false">_xlfn.MINIFS(Trades!$X$2:$X$1146,Trades!$D$2:$D$1146,$A265)</f>
        <v>-0.2</v>
      </c>
      <c r="L265" s="33" t="n">
        <f aca="false">SUMIFS(Trades!$Y$2:$Y$1146,Trades!$D$2:$D$1146,$A265)</f>
        <v>-0.0122549019607845</v>
      </c>
      <c r="M265" s="31" t="n">
        <f aca="false">P264</f>
        <v>12779.68</v>
      </c>
      <c r="N265" s="30" t="n">
        <f aca="false">IFERROR(F265/M265,0)</f>
        <v>-1.56498441275525E-005</v>
      </c>
      <c r="O265" s="29" t="str">
        <f aca="false">IF(-N265&gt;=Summary!$C$7,"BREACH","")</f>
        <v/>
      </c>
      <c r="P265" s="31" t="n">
        <f aca="false">M265+F265</f>
        <v>12779.48</v>
      </c>
      <c r="Q265" s="31" t="n">
        <f aca="false">P265-Summary!$C$5</f>
        <v>2779.47999999999</v>
      </c>
      <c r="R265" s="2" t="str">
        <f aca="false">TEXT(A265,"ddd")</f>
        <v>Wed</v>
      </c>
    </row>
    <row r="266" customFormat="false" ht="15" hidden="false" customHeight="false" outlineLevel="0" collapsed="false">
      <c r="A266" s="43" t="n">
        <v>45078</v>
      </c>
      <c r="B266" s="29" t="n">
        <f aca="false">COUNTIFS(Trades!$D$2:$D$1146,$A266)</f>
        <v>2</v>
      </c>
      <c r="C266" s="29" t="n">
        <f aca="false">COUNTIFS(Trades!$D$2:$D$1146,$A266,Trades!$Z$2:$Z$1146,"Win")</f>
        <v>1</v>
      </c>
      <c r="D266" s="29" t="n">
        <f aca="false">COUNTIFS(Trades!$D$2:$D$1146,$A266,Trades!$Z$2:$Z$1146,"Loss")</f>
        <v>1</v>
      </c>
      <c r="E266" s="30" t="n">
        <f aca="false">IFERROR(C266/B266,0)</f>
        <v>0.5</v>
      </c>
      <c r="F266" s="31" t="n">
        <f aca="false">SUMIFS(Trades!$X$2:$X$1146,Trades!$D$2:$D$1146,$A266)</f>
        <v>31.92</v>
      </c>
      <c r="G266" s="31" t="n">
        <f aca="false">SUMIFS(Trades!$X$2:$X$1146,Trades!$D$2:$D$1146,$A266,Trades!$X$2:$X$1146,"&gt;0")</f>
        <v>67.84</v>
      </c>
      <c r="H266" s="31" t="n">
        <f aca="false">SUMIFS(Trades!$X$2:$X$1146,Trades!$D$2:$D$1146,$A266,Trades!$X$2:$X$1146,"&lt;0")</f>
        <v>-35.92</v>
      </c>
      <c r="I266" s="32" t="n">
        <f aca="false">IFERROR(G266/-H266,"no loss")</f>
        <v>1.88864142538976</v>
      </c>
      <c r="J266" s="31" t="n">
        <f aca="false">_xlfn.MAXIFS(Trades!$X$2:$X$1146,Trades!$D$2:$D$1146,$A266)</f>
        <v>67.84</v>
      </c>
      <c r="K266" s="31" t="n">
        <f aca="false">_xlfn.MINIFS(Trades!$X$2:$X$1146,Trades!$D$2:$D$1146,$A266)</f>
        <v>-35.92</v>
      </c>
      <c r="L266" s="33" t="n">
        <f aca="false">SUMIFS(Trades!$Y$2:$Y$1146,Trades!$D$2:$D$1146,$A266)</f>
        <v>1.09341079684681</v>
      </c>
      <c r="M266" s="31" t="n">
        <f aca="false">P265</f>
        <v>12779.48</v>
      </c>
      <c r="N266" s="30" t="n">
        <f aca="false">IFERROR(F266/M266,0)</f>
        <v>0.00249775421222147</v>
      </c>
      <c r="O266" s="29" t="str">
        <f aca="false">IF(-N266&gt;=Summary!$C$7,"BREACH","")</f>
        <v/>
      </c>
      <c r="P266" s="31" t="n">
        <f aca="false">M266+F266</f>
        <v>12811.4</v>
      </c>
      <c r="Q266" s="31" t="n">
        <f aca="false">P266-Summary!$C$5</f>
        <v>2811.39999999999</v>
      </c>
      <c r="R266" s="2" t="str">
        <f aca="false">TEXT(A266,"ddd")</f>
        <v>Thu</v>
      </c>
    </row>
    <row r="267" customFormat="false" ht="15" hidden="false" customHeight="false" outlineLevel="0" collapsed="false">
      <c r="A267" s="43" t="n">
        <v>45079</v>
      </c>
      <c r="B267" s="29" t="n">
        <f aca="false">COUNTIFS(Trades!$D$2:$D$1146,$A267)</f>
        <v>1</v>
      </c>
      <c r="C267" s="29" t="n">
        <f aca="false">COUNTIFS(Trades!$D$2:$D$1146,$A267,Trades!$Z$2:$Z$1146,"Win")</f>
        <v>1</v>
      </c>
      <c r="D267" s="29" t="n">
        <f aca="false">COUNTIFS(Trades!$D$2:$D$1146,$A267,Trades!$Z$2:$Z$1146,"Loss")</f>
        <v>0</v>
      </c>
      <c r="E267" s="30" t="n">
        <f aca="false">IFERROR(C267/B267,0)</f>
        <v>1</v>
      </c>
      <c r="F267" s="31" t="n">
        <f aca="false">SUMIFS(Trades!$X$2:$X$1146,Trades!$D$2:$D$1146,$A267)</f>
        <v>32.24</v>
      </c>
      <c r="G267" s="31" t="n">
        <f aca="false">SUMIFS(Trades!$X$2:$X$1146,Trades!$D$2:$D$1146,$A267,Trades!$X$2:$X$1146,"&gt;0")</f>
        <v>32.24</v>
      </c>
      <c r="H267" s="31" t="n">
        <f aca="false">SUMIFS(Trades!$X$2:$X$1146,Trades!$D$2:$D$1146,$A267,Trades!$X$2:$X$1146,"&lt;0")</f>
        <v>0</v>
      </c>
      <c r="I267" s="32" t="str">
        <f aca="false">IFERROR(G267/-H267,"no loss")</f>
        <v>no loss</v>
      </c>
      <c r="J267" s="31" t="n">
        <f aca="false">_xlfn.MAXIFS(Trades!$X$2:$X$1146,Trades!$D$2:$D$1146,$A267)</f>
        <v>32.24</v>
      </c>
      <c r="K267" s="31" t="n">
        <f aca="false">_xlfn.MINIFS(Trades!$X$2:$X$1146,Trades!$D$2:$D$1146,$A267)</f>
        <v>32.24</v>
      </c>
      <c r="L267" s="33" t="n">
        <f aca="false">SUMIFS(Trades!$Y$2:$Y$1146,Trades!$D$2:$D$1146,$A267)</f>
        <v>3.12403100775203</v>
      </c>
      <c r="M267" s="31" t="n">
        <f aca="false">P266</f>
        <v>12811.4</v>
      </c>
      <c r="N267" s="30" t="n">
        <f aca="false">IFERROR(F267/M267,0)</f>
        <v>0.00251650873440842</v>
      </c>
      <c r="O267" s="29" t="str">
        <f aca="false">IF(-N267&gt;=Summary!$C$7,"BREACH","")</f>
        <v/>
      </c>
      <c r="P267" s="31" t="n">
        <f aca="false">M267+F267</f>
        <v>12843.64</v>
      </c>
      <c r="Q267" s="31" t="n">
        <f aca="false">P267-Summary!$C$5</f>
        <v>2843.63999999999</v>
      </c>
      <c r="R267" s="2" t="str">
        <f aca="false">TEXT(A267,"ddd")</f>
        <v>Fri</v>
      </c>
    </row>
    <row r="268" customFormat="false" ht="15" hidden="false" customHeight="false" outlineLevel="0" collapsed="false">
      <c r="A268" s="43" t="n">
        <v>45082</v>
      </c>
      <c r="B268" s="29" t="n">
        <f aca="false">COUNTIFS(Trades!$D$2:$D$1146,$A268)</f>
        <v>1</v>
      </c>
      <c r="C268" s="29" t="n">
        <f aca="false">COUNTIFS(Trades!$D$2:$D$1146,$A268,Trades!$Z$2:$Z$1146,"Win")</f>
        <v>0</v>
      </c>
      <c r="D268" s="29" t="n">
        <f aca="false">COUNTIFS(Trades!$D$2:$D$1146,$A268,Trades!$Z$2:$Z$1146,"Loss")</f>
        <v>1</v>
      </c>
      <c r="E268" s="30" t="n">
        <f aca="false">IFERROR(C268/B268,0)</f>
        <v>0</v>
      </c>
      <c r="F268" s="31" t="n">
        <f aca="false">SUMIFS(Trades!$X$2:$X$1146,Trades!$D$2:$D$1146,$A268)</f>
        <v>-0.24</v>
      </c>
      <c r="G268" s="31" t="n">
        <f aca="false">SUMIFS(Trades!$X$2:$X$1146,Trades!$D$2:$D$1146,$A268,Trades!$X$2:$X$1146,"&gt;0")</f>
        <v>0</v>
      </c>
      <c r="H268" s="31" t="n">
        <f aca="false">SUMIFS(Trades!$X$2:$X$1146,Trades!$D$2:$D$1146,$A268,Trades!$X$2:$X$1146,"&lt;0")</f>
        <v>-0.24</v>
      </c>
      <c r="I268" s="32" t="n">
        <f aca="false">IFERROR(G268/-H268,"no loss")</f>
        <v>0</v>
      </c>
      <c r="J268" s="31" t="n">
        <f aca="false">_xlfn.MAXIFS(Trades!$X$2:$X$1146,Trades!$D$2:$D$1146,$A268)</f>
        <v>-0.24</v>
      </c>
      <c r="K268" s="31" t="n">
        <f aca="false">_xlfn.MINIFS(Trades!$X$2:$X$1146,Trades!$D$2:$D$1146,$A268)</f>
        <v>-0.24</v>
      </c>
      <c r="L268" s="33" t="n">
        <f aca="false">SUMIFS(Trades!$Y$2:$Y$1146,Trades!$D$2:$D$1146,$A268)</f>
        <v>-0.00484652665589692</v>
      </c>
      <c r="M268" s="31" t="n">
        <f aca="false">P267</f>
        <v>12843.64</v>
      </c>
      <c r="N268" s="30" t="n">
        <f aca="false">IFERROR(F268/M268,0)</f>
        <v>-1.86862914251723E-005</v>
      </c>
      <c r="O268" s="29" t="str">
        <f aca="false">IF(-N268&gt;=Summary!$C$7,"BREACH","")</f>
        <v/>
      </c>
      <c r="P268" s="31" t="n">
        <f aca="false">M268+F268</f>
        <v>12843.4</v>
      </c>
      <c r="Q268" s="31" t="n">
        <f aca="false">P268-Summary!$C$5</f>
        <v>2843.39999999999</v>
      </c>
      <c r="R268" s="2" t="str">
        <f aca="false">TEXT(A268,"ddd")</f>
        <v>Mon</v>
      </c>
    </row>
    <row r="269" customFormat="false" ht="15" hidden="false" customHeight="false" outlineLevel="0" collapsed="false">
      <c r="A269" s="43" t="n">
        <v>45084</v>
      </c>
      <c r="B269" s="29" t="n">
        <f aca="false">COUNTIFS(Trades!$D$2:$D$1146,$A269)</f>
        <v>2</v>
      </c>
      <c r="C269" s="29" t="n">
        <f aca="false">COUNTIFS(Trades!$D$2:$D$1146,$A269,Trades!$Z$2:$Z$1146,"Win")</f>
        <v>2</v>
      </c>
      <c r="D269" s="29" t="n">
        <f aca="false">COUNTIFS(Trades!$D$2:$D$1146,$A269,Trades!$Z$2:$Z$1146,"Loss")</f>
        <v>0</v>
      </c>
      <c r="E269" s="30" t="n">
        <f aca="false">IFERROR(C269/B269,0)</f>
        <v>1</v>
      </c>
      <c r="F269" s="31" t="n">
        <f aca="false">SUMIFS(Trades!$X$2:$X$1146,Trades!$D$2:$D$1146,$A269)</f>
        <v>254.68</v>
      </c>
      <c r="G269" s="31" t="n">
        <f aca="false">SUMIFS(Trades!$X$2:$X$1146,Trades!$D$2:$D$1146,$A269,Trades!$X$2:$X$1146,"&gt;0")</f>
        <v>254.68</v>
      </c>
      <c r="H269" s="31" t="n">
        <f aca="false">SUMIFS(Trades!$X$2:$X$1146,Trades!$D$2:$D$1146,$A269,Trades!$X$2:$X$1146,"&lt;0")</f>
        <v>0</v>
      </c>
      <c r="I269" s="32" t="str">
        <f aca="false">IFERROR(G269/-H269,"no loss")</f>
        <v>no loss</v>
      </c>
      <c r="J269" s="31" t="n">
        <f aca="false">_xlfn.MAXIFS(Trades!$X$2:$X$1146,Trades!$D$2:$D$1146,$A269)</f>
        <v>141.36</v>
      </c>
      <c r="K269" s="31" t="n">
        <f aca="false">_xlfn.MINIFS(Trades!$X$2:$X$1146,Trades!$D$2:$D$1146,$A269)</f>
        <v>113.32</v>
      </c>
      <c r="L269" s="33" t="n">
        <f aca="false">SUMIFS(Trades!$Y$2:$Y$1146,Trades!$D$2:$D$1146,$A269)</f>
        <v>5.24605932754843</v>
      </c>
      <c r="M269" s="31" t="n">
        <f aca="false">P268</f>
        <v>12843.4</v>
      </c>
      <c r="N269" s="30" t="n">
        <f aca="false">IFERROR(F269/M269,0)</f>
        <v>0.0198296401264463</v>
      </c>
      <c r="O269" s="29" t="str">
        <f aca="false">IF(-N269&gt;=Summary!$C$7,"BREACH","")</f>
        <v/>
      </c>
      <c r="P269" s="31" t="n">
        <f aca="false">M269+F269</f>
        <v>13098.08</v>
      </c>
      <c r="Q269" s="31" t="n">
        <f aca="false">P269-Summary!$C$5</f>
        <v>3098.07999999999</v>
      </c>
      <c r="R269" s="2" t="str">
        <f aca="false">TEXT(A269,"ddd")</f>
        <v>Wed</v>
      </c>
    </row>
    <row r="270" customFormat="false" ht="15" hidden="false" customHeight="false" outlineLevel="0" collapsed="false">
      <c r="A270" s="43" t="n">
        <v>45085</v>
      </c>
      <c r="B270" s="29" t="n">
        <f aca="false">COUNTIFS(Trades!$D$2:$D$1146,$A270)</f>
        <v>1</v>
      </c>
      <c r="C270" s="29" t="n">
        <f aca="false">COUNTIFS(Trades!$D$2:$D$1146,$A270,Trades!$Z$2:$Z$1146,"Win")</f>
        <v>1</v>
      </c>
      <c r="D270" s="29" t="n">
        <f aca="false">COUNTIFS(Trades!$D$2:$D$1146,$A270,Trades!$Z$2:$Z$1146,"Loss")</f>
        <v>0</v>
      </c>
      <c r="E270" s="30" t="n">
        <f aca="false">IFERROR(C270/B270,0)</f>
        <v>1</v>
      </c>
      <c r="F270" s="31" t="n">
        <f aca="false">SUMIFS(Trades!$X$2:$X$1146,Trades!$D$2:$D$1146,$A270)</f>
        <v>29.8</v>
      </c>
      <c r="G270" s="31" t="n">
        <f aca="false">SUMIFS(Trades!$X$2:$X$1146,Trades!$D$2:$D$1146,$A270,Trades!$X$2:$X$1146,"&gt;0")</f>
        <v>29.8</v>
      </c>
      <c r="H270" s="31" t="n">
        <f aca="false">SUMIFS(Trades!$X$2:$X$1146,Trades!$D$2:$D$1146,$A270,Trades!$X$2:$X$1146,"&lt;0")</f>
        <v>0</v>
      </c>
      <c r="I270" s="32" t="str">
        <f aca="false">IFERROR(G270/-H270,"no loss")</f>
        <v>no loss</v>
      </c>
      <c r="J270" s="31" t="n">
        <f aca="false">_xlfn.MAXIFS(Trades!$X$2:$X$1146,Trades!$D$2:$D$1146,$A270)</f>
        <v>29.8</v>
      </c>
      <c r="K270" s="31" t="n">
        <f aca="false">_xlfn.MINIFS(Trades!$X$2:$X$1146,Trades!$D$2:$D$1146,$A270)</f>
        <v>29.8</v>
      </c>
      <c r="L270" s="33" t="n">
        <f aca="false">SUMIFS(Trades!$Y$2:$Y$1146,Trades!$D$2:$D$1146,$A270)</f>
        <v>2.46688741721819</v>
      </c>
      <c r="M270" s="31" t="n">
        <f aca="false">P269</f>
        <v>13098.08</v>
      </c>
      <c r="N270" s="30" t="n">
        <f aca="false">IFERROR(F270/M270,0)</f>
        <v>0.00227514261632239</v>
      </c>
      <c r="O270" s="29" t="str">
        <f aca="false">IF(-N270&gt;=Summary!$C$7,"BREACH","")</f>
        <v/>
      </c>
      <c r="P270" s="31" t="n">
        <f aca="false">M270+F270</f>
        <v>13127.88</v>
      </c>
      <c r="Q270" s="31" t="n">
        <f aca="false">P270-Summary!$C$5</f>
        <v>3127.87999999999</v>
      </c>
      <c r="R270" s="2" t="str">
        <f aca="false">TEXT(A270,"ddd")</f>
        <v>Thu</v>
      </c>
    </row>
    <row r="271" customFormat="false" ht="15" hidden="false" customHeight="false" outlineLevel="0" collapsed="false">
      <c r="A271" s="43" t="n">
        <v>45086</v>
      </c>
      <c r="B271" s="29" t="n">
        <f aca="false">COUNTIFS(Trades!$D$2:$D$1146,$A271)</f>
        <v>1</v>
      </c>
      <c r="C271" s="29" t="n">
        <f aca="false">COUNTIFS(Trades!$D$2:$D$1146,$A271,Trades!$Z$2:$Z$1146,"Win")</f>
        <v>0</v>
      </c>
      <c r="D271" s="29" t="n">
        <f aca="false">COUNTIFS(Trades!$D$2:$D$1146,$A271,Trades!$Z$2:$Z$1146,"Loss")</f>
        <v>1</v>
      </c>
      <c r="E271" s="30" t="n">
        <f aca="false">IFERROR(C271/B271,0)</f>
        <v>0</v>
      </c>
      <c r="F271" s="31" t="n">
        <f aca="false">SUMIFS(Trades!$X$2:$X$1146,Trades!$D$2:$D$1146,$A271)</f>
        <v>-17.8</v>
      </c>
      <c r="G271" s="31" t="n">
        <f aca="false">SUMIFS(Trades!$X$2:$X$1146,Trades!$D$2:$D$1146,$A271,Trades!$X$2:$X$1146,"&gt;0")</f>
        <v>0</v>
      </c>
      <c r="H271" s="31" t="n">
        <f aca="false">SUMIFS(Trades!$X$2:$X$1146,Trades!$D$2:$D$1146,$A271,Trades!$X$2:$X$1146,"&lt;0")</f>
        <v>-17.8</v>
      </c>
      <c r="I271" s="32" t="n">
        <f aca="false">IFERROR(G271/-H271,"no loss")</f>
        <v>0</v>
      </c>
      <c r="J271" s="31" t="n">
        <f aca="false">_xlfn.MAXIFS(Trades!$X$2:$X$1146,Trades!$D$2:$D$1146,$A271)</f>
        <v>-17.8</v>
      </c>
      <c r="K271" s="31" t="n">
        <f aca="false">_xlfn.MINIFS(Trades!$X$2:$X$1146,Trades!$D$2:$D$1146,$A271)</f>
        <v>-17.8</v>
      </c>
      <c r="L271" s="33" t="n">
        <f aca="false">SUMIFS(Trades!$Y$2:$Y$1146,Trades!$D$2:$D$1146,$A271)</f>
        <v>-1.14690721649454</v>
      </c>
      <c r="M271" s="31" t="n">
        <f aca="false">P270</f>
        <v>13127.88</v>
      </c>
      <c r="N271" s="30" t="n">
        <f aca="false">IFERROR(F271/M271,0)</f>
        <v>-0.00135589295453645</v>
      </c>
      <c r="O271" s="29" t="str">
        <f aca="false">IF(-N271&gt;=Summary!$C$7,"BREACH","")</f>
        <v/>
      </c>
      <c r="P271" s="31" t="n">
        <f aca="false">M271+F271</f>
        <v>13110.08</v>
      </c>
      <c r="Q271" s="31" t="n">
        <f aca="false">P271-Summary!$C$5</f>
        <v>3110.07999999999</v>
      </c>
      <c r="R271" s="2" t="str">
        <f aca="false">TEXT(A271,"ddd")</f>
        <v>Fri</v>
      </c>
    </row>
    <row r="272" customFormat="false" ht="15" hidden="false" customHeight="false" outlineLevel="0" collapsed="false">
      <c r="A272" s="43" t="n">
        <v>45089</v>
      </c>
      <c r="B272" s="29" t="n">
        <f aca="false">COUNTIFS(Trades!$D$2:$D$1146,$A272)</f>
        <v>1</v>
      </c>
      <c r="C272" s="29" t="n">
        <f aca="false">COUNTIFS(Trades!$D$2:$D$1146,$A272,Trades!$Z$2:$Z$1146,"Win")</f>
        <v>1</v>
      </c>
      <c r="D272" s="29" t="n">
        <f aca="false">COUNTIFS(Trades!$D$2:$D$1146,$A272,Trades!$Z$2:$Z$1146,"Loss")</f>
        <v>0</v>
      </c>
      <c r="E272" s="30" t="n">
        <f aca="false">IFERROR(C272/B272,0)</f>
        <v>1</v>
      </c>
      <c r="F272" s="31" t="n">
        <f aca="false">SUMIFS(Trades!$X$2:$X$1146,Trades!$D$2:$D$1146,$A272)</f>
        <v>44.68</v>
      </c>
      <c r="G272" s="31" t="n">
        <f aca="false">SUMIFS(Trades!$X$2:$X$1146,Trades!$D$2:$D$1146,$A272,Trades!$X$2:$X$1146,"&gt;0")</f>
        <v>44.68</v>
      </c>
      <c r="H272" s="31" t="n">
        <f aca="false">SUMIFS(Trades!$X$2:$X$1146,Trades!$D$2:$D$1146,$A272,Trades!$X$2:$X$1146,"&lt;0")</f>
        <v>0</v>
      </c>
      <c r="I272" s="32" t="str">
        <f aca="false">IFERROR(G272/-H272,"no loss")</f>
        <v>no loss</v>
      </c>
      <c r="J272" s="31" t="n">
        <f aca="false">_xlfn.MAXIFS(Trades!$X$2:$X$1146,Trades!$D$2:$D$1146,$A272)</f>
        <v>44.68</v>
      </c>
      <c r="K272" s="31" t="n">
        <f aca="false">_xlfn.MINIFS(Trades!$X$2:$X$1146,Trades!$D$2:$D$1146,$A272)</f>
        <v>44.68</v>
      </c>
      <c r="L272" s="33" t="n">
        <f aca="false">SUMIFS(Trades!$Y$2:$Y$1146,Trades!$D$2:$D$1146,$A272)</f>
        <v>2.59164733178576</v>
      </c>
      <c r="M272" s="31" t="n">
        <f aca="false">P271</f>
        <v>13110.08</v>
      </c>
      <c r="N272" s="30" t="n">
        <f aca="false">IFERROR(F272/M272,0)</f>
        <v>0.00340806463423564</v>
      </c>
      <c r="O272" s="29" t="str">
        <f aca="false">IF(-N272&gt;=Summary!$C$7,"BREACH","")</f>
        <v/>
      </c>
      <c r="P272" s="31" t="n">
        <f aca="false">M272+F272</f>
        <v>13154.76</v>
      </c>
      <c r="Q272" s="31" t="n">
        <f aca="false">P272-Summary!$C$5</f>
        <v>3154.75999999999</v>
      </c>
      <c r="R272" s="2" t="str">
        <f aca="false">TEXT(A272,"ddd")</f>
        <v>Mon</v>
      </c>
    </row>
    <row r="273" customFormat="false" ht="15" hidden="false" customHeight="false" outlineLevel="0" collapsed="false">
      <c r="A273" s="43" t="n">
        <v>45090</v>
      </c>
      <c r="B273" s="29" t="n">
        <f aca="false">COUNTIFS(Trades!$D$2:$D$1146,$A273)</f>
        <v>1</v>
      </c>
      <c r="C273" s="29" t="n">
        <f aca="false">COUNTIFS(Trades!$D$2:$D$1146,$A273,Trades!$Z$2:$Z$1146,"Win")</f>
        <v>1</v>
      </c>
      <c r="D273" s="29" t="n">
        <f aca="false">COUNTIFS(Trades!$D$2:$D$1146,$A273,Trades!$Z$2:$Z$1146,"Loss")</f>
        <v>0</v>
      </c>
      <c r="E273" s="30" t="n">
        <f aca="false">IFERROR(C273/B273,0)</f>
        <v>1</v>
      </c>
      <c r="F273" s="31" t="n">
        <f aca="false">SUMIFS(Trades!$X$2:$X$1146,Trades!$D$2:$D$1146,$A273)</f>
        <v>65.32</v>
      </c>
      <c r="G273" s="31" t="n">
        <f aca="false">SUMIFS(Trades!$X$2:$X$1146,Trades!$D$2:$D$1146,$A273,Trades!$X$2:$X$1146,"&gt;0")</f>
        <v>65.32</v>
      </c>
      <c r="H273" s="31" t="n">
        <f aca="false">SUMIFS(Trades!$X$2:$X$1146,Trades!$D$2:$D$1146,$A273,Trades!$X$2:$X$1146,"&lt;0")</f>
        <v>0</v>
      </c>
      <c r="I273" s="32" t="str">
        <f aca="false">IFERROR(G273/-H273,"no loss")</f>
        <v>no loss</v>
      </c>
      <c r="J273" s="31" t="n">
        <f aca="false">_xlfn.MAXIFS(Trades!$X$2:$X$1146,Trades!$D$2:$D$1146,$A273)</f>
        <v>65.32</v>
      </c>
      <c r="K273" s="31" t="n">
        <f aca="false">_xlfn.MINIFS(Trades!$X$2:$X$1146,Trades!$D$2:$D$1146,$A273)</f>
        <v>65.32</v>
      </c>
      <c r="L273" s="33" t="n">
        <f aca="false">SUMIFS(Trades!$Y$2:$Y$1146,Trades!$D$2:$D$1146,$A273)</f>
        <v>2.46676737160159</v>
      </c>
      <c r="M273" s="31" t="n">
        <f aca="false">P272</f>
        <v>13154.76</v>
      </c>
      <c r="N273" s="30" t="n">
        <f aca="false">IFERROR(F273/M273,0)</f>
        <v>0.0049655029814303</v>
      </c>
      <c r="O273" s="29" t="str">
        <f aca="false">IF(-N273&gt;=Summary!$C$7,"BREACH","")</f>
        <v/>
      </c>
      <c r="P273" s="31" t="n">
        <f aca="false">M273+F273</f>
        <v>13220.08</v>
      </c>
      <c r="Q273" s="31" t="n">
        <f aca="false">P273-Summary!$C$5</f>
        <v>3220.07999999999</v>
      </c>
      <c r="R273" s="2" t="str">
        <f aca="false">TEXT(A273,"ddd")</f>
        <v>Tue</v>
      </c>
    </row>
    <row r="274" customFormat="false" ht="15" hidden="false" customHeight="false" outlineLevel="0" collapsed="false">
      <c r="A274" s="43" t="n">
        <v>45091</v>
      </c>
      <c r="B274" s="29" t="n">
        <f aca="false">COUNTIFS(Trades!$D$2:$D$1146,$A274)</f>
        <v>1</v>
      </c>
      <c r="C274" s="29" t="n">
        <f aca="false">COUNTIFS(Trades!$D$2:$D$1146,$A274,Trades!$Z$2:$Z$1146,"Win")</f>
        <v>0</v>
      </c>
      <c r="D274" s="29" t="n">
        <f aca="false">COUNTIFS(Trades!$D$2:$D$1146,$A274,Trades!$Z$2:$Z$1146,"Loss")</f>
        <v>1</v>
      </c>
      <c r="E274" s="30" t="n">
        <f aca="false">IFERROR(C274/B274,0)</f>
        <v>0</v>
      </c>
      <c r="F274" s="31" t="n">
        <f aca="false">SUMIFS(Trades!$X$2:$X$1146,Trades!$D$2:$D$1146,$A274)</f>
        <v>-0.12</v>
      </c>
      <c r="G274" s="31" t="n">
        <f aca="false">SUMIFS(Trades!$X$2:$X$1146,Trades!$D$2:$D$1146,$A274,Trades!$X$2:$X$1146,"&gt;0")</f>
        <v>0</v>
      </c>
      <c r="H274" s="31" t="n">
        <f aca="false">SUMIFS(Trades!$X$2:$X$1146,Trades!$D$2:$D$1146,$A274,Trades!$X$2:$X$1146,"&lt;0")</f>
        <v>-0.12</v>
      </c>
      <c r="I274" s="32" t="n">
        <f aca="false">IFERROR(G274/-H274,"no loss")</f>
        <v>0</v>
      </c>
      <c r="J274" s="31" t="n">
        <f aca="false">_xlfn.MAXIFS(Trades!$X$2:$X$1146,Trades!$D$2:$D$1146,$A274)</f>
        <v>-0.12</v>
      </c>
      <c r="K274" s="31" t="n">
        <f aca="false">_xlfn.MINIFS(Trades!$X$2:$X$1146,Trades!$D$2:$D$1146,$A274)</f>
        <v>-0.12</v>
      </c>
      <c r="L274" s="33" t="n">
        <f aca="false">SUMIFS(Trades!$Y$2:$Y$1146,Trades!$D$2:$D$1146,$A274)</f>
        <v>-0.00350877192982411</v>
      </c>
      <c r="M274" s="31" t="n">
        <f aca="false">P273</f>
        <v>13220.08</v>
      </c>
      <c r="N274" s="30" t="n">
        <f aca="false">IFERROR(F274/M274,0)</f>
        <v>-9.07710089500216E-006</v>
      </c>
      <c r="O274" s="29" t="str">
        <f aca="false">IF(-N274&gt;=Summary!$C$7,"BREACH","")</f>
        <v/>
      </c>
      <c r="P274" s="31" t="n">
        <f aca="false">M274+F274</f>
        <v>13219.96</v>
      </c>
      <c r="Q274" s="31" t="n">
        <f aca="false">P274-Summary!$C$5</f>
        <v>3219.95999999999</v>
      </c>
      <c r="R274" s="2" t="str">
        <f aca="false">TEXT(A274,"ddd")</f>
        <v>Wed</v>
      </c>
    </row>
    <row r="275" customFormat="false" ht="15" hidden="false" customHeight="false" outlineLevel="0" collapsed="false">
      <c r="A275" s="43" t="n">
        <v>45092</v>
      </c>
      <c r="B275" s="29" t="n">
        <f aca="false">COUNTIFS(Trades!$D$2:$D$1146,$A275)</f>
        <v>1</v>
      </c>
      <c r="C275" s="29" t="n">
        <f aca="false">COUNTIFS(Trades!$D$2:$D$1146,$A275,Trades!$Z$2:$Z$1146,"Win")</f>
        <v>0</v>
      </c>
      <c r="D275" s="29" t="n">
        <f aca="false">COUNTIFS(Trades!$D$2:$D$1146,$A275,Trades!$Z$2:$Z$1146,"Loss")</f>
        <v>1</v>
      </c>
      <c r="E275" s="30" t="n">
        <f aca="false">IFERROR(C275/B275,0)</f>
        <v>0</v>
      </c>
      <c r="F275" s="31" t="n">
        <f aca="false">SUMIFS(Trades!$X$2:$X$1146,Trades!$D$2:$D$1146,$A275)</f>
        <v>-27.32</v>
      </c>
      <c r="G275" s="31" t="n">
        <f aca="false">SUMIFS(Trades!$X$2:$X$1146,Trades!$D$2:$D$1146,$A275,Trades!$X$2:$X$1146,"&gt;0")</f>
        <v>0</v>
      </c>
      <c r="H275" s="31" t="n">
        <f aca="false">SUMIFS(Trades!$X$2:$X$1146,Trades!$D$2:$D$1146,$A275,Trades!$X$2:$X$1146,"&lt;0")</f>
        <v>-27.32</v>
      </c>
      <c r="I275" s="32" t="n">
        <f aca="false">IFERROR(G275/-H275,"no loss")</f>
        <v>0</v>
      </c>
      <c r="J275" s="31" t="n">
        <f aca="false">_xlfn.MAXIFS(Trades!$X$2:$X$1146,Trades!$D$2:$D$1146,$A275)</f>
        <v>-27.32</v>
      </c>
      <c r="K275" s="31" t="n">
        <f aca="false">_xlfn.MINIFS(Trades!$X$2:$X$1146,Trades!$D$2:$D$1146,$A275)</f>
        <v>-27.32</v>
      </c>
      <c r="L275" s="33" t="n">
        <f aca="false">SUMIFS(Trades!$Y$2:$Y$1146,Trades!$D$2:$D$1146,$A275)</f>
        <v>-1.05401234567908</v>
      </c>
      <c r="M275" s="31" t="n">
        <f aca="false">P274</f>
        <v>13219.96</v>
      </c>
      <c r="N275" s="30" t="n">
        <f aca="false">IFERROR(F275/M275,0)</f>
        <v>-0.00206657206224527</v>
      </c>
      <c r="O275" s="29" t="str">
        <f aca="false">IF(-N275&gt;=Summary!$C$7,"BREACH","")</f>
        <v/>
      </c>
      <c r="P275" s="31" t="n">
        <f aca="false">M275+F275</f>
        <v>13192.64</v>
      </c>
      <c r="Q275" s="31" t="n">
        <f aca="false">P275-Summary!$C$5</f>
        <v>3192.63999999999</v>
      </c>
      <c r="R275" s="2" t="str">
        <f aca="false">TEXT(A275,"ddd")</f>
        <v>Thu</v>
      </c>
    </row>
    <row r="276" customFormat="false" ht="15" hidden="false" customHeight="false" outlineLevel="0" collapsed="false">
      <c r="A276" s="43" t="n">
        <v>45093</v>
      </c>
      <c r="B276" s="29" t="n">
        <f aca="false">COUNTIFS(Trades!$D$2:$D$1146,$A276)</f>
        <v>1</v>
      </c>
      <c r="C276" s="29" t="n">
        <f aca="false">COUNTIFS(Trades!$D$2:$D$1146,$A276,Trades!$Z$2:$Z$1146,"Win")</f>
        <v>1</v>
      </c>
      <c r="D276" s="29" t="n">
        <f aca="false">COUNTIFS(Trades!$D$2:$D$1146,$A276,Trades!$Z$2:$Z$1146,"Loss")</f>
        <v>0</v>
      </c>
      <c r="E276" s="30" t="n">
        <f aca="false">IFERROR(C276/B276,0)</f>
        <v>1</v>
      </c>
      <c r="F276" s="31" t="n">
        <f aca="false">SUMIFS(Trades!$X$2:$X$1146,Trades!$D$2:$D$1146,$A276)</f>
        <v>76.28</v>
      </c>
      <c r="G276" s="31" t="n">
        <f aca="false">SUMIFS(Trades!$X$2:$X$1146,Trades!$D$2:$D$1146,$A276,Trades!$X$2:$X$1146,"&gt;0")</f>
        <v>76.28</v>
      </c>
      <c r="H276" s="31" t="n">
        <f aca="false">SUMIFS(Trades!$X$2:$X$1146,Trades!$D$2:$D$1146,$A276,Trades!$X$2:$X$1146,"&lt;0")</f>
        <v>0</v>
      </c>
      <c r="I276" s="32" t="str">
        <f aca="false">IFERROR(G276/-H276,"no loss")</f>
        <v>no loss</v>
      </c>
      <c r="J276" s="31" t="n">
        <f aca="false">_xlfn.MAXIFS(Trades!$X$2:$X$1146,Trades!$D$2:$D$1146,$A276)</f>
        <v>76.28</v>
      </c>
      <c r="K276" s="31" t="n">
        <f aca="false">_xlfn.MINIFS(Trades!$X$2:$X$1146,Trades!$D$2:$D$1146,$A276)</f>
        <v>76.28</v>
      </c>
      <c r="L276" s="33" t="n">
        <f aca="false">SUMIFS(Trades!$Y$2:$Y$1146,Trades!$D$2:$D$1146,$A276)</f>
        <v>2.83358098068292</v>
      </c>
      <c r="M276" s="31" t="n">
        <f aca="false">P275</f>
        <v>13192.64</v>
      </c>
      <c r="N276" s="30" t="n">
        <f aca="false">IFERROR(F276/M276,0)</f>
        <v>0.00578201178839111</v>
      </c>
      <c r="O276" s="29" t="str">
        <f aca="false">IF(-N276&gt;=Summary!$C$7,"BREACH","")</f>
        <v/>
      </c>
      <c r="P276" s="31" t="n">
        <f aca="false">M276+F276</f>
        <v>13268.92</v>
      </c>
      <c r="Q276" s="31" t="n">
        <f aca="false">P276-Summary!$C$5</f>
        <v>3268.91999999999</v>
      </c>
      <c r="R276" s="2" t="str">
        <f aca="false">TEXT(A276,"ddd")</f>
        <v>Fri</v>
      </c>
    </row>
    <row r="277" customFormat="false" ht="15" hidden="false" customHeight="false" outlineLevel="0" collapsed="false">
      <c r="A277" s="43" t="n">
        <v>45096</v>
      </c>
      <c r="B277" s="29" t="n">
        <f aca="false">COUNTIFS(Trades!$D$2:$D$1146,$A277)</f>
        <v>1</v>
      </c>
      <c r="C277" s="29" t="n">
        <f aca="false">COUNTIFS(Trades!$D$2:$D$1146,$A277,Trades!$Z$2:$Z$1146,"Win")</f>
        <v>0</v>
      </c>
      <c r="D277" s="29" t="n">
        <f aca="false">COUNTIFS(Trades!$D$2:$D$1146,$A277,Trades!$Z$2:$Z$1146,"Loss")</f>
        <v>1</v>
      </c>
      <c r="E277" s="30" t="n">
        <f aca="false">IFERROR(C277/B277,0)</f>
        <v>0</v>
      </c>
      <c r="F277" s="31" t="n">
        <f aca="false">SUMIFS(Trades!$X$2:$X$1146,Trades!$D$2:$D$1146,$A277)</f>
        <v>-20.48</v>
      </c>
      <c r="G277" s="31" t="n">
        <f aca="false">SUMIFS(Trades!$X$2:$X$1146,Trades!$D$2:$D$1146,$A277,Trades!$X$2:$X$1146,"&gt;0")</f>
        <v>0</v>
      </c>
      <c r="H277" s="31" t="n">
        <f aca="false">SUMIFS(Trades!$X$2:$X$1146,Trades!$D$2:$D$1146,$A277,Trades!$X$2:$X$1146,"&lt;0")</f>
        <v>-20.48</v>
      </c>
      <c r="I277" s="32" t="n">
        <f aca="false">IFERROR(G277/-H277,"no loss")</f>
        <v>0</v>
      </c>
      <c r="J277" s="31" t="n">
        <f aca="false">_xlfn.MAXIFS(Trades!$X$2:$X$1146,Trades!$D$2:$D$1146,$A277)</f>
        <v>-20.48</v>
      </c>
      <c r="K277" s="31" t="n">
        <f aca="false">_xlfn.MINIFS(Trades!$X$2:$X$1146,Trades!$D$2:$D$1146,$A277)</f>
        <v>-20.48</v>
      </c>
      <c r="L277" s="33" t="n">
        <f aca="false">SUMIFS(Trades!$Y$2:$Y$1146,Trades!$D$2:$D$1146,$A277)</f>
        <v>-1.00392156862738</v>
      </c>
      <c r="M277" s="31" t="n">
        <f aca="false">P276</f>
        <v>13268.92</v>
      </c>
      <c r="N277" s="30" t="n">
        <f aca="false">IFERROR(F277/M277,0)</f>
        <v>-0.00154345643805223</v>
      </c>
      <c r="O277" s="29" t="str">
        <f aca="false">IF(-N277&gt;=Summary!$C$7,"BREACH","")</f>
        <v/>
      </c>
      <c r="P277" s="31" t="n">
        <f aca="false">M277+F277</f>
        <v>13248.44</v>
      </c>
      <c r="Q277" s="31" t="n">
        <f aca="false">P277-Summary!$C$5</f>
        <v>3248.43999999999</v>
      </c>
      <c r="R277" s="2" t="str">
        <f aca="false">TEXT(A277,"ddd")</f>
        <v>Mon</v>
      </c>
    </row>
    <row r="278" customFormat="false" ht="15" hidden="false" customHeight="false" outlineLevel="0" collapsed="false">
      <c r="A278" s="43" t="n">
        <v>45097</v>
      </c>
      <c r="B278" s="29" t="n">
        <f aca="false">COUNTIFS(Trades!$D$2:$D$1146,$A278)</f>
        <v>1</v>
      </c>
      <c r="C278" s="29" t="n">
        <f aca="false">COUNTIFS(Trades!$D$2:$D$1146,$A278,Trades!$Z$2:$Z$1146,"Win")</f>
        <v>0</v>
      </c>
      <c r="D278" s="29" t="n">
        <f aca="false">COUNTIFS(Trades!$D$2:$D$1146,$A278,Trades!$Z$2:$Z$1146,"Loss")</f>
        <v>1</v>
      </c>
      <c r="E278" s="30" t="n">
        <f aca="false">IFERROR(C278/B278,0)</f>
        <v>0</v>
      </c>
      <c r="F278" s="31" t="n">
        <f aca="false">SUMIFS(Trades!$X$2:$X$1146,Trades!$D$2:$D$1146,$A278)</f>
        <v>-11.92</v>
      </c>
      <c r="G278" s="31" t="n">
        <f aca="false">SUMIFS(Trades!$X$2:$X$1146,Trades!$D$2:$D$1146,$A278,Trades!$X$2:$X$1146,"&gt;0")</f>
        <v>0</v>
      </c>
      <c r="H278" s="31" t="n">
        <f aca="false">SUMIFS(Trades!$X$2:$X$1146,Trades!$D$2:$D$1146,$A278,Trades!$X$2:$X$1146,"&lt;0")</f>
        <v>-11.92</v>
      </c>
      <c r="I278" s="32" t="n">
        <f aca="false">IFERROR(G278/-H278,"no loss")</f>
        <v>0</v>
      </c>
      <c r="J278" s="31" t="n">
        <f aca="false">_xlfn.MAXIFS(Trades!$X$2:$X$1146,Trades!$D$2:$D$1146,$A278)</f>
        <v>-11.92</v>
      </c>
      <c r="K278" s="31" t="n">
        <f aca="false">_xlfn.MINIFS(Trades!$X$2:$X$1146,Trades!$D$2:$D$1146,$A278)</f>
        <v>-11.92</v>
      </c>
      <c r="L278" s="33" t="n">
        <f aca="false">SUMIFS(Trades!$Y$2:$Y$1146,Trades!$D$2:$D$1146,$A278)</f>
        <v>-1.00675675675705</v>
      </c>
      <c r="M278" s="31" t="n">
        <f aca="false">P277</f>
        <v>13248.44</v>
      </c>
      <c r="N278" s="30" t="n">
        <f aca="false">IFERROR(F278/M278,0)</f>
        <v>-0.000899728571816758</v>
      </c>
      <c r="O278" s="29" t="str">
        <f aca="false">IF(-N278&gt;=Summary!$C$7,"BREACH","")</f>
        <v/>
      </c>
      <c r="P278" s="31" t="n">
        <f aca="false">M278+F278</f>
        <v>13236.52</v>
      </c>
      <c r="Q278" s="31" t="n">
        <f aca="false">P278-Summary!$C$5</f>
        <v>3236.51999999999</v>
      </c>
      <c r="R278" s="2" t="str">
        <f aca="false">TEXT(A278,"ddd")</f>
        <v>Tue</v>
      </c>
    </row>
    <row r="279" customFormat="false" ht="15" hidden="false" customHeight="false" outlineLevel="0" collapsed="false">
      <c r="A279" s="43" t="n">
        <v>45098</v>
      </c>
      <c r="B279" s="29" t="n">
        <f aca="false">COUNTIFS(Trades!$D$2:$D$1146,$A279)</f>
        <v>1</v>
      </c>
      <c r="C279" s="29" t="n">
        <f aca="false">COUNTIFS(Trades!$D$2:$D$1146,$A279,Trades!$Z$2:$Z$1146,"Win")</f>
        <v>1</v>
      </c>
      <c r="D279" s="29" t="n">
        <f aca="false">COUNTIFS(Trades!$D$2:$D$1146,$A279,Trades!$Z$2:$Z$1146,"Loss")</f>
        <v>0</v>
      </c>
      <c r="E279" s="30" t="n">
        <f aca="false">IFERROR(C279/B279,0)</f>
        <v>1</v>
      </c>
      <c r="F279" s="31" t="n">
        <f aca="false">SUMIFS(Trades!$X$2:$X$1146,Trades!$D$2:$D$1146,$A279)</f>
        <v>112.36</v>
      </c>
      <c r="G279" s="31" t="n">
        <f aca="false">SUMIFS(Trades!$X$2:$X$1146,Trades!$D$2:$D$1146,$A279,Trades!$X$2:$X$1146,"&gt;0")</f>
        <v>112.36</v>
      </c>
      <c r="H279" s="31" t="n">
        <f aca="false">SUMIFS(Trades!$X$2:$X$1146,Trades!$D$2:$D$1146,$A279,Trades!$X$2:$X$1146,"&lt;0")</f>
        <v>0</v>
      </c>
      <c r="I279" s="32" t="str">
        <f aca="false">IFERROR(G279/-H279,"no loss")</f>
        <v>no loss</v>
      </c>
      <c r="J279" s="31" t="n">
        <f aca="false">_xlfn.MAXIFS(Trades!$X$2:$X$1146,Trades!$D$2:$D$1146,$A279)</f>
        <v>112.36</v>
      </c>
      <c r="K279" s="31" t="n">
        <f aca="false">_xlfn.MINIFS(Trades!$X$2:$X$1146,Trades!$D$2:$D$1146,$A279)</f>
        <v>112.36</v>
      </c>
      <c r="L279" s="33" t="n">
        <f aca="false">SUMIFS(Trades!$Y$2:$Y$1146,Trades!$D$2:$D$1146,$A279)</f>
        <v>2.42573402417964</v>
      </c>
      <c r="M279" s="31" t="n">
        <f aca="false">P278</f>
        <v>13236.52</v>
      </c>
      <c r="N279" s="30" t="n">
        <f aca="false">IFERROR(F279/M279,0)</f>
        <v>0.00848863598589358</v>
      </c>
      <c r="O279" s="29" t="str">
        <f aca="false">IF(-N279&gt;=Summary!$C$7,"BREACH","")</f>
        <v/>
      </c>
      <c r="P279" s="31" t="n">
        <f aca="false">M279+F279</f>
        <v>13348.88</v>
      </c>
      <c r="Q279" s="31" t="n">
        <f aca="false">P279-Summary!$C$5</f>
        <v>3348.87999999999</v>
      </c>
      <c r="R279" s="2" t="str">
        <f aca="false">TEXT(A279,"ddd")</f>
        <v>Wed</v>
      </c>
    </row>
    <row r="280" customFormat="false" ht="15" hidden="false" customHeight="false" outlineLevel="0" collapsed="false">
      <c r="A280" s="43" t="n">
        <v>45099</v>
      </c>
      <c r="B280" s="29" t="n">
        <f aca="false">COUNTIFS(Trades!$D$2:$D$1146,$A280)</f>
        <v>1</v>
      </c>
      <c r="C280" s="29" t="n">
        <f aca="false">COUNTIFS(Trades!$D$2:$D$1146,$A280,Trades!$Z$2:$Z$1146,"Win")</f>
        <v>1</v>
      </c>
      <c r="D280" s="29" t="n">
        <f aca="false">COUNTIFS(Trades!$D$2:$D$1146,$A280,Trades!$Z$2:$Z$1146,"Loss")</f>
        <v>0</v>
      </c>
      <c r="E280" s="30" t="n">
        <f aca="false">IFERROR(C280/B280,0)</f>
        <v>1</v>
      </c>
      <c r="F280" s="31" t="n">
        <f aca="false">SUMIFS(Trades!$X$2:$X$1146,Trades!$D$2:$D$1146,$A280)</f>
        <v>42.52</v>
      </c>
      <c r="G280" s="31" t="n">
        <f aca="false">SUMIFS(Trades!$X$2:$X$1146,Trades!$D$2:$D$1146,$A280,Trades!$X$2:$X$1146,"&gt;0")</f>
        <v>42.52</v>
      </c>
      <c r="H280" s="31" t="n">
        <f aca="false">SUMIFS(Trades!$X$2:$X$1146,Trades!$D$2:$D$1146,$A280,Trades!$X$2:$X$1146,"&lt;0")</f>
        <v>0</v>
      </c>
      <c r="I280" s="32" t="str">
        <f aca="false">IFERROR(G280/-H280,"no loss")</f>
        <v>no loss</v>
      </c>
      <c r="J280" s="31" t="n">
        <f aca="false">_xlfn.MAXIFS(Trades!$X$2:$X$1146,Trades!$D$2:$D$1146,$A280)</f>
        <v>42.52</v>
      </c>
      <c r="K280" s="31" t="n">
        <f aca="false">_xlfn.MINIFS(Trades!$X$2:$X$1146,Trades!$D$2:$D$1146,$A280)</f>
        <v>42.52</v>
      </c>
      <c r="L280" s="33" t="n">
        <f aca="false">SUMIFS(Trades!$Y$2:$Y$1146,Trades!$D$2:$D$1146,$A280)</f>
        <v>2.35698447893558</v>
      </c>
      <c r="M280" s="31" t="n">
        <f aca="false">P279</f>
        <v>13348.88</v>
      </c>
      <c r="N280" s="30" t="n">
        <f aca="false">IFERROR(F280/M280,0)</f>
        <v>0.00318528595657464</v>
      </c>
      <c r="O280" s="29" t="str">
        <f aca="false">IF(-N280&gt;=Summary!$C$7,"BREACH","")</f>
        <v/>
      </c>
      <c r="P280" s="31" t="n">
        <f aca="false">M280+F280</f>
        <v>13391.4</v>
      </c>
      <c r="Q280" s="31" t="n">
        <f aca="false">P280-Summary!$C$5</f>
        <v>3391.39999999999</v>
      </c>
      <c r="R280" s="2" t="str">
        <f aca="false">TEXT(A280,"ddd")</f>
        <v>Thu</v>
      </c>
    </row>
    <row r="281" customFormat="false" ht="15" hidden="false" customHeight="false" outlineLevel="0" collapsed="false">
      <c r="A281" s="43" t="n">
        <v>45100</v>
      </c>
      <c r="B281" s="29" t="n">
        <f aca="false">COUNTIFS(Trades!$D$2:$D$1146,$A281)</f>
        <v>1</v>
      </c>
      <c r="C281" s="29" t="n">
        <f aca="false">COUNTIFS(Trades!$D$2:$D$1146,$A281,Trades!$Z$2:$Z$1146,"Win")</f>
        <v>0</v>
      </c>
      <c r="D281" s="29" t="n">
        <f aca="false">COUNTIFS(Trades!$D$2:$D$1146,$A281,Trades!$Z$2:$Z$1146,"Loss")</f>
        <v>1</v>
      </c>
      <c r="E281" s="30" t="n">
        <f aca="false">IFERROR(C281/B281,0)</f>
        <v>0</v>
      </c>
      <c r="F281" s="31" t="n">
        <f aca="false">SUMIFS(Trades!$X$2:$X$1146,Trades!$D$2:$D$1146,$A281)</f>
        <v>-24.32</v>
      </c>
      <c r="G281" s="31" t="n">
        <f aca="false">SUMIFS(Trades!$X$2:$X$1146,Trades!$D$2:$D$1146,$A281,Trades!$X$2:$X$1146,"&gt;0")</f>
        <v>0</v>
      </c>
      <c r="H281" s="31" t="n">
        <f aca="false">SUMIFS(Trades!$X$2:$X$1146,Trades!$D$2:$D$1146,$A281,Trades!$X$2:$X$1146,"&lt;0")</f>
        <v>-24.32</v>
      </c>
      <c r="I281" s="32" t="n">
        <f aca="false">IFERROR(G281/-H281,"no loss")</f>
        <v>0</v>
      </c>
      <c r="J281" s="31" t="n">
        <f aca="false">_xlfn.MAXIFS(Trades!$X$2:$X$1146,Trades!$D$2:$D$1146,$A281)</f>
        <v>-24.32</v>
      </c>
      <c r="K281" s="31" t="n">
        <f aca="false">_xlfn.MINIFS(Trades!$X$2:$X$1146,Trades!$D$2:$D$1146,$A281)</f>
        <v>-24.32</v>
      </c>
      <c r="L281" s="33" t="n">
        <f aca="false">SUMIFS(Trades!$Y$2:$Y$1146,Trades!$D$2:$D$1146,$A281)</f>
        <v>-1.07610619468999</v>
      </c>
      <c r="M281" s="31" t="n">
        <f aca="false">P280</f>
        <v>13391.4</v>
      </c>
      <c r="N281" s="30" t="n">
        <f aca="false">IFERROR(F281/M281,0)</f>
        <v>-0.00181609092402587</v>
      </c>
      <c r="O281" s="29" t="str">
        <f aca="false">IF(-N281&gt;=Summary!$C$7,"BREACH","")</f>
        <v/>
      </c>
      <c r="P281" s="31" t="n">
        <f aca="false">M281+F281</f>
        <v>13367.08</v>
      </c>
      <c r="Q281" s="31" t="n">
        <f aca="false">P281-Summary!$C$5</f>
        <v>3367.07999999999</v>
      </c>
      <c r="R281" s="2" t="str">
        <f aca="false">TEXT(A281,"ddd")</f>
        <v>Fri</v>
      </c>
    </row>
    <row r="282" customFormat="false" ht="15" hidden="false" customHeight="false" outlineLevel="0" collapsed="false">
      <c r="A282" s="43" t="n">
        <v>45103</v>
      </c>
      <c r="B282" s="29" t="n">
        <f aca="false">COUNTIFS(Trades!$D$2:$D$1146,$A282)</f>
        <v>1</v>
      </c>
      <c r="C282" s="29" t="n">
        <f aca="false">COUNTIFS(Trades!$D$2:$D$1146,$A282,Trades!$Z$2:$Z$1146,"Win")</f>
        <v>1</v>
      </c>
      <c r="D282" s="29" t="n">
        <f aca="false">COUNTIFS(Trades!$D$2:$D$1146,$A282,Trades!$Z$2:$Z$1146,"Loss")</f>
        <v>0</v>
      </c>
      <c r="E282" s="30" t="n">
        <f aca="false">IFERROR(C282/B282,0)</f>
        <v>1</v>
      </c>
      <c r="F282" s="31" t="n">
        <f aca="false">SUMIFS(Trades!$X$2:$X$1146,Trades!$D$2:$D$1146,$A282)</f>
        <v>164</v>
      </c>
      <c r="G282" s="31" t="n">
        <f aca="false">SUMIFS(Trades!$X$2:$X$1146,Trades!$D$2:$D$1146,$A282,Trades!$X$2:$X$1146,"&gt;0")</f>
        <v>164</v>
      </c>
      <c r="H282" s="31" t="n">
        <f aca="false">SUMIFS(Trades!$X$2:$X$1146,Trades!$D$2:$D$1146,$A282,Trades!$X$2:$X$1146,"&lt;0")</f>
        <v>0</v>
      </c>
      <c r="I282" s="32" t="str">
        <f aca="false">IFERROR(G282/-H282,"no loss")</f>
        <v>no loss</v>
      </c>
      <c r="J282" s="31" t="n">
        <f aca="false">_xlfn.MAXIFS(Trades!$X$2:$X$1146,Trades!$D$2:$D$1146,$A282)</f>
        <v>164</v>
      </c>
      <c r="K282" s="31" t="n">
        <f aca="false">_xlfn.MINIFS(Trades!$X$2:$X$1146,Trades!$D$2:$D$1146,$A282)</f>
        <v>164</v>
      </c>
      <c r="L282" s="33" t="n">
        <f aca="false">SUMIFS(Trades!$Y$2:$Y$1146,Trades!$D$2:$D$1146,$A282)</f>
        <v>2.3768115942029</v>
      </c>
      <c r="M282" s="31" t="n">
        <f aca="false">P281</f>
        <v>13367.08</v>
      </c>
      <c r="N282" s="30" t="n">
        <f aca="false">IFERROR(F282/M282,0)</f>
        <v>0.0122689472943979</v>
      </c>
      <c r="O282" s="29" t="str">
        <f aca="false">IF(-N282&gt;=Summary!$C$7,"BREACH","")</f>
        <v/>
      </c>
      <c r="P282" s="31" t="n">
        <f aca="false">M282+F282</f>
        <v>13531.08</v>
      </c>
      <c r="Q282" s="31" t="n">
        <f aca="false">P282-Summary!$C$5</f>
        <v>3531.07999999999</v>
      </c>
      <c r="R282" s="2" t="str">
        <f aca="false">TEXT(A282,"ddd")</f>
        <v>Mon</v>
      </c>
    </row>
    <row r="283" customFormat="false" ht="15" hidden="false" customHeight="false" outlineLevel="0" collapsed="false">
      <c r="A283" s="43" t="n">
        <v>45105</v>
      </c>
      <c r="B283" s="29" t="n">
        <f aca="false">COUNTIFS(Trades!$D$2:$D$1146,$A283)</f>
        <v>1</v>
      </c>
      <c r="C283" s="29" t="n">
        <f aca="false">COUNTIFS(Trades!$D$2:$D$1146,$A283,Trades!$Z$2:$Z$1146,"Win")</f>
        <v>1</v>
      </c>
      <c r="D283" s="29" t="n">
        <f aca="false">COUNTIFS(Trades!$D$2:$D$1146,$A283,Trades!$Z$2:$Z$1146,"Loss")</f>
        <v>0</v>
      </c>
      <c r="E283" s="30" t="n">
        <f aca="false">IFERROR(C283/B283,0)</f>
        <v>1</v>
      </c>
      <c r="F283" s="31" t="n">
        <f aca="false">SUMIFS(Trades!$X$2:$X$1146,Trades!$D$2:$D$1146,$A283)</f>
        <v>128.08</v>
      </c>
      <c r="G283" s="31" t="n">
        <f aca="false">SUMIFS(Trades!$X$2:$X$1146,Trades!$D$2:$D$1146,$A283,Trades!$X$2:$X$1146,"&gt;0")</f>
        <v>128.08</v>
      </c>
      <c r="H283" s="31" t="n">
        <f aca="false">SUMIFS(Trades!$X$2:$X$1146,Trades!$D$2:$D$1146,$A283,Trades!$X$2:$X$1146,"&lt;0")</f>
        <v>0</v>
      </c>
      <c r="I283" s="32" t="str">
        <f aca="false">IFERROR(G283/-H283,"no loss")</f>
        <v>no loss</v>
      </c>
      <c r="J283" s="31" t="n">
        <f aca="false">_xlfn.MAXIFS(Trades!$X$2:$X$1146,Trades!$D$2:$D$1146,$A283)</f>
        <v>128.08</v>
      </c>
      <c r="K283" s="31" t="n">
        <f aca="false">_xlfn.MINIFS(Trades!$X$2:$X$1146,Trades!$D$2:$D$1146,$A283)</f>
        <v>128.08</v>
      </c>
      <c r="L283" s="33" t="n">
        <f aca="false">SUMIFS(Trades!$Y$2:$Y$1146,Trades!$D$2:$D$1146,$A283)</f>
        <v>2.4021005251313</v>
      </c>
      <c r="M283" s="31" t="n">
        <f aca="false">P282</f>
        <v>13531.08</v>
      </c>
      <c r="N283" s="30" t="n">
        <f aca="false">IFERROR(F283/M283,0)</f>
        <v>0.00946561545715494</v>
      </c>
      <c r="O283" s="29" t="str">
        <f aca="false">IF(-N283&gt;=Summary!$C$7,"BREACH","")</f>
        <v/>
      </c>
      <c r="P283" s="31" t="n">
        <f aca="false">M283+F283</f>
        <v>13659.16</v>
      </c>
      <c r="Q283" s="31" t="n">
        <f aca="false">P283-Summary!$C$5</f>
        <v>3659.15999999999</v>
      </c>
      <c r="R283" s="2" t="str">
        <f aca="false">TEXT(A283,"ddd")</f>
        <v>Wed</v>
      </c>
    </row>
    <row r="284" customFormat="false" ht="15" hidden="false" customHeight="false" outlineLevel="0" collapsed="false">
      <c r="A284" s="43" t="n">
        <v>45107</v>
      </c>
      <c r="B284" s="29" t="n">
        <f aca="false">COUNTIFS(Trades!$D$2:$D$1146,$A284)</f>
        <v>1</v>
      </c>
      <c r="C284" s="29" t="n">
        <f aca="false">COUNTIFS(Trades!$D$2:$D$1146,$A284,Trades!$Z$2:$Z$1146,"Win")</f>
        <v>1</v>
      </c>
      <c r="D284" s="29" t="n">
        <f aca="false">COUNTIFS(Trades!$D$2:$D$1146,$A284,Trades!$Z$2:$Z$1146,"Loss")</f>
        <v>0</v>
      </c>
      <c r="E284" s="30" t="n">
        <f aca="false">IFERROR(C284/B284,0)</f>
        <v>1</v>
      </c>
      <c r="F284" s="31" t="n">
        <f aca="false">SUMIFS(Trades!$X$2:$X$1146,Trades!$D$2:$D$1146,$A284)</f>
        <v>111.8</v>
      </c>
      <c r="G284" s="31" t="n">
        <f aca="false">SUMIFS(Trades!$X$2:$X$1146,Trades!$D$2:$D$1146,$A284,Trades!$X$2:$X$1146,"&gt;0")</f>
        <v>111.8</v>
      </c>
      <c r="H284" s="31" t="n">
        <f aca="false">SUMIFS(Trades!$X$2:$X$1146,Trades!$D$2:$D$1146,$A284,Trades!$X$2:$X$1146,"&lt;0")</f>
        <v>0</v>
      </c>
      <c r="I284" s="32" t="str">
        <f aca="false">IFERROR(G284/-H284,"no loss")</f>
        <v>no loss</v>
      </c>
      <c r="J284" s="31" t="n">
        <f aca="false">_xlfn.MAXIFS(Trades!$X$2:$X$1146,Trades!$D$2:$D$1146,$A284)</f>
        <v>111.8</v>
      </c>
      <c r="K284" s="31" t="n">
        <f aca="false">_xlfn.MINIFS(Trades!$X$2:$X$1146,Trades!$D$2:$D$1146,$A284)</f>
        <v>111.8</v>
      </c>
      <c r="L284" s="33" t="n">
        <f aca="false">SUMIFS(Trades!$Y$2:$Y$1146,Trades!$D$2:$D$1146,$A284)</f>
        <v>2.46908127208487</v>
      </c>
      <c r="M284" s="31" t="n">
        <f aca="false">P283</f>
        <v>13659.16</v>
      </c>
      <c r="N284" s="30" t="n">
        <f aca="false">IFERROR(F284/M284,0)</f>
        <v>0.00818498355682195</v>
      </c>
      <c r="O284" s="29" t="str">
        <f aca="false">IF(-N284&gt;=Summary!$C$7,"BREACH","")</f>
        <v/>
      </c>
      <c r="P284" s="31" t="n">
        <f aca="false">M284+F284</f>
        <v>13770.96</v>
      </c>
      <c r="Q284" s="31" t="n">
        <f aca="false">P284-Summary!$C$5</f>
        <v>3770.95999999999</v>
      </c>
      <c r="R284" s="2" t="str">
        <f aca="false">TEXT(A284,"ddd")</f>
        <v>Fri</v>
      </c>
    </row>
    <row r="285" customFormat="false" ht="15" hidden="false" customHeight="false" outlineLevel="0" collapsed="false">
      <c r="A285" s="43" t="n">
        <v>45110</v>
      </c>
      <c r="B285" s="29" t="n">
        <f aca="false">COUNTIFS(Trades!$D$2:$D$1146,$A285)</f>
        <v>1</v>
      </c>
      <c r="C285" s="29" t="n">
        <f aca="false">COUNTIFS(Trades!$D$2:$D$1146,$A285,Trades!$Z$2:$Z$1146,"Win")</f>
        <v>0</v>
      </c>
      <c r="D285" s="29" t="n">
        <f aca="false">COUNTIFS(Trades!$D$2:$D$1146,$A285,Trades!$Z$2:$Z$1146,"Loss")</f>
        <v>1</v>
      </c>
      <c r="E285" s="30" t="n">
        <f aca="false">IFERROR(C285/B285,0)</f>
        <v>0</v>
      </c>
      <c r="F285" s="31" t="n">
        <f aca="false">SUMIFS(Trades!$X$2:$X$1146,Trades!$D$2:$D$1146,$A285)</f>
        <v>-0.68</v>
      </c>
      <c r="G285" s="31" t="n">
        <f aca="false">SUMIFS(Trades!$X$2:$X$1146,Trades!$D$2:$D$1146,$A285,Trades!$X$2:$X$1146,"&gt;0")</f>
        <v>0</v>
      </c>
      <c r="H285" s="31" t="n">
        <f aca="false">SUMIFS(Trades!$X$2:$X$1146,Trades!$D$2:$D$1146,$A285,Trades!$X$2:$X$1146,"&lt;0")</f>
        <v>-0.68</v>
      </c>
      <c r="I285" s="32" t="n">
        <f aca="false">IFERROR(G285/-H285,"no loss")</f>
        <v>0</v>
      </c>
      <c r="J285" s="31" t="n">
        <f aca="false">_xlfn.MAXIFS(Trades!$X$2:$X$1146,Trades!$D$2:$D$1146,$A285)</f>
        <v>-0.68</v>
      </c>
      <c r="K285" s="31" t="n">
        <f aca="false">_xlfn.MINIFS(Trades!$X$2:$X$1146,Trades!$D$2:$D$1146,$A285)</f>
        <v>-0.68</v>
      </c>
      <c r="L285" s="33" t="n">
        <f aca="false">SUMIFS(Trades!$Y$2:$Y$1146,Trades!$D$2:$D$1146,$A285)</f>
        <v>-0.0306306306306346</v>
      </c>
      <c r="M285" s="31" t="n">
        <f aca="false">P284</f>
        <v>13770.96</v>
      </c>
      <c r="N285" s="30" t="n">
        <f aca="false">IFERROR(F285/M285,0)</f>
        <v>-4.93792734856539E-005</v>
      </c>
      <c r="O285" s="29" t="str">
        <f aca="false">IF(-N285&gt;=Summary!$C$7,"BREACH","")</f>
        <v/>
      </c>
      <c r="P285" s="31" t="n">
        <f aca="false">M285+F285</f>
        <v>13770.28</v>
      </c>
      <c r="Q285" s="31" t="n">
        <f aca="false">P285-Summary!$C$5</f>
        <v>3770.27999999999</v>
      </c>
      <c r="R285" s="2" t="str">
        <f aca="false">TEXT(A285,"ddd")</f>
        <v>Mon</v>
      </c>
    </row>
    <row r="286" customFormat="false" ht="15" hidden="false" customHeight="false" outlineLevel="0" collapsed="false">
      <c r="A286" s="43" t="n">
        <v>45112</v>
      </c>
      <c r="B286" s="29" t="n">
        <f aca="false">COUNTIFS(Trades!$D$2:$D$1146,$A286)</f>
        <v>2</v>
      </c>
      <c r="C286" s="29" t="n">
        <f aca="false">COUNTIFS(Trades!$D$2:$D$1146,$A286,Trades!$Z$2:$Z$1146,"Win")</f>
        <v>1</v>
      </c>
      <c r="D286" s="29" t="n">
        <f aca="false">COUNTIFS(Trades!$D$2:$D$1146,$A286,Trades!$Z$2:$Z$1146,"Loss")</f>
        <v>1</v>
      </c>
      <c r="E286" s="30" t="n">
        <f aca="false">IFERROR(C286/B286,0)</f>
        <v>0.5</v>
      </c>
      <c r="F286" s="31" t="n">
        <f aca="false">SUMIFS(Trades!$X$2:$X$1146,Trades!$D$2:$D$1146,$A286)</f>
        <v>-10.2</v>
      </c>
      <c r="G286" s="31" t="n">
        <f aca="false">SUMIFS(Trades!$X$2:$X$1146,Trades!$D$2:$D$1146,$A286,Trades!$X$2:$X$1146,"&gt;0")</f>
        <v>35.64</v>
      </c>
      <c r="H286" s="31" t="n">
        <f aca="false">SUMIFS(Trades!$X$2:$X$1146,Trades!$D$2:$D$1146,$A286,Trades!$X$2:$X$1146,"&lt;0")</f>
        <v>-45.84</v>
      </c>
      <c r="I286" s="32" t="n">
        <f aca="false">IFERROR(G286/-H286,"no loss")</f>
        <v>0.777486910994764</v>
      </c>
      <c r="J286" s="31" t="n">
        <f aca="false">_xlfn.MAXIFS(Trades!$X$2:$X$1146,Trades!$D$2:$D$1146,$A286)</f>
        <v>35.64</v>
      </c>
      <c r="K286" s="31" t="n">
        <f aca="false">_xlfn.MINIFS(Trades!$X$2:$X$1146,Trades!$D$2:$D$1146,$A286)</f>
        <v>-45.84</v>
      </c>
      <c r="L286" s="33" t="n">
        <f aca="false">SUMIFS(Trades!$Y$2:$Y$1146,Trades!$D$2:$D$1146,$A286)</f>
        <v>1.53054597118045</v>
      </c>
      <c r="M286" s="31" t="n">
        <f aca="false">P285</f>
        <v>13770.28</v>
      </c>
      <c r="N286" s="30" t="n">
        <f aca="false">IFERROR(F286/M286,0)</f>
        <v>-0.000740725678780679</v>
      </c>
      <c r="O286" s="29" t="str">
        <f aca="false">IF(-N286&gt;=Summary!$C$7,"BREACH","")</f>
        <v/>
      </c>
      <c r="P286" s="31" t="n">
        <f aca="false">M286+F286</f>
        <v>13760.08</v>
      </c>
      <c r="Q286" s="31" t="n">
        <f aca="false">P286-Summary!$C$5</f>
        <v>3760.07999999999</v>
      </c>
      <c r="R286" s="2" t="str">
        <f aca="false">TEXT(A286,"ddd")</f>
        <v>Wed</v>
      </c>
    </row>
    <row r="287" customFormat="false" ht="15" hidden="false" customHeight="false" outlineLevel="0" collapsed="false">
      <c r="A287" s="43" t="n">
        <v>45113</v>
      </c>
      <c r="B287" s="29" t="n">
        <f aca="false">COUNTIFS(Trades!$D$2:$D$1146,$A287)</f>
        <v>1</v>
      </c>
      <c r="C287" s="29" t="n">
        <f aca="false">COUNTIFS(Trades!$D$2:$D$1146,$A287,Trades!$Z$2:$Z$1146,"Win")</f>
        <v>0</v>
      </c>
      <c r="D287" s="29" t="n">
        <f aca="false">COUNTIFS(Trades!$D$2:$D$1146,$A287,Trades!$Z$2:$Z$1146,"Loss")</f>
        <v>1</v>
      </c>
      <c r="E287" s="30" t="n">
        <f aca="false">IFERROR(C287/B287,0)</f>
        <v>0</v>
      </c>
      <c r="F287" s="31" t="n">
        <f aca="false">SUMIFS(Trades!$X$2:$X$1146,Trades!$D$2:$D$1146,$A287)</f>
        <v>-40.64</v>
      </c>
      <c r="G287" s="31" t="n">
        <f aca="false">SUMIFS(Trades!$X$2:$X$1146,Trades!$D$2:$D$1146,$A287,Trades!$X$2:$X$1146,"&gt;0")</f>
        <v>0</v>
      </c>
      <c r="H287" s="31" t="n">
        <f aca="false">SUMIFS(Trades!$X$2:$X$1146,Trades!$D$2:$D$1146,$A287,Trades!$X$2:$X$1146,"&lt;0")</f>
        <v>-40.64</v>
      </c>
      <c r="I287" s="32" t="n">
        <f aca="false">IFERROR(G287/-H287,"no loss")</f>
        <v>0</v>
      </c>
      <c r="J287" s="31" t="n">
        <f aca="false">_xlfn.MAXIFS(Trades!$X$2:$X$1146,Trades!$D$2:$D$1146,$A287)</f>
        <v>-40.64</v>
      </c>
      <c r="K287" s="31" t="n">
        <f aca="false">_xlfn.MINIFS(Trades!$X$2:$X$1146,Trades!$D$2:$D$1146,$A287)</f>
        <v>-40.64</v>
      </c>
      <c r="L287" s="33" t="n">
        <f aca="false">SUMIFS(Trades!$Y$2:$Y$1146,Trades!$D$2:$D$1146,$A287)</f>
        <v>-1.00197238658765</v>
      </c>
      <c r="M287" s="31" t="n">
        <f aca="false">P286</f>
        <v>13760.08</v>
      </c>
      <c r="N287" s="30" t="n">
        <f aca="false">IFERROR(F287/M287,0)</f>
        <v>-0.00295347120074884</v>
      </c>
      <c r="O287" s="29" t="str">
        <f aca="false">IF(-N287&gt;=Summary!$C$7,"BREACH","")</f>
        <v/>
      </c>
      <c r="P287" s="31" t="n">
        <f aca="false">M287+F287</f>
        <v>13719.44</v>
      </c>
      <c r="Q287" s="31" t="n">
        <f aca="false">P287-Summary!$C$5</f>
        <v>3719.43999999999</v>
      </c>
      <c r="R287" s="2" t="str">
        <f aca="false">TEXT(A287,"ddd")</f>
        <v>Thu</v>
      </c>
    </row>
    <row r="288" customFormat="false" ht="15" hidden="false" customHeight="false" outlineLevel="0" collapsed="false">
      <c r="A288" s="43" t="n">
        <v>45114</v>
      </c>
      <c r="B288" s="29" t="n">
        <f aca="false">COUNTIFS(Trades!$D$2:$D$1146,$A288)</f>
        <v>1</v>
      </c>
      <c r="C288" s="29" t="n">
        <f aca="false">COUNTIFS(Trades!$D$2:$D$1146,$A288,Trades!$Z$2:$Z$1146,"Win")</f>
        <v>0</v>
      </c>
      <c r="D288" s="29" t="n">
        <f aca="false">COUNTIFS(Trades!$D$2:$D$1146,$A288,Trades!$Z$2:$Z$1146,"Loss")</f>
        <v>1</v>
      </c>
      <c r="E288" s="30" t="n">
        <f aca="false">IFERROR(C288/B288,0)</f>
        <v>0</v>
      </c>
      <c r="F288" s="31" t="n">
        <f aca="false">SUMIFS(Trades!$X$2:$X$1146,Trades!$D$2:$D$1146,$A288)</f>
        <v>-0.08</v>
      </c>
      <c r="G288" s="31" t="n">
        <f aca="false">SUMIFS(Trades!$X$2:$X$1146,Trades!$D$2:$D$1146,$A288,Trades!$X$2:$X$1146,"&gt;0")</f>
        <v>0</v>
      </c>
      <c r="H288" s="31" t="n">
        <f aca="false">SUMIFS(Trades!$X$2:$X$1146,Trades!$D$2:$D$1146,$A288,Trades!$X$2:$X$1146,"&lt;0")</f>
        <v>-0.08</v>
      </c>
      <c r="I288" s="32" t="n">
        <f aca="false">IFERROR(G288/-H288,"no loss")</f>
        <v>0</v>
      </c>
      <c r="J288" s="31" t="n">
        <f aca="false">_xlfn.MAXIFS(Trades!$X$2:$X$1146,Trades!$D$2:$D$1146,$A288)</f>
        <v>-0.08</v>
      </c>
      <c r="K288" s="31" t="n">
        <f aca="false">_xlfn.MINIFS(Trades!$X$2:$X$1146,Trades!$D$2:$D$1146,$A288)</f>
        <v>-0.08</v>
      </c>
      <c r="L288" s="33" t="n">
        <f aca="false">SUMIFS(Trades!$Y$2:$Y$1146,Trades!$D$2:$D$1146,$A288)</f>
        <v>-0.00530503978779779</v>
      </c>
      <c r="M288" s="31" t="n">
        <f aca="false">P287</f>
        <v>13719.44</v>
      </c>
      <c r="N288" s="30" t="n">
        <f aca="false">IFERROR(F288/M288,0)</f>
        <v>-5.83114179587505E-006</v>
      </c>
      <c r="O288" s="29" t="str">
        <f aca="false">IF(-N288&gt;=Summary!$C$7,"BREACH","")</f>
        <v/>
      </c>
      <c r="P288" s="31" t="n">
        <f aca="false">M288+F288</f>
        <v>13719.36</v>
      </c>
      <c r="Q288" s="31" t="n">
        <f aca="false">P288-Summary!$C$5</f>
        <v>3719.35999999999</v>
      </c>
      <c r="R288" s="2" t="str">
        <f aca="false">TEXT(A288,"ddd")</f>
        <v>Fri</v>
      </c>
    </row>
    <row r="289" customFormat="false" ht="15" hidden="false" customHeight="false" outlineLevel="0" collapsed="false">
      <c r="A289" s="43" t="n">
        <v>45117</v>
      </c>
      <c r="B289" s="29" t="n">
        <f aca="false">COUNTIFS(Trades!$D$2:$D$1146,$A289)</f>
        <v>1</v>
      </c>
      <c r="C289" s="29" t="n">
        <f aca="false">COUNTIFS(Trades!$D$2:$D$1146,$A289,Trades!$Z$2:$Z$1146,"Win")</f>
        <v>0</v>
      </c>
      <c r="D289" s="29" t="n">
        <f aca="false">COUNTIFS(Trades!$D$2:$D$1146,$A289,Trades!$Z$2:$Z$1146,"Loss")</f>
        <v>1</v>
      </c>
      <c r="E289" s="30" t="n">
        <f aca="false">IFERROR(C289/B289,0)</f>
        <v>0</v>
      </c>
      <c r="F289" s="31" t="n">
        <f aca="false">SUMIFS(Trades!$X$2:$X$1146,Trades!$D$2:$D$1146,$A289)</f>
        <v>-28.68</v>
      </c>
      <c r="G289" s="31" t="n">
        <f aca="false">SUMIFS(Trades!$X$2:$X$1146,Trades!$D$2:$D$1146,$A289,Trades!$X$2:$X$1146,"&gt;0")</f>
        <v>0</v>
      </c>
      <c r="H289" s="31" t="n">
        <f aca="false">SUMIFS(Trades!$X$2:$X$1146,Trades!$D$2:$D$1146,$A289,Trades!$X$2:$X$1146,"&lt;0")</f>
        <v>-28.68</v>
      </c>
      <c r="I289" s="32" t="n">
        <f aca="false">IFERROR(G289/-H289,"no loss")</f>
        <v>0</v>
      </c>
      <c r="J289" s="31" t="n">
        <f aca="false">_xlfn.MAXIFS(Trades!$X$2:$X$1146,Trades!$D$2:$D$1146,$A289)</f>
        <v>-28.68</v>
      </c>
      <c r="K289" s="31" t="n">
        <f aca="false">_xlfn.MINIFS(Trades!$X$2:$X$1146,Trades!$D$2:$D$1146,$A289)</f>
        <v>-28.68</v>
      </c>
      <c r="L289" s="33" t="n">
        <f aca="false">SUMIFS(Trades!$Y$2:$Y$1146,Trades!$D$2:$D$1146,$A289)</f>
        <v>-1.0141442715698</v>
      </c>
      <c r="M289" s="31" t="n">
        <f aca="false">P288</f>
        <v>13719.36</v>
      </c>
      <c r="N289" s="30" t="n">
        <f aca="false">IFERROR(F289/M289,0)</f>
        <v>-0.00209047652368624</v>
      </c>
      <c r="O289" s="29" t="str">
        <f aca="false">IF(-N289&gt;=Summary!$C$7,"BREACH","")</f>
        <v/>
      </c>
      <c r="P289" s="31" t="n">
        <f aca="false">M289+F289</f>
        <v>13690.68</v>
      </c>
      <c r="Q289" s="31" t="n">
        <f aca="false">P289-Summary!$C$5</f>
        <v>3690.67999999999</v>
      </c>
      <c r="R289" s="2" t="str">
        <f aca="false">TEXT(A289,"ddd")</f>
        <v>Mon</v>
      </c>
    </row>
    <row r="290" customFormat="false" ht="15" hidden="false" customHeight="false" outlineLevel="0" collapsed="false">
      <c r="A290" s="43" t="n">
        <v>45118</v>
      </c>
      <c r="B290" s="29" t="n">
        <f aca="false">COUNTIFS(Trades!$D$2:$D$1146,$A290)</f>
        <v>1</v>
      </c>
      <c r="C290" s="29" t="n">
        <f aca="false">COUNTIFS(Trades!$D$2:$D$1146,$A290,Trades!$Z$2:$Z$1146,"Win")</f>
        <v>0</v>
      </c>
      <c r="D290" s="29" t="n">
        <f aca="false">COUNTIFS(Trades!$D$2:$D$1146,$A290,Trades!$Z$2:$Z$1146,"Loss")</f>
        <v>1</v>
      </c>
      <c r="E290" s="30" t="n">
        <f aca="false">IFERROR(C290/B290,0)</f>
        <v>0</v>
      </c>
      <c r="F290" s="31" t="n">
        <f aca="false">SUMIFS(Trades!$X$2:$X$1146,Trades!$D$2:$D$1146,$A290)</f>
        <v>-20.92</v>
      </c>
      <c r="G290" s="31" t="n">
        <f aca="false">SUMIFS(Trades!$X$2:$X$1146,Trades!$D$2:$D$1146,$A290,Trades!$X$2:$X$1146,"&gt;0")</f>
        <v>0</v>
      </c>
      <c r="H290" s="31" t="n">
        <f aca="false">SUMIFS(Trades!$X$2:$X$1146,Trades!$D$2:$D$1146,$A290,Trades!$X$2:$X$1146,"&lt;0")</f>
        <v>-20.92</v>
      </c>
      <c r="I290" s="32" t="n">
        <f aca="false">IFERROR(G290/-H290,"no loss")</f>
        <v>0</v>
      </c>
      <c r="J290" s="31" t="n">
        <f aca="false">_xlfn.MAXIFS(Trades!$X$2:$X$1146,Trades!$D$2:$D$1146,$A290)</f>
        <v>-20.92</v>
      </c>
      <c r="K290" s="31" t="n">
        <f aca="false">_xlfn.MINIFS(Trades!$X$2:$X$1146,Trades!$D$2:$D$1146,$A290)</f>
        <v>-20.92</v>
      </c>
      <c r="L290" s="33" t="n">
        <f aca="false">SUMIFS(Trades!$Y$2:$Y$1146,Trades!$D$2:$D$1146,$A290)</f>
        <v>-1.00576923076944</v>
      </c>
      <c r="M290" s="31" t="n">
        <f aca="false">P289</f>
        <v>13690.68</v>
      </c>
      <c r="N290" s="30" t="n">
        <f aca="false">IFERROR(F290/M290,0)</f>
        <v>-0.00152804681725086</v>
      </c>
      <c r="O290" s="29" t="str">
        <f aca="false">IF(-N290&gt;=Summary!$C$7,"BREACH","")</f>
        <v/>
      </c>
      <c r="P290" s="31" t="n">
        <f aca="false">M290+F290</f>
        <v>13669.76</v>
      </c>
      <c r="Q290" s="31" t="n">
        <f aca="false">P290-Summary!$C$5</f>
        <v>3669.75999999999</v>
      </c>
      <c r="R290" s="2" t="str">
        <f aca="false">TEXT(A290,"ddd")</f>
        <v>Tue</v>
      </c>
    </row>
    <row r="291" customFormat="false" ht="15" hidden="false" customHeight="false" outlineLevel="0" collapsed="false">
      <c r="A291" s="43" t="n">
        <v>45119</v>
      </c>
      <c r="B291" s="29" t="n">
        <f aca="false">COUNTIFS(Trades!$D$2:$D$1146,$A291)</f>
        <v>1</v>
      </c>
      <c r="C291" s="29" t="n">
        <f aca="false">COUNTIFS(Trades!$D$2:$D$1146,$A291,Trades!$Z$2:$Z$1146,"Win")</f>
        <v>0</v>
      </c>
      <c r="D291" s="29" t="n">
        <f aca="false">COUNTIFS(Trades!$D$2:$D$1146,$A291,Trades!$Z$2:$Z$1146,"Loss")</f>
        <v>1</v>
      </c>
      <c r="E291" s="30" t="n">
        <f aca="false">IFERROR(C291/B291,0)</f>
        <v>0</v>
      </c>
      <c r="F291" s="31" t="n">
        <f aca="false">SUMIFS(Trades!$X$2:$X$1146,Trades!$D$2:$D$1146,$A291)</f>
        <v>-6.84</v>
      </c>
      <c r="G291" s="31" t="n">
        <f aca="false">SUMIFS(Trades!$X$2:$X$1146,Trades!$D$2:$D$1146,$A291,Trades!$X$2:$X$1146,"&gt;0")</f>
        <v>0</v>
      </c>
      <c r="H291" s="31" t="n">
        <f aca="false">SUMIFS(Trades!$X$2:$X$1146,Trades!$D$2:$D$1146,$A291,Trades!$X$2:$X$1146,"&lt;0")</f>
        <v>-6.84</v>
      </c>
      <c r="I291" s="32" t="n">
        <f aca="false">IFERROR(G291/-H291,"no loss")</f>
        <v>0</v>
      </c>
      <c r="J291" s="31" t="n">
        <f aca="false">_xlfn.MAXIFS(Trades!$X$2:$X$1146,Trades!$D$2:$D$1146,$A291)</f>
        <v>-6.84</v>
      </c>
      <c r="K291" s="31" t="n">
        <f aca="false">_xlfn.MINIFS(Trades!$X$2:$X$1146,Trades!$D$2:$D$1146,$A291)</f>
        <v>-6.84</v>
      </c>
      <c r="L291" s="33" t="n">
        <f aca="false">SUMIFS(Trades!$Y$2:$Y$1146,Trades!$D$2:$D$1146,$A291)</f>
        <v>-1.30534351145089</v>
      </c>
      <c r="M291" s="31" t="n">
        <f aca="false">P290</f>
        <v>13669.76</v>
      </c>
      <c r="N291" s="30" t="n">
        <f aca="false">IFERROR(F291/M291,0)</f>
        <v>-0.000500374549370289</v>
      </c>
      <c r="O291" s="29" t="str">
        <f aca="false">IF(-N291&gt;=Summary!$C$7,"BREACH","")</f>
        <v/>
      </c>
      <c r="P291" s="31" t="n">
        <f aca="false">M291+F291</f>
        <v>13662.92</v>
      </c>
      <c r="Q291" s="31" t="n">
        <f aca="false">P291-Summary!$C$5</f>
        <v>3662.91999999999</v>
      </c>
      <c r="R291" s="2" t="str">
        <f aca="false">TEXT(A291,"ddd")</f>
        <v>Wed</v>
      </c>
    </row>
    <row r="292" customFormat="false" ht="15" hidden="false" customHeight="false" outlineLevel="0" collapsed="false">
      <c r="A292" s="43" t="n">
        <v>45120</v>
      </c>
      <c r="B292" s="29" t="n">
        <f aca="false">COUNTIFS(Trades!$D$2:$D$1146,$A292)</f>
        <v>1</v>
      </c>
      <c r="C292" s="29" t="n">
        <f aca="false">COUNTIFS(Trades!$D$2:$D$1146,$A292,Trades!$Z$2:$Z$1146,"Win")</f>
        <v>0</v>
      </c>
      <c r="D292" s="29" t="n">
        <f aca="false">COUNTIFS(Trades!$D$2:$D$1146,$A292,Trades!$Z$2:$Z$1146,"Loss")</f>
        <v>1</v>
      </c>
      <c r="E292" s="30" t="n">
        <f aca="false">IFERROR(C292/B292,0)</f>
        <v>0</v>
      </c>
      <c r="F292" s="31" t="n">
        <f aca="false">SUMIFS(Trades!$X$2:$X$1146,Trades!$D$2:$D$1146,$A292)</f>
        <v>-31.96</v>
      </c>
      <c r="G292" s="31" t="n">
        <f aca="false">SUMIFS(Trades!$X$2:$X$1146,Trades!$D$2:$D$1146,$A292,Trades!$X$2:$X$1146,"&gt;0")</f>
        <v>0</v>
      </c>
      <c r="H292" s="31" t="n">
        <f aca="false">SUMIFS(Trades!$X$2:$X$1146,Trades!$D$2:$D$1146,$A292,Trades!$X$2:$X$1146,"&lt;0")</f>
        <v>-31.96</v>
      </c>
      <c r="I292" s="32" t="n">
        <f aca="false">IFERROR(G292/-H292,"no loss")</f>
        <v>0</v>
      </c>
      <c r="J292" s="31" t="n">
        <f aca="false">_xlfn.MAXIFS(Trades!$X$2:$X$1146,Trades!$D$2:$D$1146,$A292)</f>
        <v>-31.96</v>
      </c>
      <c r="K292" s="31" t="n">
        <f aca="false">_xlfn.MINIFS(Trades!$X$2:$X$1146,Trades!$D$2:$D$1146,$A292)</f>
        <v>-31.96</v>
      </c>
      <c r="L292" s="33" t="n">
        <f aca="false">SUMIFS(Trades!$Y$2:$Y$1146,Trades!$D$2:$D$1146,$A292)</f>
        <v>-1.02699228791789</v>
      </c>
      <c r="M292" s="31" t="n">
        <f aca="false">P291</f>
        <v>13662.92</v>
      </c>
      <c r="N292" s="30" t="n">
        <f aca="false">IFERROR(F292/M292,0)</f>
        <v>-0.00233917786241887</v>
      </c>
      <c r="O292" s="29" t="str">
        <f aca="false">IF(-N292&gt;=Summary!$C$7,"BREACH","")</f>
        <v/>
      </c>
      <c r="P292" s="31" t="n">
        <f aca="false">M292+F292</f>
        <v>13630.96</v>
      </c>
      <c r="Q292" s="31" t="n">
        <f aca="false">P292-Summary!$C$5</f>
        <v>3630.95999999999</v>
      </c>
      <c r="R292" s="2" t="str">
        <f aca="false">TEXT(A292,"ddd")</f>
        <v>Thu</v>
      </c>
    </row>
    <row r="293" customFormat="false" ht="15" hidden="false" customHeight="false" outlineLevel="0" collapsed="false">
      <c r="A293" s="43" t="n">
        <v>45121</v>
      </c>
      <c r="B293" s="29" t="n">
        <f aca="false">COUNTIFS(Trades!$D$2:$D$1146,$A293)</f>
        <v>1</v>
      </c>
      <c r="C293" s="29" t="n">
        <f aca="false">COUNTIFS(Trades!$D$2:$D$1146,$A293,Trades!$Z$2:$Z$1146,"Win")</f>
        <v>0</v>
      </c>
      <c r="D293" s="29" t="n">
        <f aca="false">COUNTIFS(Trades!$D$2:$D$1146,$A293,Trades!$Z$2:$Z$1146,"Loss")</f>
        <v>1</v>
      </c>
      <c r="E293" s="30" t="n">
        <f aca="false">IFERROR(C293/B293,0)</f>
        <v>0</v>
      </c>
      <c r="F293" s="31" t="n">
        <f aca="false">SUMIFS(Trades!$X$2:$X$1146,Trades!$D$2:$D$1146,$A293)</f>
        <v>-0.12</v>
      </c>
      <c r="G293" s="31" t="n">
        <f aca="false">SUMIFS(Trades!$X$2:$X$1146,Trades!$D$2:$D$1146,$A293,Trades!$X$2:$X$1146,"&gt;0")</f>
        <v>0</v>
      </c>
      <c r="H293" s="31" t="n">
        <f aca="false">SUMIFS(Trades!$X$2:$X$1146,Trades!$D$2:$D$1146,$A293,Trades!$X$2:$X$1146,"&lt;0")</f>
        <v>-0.12</v>
      </c>
      <c r="I293" s="32" t="n">
        <f aca="false">IFERROR(G293/-H293,"no loss")</f>
        <v>0</v>
      </c>
      <c r="J293" s="31" t="n">
        <f aca="false">_xlfn.MAXIFS(Trades!$X$2:$X$1146,Trades!$D$2:$D$1146,$A293)</f>
        <v>-0.12</v>
      </c>
      <c r="K293" s="31" t="n">
        <f aca="false">_xlfn.MINIFS(Trades!$X$2:$X$1146,Trades!$D$2:$D$1146,$A293)</f>
        <v>-0.12</v>
      </c>
      <c r="L293" s="33" t="n">
        <f aca="false">SUMIFS(Trades!$Y$2:$Y$1146,Trades!$D$2:$D$1146,$A293)</f>
        <v>-0.00257289879931393</v>
      </c>
      <c r="M293" s="31" t="n">
        <f aca="false">P292</f>
        <v>13630.96</v>
      </c>
      <c r="N293" s="30" t="n">
        <f aca="false">IFERROR(F293/M293,0)</f>
        <v>-8.80348852905445E-006</v>
      </c>
      <c r="O293" s="29" t="str">
        <f aca="false">IF(-N293&gt;=Summary!$C$7,"BREACH","")</f>
        <v/>
      </c>
      <c r="P293" s="31" t="n">
        <f aca="false">M293+F293</f>
        <v>13630.84</v>
      </c>
      <c r="Q293" s="31" t="n">
        <f aca="false">P293-Summary!$C$5</f>
        <v>3630.83999999999</v>
      </c>
      <c r="R293" s="2" t="str">
        <f aca="false">TEXT(A293,"ddd")</f>
        <v>Fri</v>
      </c>
    </row>
    <row r="294" customFormat="false" ht="15" hidden="false" customHeight="false" outlineLevel="0" collapsed="false">
      <c r="A294" s="43" t="n">
        <v>45124</v>
      </c>
      <c r="B294" s="29" t="n">
        <f aca="false">COUNTIFS(Trades!$D$2:$D$1146,$A294)</f>
        <v>2</v>
      </c>
      <c r="C294" s="29" t="n">
        <f aca="false">COUNTIFS(Trades!$D$2:$D$1146,$A294,Trades!$Z$2:$Z$1146,"Win")</f>
        <v>1</v>
      </c>
      <c r="D294" s="29" t="n">
        <f aca="false">COUNTIFS(Trades!$D$2:$D$1146,$A294,Trades!$Z$2:$Z$1146,"Loss")</f>
        <v>1</v>
      </c>
      <c r="E294" s="30" t="n">
        <f aca="false">IFERROR(C294/B294,0)</f>
        <v>0.5</v>
      </c>
      <c r="F294" s="31" t="n">
        <f aca="false">SUMIFS(Trades!$X$2:$X$1146,Trades!$D$2:$D$1146,$A294)</f>
        <v>44.16</v>
      </c>
      <c r="G294" s="31" t="n">
        <f aca="false">SUMIFS(Trades!$X$2:$X$1146,Trades!$D$2:$D$1146,$A294,Trades!$X$2:$X$1146,"&gt;0")</f>
        <v>55.12</v>
      </c>
      <c r="H294" s="31" t="n">
        <f aca="false">SUMIFS(Trades!$X$2:$X$1146,Trades!$D$2:$D$1146,$A294,Trades!$X$2:$X$1146,"&lt;0")</f>
        <v>-10.96</v>
      </c>
      <c r="I294" s="32" t="n">
        <f aca="false">IFERROR(G294/-H294,"no loss")</f>
        <v>5.02919708029197</v>
      </c>
      <c r="J294" s="31" t="n">
        <f aca="false">_xlfn.MAXIFS(Trades!$X$2:$X$1146,Trades!$D$2:$D$1146,$A294)</f>
        <v>55.12</v>
      </c>
      <c r="K294" s="31" t="n">
        <f aca="false">_xlfn.MINIFS(Trades!$X$2:$X$1146,Trades!$D$2:$D$1146,$A294)</f>
        <v>-10.96</v>
      </c>
      <c r="L294" s="33" t="n">
        <f aca="false">SUMIFS(Trades!$Y$2:$Y$1146,Trades!$D$2:$D$1146,$A294)</f>
        <v>1.37301293428242</v>
      </c>
      <c r="M294" s="31" t="n">
        <f aca="false">P293</f>
        <v>13630.84</v>
      </c>
      <c r="N294" s="30" t="n">
        <f aca="false">IFERROR(F294/M294,0)</f>
        <v>0.0032397122994621</v>
      </c>
      <c r="O294" s="29" t="str">
        <f aca="false">IF(-N294&gt;=Summary!$C$7,"BREACH","")</f>
        <v/>
      </c>
      <c r="P294" s="31" t="n">
        <f aca="false">M294+F294</f>
        <v>13675</v>
      </c>
      <c r="Q294" s="31" t="n">
        <f aca="false">P294-Summary!$C$5</f>
        <v>3674.99999999999</v>
      </c>
      <c r="R294" s="2" t="str">
        <f aca="false">TEXT(A294,"ddd")</f>
        <v>Mon</v>
      </c>
    </row>
    <row r="295" customFormat="false" ht="15" hidden="false" customHeight="false" outlineLevel="0" collapsed="false">
      <c r="A295" s="43" t="n">
        <v>45125</v>
      </c>
      <c r="B295" s="29" t="n">
        <f aca="false">COUNTIFS(Trades!$D$2:$D$1146,$A295)</f>
        <v>1</v>
      </c>
      <c r="C295" s="29" t="n">
        <f aca="false">COUNTIFS(Trades!$D$2:$D$1146,$A295,Trades!$Z$2:$Z$1146,"Win")</f>
        <v>0</v>
      </c>
      <c r="D295" s="29" t="n">
        <f aca="false">COUNTIFS(Trades!$D$2:$D$1146,$A295,Trades!$Z$2:$Z$1146,"Loss")</f>
        <v>1</v>
      </c>
      <c r="E295" s="30" t="n">
        <f aca="false">IFERROR(C295/B295,0)</f>
        <v>0</v>
      </c>
      <c r="F295" s="31" t="n">
        <f aca="false">SUMIFS(Trades!$X$2:$X$1146,Trades!$D$2:$D$1146,$A295)</f>
        <v>-56.96</v>
      </c>
      <c r="G295" s="31" t="n">
        <f aca="false">SUMIFS(Trades!$X$2:$X$1146,Trades!$D$2:$D$1146,$A295,Trades!$X$2:$X$1146,"&gt;0")</f>
        <v>0</v>
      </c>
      <c r="H295" s="31" t="n">
        <f aca="false">SUMIFS(Trades!$X$2:$X$1146,Trades!$D$2:$D$1146,$A295,Trades!$X$2:$X$1146,"&lt;0")</f>
        <v>-56.96</v>
      </c>
      <c r="I295" s="32" t="n">
        <f aca="false">IFERROR(G295/-H295,"no loss")</f>
        <v>0</v>
      </c>
      <c r="J295" s="31" t="n">
        <f aca="false">_xlfn.MAXIFS(Trades!$X$2:$X$1146,Trades!$D$2:$D$1146,$A295)</f>
        <v>-56.96</v>
      </c>
      <c r="K295" s="31" t="n">
        <f aca="false">_xlfn.MINIFS(Trades!$X$2:$X$1146,Trades!$D$2:$D$1146,$A295)</f>
        <v>-56.96</v>
      </c>
      <c r="L295" s="33" t="n">
        <f aca="false">SUMIFS(Trades!$Y$2:$Y$1146,Trades!$D$2:$D$1146,$A295)</f>
        <v>-1.09035222052072</v>
      </c>
      <c r="M295" s="31" t="n">
        <f aca="false">P294</f>
        <v>13675</v>
      </c>
      <c r="N295" s="30" t="n">
        <f aca="false">IFERROR(F295/M295,0)</f>
        <v>-0.00416526508226691</v>
      </c>
      <c r="O295" s="29" t="str">
        <f aca="false">IF(-N295&gt;=Summary!$C$7,"BREACH","")</f>
        <v/>
      </c>
      <c r="P295" s="31" t="n">
        <f aca="false">M295+F295</f>
        <v>13618.04</v>
      </c>
      <c r="Q295" s="31" t="n">
        <f aca="false">P295-Summary!$C$5</f>
        <v>3618.03999999999</v>
      </c>
      <c r="R295" s="2" t="str">
        <f aca="false">TEXT(A295,"ddd")</f>
        <v>Tue</v>
      </c>
    </row>
    <row r="296" customFormat="false" ht="15" hidden="false" customHeight="false" outlineLevel="0" collapsed="false">
      <c r="A296" s="43" t="n">
        <v>45126</v>
      </c>
      <c r="B296" s="29" t="n">
        <f aca="false">COUNTIFS(Trades!$D$2:$D$1146,$A296)</f>
        <v>1</v>
      </c>
      <c r="C296" s="29" t="n">
        <f aca="false">COUNTIFS(Trades!$D$2:$D$1146,$A296,Trades!$Z$2:$Z$1146,"Win")</f>
        <v>0</v>
      </c>
      <c r="D296" s="29" t="n">
        <f aca="false">COUNTIFS(Trades!$D$2:$D$1146,$A296,Trades!$Z$2:$Z$1146,"Loss")</f>
        <v>1</v>
      </c>
      <c r="E296" s="30" t="n">
        <f aca="false">IFERROR(C296/B296,0)</f>
        <v>0</v>
      </c>
      <c r="F296" s="31" t="n">
        <f aca="false">SUMIFS(Trades!$X$2:$X$1146,Trades!$D$2:$D$1146,$A296)</f>
        <v>-57.56</v>
      </c>
      <c r="G296" s="31" t="n">
        <f aca="false">SUMIFS(Trades!$X$2:$X$1146,Trades!$D$2:$D$1146,$A296,Trades!$X$2:$X$1146,"&gt;0")</f>
        <v>0</v>
      </c>
      <c r="H296" s="31" t="n">
        <f aca="false">SUMIFS(Trades!$X$2:$X$1146,Trades!$D$2:$D$1146,$A296,Trades!$X$2:$X$1146,"&lt;0")</f>
        <v>-57.56</v>
      </c>
      <c r="I296" s="32" t="n">
        <f aca="false">IFERROR(G296/-H296,"no loss")</f>
        <v>0</v>
      </c>
      <c r="J296" s="31" t="n">
        <f aca="false">_xlfn.MAXIFS(Trades!$X$2:$X$1146,Trades!$D$2:$D$1146,$A296)</f>
        <v>-57.56</v>
      </c>
      <c r="K296" s="31" t="n">
        <f aca="false">_xlfn.MINIFS(Trades!$X$2:$X$1146,Trades!$D$2:$D$1146,$A296)</f>
        <v>-57.56</v>
      </c>
      <c r="L296" s="33" t="n">
        <f aca="false">SUMIFS(Trades!$Y$2:$Y$1146,Trades!$D$2:$D$1146,$A296)</f>
        <v>-1.00629370629363</v>
      </c>
      <c r="M296" s="31" t="n">
        <f aca="false">P295</f>
        <v>13618.04</v>
      </c>
      <c r="N296" s="30" t="n">
        <f aca="false">IFERROR(F296/M296,0)</f>
        <v>-0.00422674628654344</v>
      </c>
      <c r="O296" s="29" t="str">
        <f aca="false">IF(-N296&gt;=Summary!$C$7,"BREACH","")</f>
        <v/>
      </c>
      <c r="P296" s="31" t="n">
        <f aca="false">M296+F296</f>
        <v>13560.48</v>
      </c>
      <c r="Q296" s="31" t="n">
        <f aca="false">P296-Summary!$C$5</f>
        <v>3560.47999999999</v>
      </c>
      <c r="R296" s="2" t="str">
        <f aca="false">TEXT(A296,"ddd")</f>
        <v>Wed</v>
      </c>
    </row>
    <row r="297" customFormat="false" ht="15" hidden="false" customHeight="false" outlineLevel="0" collapsed="false">
      <c r="A297" s="43" t="n">
        <v>45127</v>
      </c>
      <c r="B297" s="29" t="n">
        <f aca="false">COUNTIFS(Trades!$D$2:$D$1146,$A297)</f>
        <v>1</v>
      </c>
      <c r="C297" s="29" t="n">
        <f aca="false">COUNTIFS(Trades!$D$2:$D$1146,$A297,Trades!$Z$2:$Z$1146,"Win")</f>
        <v>1</v>
      </c>
      <c r="D297" s="29" t="n">
        <f aca="false">COUNTIFS(Trades!$D$2:$D$1146,$A297,Trades!$Z$2:$Z$1146,"Loss")</f>
        <v>0</v>
      </c>
      <c r="E297" s="30" t="n">
        <f aca="false">IFERROR(C297/B297,0)</f>
        <v>1</v>
      </c>
      <c r="F297" s="31" t="n">
        <f aca="false">SUMIFS(Trades!$X$2:$X$1146,Trades!$D$2:$D$1146,$A297)</f>
        <v>40.16</v>
      </c>
      <c r="G297" s="31" t="n">
        <f aca="false">SUMIFS(Trades!$X$2:$X$1146,Trades!$D$2:$D$1146,$A297,Trades!$X$2:$X$1146,"&gt;0")</f>
        <v>40.16</v>
      </c>
      <c r="H297" s="31" t="n">
        <f aca="false">SUMIFS(Trades!$X$2:$X$1146,Trades!$D$2:$D$1146,$A297,Trades!$X$2:$X$1146,"&lt;0")</f>
        <v>0</v>
      </c>
      <c r="I297" s="32" t="str">
        <f aca="false">IFERROR(G297/-H297,"no loss")</f>
        <v>no loss</v>
      </c>
      <c r="J297" s="31" t="n">
        <f aca="false">_xlfn.MAXIFS(Trades!$X$2:$X$1146,Trades!$D$2:$D$1146,$A297)</f>
        <v>40.16</v>
      </c>
      <c r="K297" s="31" t="n">
        <f aca="false">_xlfn.MINIFS(Trades!$X$2:$X$1146,Trades!$D$2:$D$1146,$A297)</f>
        <v>40.16</v>
      </c>
      <c r="L297" s="33" t="n">
        <f aca="false">SUMIFS(Trades!$Y$2:$Y$1146,Trades!$D$2:$D$1146,$A297)</f>
        <v>2.47901234567946</v>
      </c>
      <c r="M297" s="31" t="n">
        <f aca="false">P296</f>
        <v>13560.48</v>
      </c>
      <c r="N297" s="30" t="n">
        <f aca="false">IFERROR(F297/M297,0)</f>
        <v>0.00296154708387904</v>
      </c>
      <c r="O297" s="29" t="str">
        <f aca="false">IF(-N297&gt;=Summary!$C$7,"BREACH","")</f>
        <v/>
      </c>
      <c r="P297" s="31" t="n">
        <f aca="false">M297+F297</f>
        <v>13600.64</v>
      </c>
      <c r="Q297" s="31" t="n">
        <f aca="false">P297-Summary!$C$5</f>
        <v>3600.63999999999</v>
      </c>
      <c r="R297" s="2" t="str">
        <f aca="false">TEXT(A297,"ddd")</f>
        <v>Thu</v>
      </c>
    </row>
    <row r="298" customFormat="false" ht="15" hidden="false" customHeight="false" outlineLevel="0" collapsed="false">
      <c r="A298" s="43" t="n">
        <v>45128</v>
      </c>
      <c r="B298" s="29" t="n">
        <f aca="false">COUNTIFS(Trades!$D$2:$D$1146,$A298)</f>
        <v>1</v>
      </c>
      <c r="C298" s="29" t="n">
        <f aca="false">COUNTIFS(Trades!$D$2:$D$1146,$A298,Trades!$Z$2:$Z$1146,"Win")</f>
        <v>0</v>
      </c>
      <c r="D298" s="29" t="n">
        <f aca="false">COUNTIFS(Trades!$D$2:$D$1146,$A298,Trades!$Z$2:$Z$1146,"Loss")</f>
        <v>1</v>
      </c>
      <c r="E298" s="30" t="n">
        <f aca="false">IFERROR(C298/B298,0)</f>
        <v>0</v>
      </c>
      <c r="F298" s="31" t="n">
        <f aca="false">SUMIFS(Trades!$X$2:$X$1146,Trades!$D$2:$D$1146,$A298)</f>
        <v>-0.08</v>
      </c>
      <c r="G298" s="31" t="n">
        <f aca="false">SUMIFS(Trades!$X$2:$X$1146,Trades!$D$2:$D$1146,$A298,Trades!$X$2:$X$1146,"&gt;0")</f>
        <v>0</v>
      </c>
      <c r="H298" s="31" t="n">
        <f aca="false">SUMIFS(Trades!$X$2:$X$1146,Trades!$D$2:$D$1146,$A298,Trades!$X$2:$X$1146,"&lt;0")</f>
        <v>-0.08</v>
      </c>
      <c r="I298" s="32" t="n">
        <f aca="false">IFERROR(G298/-H298,"no loss")</f>
        <v>0</v>
      </c>
      <c r="J298" s="31" t="n">
        <f aca="false">_xlfn.MAXIFS(Trades!$X$2:$X$1146,Trades!$D$2:$D$1146,$A298)</f>
        <v>-0.08</v>
      </c>
      <c r="K298" s="31" t="n">
        <f aca="false">_xlfn.MINIFS(Trades!$X$2:$X$1146,Trades!$D$2:$D$1146,$A298)</f>
        <v>-0.08</v>
      </c>
      <c r="L298" s="33" t="n">
        <f aca="false">SUMIFS(Trades!$Y$2:$Y$1146,Trades!$D$2:$D$1146,$A298)</f>
        <v>-0.00176834659593288</v>
      </c>
      <c r="M298" s="31" t="n">
        <f aca="false">P297</f>
        <v>13600.64</v>
      </c>
      <c r="N298" s="30" t="n">
        <f aca="false">IFERROR(F298/M298,0)</f>
        <v>-5.88207613759353E-006</v>
      </c>
      <c r="O298" s="29" t="str">
        <f aca="false">IF(-N298&gt;=Summary!$C$7,"BREACH","")</f>
        <v/>
      </c>
      <c r="P298" s="31" t="n">
        <f aca="false">M298+F298</f>
        <v>13600.56</v>
      </c>
      <c r="Q298" s="31" t="n">
        <f aca="false">P298-Summary!$C$5</f>
        <v>3600.55999999999</v>
      </c>
      <c r="R298" s="2" t="str">
        <f aca="false">TEXT(A298,"ddd")</f>
        <v>Fri</v>
      </c>
    </row>
    <row r="299" customFormat="false" ht="15" hidden="false" customHeight="false" outlineLevel="0" collapsed="false">
      <c r="A299" s="43" t="n">
        <v>45131</v>
      </c>
      <c r="B299" s="29" t="n">
        <f aca="false">COUNTIFS(Trades!$D$2:$D$1146,$A299)</f>
        <v>1</v>
      </c>
      <c r="C299" s="29" t="n">
        <f aca="false">COUNTIFS(Trades!$D$2:$D$1146,$A299,Trades!$Z$2:$Z$1146,"Win")</f>
        <v>0</v>
      </c>
      <c r="D299" s="29" t="n">
        <f aca="false">COUNTIFS(Trades!$D$2:$D$1146,$A299,Trades!$Z$2:$Z$1146,"Loss")</f>
        <v>1</v>
      </c>
      <c r="E299" s="30" t="n">
        <f aca="false">IFERROR(C299/B299,0)</f>
        <v>0</v>
      </c>
      <c r="F299" s="31" t="n">
        <f aca="false">SUMIFS(Trades!$X$2:$X$1146,Trades!$D$2:$D$1146,$A299)</f>
        <v>-0.4</v>
      </c>
      <c r="G299" s="31" t="n">
        <f aca="false">SUMIFS(Trades!$X$2:$X$1146,Trades!$D$2:$D$1146,$A299,Trades!$X$2:$X$1146,"&gt;0")</f>
        <v>0</v>
      </c>
      <c r="H299" s="31" t="n">
        <f aca="false">SUMIFS(Trades!$X$2:$X$1146,Trades!$D$2:$D$1146,$A299,Trades!$X$2:$X$1146,"&lt;0")</f>
        <v>-0.4</v>
      </c>
      <c r="I299" s="32" t="n">
        <f aca="false">IFERROR(G299/-H299,"no loss")</f>
        <v>0</v>
      </c>
      <c r="J299" s="31" t="n">
        <f aca="false">_xlfn.MAXIFS(Trades!$X$2:$X$1146,Trades!$D$2:$D$1146,$A299)</f>
        <v>-0.4</v>
      </c>
      <c r="K299" s="31" t="n">
        <f aca="false">_xlfn.MINIFS(Trades!$X$2:$X$1146,Trades!$D$2:$D$1146,$A299)</f>
        <v>-0.4</v>
      </c>
      <c r="L299" s="33" t="n">
        <f aca="false">SUMIFS(Trades!$Y$2:$Y$1146,Trades!$D$2:$D$1146,$A299)</f>
        <v>-0.00450450450450436</v>
      </c>
      <c r="M299" s="31" t="n">
        <f aca="false">P298</f>
        <v>13600.56</v>
      </c>
      <c r="N299" s="30" t="n">
        <f aca="false">IFERROR(F299/M299,0)</f>
        <v>-2.94105536830837E-005</v>
      </c>
      <c r="O299" s="29" t="str">
        <f aca="false">IF(-N299&gt;=Summary!$C$7,"BREACH","")</f>
        <v/>
      </c>
      <c r="P299" s="31" t="n">
        <f aca="false">M299+F299</f>
        <v>13600.16</v>
      </c>
      <c r="Q299" s="31" t="n">
        <f aca="false">P299-Summary!$C$5</f>
        <v>3600.15999999999</v>
      </c>
      <c r="R299" s="2" t="str">
        <f aca="false">TEXT(A299,"ddd")</f>
        <v>Mon</v>
      </c>
    </row>
    <row r="300" customFormat="false" ht="15" hidden="false" customHeight="false" outlineLevel="0" collapsed="false">
      <c r="A300" s="43" t="n">
        <v>45132</v>
      </c>
      <c r="B300" s="29" t="n">
        <f aca="false">COUNTIFS(Trades!$D$2:$D$1146,$A300)</f>
        <v>1</v>
      </c>
      <c r="C300" s="29" t="n">
        <f aca="false">COUNTIFS(Trades!$D$2:$D$1146,$A300,Trades!$Z$2:$Z$1146,"Win")</f>
        <v>0</v>
      </c>
      <c r="D300" s="29" t="n">
        <f aca="false">COUNTIFS(Trades!$D$2:$D$1146,$A300,Trades!$Z$2:$Z$1146,"Loss")</f>
        <v>1</v>
      </c>
      <c r="E300" s="30" t="n">
        <f aca="false">IFERROR(C300/B300,0)</f>
        <v>0</v>
      </c>
      <c r="F300" s="31" t="n">
        <f aca="false">SUMIFS(Trades!$X$2:$X$1146,Trades!$D$2:$D$1146,$A300)</f>
        <v>-13.96</v>
      </c>
      <c r="G300" s="31" t="n">
        <f aca="false">SUMIFS(Trades!$X$2:$X$1146,Trades!$D$2:$D$1146,$A300,Trades!$X$2:$X$1146,"&gt;0")</f>
        <v>0</v>
      </c>
      <c r="H300" s="31" t="n">
        <f aca="false">SUMIFS(Trades!$X$2:$X$1146,Trades!$D$2:$D$1146,$A300,Trades!$X$2:$X$1146,"&lt;0")</f>
        <v>-13.96</v>
      </c>
      <c r="I300" s="32" t="n">
        <f aca="false">IFERROR(G300/-H300,"no loss")</f>
        <v>0</v>
      </c>
      <c r="J300" s="31" t="n">
        <f aca="false">_xlfn.MAXIFS(Trades!$X$2:$X$1146,Trades!$D$2:$D$1146,$A300)</f>
        <v>-13.96</v>
      </c>
      <c r="K300" s="31" t="n">
        <f aca="false">_xlfn.MINIFS(Trades!$X$2:$X$1146,Trades!$D$2:$D$1146,$A300)</f>
        <v>-13.96</v>
      </c>
      <c r="L300" s="33" t="n">
        <f aca="false">SUMIFS(Trades!$Y$2:$Y$1146,Trades!$D$2:$D$1146,$A300)</f>
        <v>-1.00867052023147</v>
      </c>
      <c r="M300" s="31" t="n">
        <f aca="false">P299</f>
        <v>13600.16</v>
      </c>
      <c r="N300" s="30" t="n">
        <f aca="false">IFERROR(F300/M300,0)</f>
        <v>-0.0010264585122528</v>
      </c>
      <c r="O300" s="29" t="str">
        <f aca="false">IF(-N300&gt;=Summary!$C$7,"BREACH","")</f>
        <v/>
      </c>
      <c r="P300" s="31" t="n">
        <f aca="false">M300+F300</f>
        <v>13586.2</v>
      </c>
      <c r="Q300" s="31" t="n">
        <f aca="false">P300-Summary!$C$5</f>
        <v>3586.19999999999</v>
      </c>
      <c r="R300" s="2" t="str">
        <f aca="false">TEXT(A300,"ddd")</f>
        <v>Tue</v>
      </c>
    </row>
    <row r="301" customFormat="false" ht="15" hidden="false" customHeight="false" outlineLevel="0" collapsed="false">
      <c r="A301" s="43" t="n">
        <v>45133</v>
      </c>
      <c r="B301" s="29" t="n">
        <f aca="false">COUNTIFS(Trades!$D$2:$D$1146,$A301)</f>
        <v>2</v>
      </c>
      <c r="C301" s="29" t="n">
        <f aca="false">COUNTIFS(Trades!$D$2:$D$1146,$A301,Trades!$Z$2:$Z$1146,"Win")</f>
        <v>0</v>
      </c>
      <c r="D301" s="29" t="n">
        <f aca="false">COUNTIFS(Trades!$D$2:$D$1146,$A301,Trades!$Z$2:$Z$1146,"Loss")</f>
        <v>2</v>
      </c>
      <c r="E301" s="30" t="n">
        <f aca="false">IFERROR(C301/B301,0)</f>
        <v>0</v>
      </c>
      <c r="F301" s="31" t="n">
        <f aca="false">SUMIFS(Trades!$X$2:$X$1146,Trades!$D$2:$D$1146,$A301)</f>
        <v>-55.76</v>
      </c>
      <c r="G301" s="31" t="n">
        <f aca="false">SUMIFS(Trades!$X$2:$X$1146,Trades!$D$2:$D$1146,$A301,Trades!$X$2:$X$1146,"&gt;0")</f>
        <v>0</v>
      </c>
      <c r="H301" s="31" t="n">
        <f aca="false">SUMIFS(Trades!$X$2:$X$1146,Trades!$D$2:$D$1146,$A301,Trades!$X$2:$X$1146,"&lt;0")</f>
        <v>-55.76</v>
      </c>
      <c r="I301" s="32" t="n">
        <f aca="false">IFERROR(G301/-H301,"no loss")</f>
        <v>0</v>
      </c>
      <c r="J301" s="31" t="n">
        <f aca="false">_xlfn.MAXIFS(Trades!$X$2:$X$1146,Trades!$D$2:$D$1146,$A301)</f>
        <v>-0.08</v>
      </c>
      <c r="K301" s="31" t="n">
        <f aca="false">_xlfn.MINIFS(Trades!$X$2:$X$1146,Trades!$D$2:$D$1146,$A301)</f>
        <v>-55.68</v>
      </c>
      <c r="L301" s="33" t="n">
        <f aca="false">SUMIFS(Trades!$Y$2:$Y$1146,Trades!$D$2:$D$1146,$A301)</f>
        <v>-1.00901208894877</v>
      </c>
      <c r="M301" s="31" t="n">
        <f aca="false">P300</f>
        <v>13586.2</v>
      </c>
      <c r="N301" s="30" t="n">
        <f aca="false">IFERROR(F301/M301,0)</f>
        <v>-0.00410416451988047</v>
      </c>
      <c r="O301" s="29" t="str">
        <f aca="false">IF(-N301&gt;=Summary!$C$7,"BREACH","")</f>
        <v/>
      </c>
      <c r="P301" s="31" t="n">
        <f aca="false">M301+F301</f>
        <v>13530.44</v>
      </c>
      <c r="Q301" s="31" t="n">
        <f aca="false">P301-Summary!$C$5</f>
        <v>3530.43999999999</v>
      </c>
      <c r="R301" s="2" t="str">
        <f aca="false">TEXT(A301,"ddd")</f>
        <v>Wed</v>
      </c>
    </row>
    <row r="302" customFormat="false" ht="15" hidden="false" customHeight="false" outlineLevel="0" collapsed="false">
      <c r="A302" s="43" t="n">
        <v>45134</v>
      </c>
      <c r="B302" s="29" t="n">
        <f aca="false">COUNTIFS(Trades!$D$2:$D$1146,$A302)</f>
        <v>1</v>
      </c>
      <c r="C302" s="29" t="n">
        <f aca="false">COUNTIFS(Trades!$D$2:$D$1146,$A302,Trades!$Z$2:$Z$1146,"Win")</f>
        <v>1</v>
      </c>
      <c r="D302" s="29" t="n">
        <f aca="false">COUNTIFS(Trades!$D$2:$D$1146,$A302,Trades!$Z$2:$Z$1146,"Loss")</f>
        <v>0</v>
      </c>
      <c r="E302" s="30" t="n">
        <f aca="false">IFERROR(C302/B302,0)</f>
        <v>1</v>
      </c>
      <c r="F302" s="31" t="n">
        <f aca="false">SUMIFS(Trades!$X$2:$X$1146,Trades!$D$2:$D$1146,$A302)</f>
        <v>73.76</v>
      </c>
      <c r="G302" s="31" t="n">
        <f aca="false">SUMIFS(Trades!$X$2:$X$1146,Trades!$D$2:$D$1146,$A302,Trades!$X$2:$X$1146,"&gt;0")</f>
        <v>73.76</v>
      </c>
      <c r="H302" s="31" t="n">
        <f aca="false">SUMIFS(Trades!$X$2:$X$1146,Trades!$D$2:$D$1146,$A302,Trades!$X$2:$X$1146,"&lt;0")</f>
        <v>0</v>
      </c>
      <c r="I302" s="32" t="str">
        <f aca="false">IFERROR(G302/-H302,"no loss")</f>
        <v>no loss</v>
      </c>
      <c r="J302" s="31" t="n">
        <f aca="false">_xlfn.MAXIFS(Trades!$X$2:$X$1146,Trades!$D$2:$D$1146,$A302)</f>
        <v>73.76</v>
      </c>
      <c r="K302" s="31" t="n">
        <f aca="false">_xlfn.MINIFS(Trades!$X$2:$X$1146,Trades!$D$2:$D$1146,$A302)</f>
        <v>73.76</v>
      </c>
      <c r="L302" s="33" t="n">
        <f aca="false">SUMIFS(Trades!$Y$2:$Y$1146,Trades!$D$2:$D$1146,$A302)</f>
        <v>2.52602739726053</v>
      </c>
      <c r="M302" s="31" t="n">
        <f aca="false">P301</f>
        <v>13530.44</v>
      </c>
      <c r="N302" s="30" t="n">
        <f aca="false">IFERROR(F302/M302,0)</f>
        <v>0.00545141177966127</v>
      </c>
      <c r="O302" s="29" t="str">
        <f aca="false">IF(-N302&gt;=Summary!$C$7,"BREACH","")</f>
        <v/>
      </c>
      <c r="P302" s="31" t="n">
        <f aca="false">M302+F302</f>
        <v>13604.2</v>
      </c>
      <c r="Q302" s="31" t="n">
        <f aca="false">P302-Summary!$C$5</f>
        <v>3604.19999999999</v>
      </c>
      <c r="R302" s="2" t="str">
        <f aca="false">TEXT(A302,"ddd")</f>
        <v>Thu</v>
      </c>
    </row>
    <row r="303" customFormat="false" ht="15" hidden="false" customHeight="false" outlineLevel="0" collapsed="false">
      <c r="A303" s="43" t="n">
        <v>45138</v>
      </c>
      <c r="B303" s="29" t="n">
        <f aca="false">COUNTIFS(Trades!$D$2:$D$1146,$A303)</f>
        <v>1</v>
      </c>
      <c r="C303" s="29" t="n">
        <f aca="false">COUNTIFS(Trades!$D$2:$D$1146,$A303,Trades!$Z$2:$Z$1146,"Win")</f>
        <v>1</v>
      </c>
      <c r="D303" s="29" t="n">
        <f aca="false">COUNTIFS(Trades!$D$2:$D$1146,$A303,Trades!$Z$2:$Z$1146,"Loss")</f>
        <v>0</v>
      </c>
      <c r="E303" s="30" t="n">
        <f aca="false">IFERROR(C303/B303,0)</f>
        <v>1</v>
      </c>
      <c r="F303" s="31" t="n">
        <f aca="false">SUMIFS(Trades!$X$2:$X$1146,Trades!$D$2:$D$1146,$A303)</f>
        <v>53.88</v>
      </c>
      <c r="G303" s="31" t="n">
        <f aca="false">SUMIFS(Trades!$X$2:$X$1146,Trades!$D$2:$D$1146,$A303,Trades!$X$2:$X$1146,"&gt;0")</f>
        <v>53.88</v>
      </c>
      <c r="H303" s="31" t="n">
        <f aca="false">SUMIFS(Trades!$X$2:$X$1146,Trades!$D$2:$D$1146,$A303,Trades!$X$2:$X$1146,"&lt;0")</f>
        <v>0</v>
      </c>
      <c r="I303" s="32" t="str">
        <f aca="false">IFERROR(G303/-H303,"no loss")</f>
        <v>no loss</v>
      </c>
      <c r="J303" s="31" t="n">
        <f aca="false">_xlfn.MAXIFS(Trades!$X$2:$X$1146,Trades!$D$2:$D$1146,$A303)</f>
        <v>53.88</v>
      </c>
      <c r="K303" s="31" t="n">
        <f aca="false">_xlfn.MINIFS(Trades!$X$2:$X$1146,Trades!$D$2:$D$1146,$A303)</f>
        <v>53.88</v>
      </c>
      <c r="L303" s="33" t="n">
        <f aca="false">SUMIFS(Trades!$Y$2:$Y$1146,Trades!$D$2:$D$1146,$A303)</f>
        <v>3.01342281879239</v>
      </c>
      <c r="M303" s="31" t="n">
        <f aca="false">P302</f>
        <v>13604.2</v>
      </c>
      <c r="N303" s="30" t="n">
        <f aca="false">IFERROR(F303/M303,0)</f>
        <v>0.00396054159744785</v>
      </c>
      <c r="O303" s="29" t="str">
        <f aca="false">IF(-N303&gt;=Summary!$C$7,"BREACH","")</f>
        <v/>
      </c>
      <c r="P303" s="31" t="n">
        <f aca="false">M303+F303</f>
        <v>13658.08</v>
      </c>
      <c r="Q303" s="31" t="n">
        <f aca="false">P303-Summary!$C$5</f>
        <v>3658.07999999999</v>
      </c>
      <c r="R303" s="2" t="str">
        <f aca="false">TEXT(A303,"ddd")</f>
        <v>Mon</v>
      </c>
    </row>
    <row r="304" customFormat="false" ht="15" hidden="false" customHeight="false" outlineLevel="0" collapsed="false">
      <c r="A304" s="43" t="n">
        <v>45139</v>
      </c>
      <c r="B304" s="29" t="n">
        <f aca="false">COUNTIFS(Trades!$D$2:$D$1146,$A304)</f>
        <v>1</v>
      </c>
      <c r="C304" s="29" t="n">
        <f aca="false">COUNTIFS(Trades!$D$2:$D$1146,$A304,Trades!$Z$2:$Z$1146,"Win")</f>
        <v>1</v>
      </c>
      <c r="D304" s="29" t="n">
        <f aca="false">COUNTIFS(Trades!$D$2:$D$1146,$A304,Trades!$Z$2:$Z$1146,"Loss")</f>
        <v>0</v>
      </c>
      <c r="E304" s="30" t="n">
        <f aca="false">IFERROR(C304/B304,0)</f>
        <v>1</v>
      </c>
      <c r="F304" s="31" t="n">
        <f aca="false">SUMIFS(Trades!$X$2:$X$1146,Trades!$D$2:$D$1146,$A304)</f>
        <v>46.2</v>
      </c>
      <c r="G304" s="31" t="n">
        <f aca="false">SUMIFS(Trades!$X$2:$X$1146,Trades!$D$2:$D$1146,$A304,Trades!$X$2:$X$1146,"&gt;0")</f>
        <v>46.2</v>
      </c>
      <c r="H304" s="31" t="n">
        <f aca="false">SUMIFS(Trades!$X$2:$X$1146,Trades!$D$2:$D$1146,$A304,Trades!$X$2:$X$1146,"&lt;0")</f>
        <v>0</v>
      </c>
      <c r="I304" s="32" t="str">
        <f aca="false">IFERROR(G304/-H304,"no loss")</f>
        <v>no loss</v>
      </c>
      <c r="J304" s="31" t="n">
        <f aca="false">_xlfn.MAXIFS(Trades!$X$2:$X$1146,Trades!$D$2:$D$1146,$A304)</f>
        <v>46.2</v>
      </c>
      <c r="K304" s="31" t="n">
        <f aca="false">_xlfn.MINIFS(Trades!$X$2:$X$1146,Trades!$D$2:$D$1146,$A304)</f>
        <v>46.2</v>
      </c>
      <c r="L304" s="33" t="n">
        <f aca="false">SUMIFS(Trades!$Y$2:$Y$1146,Trades!$D$2:$D$1146,$A304)</f>
        <v>2.46268656716391</v>
      </c>
      <c r="M304" s="31" t="n">
        <f aca="false">P303</f>
        <v>13658.08</v>
      </c>
      <c r="N304" s="30" t="n">
        <f aca="false">IFERROR(F304/M304,0)</f>
        <v>0.00338261307592283</v>
      </c>
      <c r="O304" s="29" t="str">
        <f aca="false">IF(-N304&gt;=Summary!$C$7,"BREACH","")</f>
        <v/>
      </c>
      <c r="P304" s="31" t="n">
        <f aca="false">M304+F304</f>
        <v>13704.28</v>
      </c>
      <c r="Q304" s="31" t="n">
        <f aca="false">P304-Summary!$C$5</f>
        <v>3704.27999999999</v>
      </c>
      <c r="R304" s="2" t="str">
        <f aca="false">TEXT(A304,"ddd")</f>
        <v>Tue</v>
      </c>
    </row>
    <row r="305" customFormat="false" ht="15" hidden="false" customHeight="false" outlineLevel="0" collapsed="false">
      <c r="A305" s="43" t="n">
        <v>45140</v>
      </c>
      <c r="B305" s="29" t="n">
        <f aca="false">COUNTIFS(Trades!$D$2:$D$1146,$A305)</f>
        <v>1</v>
      </c>
      <c r="C305" s="29" t="n">
        <f aca="false">COUNTIFS(Trades!$D$2:$D$1146,$A305,Trades!$Z$2:$Z$1146,"Win")</f>
        <v>0</v>
      </c>
      <c r="D305" s="29" t="n">
        <f aca="false">COUNTIFS(Trades!$D$2:$D$1146,$A305,Trades!$Z$2:$Z$1146,"Loss")</f>
        <v>1</v>
      </c>
      <c r="E305" s="30" t="n">
        <f aca="false">IFERROR(C305/B305,0)</f>
        <v>0</v>
      </c>
      <c r="F305" s="31" t="n">
        <f aca="false">SUMIFS(Trades!$X$2:$X$1146,Trades!$D$2:$D$1146,$A305)</f>
        <v>-116</v>
      </c>
      <c r="G305" s="31" t="n">
        <f aca="false">SUMIFS(Trades!$X$2:$X$1146,Trades!$D$2:$D$1146,$A305,Trades!$X$2:$X$1146,"&gt;0")</f>
        <v>0</v>
      </c>
      <c r="H305" s="31" t="n">
        <f aca="false">SUMIFS(Trades!$X$2:$X$1146,Trades!$D$2:$D$1146,$A305,Trades!$X$2:$X$1146,"&lt;0")</f>
        <v>-116</v>
      </c>
      <c r="I305" s="32" t="n">
        <f aca="false">IFERROR(G305/-H305,"no loss")</f>
        <v>0</v>
      </c>
      <c r="J305" s="31" t="n">
        <f aca="false">_xlfn.MAXIFS(Trades!$X$2:$X$1146,Trades!$D$2:$D$1146,$A305)</f>
        <v>-116</v>
      </c>
      <c r="K305" s="31" t="n">
        <f aca="false">_xlfn.MINIFS(Trades!$X$2:$X$1146,Trades!$D$2:$D$1146,$A305)</f>
        <v>-116</v>
      </c>
      <c r="L305" s="33" t="n">
        <f aca="false">SUMIFS(Trades!$Y$2:$Y$1146,Trades!$D$2:$D$1146,$A305)</f>
        <v>-1.00241963359833</v>
      </c>
      <c r="M305" s="31" t="n">
        <f aca="false">P304</f>
        <v>13704.28</v>
      </c>
      <c r="N305" s="30" t="n">
        <f aca="false">IFERROR(F305/M305,0)</f>
        <v>-0.00846450889795014</v>
      </c>
      <c r="O305" s="29" t="str">
        <f aca="false">IF(-N305&gt;=Summary!$C$7,"BREACH","")</f>
        <v/>
      </c>
      <c r="P305" s="31" t="n">
        <f aca="false">M305+F305</f>
        <v>13588.28</v>
      </c>
      <c r="Q305" s="31" t="n">
        <f aca="false">P305-Summary!$C$5</f>
        <v>3588.27999999999</v>
      </c>
      <c r="R305" s="2" t="str">
        <f aca="false">TEXT(A305,"ddd")</f>
        <v>Wed</v>
      </c>
    </row>
    <row r="306" customFormat="false" ht="15" hidden="false" customHeight="false" outlineLevel="0" collapsed="false">
      <c r="A306" s="43" t="n">
        <v>45141</v>
      </c>
      <c r="B306" s="29" t="n">
        <f aca="false">COUNTIFS(Trades!$D$2:$D$1146,$A306)</f>
        <v>1</v>
      </c>
      <c r="C306" s="29" t="n">
        <f aca="false">COUNTIFS(Trades!$D$2:$D$1146,$A306,Trades!$Z$2:$Z$1146,"Win")</f>
        <v>0</v>
      </c>
      <c r="D306" s="29" t="n">
        <f aca="false">COUNTIFS(Trades!$D$2:$D$1146,$A306,Trades!$Z$2:$Z$1146,"Loss")</f>
        <v>1</v>
      </c>
      <c r="E306" s="30" t="n">
        <f aca="false">IFERROR(C306/B306,0)</f>
        <v>0</v>
      </c>
      <c r="F306" s="31" t="n">
        <f aca="false">SUMIFS(Trades!$X$2:$X$1146,Trades!$D$2:$D$1146,$A306)</f>
        <v>-0.08</v>
      </c>
      <c r="G306" s="31" t="n">
        <f aca="false">SUMIFS(Trades!$X$2:$X$1146,Trades!$D$2:$D$1146,$A306,Trades!$X$2:$X$1146,"&gt;0")</f>
        <v>0</v>
      </c>
      <c r="H306" s="31" t="n">
        <f aca="false">SUMIFS(Trades!$X$2:$X$1146,Trades!$D$2:$D$1146,$A306,Trades!$X$2:$X$1146,"&lt;0")</f>
        <v>-0.08</v>
      </c>
      <c r="I306" s="32" t="n">
        <f aca="false">IFERROR(G306/-H306,"no loss")</f>
        <v>0</v>
      </c>
      <c r="J306" s="31" t="n">
        <f aca="false">_xlfn.MAXIFS(Trades!$X$2:$X$1146,Trades!$D$2:$D$1146,$A306)</f>
        <v>-0.08</v>
      </c>
      <c r="K306" s="31" t="n">
        <f aca="false">_xlfn.MINIFS(Trades!$X$2:$X$1146,Trades!$D$2:$D$1146,$A306)</f>
        <v>-0.08</v>
      </c>
      <c r="L306" s="33" t="n">
        <f aca="false">SUMIFS(Trades!$Y$2:$Y$1146,Trades!$D$2:$D$1146,$A306)</f>
        <v>-0.00269541778975805</v>
      </c>
      <c r="M306" s="31" t="n">
        <f aca="false">P305</f>
        <v>13588.28</v>
      </c>
      <c r="N306" s="30" t="n">
        <f aca="false">IFERROR(F306/M306,0)</f>
        <v>-5.88742651755778E-006</v>
      </c>
      <c r="O306" s="29" t="str">
        <f aca="false">IF(-N306&gt;=Summary!$C$7,"BREACH","")</f>
        <v/>
      </c>
      <c r="P306" s="31" t="n">
        <f aca="false">M306+F306</f>
        <v>13588.2</v>
      </c>
      <c r="Q306" s="31" t="n">
        <f aca="false">P306-Summary!$C$5</f>
        <v>3588.19999999999</v>
      </c>
      <c r="R306" s="2" t="str">
        <f aca="false">TEXT(A306,"ddd")</f>
        <v>Thu</v>
      </c>
    </row>
    <row r="307" customFormat="false" ht="15" hidden="false" customHeight="false" outlineLevel="0" collapsed="false">
      <c r="A307" s="43" t="n">
        <v>45142</v>
      </c>
      <c r="B307" s="29" t="n">
        <f aca="false">COUNTIFS(Trades!$D$2:$D$1146,$A307)</f>
        <v>1</v>
      </c>
      <c r="C307" s="29" t="n">
        <f aca="false">COUNTIFS(Trades!$D$2:$D$1146,$A307,Trades!$Z$2:$Z$1146,"Win")</f>
        <v>0</v>
      </c>
      <c r="D307" s="29" t="n">
        <f aca="false">COUNTIFS(Trades!$D$2:$D$1146,$A307,Trades!$Z$2:$Z$1146,"Loss")</f>
        <v>1</v>
      </c>
      <c r="E307" s="30" t="n">
        <f aca="false">IFERROR(C307/B307,0)</f>
        <v>0</v>
      </c>
      <c r="F307" s="31" t="n">
        <f aca="false">SUMIFS(Trades!$X$2:$X$1146,Trades!$D$2:$D$1146,$A307)</f>
        <v>-29.4</v>
      </c>
      <c r="G307" s="31" t="n">
        <f aca="false">SUMIFS(Trades!$X$2:$X$1146,Trades!$D$2:$D$1146,$A307,Trades!$X$2:$X$1146,"&gt;0")</f>
        <v>0</v>
      </c>
      <c r="H307" s="31" t="n">
        <f aca="false">SUMIFS(Trades!$X$2:$X$1146,Trades!$D$2:$D$1146,$A307,Trades!$X$2:$X$1146,"&lt;0")</f>
        <v>-29.4</v>
      </c>
      <c r="I307" s="32" t="n">
        <f aca="false">IFERROR(G307/-H307,"no loss")</f>
        <v>0</v>
      </c>
      <c r="J307" s="31" t="n">
        <f aca="false">_xlfn.MAXIFS(Trades!$X$2:$X$1146,Trades!$D$2:$D$1146,$A307)</f>
        <v>-29.4</v>
      </c>
      <c r="K307" s="31" t="n">
        <f aca="false">_xlfn.MINIFS(Trades!$X$2:$X$1146,Trades!$D$2:$D$1146,$A307)</f>
        <v>-29.4</v>
      </c>
      <c r="L307" s="33" t="n">
        <f aca="false">SUMIFS(Trades!$Y$2:$Y$1146,Trades!$D$2:$D$1146,$A307)</f>
        <v>-1.00961538461529</v>
      </c>
      <c r="M307" s="31" t="n">
        <f aca="false">P306</f>
        <v>13588.2</v>
      </c>
      <c r="N307" s="30" t="n">
        <f aca="false">IFERROR(F307/M307,0)</f>
        <v>-0.00216364198348567</v>
      </c>
      <c r="O307" s="29" t="str">
        <f aca="false">IF(-N307&gt;=Summary!$C$7,"BREACH","")</f>
        <v/>
      </c>
      <c r="P307" s="31" t="n">
        <f aca="false">M307+F307</f>
        <v>13558.8</v>
      </c>
      <c r="Q307" s="31" t="n">
        <f aca="false">P307-Summary!$C$5</f>
        <v>3558.79999999999</v>
      </c>
      <c r="R307" s="2" t="str">
        <f aca="false">TEXT(A307,"ddd")</f>
        <v>Fri</v>
      </c>
    </row>
    <row r="308" customFormat="false" ht="15" hidden="false" customHeight="false" outlineLevel="0" collapsed="false">
      <c r="A308" s="43" t="n">
        <v>45146</v>
      </c>
      <c r="B308" s="29" t="n">
        <f aca="false">COUNTIFS(Trades!$D$2:$D$1146,$A308)</f>
        <v>2</v>
      </c>
      <c r="C308" s="29" t="n">
        <f aca="false">COUNTIFS(Trades!$D$2:$D$1146,$A308,Trades!$Z$2:$Z$1146,"Win")</f>
        <v>0</v>
      </c>
      <c r="D308" s="29" t="n">
        <f aca="false">COUNTIFS(Trades!$D$2:$D$1146,$A308,Trades!$Z$2:$Z$1146,"Loss")</f>
        <v>2</v>
      </c>
      <c r="E308" s="30" t="n">
        <f aca="false">IFERROR(C308/B308,0)</f>
        <v>0</v>
      </c>
      <c r="F308" s="31" t="n">
        <f aca="false">SUMIFS(Trades!$X$2:$X$1146,Trades!$D$2:$D$1146,$A308)</f>
        <v>-56.12</v>
      </c>
      <c r="G308" s="31" t="n">
        <f aca="false">SUMIFS(Trades!$X$2:$X$1146,Trades!$D$2:$D$1146,$A308,Trades!$X$2:$X$1146,"&gt;0")</f>
        <v>0</v>
      </c>
      <c r="H308" s="31" t="n">
        <f aca="false">SUMIFS(Trades!$X$2:$X$1146,Trades!$D$2:$D$1146,$A308,Trades!$X$2:$X$1146,"&lt;0")</f>
        <v>-56.12</v>
      </c>
      <c r="I308" s="32" t="n">
        <f aca="false">IFERROR(G308/-H308,"no loss")</f>
        <v>0</v>
      </c>
      <c r="J308" s="31" t="n">
        <f aca="false">_xlfn.MAXIFS(Trades!$X$2:$X$1146,Trades!$D$2:$D$1146,$A308)</f>
        <v>-15.48</v>
      </c>
      <c r="K308" s="31" t="n">
        <f aca="false">_xlfn.MINIFS(Trades!$X$2:$X$1146,Trades!$D$2:$D$1146,$A308)</f>
        <v>-40.64</v>
      </c>
      <c r="L308" s="33" t="n">
        <f aca="false">SUMIFS(Trades!$Y$2:$Y$1146,Trades!$D$2:$D$1146,$A308)</f>
        <v>-2.11437895502157</v>
      </c>
      <c r="M308" s="31" t="n">
        <f aca="false">P307</f>
        <v>13558.8</v>
      </c>
      <c r="N308" s="30" t="n">
        <f aca="false">IFERROR(F308/M308,0)</f>
        <v>-0.00413900935186005</v>
      </c>
      <c r="O308" s="29" t="str">
        <f aca="false">IF(-N308&gt;=Summary!$C$7,"BREACH","")</f>
        <v/>
      </c>
      <c r="P308" s="31" t="n">
        <f aca="false">M308+F308</f>
        <v>13502.68</v>
      </c>
      <c r="Q308" s="31" t="n">
        <f aca="false">P308-Summary!$C$5</f>
        <v>3502.67999999999</v>
      </c>
      <c r="R308" s="2" t="str">
        <f aca="false">TEXT(A308,"ddd")</f>
        <v>Tue</v>
      </c>
    </row>
    <row r="309" customFormat="false" ht="15" hidden="false" customHeight="false" outlineLevel="0" collapsed="false">
      <c r="A309" s="43" t="n">
        <v>45147</v>
      </c>
      <c r="B309" s="29" t="n">
        <f aca="false">COUNTIFS(Trades!$D$2:$D$1146,$A309)</f>
        <v>1</v>
      </c>
      <c r="C309" s="29" t="n">
        <f aca="false">COUNTIFS(Trades!$D$2:$D$1146,$A309,Trades!$Z$2:$Z$1146,"Win")</f>
        <v>0</v>
      </c>
      <c r="D309" s="29" t="n">
        <f aca="false">COUNTIFS(Trades!$D$2:$D$1146,$A309,Trades!$Z$2:$Z$1146,"Loss")</f>
        <v>1</v>
      </c>
      <c r="E309" s="30" t="n">
        <f aca="false">IFERROR(C309/B309,0)</f>
        <v>0</v>
      </c>
      <c r="F309" s="31" t="n">
        <f aca="false">SUMIFS(Trades!$X$2:$X$1146,Trades!$D$2:$D$1146,$A309)</f>
        <v>-3.6</v>
      </c>
      <c r="G309" s="31" t="n">
        <f aca="false">SUMIFS(Trades!$X$2:$X$1146,Trades!$D$2:$D$1146,$A309,Trades!$X$2:$X$1146,"&gt;0")</f>
        <v>0</v>
      </c>
      <c r="H309" s="31" t="n">
        <f aca="false">SUMIFS(Trades!$X$2:$X$1146,Trades!$D$2:$D$1146,$A309,Trades!$X$2:$X$1146,"&lt;0")</f>
        <v>-3.6</v>
      </c>
      <c r="I309" s="32" t="n">
        <f aca="false">IFERROR(G309/-H309,"no loss")</f>
        <v>0</v>
      </c>
      <c r="J309" s="31" t="n">
        <f aca="false">_xlfn.MAXIFS(Trades!$X$2:$X$1146,Trades!$D$2:$D$1146,$A309)</f>
        <v>-3.6</v>
      </c>
      <c r="K309" s="31" t="n">
        <f aca="false">_xlfn.MINIFS(Trades!$X$2:$X$1146,Trades!$D$2:$D$1146,$A309)</f>
        <v>-3.6</v>
      </c>
      <c r="L309" s="33" t="n">
        <f aca="false">SUMIFS(Trades!$Y$2:$Y$1146,Trades!$D$2:$D$1146,$A309)</f>
        <v>-0.078192875760207</v>
      </c>
      <c r="M309" s="31" t="n">
        <f aca="false">P308</f>
        <v>13502.68</v>
      </c>
      <c r="N309" s="30" t="n">
        <f aca="false">IFERROR(F309/M309,0)</f>
        <v>-0.000266613738902203</v>
      </c>
      <c r="O309" s="29" t="str">
        <f aca="false">IF(-N309&gt;=Summary!$C$7,"BREACH","")</f>
        <v/>
      </c>
      <c r="P309" s="31" t="n">
        <f aca="false">M309+F309</f>
        <v>13499.08</v>
      </c>
      <c r="Q309" s="31" t="n">
        <f aca="false">P309-Summary!$C$5</f>
        <v>3499.07999999999</v>
      </c>
      <c r="R309" s="2" t="str">
        <f aca="false">TEXT(A309,"ddd")</f>
        <v>Wed</v>
      </c>
    </row>
    <row r="310" customFormat="false" ht="15" hidden="false" customHeight="false" outlineLevel="0" collapsed="false">
      <c r="A310" s="43" t="n">
        <v>45148</v>
      </c>
      <c r="B310" s="29" t="n">
        <f aca="false">COUNTIFS(Trades!$D$2:$D$1146,$A310)</f>
        <v>2</v>
      </c>
      <c r="C310" s="29" t="n">
        <f aca="false">COUNTIFS(Trades!$D$2:$D$1146,$A310,Trades!$Z$2:$Z$1146,"Win")</f>
        <v>0</v>
      </c>
      <c r="D310" s="29" t="n">
        <f aca="false">COUNTIFS(Trades!$D$2:$D$1146,$A310,Trades!$Z$2:$Z$1146,"Loss")</f>
        <v>2</v>
      </c>
      <c r="E310" s="30" t="n">
        <f aca="false">IFERROR(C310/B310,0)</f>
        <v>0</v>
      </c>
      <c r="F310" s="31" t="n">
        <f aca="false">SUMIFS(Trades!$X$2:$X$1146,Trades!$D$2:$D$1146,$A310)</f>
        <v>-113.48</v>
      </c>
      <c r="G310" s="31" t="n">
        <f aca="false">SUMIFS(Trades!$X$2:$X$1146,Trades!$D$2:$D$1146,$A310,Trades!$X$2:$X$1146,"&gt;0")</f>
        <v>0</v>
      </c>
      <c r="H310" s="31" t="n">
        <f aca="false">SUMIFS(Trades!$X$2:$X$1146,Trades!$D$2:$D$1146,$A310,Trades!$X$2:$X$1146,"&lt;0")</f>
        <v>-113.48</v>
      </c>
      <c r="I310" s="32" t="n">
        <f aca="false">IFERROR(G310/-H310,"no loss")</f>
        <v>0</v>
      </c>
      <c r="J310" s="31" t="n">
        <f aca="false">_xlfn.MAXIFS(Trades!$X$2:$X$1146,Trades!$D$2:$D$1146,$A310)</f>
        <v>-50.24</v>
      </c>
      <c r="K310" s="31" t="n">
        <f aca="false">_xlfn.MINIFS(Trades!$X$2:$X$1146,Trades!$D$2:$D$1146,$A310)</f>
        <v>-63.24</v>
      </c>
      <c r="L310" s="33" t="n">
        <f aca="false">SUMIFS(Trades!$Y$2:$Y$1146,Trades!$D$2:$D$1146,$A310)</f>
        <v>-2.05021475572852</v>
      </c>
      <c r="M310" s="31" t="n">
        <f aca="false">P309</f>
        <v>13499.08</v>
      </c>
      <c r="N310" s="30" t="n">
        <f aca="false">IFERROR(F310/M310,0)</f>
        <v>-0.00840649881325247</v>
      </c>
      <c r="O310" s="29" t="str">
        <f aca="false">IF(-N310&gt;=Summary!$C$7,"BREACH","")</f>
        <v/>
      </c>
      <c r="P310" s="31" t="n">
        <f aca="false">M310+F310</f>
        <v>13385.6</v>
      </c>
      <c r="Q310" s="31" t="n">
        <f aca="false">P310-Summary!$C$5</f>
        <v>3385.59999999999</v>
      </c>
      <c r="R310" s="2" t="str">
        <f aca="false">TEXT(A310,"ddd")</f>
        <v>Thu</v>
      </c>
    </row>
    <row r="311" customFormat="false" ht="15" hidden="false" customHeight="false" outlineLevel="0" collapsed="false">
      <c r="A311" s="43" t="n">
        <v>45149</v>
      </c>
      <c r="B311" s="29" t="n">
        <f aca="false">COUNTIFS(Trades!$D$2:$D$1146,$A311)</f>
        <v>1</v>
      </c>
      <c r="C311" s="29" t="n">
        <f aca="false">COUNTIFS(Trades!$D$2:$D$1146,$A311,Trades!$Z$2:$Z$1146,"Win")</f>
        <v>1</v>
      </c>
      <c r="D311" s="29" t="n">
        <f aca="false">COUNTIFS(Trades!$D$2:$D$1146,$A311,Trades!$Z$2:$Z$1146,"Loss")</f>
        <v>0</v>
      </c>
      <c r="E311" s="30" t="n">
        <f aca="false">IFERROR(C311/B311,0)</f>
        <v>1</v>
      </c>
      <c r="F311" s="31" t="n">
        <f aca="false">SUMIFS(Trades!$X$2:$X$1146,Trades!$D$2:$D$1146,$A311)</f>
        <v>182.8</v>
      </c>
      <c r="G311" s="31" t="n">
        <f aca="false">SUMIFS(Trades!$X$2:$X$1146,Trades!$D$2:$D$1146,$A311,Trades!$X$2:$X$1146,"&gt;0")</f>
        <v>182.8</v>
      </c>
      <c r="H311" s="31" t="n">
        <f aca="false">SUMIFS(Trades!$X$2:$X$1146,Trades!$D$2:$D$1146,$A311,Trades!$X$2:$X$1146,"&lt;0")</f>
        <v>0</v>
      </c>
      <c r="I311" s="32" t="str">
        <f aca="false">IFERROR(G311/-H311,"no loss")</f>
        <v>no loss</v>
      </c>
      <c r="J311" s="31" t="n">
        <f aca="false">_xlfn.MAXIFS(Trades!$X$2:$X$1146,Trades!$D$2:$D$1146,$A311)</f>
        <v>182.8</v>
      </c>
      <c r="K311" s="31" t="n">
        <f aca="false">_xlfn.MINIFS(Trades!$X$2:$X$1146,Trades!$D$2:$D$1146,$A311)</f>
        <v>182.8</v>
      </c>
      <c r="L311" s="33" t="n">
        <f aca="false">SUMIFS(Trades!$Y$2:$Y$1146,Trades!$D$2:$D$1146,$A311)</f>
        <v>2.45435016111721</v>
      </c>
      <c r="M311" s="31" t="n">
        <f aca="false">P310</f>
        <v>13385.6</v>
      </c>
      <c r="N311" s="30" t="n">
        <f aca="false">IFERROR(F311/M311,0)</f>
        <v>0.0136564666507292</v>
      </c>
      <c r="O311" s="29" t="str">
        <f aca="false">IF(-N311&gt;=Summary!$C$7,"BREACH","")</f>
        <v/>
      </c>
      <c r="P311" s="31" t="n">
        <f aca="false">M311+F311</f>
        <v>13568.4</v>
      </c>
      <c r="Q311" s="31" t="n">
        <f aca="false">P311-Summary!$C$5</f>
        <v>3568.39999999999</v>
      </c>
      <c r="R311" s="2" t="str">
        <f aca="false">TEXT(A311,"ddd")</f>
        <v>Fri</v>
      </c>
    </row>
    <row r="312" customFormat="false" ht="15" hidden="false" customHeight="false" outlineLevel="0" collapsed="false">
      <c r="A312" s="43" t="n">
        <v>45152</v>
      </c>
      <c r="B312" s="29" t="n">
        <f aca="false">COUNTIFS(Trades!$D$2:$D$1146,$A312)</f>
        <v>2</v>
      </c>
      <c r="C312" s="29" t="n">
        <f aca="false">COUNTIFS(Trades!$D$2:$D$1146,$A312,Trades!$Z$2:$Z$1146,"Win")</f>
        <v>0</v>
      </c>
      <c r="D312" s="29" t="n">
        <f aca="false">COUNTIFS(Trades!$D$2:$D$1146,$A312,Trades!$Z$2:$Z$1146,"Loss")</f>
        <v>2</v>
      </c>
      <c r="E312" s="30" t="n">
        <f aca="false">IFERROR(C312/B312,0)</f>
        <v>0</v>
      </c>
      <c r="F312" s="31" t="n">
        <f aca="false">SUMIFS(Trades!$X$2:$X$1146,Trades!$D$2:$D$1146,$A312)</f>
        <v>-32.96</v>
      </c>
      <c r="G312" s="31" t="n">
        <f aca="false">SUMIFS(Trades!$X$2:$X$1146,Trades!$D$2:$D$1146,$A312,Trades!$X$2:$X$1146,"&gt;0")</f>
        <v>0</v>
      </c>
      <c r="H312" s="31" t="n">
        <f aca="false">SUMIFS(Trades!$X$2:$X$1146,Trades!$D$2:$D$1146,$A312,Trades!$X$2:$X$1146,"&lt;0")</f>
        <v>-32.96</v>
      </c>
      <c r="I312" s="32" t="n">
        <f aca="false">IFERROR(G312/-H312,"no loss")</f>
        <v>0</v>
      </c>
      <c r="J312" s="31" t="n">
        <f aca="false">_xlfn.MAXIFS(Trades!$X$2:$X$1146,Trades!$D$2:$D$1146,$A312)</f>
        <v>-1.12</v>
      </c>
      <c r="K312" s="31" t="n">
        <f aca="false">_xlfn.MINIFS(Trades!$X$2:$X$1146,Trades!$D$2:$D$1146,$A312)</f>
        <v>-31.84</v>
      </c>
      <c r="L312" s="33" t="n">
        <f aca="false">SUMIFS(Trades!$Y$2:$Y$1146,Trades!$D$2:$D$1146,$A312)</f>
        <v>-1.04798777918248</v>
      </c>
      <c r="M312" s="31" t="n">
        <f aca="false">P311</f>
        <v>13568.4</v>
      </c>
      <c r="N312" s="30" t="n">
        <f aca="false">IFERROR(F312/M312,0)</f>
        <v>-0.00242917366822912</v>
      </c>
      <c r="O312" s="29" t="str">
        <f aca="false">IF(-N312&gt;=Summary!$C$7,"BREACH","")</f>
        <v/>
      </c>
      <c r="P312" s="31" t="n">
        <f aca="false">M312+F312</f>
        <v>13535.44</v>
      </c>
      <c r="Q312" s="31" t="n">
        <f aca="false">P312-Summary!$C$5</f>
        <v>3535.43999999999</v>
      </c>
      <c r="R312" s="2" t="str">
        <f aca="false">TEXT(A312,"ddd")</f>
        <v>Mon</v>
      </c>
    </row>
    <row r="313" customFormat="false" ht="15" hidden="false" customHeight="false" outlineLevel="0" collapsed="false">
      <c r="A313" s="43" t="n">
        <v>45153</v>
      </c>
      <c r="B313" s="29" t="n">
        <f aca="false">COUNTIFS(Trades!$D$2:$D$1146,$A313)</f>
        <v>1</v>
      </c>
      <c r="C313" s="29" t="n">
        <f aca="false">COUNTIFS(Trades!$D$2:$D$1146,$A313,Trades!$Z$2:$Z$1146,"Win")</f>
        <v>0</v>
      </c>
      <c r="D313" s="29" t="n">
        <f aca="false">COUNTIFS(Trades!$D$2:$D$1146,$A313,Trades!$Z$2:$Z$1146,"Loss")</f>
        <v>1</v>
      </c>
      <c r="E313" s="30" t="n">
        <f aca="false">IFERROR(C313/B313,0)</f>
        <v>0</v>
      </c>
      <c r="F313" s="31" t="n">
        <f aca="false">SUMIFS(Trades!$X$2:$X$1146,Trades!$D$2:$D$1146,$A313)</f>
        <v>-11.08</v>
      </c>
      <c r="G313" s="31" t="n">
        <f aca="false">SUMIFS(Trades!$X$2:$X$1146,Trades!$D$2:$D$1146,$A313,Trades!$X$2:$X$1146,"&gt;0")</f>
        <v>0</v>
      </c>
      <c r="H313" s="31" t="n">
        <f aca="false">SUMIFS(Trades!$X$2:$X$1146,Trades!$D$2:$D$1146,$A313,Trades!$X$2:$X$1146,"&lt;0")</f>
        <v>-11.08</v>
      </c>
      <c r="I313" s="32" t="n">
        <f aca="false">IFERROR(G313/-H313,"no loss")</f>
        <v>0</v>
      </c>
      <c r="J313" s="31" t="n">
        <f aca="false">_xlfn.MAXIFS(Trades!$X$2:$X$1146,Trades!$D$2:$D$1146,$A313)</f>
        <v>-11.08</v>
      </c>
      <c r="K313" s="31" t="n">
        <f aca="false">_xlfn.MINIFS(Trades!$X$2:$X$1146,Trades!$D$2:$D$1146,$A313)</f>
        <v>-11.08</v>
      </c>
      <c r="L313" s="33" t="n">
        <f aca="false">SUMIFS(Trades!$Y$2:$Y$1146,Trades!$D$2:$D$1146,$A313)</f>
        <v>-1.08627450980346</v>
      </c>
      <c r="M313" s="31" t="n">
        <f aca="false">P312</f>
        <v>13535.44</v>
      </c>
      <c r="N313" s="30" t="n">
        <f aca="false">IFERROR(F313/M313,0)</f>
        <v>-0.000818591785712175</v>
      </c>
      <c r="O313" s="29" t="str">
        <f aca="false">IF(-N313&gt;=Summary!$C$7,"BREACH","")</f>
        <v/>
      </c>
      <c r="P313" s="31" t="n">
        <f aca="false">M313+F313</f>
        <v>13524.36</v>
      </c>
      <c r="Q313" s="31" t="n">
        <f aca="false">P313-Summary!$C$5</f>
        <v>3524.35999999999</v>
      </c>
      <c r="R313" s="2" t="str">
        <f aca="false">TEXT(A313,"ddd")</f>
        <v>Tue</v>
      </c>
    </row>
    <row r="314" customFormat="false" ht="15" hidden="false" customHeight="false" outlineLevel="0" collapsed="false">
      <c r="A314" s="43" t="n">
        <v>45154</v>
      </c>
      <c r="B314" s="29" t="n">
        <f aca="false">COUNTIFS(Trades!$D$2:$D$1146,$A314)</f>
        <v>1</v>
      </c>
      <c r="C314" s="29" t="n">
        <f aca="false">COUNTIFS(Trades!$D$2:$D$1146,$A314,Trades!$Z$2:$Z$1146,"Win")</f>
        <v>0</v>
      </c>
      <c r="D314" s="29" t="n">
        <f aca="false">COUNTIFS(Trades!$D$2:$D$1146,$A314,Trades!$Z$2:$Z$1146,"Loss")</f>
        <v>1</v>
      </c>
      <c r="E314" s="30" t="n">
        <f aca="false">IFERROR(C314/B314,0)</f>
        <v>0</v>
      </c>
      <c r="F314" s="31" t="n">
        <f aca="false">SUMIFS(Trades!$X$2:$X$1146,Trades!$D$2:$D$1146,$A314)</f>
        <v>-0.64</v>
      </c>
      <c r="G314" s="31" t="n">
        <f aca="false">SUMIFS(Trades!$X$2:$X$1146,Trades!$D$2:$D$1146,$A314,Trades!$X$2:$X$1146,"&gt;0")</f>
        <v>0</v>
      </c>
      <c r="H314" s="31" t="n">
        <f aca="false">SUMIFS(Trades!$X$2:$X$1146,Trades!$D$2:$D$1146,$A314,Trades!$X$2:$X$1146,"&lt;0")</f>
        <v>-0.64</v>
      </c>
      <c r="I314" s="32" t="n">
        <f aca="false">IFERROR(G314/-H314,"no loss")</f>
        <v>0</v>
      </c>
      <c r="J314" s="31" t="n">
        <f aca="false">_xlfn.MAXIFS(Trades!$X$2:$X$1146,Trades!$D$2:$D$1146,$A314)</f>
        <v>-0.64</v>
      </c>
      <c r="K314" s="31" t="n">
        <f aca="false">_xlfn.MINIFS(Trades!$X$2:$X$1146,Trades!$D$2:$D$1146,$A314)</f>
        <v>-0.64</v>
      </c>
      <c r="L314" s="33" t="n">
        <f aca="false">SUMIFS(Trades!$Y$2:$Y$1146,Trades!$D$2:$D$1146,$A314)</f>
        <v>-0.0238805970149228</v>
      </c>
      <c r="M314" s="31" t="n">
        <f aca="false">P313</f>
        <v>13524.36</v>
      </c>
      <c r="N314" s="30" t="n">
        <f aca="false">IFERROR(F314/M314,0)</f>
        <v>-4.73220174559092E-005</v>
      </c>
      <c r="O314" s="29" t="str">
        <f aca="false">IF(-N314&gt;=Summary!$C$7,"BREACH","")</f>
        <v/>
      </c>
      <c r="P314" s="31" t="n">
        <f aca="false">M314+F314</f>
        <v>13523.72</v>
      </c>
      <c r="Q314" s="31" t="n">
        <f aca="false">P314-Summary!$C$5</f>
        <v>3523.71999999999</v>
      </c>
      <c r="R314" s="2" t="str">
        <f aca="false">TEXT(A314,"ddd")</f>
        <v>Wed</v>
      </c>
    </row>
    <row r="315" customFormat="false" ht="15" hidden="false" customHeight="false" outlineLevel="0" collapsed="false">
      <c r="A315" s="43" t="n">
        <v>45155</v>
      </c>
      <c r="B315" s="29" t="n">
        <f aca="false">COUNTIFS(Trades!$D$2:$D$1146,$A315)</f>
        <v>1</v>
      </c>
      <c r="C315" s="29" t="n">
        <f aca="false">COUNTIFS(Trades!$D$2:$D$1146,$A315,Trades!$Z$2:$Z$1146,"Win")</f>
        <v>0</v>
      </c>
      <c r="D315" s="29" t="n">
        <f aca="false">COUNTIFS(Trades!$D$2:$D$1146,$A315,Trades!$Z$2:$Z$1146,"Loss")</f>
        <v>1</v>
      </c>
      <c r="E315" s="30" t="n">
        <f aca="false">IFERROR(C315/B315,0)</f>
        <v>0</v>
      </c>
      <c r="F315" s="31" t="n">
        <f aca="false">SUMIFS(Trades!$X$2:$X$1146,Trades!$D$2:$D$1146,$A315)</f>
        <v>-14.28</v>
      </c>
      <c r="G315" s="31" t="n">
        <f aca="false">SUMIFS(Trades!$X$2:$X$1146,Trades!$D$2:$D$1146,$A315,Trades!$X$2:$X$1146,"&gt;0")</f>
        <v>0</v>
      </c>
      <c r="H315" s="31" t="n">
        <f aca="false">SUMIFS(Trades!$X$2:$X$1146,Trades!$D$2:$D$1146,$A315,Trades!$X$2:$X$1146,"&lt;0")</f>
        <v>-14.28</v>
      </c>
      <c r="I315" s="32" t="n">
        <f aca="false">IFERROR(G315/-H315,"no loss")</f>
        <v>0</v>
      </c>
      <c r="J315" s="31" t="n">
        <f aca="false">_xlfn.MAXIFS(Trades!$X$2:$X$1146,Trades!$D$2:$D$1146,$A315)</f>
        <v>-14.28</v>
      </c>
      <c r="K315" s="31" t="n">
        <f aca="false">_xlfn.MINIFS(Trades!$X$2:$X$1146,Trades!$D$2:$D$1146,$A315)</f>
        <v>-14.28</v>
      </c>
      <c r="L315" s="33" t="n">
        <f aca="false">SUMIFS(Trades!$Y$2:$Y$1146,Trades!$D$2:$D$1146,$A315)</f>
        <v>-1.04385964912278</v>
      </c>
      <c r="M315" s="31" t="n">
        <f aca="false">P314</f>
        <v>13523.72</v>
      </c>
      <c r="N315" s="30" t="n">
        <f aca="false">IFERROR(F315/M315,0)</f>
        <v>-0.00105592248286714</v>
      </c>
      <c r="O315" s="29" t="str">
        <f aca="false">IF(-N315&gt;=Summary!$C$7,"BREACH","")</f>
        <v/>
      </c>
      <c r="P315" s="31" t="n">
        <f aca="false">M315+F315</f>
        <v>13509.44</v>
      </c>
      <c r="Q315" s="31" t="n">
        <f aca="false">P315-Summary!$C$5</f>
        <v>3509.43999999999</v>
      </c>
      <c r="R315" s="2" t="str">
        <f aca="false">TEXT(A315,"ddd")</f>
        <v>Thu</v>
      </c>
    </row>
    <row r="316" customFormat="false" ht="15" hidden="false" customHeight="false" outlineLevel="0" collapsed="false">
      <c r="A316" s="43" t="n">
        <v>45156</v>
      </c>
      <c r="B316" s="29" t="n">
        <f aca="false">COUNTIFS(Trades!$D$2:$D$1146,$A316)</f>
        <v>1</v>
      </c>
      <c r="C316" s="29" t="n">
        <f aca="false">COUNTIFS(Trades!$D$2:$D$1146,$A316,Trades!$Z$2:$Z$1146,"Win")</f>
        <v>1</v>
      </c>
      <c r="D316" s="29" t="n">
        <f aca="false">COUNTIFS(Trades!$D$2:$D$1146,$A316,Trades!$Z$2:$Z$1146,"Loss")</f>
        <v>0</v>
      </c>
      <c r="E316" s="30" t="n">
        <f aca="false">IFERROR(C316/B316,0)</f>
        <v>1</v>
      </c>
      <c r="F316" s="31" t="n">
        <f aca="false">SUMIFS(Trades!$X$2:$X$1146,Trades!$D$2:$D$1146,$A316)</f>
        <v>61.92</v>
      </c>
      <c r="G316" s="31" t="n">
        <f aca="false">SUMIFS(Trades!$X$2:$X$1146,Trades!$D$2:$D$1146,$A316,Trades!$X$2:$X$1146,"&gt;0")</f>
        <v>61.92</v>
      </c>
      <c r="H316" s="31" t="n">
        <f aca="false">SUMIFS(Trades!$X$2:$X$1146,Trades!$D$2:$D$1146,$A316,Trades!$X$2:$X$1146,"&lt;0")</f>
        <v>0</v>
      </c>
      <c r="I316" s="32" t="str">
        <f aca="false">IFERROR(G316/-H316,"no loss")</f>
        <v>no loss</v>
      </c>
      <c r="J316" s="31" t="n">
        <f aca="false">_xlfn.MAXIFS(Trades!$X$2:$X$1146,Trades!$D$2:$D$1146,$A316)</f>
        <v>61.92</v>
      </c>
      <c r="K316" s="31" t="n">
        <f aca="false">_xlfn.MINIFS(Trades!$X$2:$X$1146,Trades!$D$2:$D$1146,$A316)</f>
        <v>61.92</v>
      </c>
      <c r="L316" s="33" t="n">
        <f aca="false">SUMIFS(Trades!$Y$2:$Y$1146,Trades!$D$2:$D$1146,$A316)</f>
        <v>2.48076923076932</v>
      </c>
      <c r="M316" s="31" t="n">
        <f aca="false">P315</f>
        <v>13509.44</v>
      </c>
      <c r="N316" s="30" t="n">
        <f aca="false">IFERROR(F316/M316,0)</f>
        <v>0.00458346163867637</v>
      </c>
      <c r="O316" s="29" t="str">
        <f aca="false">IF(-N316&gt;=Summary!$C$7,"BREACH","")</f>
        <v/>
      </c>
      <c r="P316" s="31" t="n">
        <f aca="false">M316+F316</f>
        <v>13571.36</v>
      </c>
      <c r="Q316" s="31" t="n">
        <f aca="false">P316-Summary!$C$5</f>
        <v>3571.35999999999</v>
      </c>
      <c r="R316" s="2" t="str">
        <f aca="false">TEXT(A316,"ddd")</f>
        <v>Fri</v>
      </c>
    </row>
    <row r="317" customFormat="false" ht="15" hidden="false" customHeight="false" outlineLevel="0" collapsed="false">
      <c r="A317" s="43" t="n">
        <v>45159</v>
      </c>
      <c r="B317" s="29" t="n">
        <f aca="false">COUNTIFS(Trades!$D$2:$D$1146,$A317)</f>
        <v>1</v>
      </c>
      <c r="C317" s="29" t="n">
        <f aca="false">COUNTIFS(Trades!$D$2:$D$1146,$A317,Trades!$Z$2:$Z$1146,"Win")</f>
        <v>1</v>
      </c>
      <c r="D317" s="29" t="n">
        <f aca="false">COUNTIFS(Trades!$D$2:$D$1146,$A317,Trades!$Z$2:$Z$1146,"Loss")</f>
        <v>0</v>
      </c>
      <c r="E317" s="30" t="n">
        <f aca="false">IFERROR(C317/B317,0)</f>
        <v>1</v>
      </c>
      <c r="F317" s="31" t="n">
        <f aca="false">SUMIFS(Trades!$X$2:$X$1146,Trades!$D$2:$D$1146,$A317)</f>
        <v>52.64</v>
      </c>
      <c r="G317" s="31" t="n">
        <f aca="false">SUMIFS(Trades!$X$2:$X$1146,Trades!$D$2:$D$1146,$A317,Trades!$X$2:$X$1146,"&gt;0")</f>
        <v>52.64</v>
      </c>
      <c r="H317" s="31" t="n">
        <f aca="false">SUMIFS(Trades!$X$2:$X$1146,Trades!$D$2:$D$1146,$A317,Trades!$X$2:$X$1146,"&lt;0")</f>
        <v>0</v>
      </c>
      <c r="I317" s="32" t="str">
        <f aca="false">IFERROR(G317/-H317,"no loss")</f>
        <v>no loss</v>
      </c>
      <c r="J317" s="31" t="n">
        <f aca="false">_xlfn.MAXIFS(Trades!$X$2:$X$1146,Trades!$D$2:$D$1146,$A317)</f>
        <v>52.64</v>
      </c>
      <c r="K317" s="31" t="n">
        <f aca="false">_xlfn.MINIFS(Trades!$X$2:$X$1146,Trades!$D$2:$D$1146,$A317)</f>
        <v>52.64</v>
      </c>
      <c r="L317" s="33" t="n">
        <f aca="false">SUMIFS(Trades!$Y$2:$Y$1146,Trades!$D$2:$D$1146,$A317)</f>
        <v>2.32508833922267</v>
      </c>
      <c r="M317" s="31" t="n">
        <f aca="false">P316</f>
        <v>13571.36</v>
      </c>
      <c r="N317" s="30" t="n">
        <f aca="false">IFERROR(F317/M317,0)</f>
        <v>0.00387875644003254</v>
      </c>
      <c r="O317" s="29" t="str">
        <f aca="false">IF(-N317&gt;=Summary!$C$7,"BREACH","")</f>
        <v/>
      </c>
      <c r="P317" s="31" t="n">
        <f aca="false">M317+F317</f>
        <v>13624</v>
      </c>
      <c r="Q317" s="31" t="n">
        <f aca="false">P317-Summary!$C$5</f>
        <v>3623.99999999999</v>
      </c>
      <c r="R317" s="2" t="str">
        <f aca="false">TEXT(A317,"ddd")</f>
        <v>Mon</v>
      </c>
    </row>
    <row r="318" customFormat="false" ht="15" hidden="false" customHeight="false" outlineLevel="0" collapsed="false">
      <c r="A318" s="43" t="n">
        <v>45160</v>
      </c>
      <c r="B318" s="29" t="n">
        <f aca="false">COUNTIFS(Trades!$D$2:$D$1146,$A318)</f>
        <v>1</v>
      </c>
      <c r="C318" s="29" t="n">
        <f aca="false">COUNTIFS(Trades!$D$2:$D$1146,$A318,Trades!$Z$2:$Z$1146,"Win")</f>
        <v>0</v>
      </c>
      <c r="D318" s="29" t="n">
        <f aca="false">COUNTIFS(Trades!$D$2:$D$1146,$A318,Trades!$Z$2:$Z$1146,"Loss")</f>
        <v>1</v>
      </c>
      <c r="E318" s="30" t="n">
        <f aca="false">IFERROR(C318/B318,0)</f>
        <v>0</v>
      </c>
      <c r="F318" s="31" t="n">
        <f aca="false">SUMIFS(Trades!$X$2:$X$1146,Trades!$D$2:$D$1146,$A318)</f>
        <v>-0.08</v>
      </c>
      <c r="G318" s="31" t="n">
        <f aca="false">SUMIFS(Trades!$X$2:$X$1146,Trades!$D$2:$D$1146,$A318,Trades!$X$2:$X$1146,"&gt;0")</f>
        <v>0</v>
      </c>
      <c r="H318" s="31" t="n">
        <f aca="false">SUMIFS(Trades!$X$2:$X$1146,Trades!$D$2:$D$1146,$A318,Trades!$X$2:$X$1146,"&lt;0")</f>
        <v>-0.08</v>
      </c>
      <c r="I318" s="32" t="n">
        <f aca="false">IFERROR(G318/-H318,"no loss")</f>
        <v>0</v>
      </c>
      <c r="J318" s="31" t="n">
        <f aca="false">_xlfn.MAXIFS(Trades!$X$2:$X$1146,Trades!$D$2:$D$1146,$A318)</f>
        <v>-0.08</v>
      </c>
      <c r="K318" s="31" t="n">
        <f aca="false">_xlfn.MINIFS(Trades!$X$2:$X$1146,Trades!$D$2:$D$1146,$A318)</f>
        <v>-0.08</v>
      </c>
      <c r="L318" s="33" t="n">
        <f aca="false">SUMIFS(Trades!$Y$2:$Y$1146,Trades!$D$2:$D$1146,$A318)</f>
        <v>-0.0040080160320643</v>
      </c>
      <c r="M318" s="31" t="n">
        <f aca="false">P317</f>
        <v>13624</v>
      </c>
      <c r="N318" s="30" t="n">
        <f aca="false">IFERROR(F318/M318,0)</f>
        <v>-5.87199060481504E-006</v>
      </c>
      <c r="O318" s="29" t="str">
        <f aca="false">IF(-N318&gt;=Summary!$C$7,"BREACH","")</f>
        <v/>
      </c>
      <c r="P318" s="31" t="n">
        <f aca="false">M318+F318</f>
        <v>13623.92</v>
      </c>
      <c r="Q318" s="31" t="n">
        <f aca="false">P318-Summary!$C$5</f>
        <v>3623.91999999999</v>
      </c>
      <c r="R318" s="2" t="str">
        <f aca="false">TEXT(A318,"ddd")</f>
        <v>Tue</v>
      </c>
    </row>
    <row r="319" customFormat="false" ht="15" hidden="false" customHeight="false" outlineLevel="0" collapsed="false">
      <c r="A319" s="43" t="n">
        <v>45161</v>
      </c>
      <c r="B319" s="29" t="n">
        <f aca="false">COUNTIFS(Trades!$D$2:$D$1146,$A319)</f>
        <v>1</v>
      </c>
      <c r="C319" s="29" t="n">
        <f aca="false">COUNTIFS(Trades!$D$2:$D$1146,$A319,Trades!$Z$2:$Z$1146,"Win")</f>
        <v>0</v>
      </c>
      <c r="D319" s="29" t="n">
        <f aca="false">COUNTIFS(Trades!$D$2:$D$1146,$A319,Trades!$Z$2:$Z$1146,"Loss")</f>
        <v>1</v>
      </c>
      <c r="E319" s="30" t="n">
        <f aca="false">IFERROR(C319/B319,0)</f>
        <v>0</v>
      </c>
      <c r="F319" s="31" t="n">
        <f aca="false">SUMIFS(Trades!$X$2:$X$1146,Trades!$D$2:$D$1146,$A319)</f>
        <v>-57.96</v>
      </c>
      <c r="G319" s="31" t="n">
        <f aca="false">SUMIFS(Trades!$X$2:$X$1146,Trades!$D$2:$D$1146,$A319,Trades!$X$2:$X$1146,"&gt;0")</f>
        <v>0</v>
      </c>
      <c r="H319" s="31" t="n">
        <f aca="false">SUMIFS(Trades!$X$2:$X$1146,Trades!$D$2:$D$1146,$A319,Trades!$X$2:$X$1146,"&lt;0")</f>
        <v>-57.96</v>
      </c>
      <c r="I319" s="32" t="n">
        <f aca="false">IFERROR(G319/-H319,"no loss")</f>
        <v>0</v>
      </c>
      <c r="J319" s="31" t="n">
        <f aca="false">_xlfn.MAXIFS(Trades!$X$2:$X$1146,Trades!$D$2:$D$1146,$A319)</f>
        <v>-57.96</v>
      </c>
      <c r="K319" s="31" t="n">
        <f aca="false">_xlfn.MINIFS(Trades!$X$2:$X$1146,Trades!$D$2:$D$1146,$A319)</f>
        <v>-57.96</v>
      </c>
      <c r="L319" s="33" t="n">
        <f aca="false">SUMIFS(Trades!$Y$2:$Y$1146,Trades!$D$2:$D$1146,$A319)</f>
        <v>-1.00625000000003</v>
      </c>
      <c r="M319" s="31" t="n">
        <f aca="false">P318</f>
        <v>13623.92</v>
      </c>
      <c r="N319" s="30" t="n">
        <f aca="false">IFERROR(F319/M319,0)</f>
        <v>-0.00425428217429345</v>
      </c>
      <c r="O319" s="29" t="str">
        <f aca="false">IF(-N319&gt;=Summary!$C$7,"BREACH","")</f>
        <v/>
      </c>
      <c r="P319" s="31" t="n">
        <f aca="false">M319+F319</f>
        <v>13565.96</v>
      </c>
      <c r="Q319" s="31" t="n">
        <f aca="false">P319-Summary!$C$5</f>
        <v>3565.95999999999</v>
      </c>
      <c r="R319" s="2" t="str">
        <f aca="false">TEXT(A319,"ddd")</f>
        <v>Wed</v>
      </c>
    </row>
    <row r="320" customFormat="false" ht="15" hidden="false" customHeight="false" outlineLevel="0" collapsed="false">
      <c r="A320" s="43" t="n">
        <v>45162</v>
      </c>
      <c r="B320" s="29" t="n">
        <f aca="false">COUNTIFS(Trades!$D$2:$D$1146,$A320)</f>
        <v>2</v>
      </c>
      <c r="C320" s="29" t="n">
        <f aca="false">COUNTIFS(Trades!$D$2:$D$1146,$A320,Trades!$Z$2:$Z$1146,"Win")</f>
        <v>0</v>
      </c>
      <c r="D320" s="29" t="n">
        <f aca="false">COUNTIFS(Trades!$D$2:$D$1146,$A320,Trades!$Z$2:$Z$1146,"Loss")</f>
        <v>2</v>
      </c>
      <c r="E320" s="30" t="n">
        <f aca="false">IFERROR(C320/B320,0)</f>
        <v>0</v>
      </c>
      <c r="F320" s="31" t="n">
        <f aca="false">SUMIFS(Trades!$X$2:$X$1146,Trades!$D$2:$D$1146,$A320)</f>
        <v>-166.16</v>
      </c>
      <c r="G320" s="31" t="n">
        <f aca="false">SUMIFS(Trades!$X$2:$X$1146,Trades!$D$2:$D$1146,$A320,Trades!$X$2:$X$1146,"&gt;0")</f>
        <v>0</v>
      </c>
      <c r="H320" s="31" t="n">
        <f aca="false">SUMIFS(Trades!$X$2:$X$1146,Trades!$D$2:$D$1146,$A320,Trades!$X$2:$X$1146,"&lt;0")</f>
        <v>-166.16</v>
      </c>
      <c r="I320" s="32" t="n">
        <f aca="false">IFERROR(G320/-H320,"no loss")</f>
        <v>0</v>
      </c>
      <c r="J320" s="31" t="n">
        <f aca="false">_xlfn.MAXIFS(Trades!$X$2:$X$1146,Trades!$D$2:$D$1146,$A320)</f>
        <v>-53.2</v>
      </c>
      <c r="K320" s="31" t="n">
        <f aca="false">_xlfn.MINIFS(Trades!$X$2:$X$1146,Trades!$D$2:$D$1146,$A320)</f>
        <v>-112.96</v>
      </c>
      <c r="L320" s="33" t="n">
        <f aca="false">SUMIFS(Trades!$Y$2:$Y$1146,Trades!$D$2:$D$1146,$A320)</f>
        <v>-2.01170175054874</v>
      </c>
      <c r="M320" s="31" t="n">
        <f aca="false">P319</f>
        <v>13565.96</v>
      </c>
      <c r="N320" s="30" t="n">
        <f aca="false">IFERROR(F320/M320,0)</f>
        <v>-0.0122483038428537</v>
      </c>
      <c r="O320" s="29" t="str">
        <f aca="false">IF(-N320&gt;=Summary!$C$7,"BREACH","")</f>
        <v/>
      </c>
      <c r="P320" s="31" t="n">
        <f aca="false">M320+F320</f>
        <v>13399.8</v>
      </c>
      <c r="Q320" s="31" t="n">
        <f aca="false">P320-Summary!$C$5</f>
        <v>3399.79999999999</v>
      </c>
      <c r="R320" s="2" t="str">
        <f aca="false">TEXT(A320,"ddd")</f>
        <v>Thu</v>
      </c>
    </row>
    <row r="321" customFormat="false" ht="15" hidden="false" customHeight="false" outlineLevel="0" collapsed="false">
      <c r="A321" s="43" t="n">
        <v>45163</v>
      </c>
      <c r="B321" s="29" t="n">
        <f aca="false">COUNTIFS(Trades!$D$2:$D$1146,$A321)</f>
        <v>1</v>
      </c>
      <c r="C321" s="29" t="n">
        <f aca="false">COUNTIFS(Trades!$D$2:$D$1146,$A321,Trades!$Z$2:$Z$1146,"Win")</f>
        <v>0</v>
      </c>
      <c r="D321" s="29" t="n">
        <f aca="false">COUNTIFS(Trades!$D$2:$D$1146,$A321,Trades!$Z$2:$Z$1146,"Loss")</f>
        <v>1</v>
      </c>
      <c r="E321" s="30" t="n">
        <f aca="false">IFERROR(C321/B321,0)</f>
        <v>0</v>
      </c>
      <c r="F321" s="31" t="n">
        <f aca="false">SUMIFS(Trades!$X$2:$X$1146,Trades!$D$2:$D$1146,$A321)</f>
        <v>-26.04</v>
      </c>
      <c r="G321" s="31" t="n">
        <f aca="false">SUMIFS(Trades!$X$2:$X$1146,Trades!$D$2:$D$1146,$A321,Trades!$X$2:$X$1146,"&gt;0")</f>
        <v>0</v>
      </c>
      <c r="H321" s="31" t="n">
        <f aca="false">SUMIFS(Trades!$X$2:$X$1146,Trades!$D$2:$D$1146,$A321,Trades!$X$2:$X$1146,"&lt;0")</f>
        <v>-26.04</v>
      </c>
      <c r="I321" s="32" t="n">
        <f aca="false">IFERROR(G321/-H321,"no loss")</f>
        <v>0</v>
      </c>
      <c r="J321" s="31" t="n">
        <f aca="false">_xlfn.MAXIFS(Trades!$X$2:$X$1146,Trades!$D$2:$D$1146,$A321)</f>
        <v>-26.04</v>
      </c>
      <c r="K321" s="31" t="n">
        <f aca="false">_xlfn.MINIFS(Trades!$X$2:$X$1146,Trades!$D$2:$D$1146,$A321)</f>
        <v>-26.04</v>
      </c>
      <c r="L321" s="33" t="n">
        <f aca="false">SUMIFS(Trades!$Y$2:$Y$1146,Trades!$D$2:$D$1146,$A321)</f>
        <v>-0.999999999999967</v>
      </c>
      <c r="M321" s="31" t="n">
        <f aca="false">P320</f>
        <v>13399.8</v>
      </c>
      <c r="N321" s="30" t="n">
        <f aca="false">IFERROR(F321/M321,0)</f>
        <v>-0.00194331258675503</v>
      </c>
      <c r="O321" s="29" t="str">
        <f aca="false">IF(-N321&gt;=Summary!$C$7,"BREACH","")</f>
        <v/>
      </c>
      <c r="P321" s="31" t="n">
        <f aca="false">M321+F321</f>
        <v>13373.76</v>
      </c>
      <c r="Q321" s="31" t="n">
        <f aca="false">P321-Summary!$C$5</f>
        <v>3373.75999999999</v>
      </c>
      <c r="R321" s="2" t="str">
        <f aca="false">TEXT(A321,"ddd")</f>
        <v>Fri</v>
      </c>
    </row>
    <row r="322" customFormat="false" ht="15" hidden="false" customHeight="false" outlineLevel="0" collapsed="false">
      <c r="A322" s="43" t="n">
        <v>45166</v>
      </c>
      <c r="B322" s="29" t="n">
        <f aca="false">COUNTIFS(Trades!$D$2:$D$1146,$A322)</f>
        <v>1</v>
      </c>
      <c r="C322" s="29" t="n">
        <f aca="false">COUNTIFS(Trades!$D$2:$D$1146,$A322,Trades!$Z$2:$Z$1146,"Win")</f>
        <v>1</v>
      </c>
      <c r="D322" s="29" t="n">
        <f aca="false">COUNTIFS(Trades!$D$2:$D$1146,$A322,Trades!$Z$2:$Z$1146,"Loss")</f>
        <v>0</v>
      </c>
      <c r="E322" s="30" t="n">
        <f aca="false">IFERROR(C322/B322,0)</f>
        <v>1</v>
      </c>
      <c r="F322" s="31" t="n">
        <f aca="false">SUMIFS(Trades!$X$2:$X$1146,Trades!$D$2:$D$1146,$A322)</f>
        <v>58.84</v>
      </c>
      <c r="G322" s="31" t="n">
        <f aca="false">SUMIFS(Trades!$X$2:$X$1146,Trades!$D$2:$D$1146,$A322,Trades!$X$2:$X$1146,"&gt;0")</f>
        <v>58.84</v>
      </c>
      <c r="H322" s="31" t="n">
        <f aca="false">SUMIFS(Trades!$X$2:$X$1146,Trades!$D$2:$D$1146,$A322,Trades!$X$2:$X$1146,"&lt;0")</f>
        <v>0</v>
      </c>
      <c r="I322" s="32" t="str">
        <f aca="false">IFERROR(G322/-H322,"no loss")</f>
        <v>no loss</v>
      </c>
      <c r="J322" s="31" t="n">
        <f aca="false">_xlfn.MAXIFS(Trades!$X$2:$X$1146,Trades!$D$2:$D$1146,$A322)</f>
        <v>58.84</v>
      </c>
      <c r="K322" s="31" t="n">
        <f aca="false">_xlfn.MINIFS(Trades!$X$2:$X$1146,Trades!$D$2:$D$1146,$A322)</f>
        <v>58.84</v>
      </c>
      <c r="L322" s="33" t="n">
        <f aca="false">SUMIFS(Trades!$Y$2:$Y$1146,Trades!$D$2:$D$1146,$A322)</f>
        <v>2.6504504504508</v>
      </c>
      <c r="M322" s="31" t="n">
        <f aca="false">P321</f>
        <v>13373.76</v>
      </c>
      <c r="N322" s="30" t="n">
        <f aca="false">IFERROR(F322/M322,0)</f>
        <v>0.00439966023018209</v>
      </c>
      <c r="O322" s="29" t="str">
        <f aca="false">IF(-N322&gt;=Summary!$C$7,"BREACH","")</f>
        <v/>
      </c>
      <c r="P322" s="31" t="n">
        <f aca="false">M322+F322</f>
        <v>13432.6</v>
      </c>
      <c r="Q322" s="31" t="n">
        <f aca="false">P322-Summary!$C$5</f>
        <v>3432.59999999999</v>
      </c>
      <c r="R322" s="2" t="str">
        <f aca="false">TEXT(A322,"ddd")</f>
        <v>Mon</v>
      </c>
    </row>
    <row r="323" customFormat="false" ht="15" hidden="false" customHeight="false" outlineLevel="0" collapsed="false">
      <c r="A323" s="43" t="n">
        <v>45167</v>
      </c>
      <c r="B323" s="29" t="n">
        <f aca="false">COUNTIFS(Trades!$D$2:$D$1146,$A323)</f>
        <v>1</v>
      </c>
      <c r="C323" s="29" t="n">
        <f aca="false">COUNTIFS(Trades!$D$2:$D$1146,$A323,Trades!$Z$2:$Z$1146,"Win")</f>
        <v>0</v>
      </c>
      <c r="D323" s="29" t="n">
        <f aca="false">COUNTIFS(Trades!$D$2:$D$1146,$A323,Trades!$Z$2:$Z$1146,"Loss")</f>
        <v>1</v>
      </c>
      <c r="E323" s="30" t="n">
        <f aca="false">IFERROR(C323/B323,0)</f>
        <v>0</v>
      </c>
      <c r="F323" s="31" t="n">
        <f aca="false">SUMIFS(Trades!$X$2:$X$1146,Trades!$D$2:$D$1146,$A323)</f>
        <v>-11</v>
      </c>
      <c r="G323" s="31" t="n">
        <f aca="false">SUMIFS(Trades!$X$2:$X$1146,Trades!$D$2:$D$1146,$A323,Trades!$X$2:$X$1146,"&gt;0")</f>
        <v>0</v>
      </c>
      <c r="H323" s="31" t="n">
        <f aca="false">SUMIFS(Trades!$X$2:$X$1146,Trades!$D$2:$D$1146,$A323,Trades!$X$2:$X$1146,"&lt;0")</f>
        <v>-11</v>
      </c>
      <c r="I323" s="32" t="n">
        <f aca="false">IFERROR(G323/-H323,"no loss")</f>
        <v>0</v>
      </c>
      <c r="J323" s="31" t="n">
        <f aca="false">_xlfn.MAXIFS(Trades!$X$2:$X$1146,Trades!$D$2:$D$1146,$A323)</f>
        <v>-11</v>
      </c>
      <c r="K323" s="31" t="n">
        <f aca="false">_xlfn.MINIFS(Trades!$X$2:$X$1146,Trades!$D$2:$D$1146,$A323)</f>
        <v>-11</v>
      </c>
      <c r="L323" s="33" t="n">
        <f aca="false">SUMIFS(Trades!$Y$2:$Y$1146,Trades!$D$2:$D$1146,$A323)</f>
        <v>-1.06589147286825</v>
      </c>
      <c r="M323" s="31" t="n">
        <f aca="false">P322</f>
        <v>13432.6</v>
      </c>
      <c r="N323" s="30" t="n">
        <f aca="false">IFERROR(F323/M323,0)</f>
        <v>-0.000818903265190656</v>
      </c>
      <c r="O323" s="29" t="str">
        <f aca="false">IF(-N323&gt;=Summary!$C$7,"BREACH","")</f>
        <v/>
      </c>
      <c r="P323" s="31" t="n">
        <f aca="false">M323+F323</f>
        <v>13421.6</v>
      </c>
      <c r="Q323" s="31" t="n">
        <f aca="false">P323-Summary!$C$5</f>
        <v>3421.59999999999</v>
      </c>
      <c r="R323" s="2" t="str">
        <f aca="false">TEXT(A323,"ddd")</f>
        <v>Tue</v>
      </c>
    </row>
    <row r="324" customFormat="false" ht="15" hidden="false" customHeight="false" outlineLevel="0" collapsed="false">
      <c r="A324" s="43" t="n">
        <v>45168</v>
      </c>
      <c r="B324" s="29" t="n">
        <f aca="false">COUNTIFS(Trades!$D$2:$D$1146,$A324)</f>
        <v>1</v>
      </c>
      <c r="C324" s="29" t="n">
        <f aca="false">COUNTIFS(Trades!$D$2:$D$1146,$A324,Trades!$Z$2:$Z$1146,"Win")</f>
        <v>0</v>
      </c>
      <c r="D324" s="29" t="n">
        <f aca="false">COUNTIFS(Trades!$D$2:$D$1146,$A324,Trades!$Z$2:$Z$1146,"Loss")</f>
        <v>1</v>
      </c>
      <c r="E324" s="30" t="n">
        <f aca="false">IFERROR(C324/B324,0)</f>
        <v>0</v>
      </c>
      <c r="F324" s="31" t="n">
        <f aca="false">SUMIFS(Trades!$X$2:$X$1146,Trades!$D$2:$D$1146,$A324)</f>
        <v>-0.44</v>
      </c>
      <c r="G324" s="31" t="n">
        <f aca="false">SUMIFS(Trades!$X$2:$X$1146,Trades!$D$2:$D$1146,$A324,Trades!$X$2:$X$1146,"&gt;0")</f>
        <v>0</v>
      </c>
      <c r="H324" s="31" t="n">
        <f aca="false">SUMIFS(Trades!$X$2:$X$1146,Trades!$D$2:$D$1146,$A324,Trades!$X$2:$X$1146,"&lt;0")</f>
        <v>-0.44</v>
      </c>
      <c r="I324" s="32" t="n">
        <f aca="false">IFERROR(G324/-H324,"no loss")</f>
        <v>0</v>
      </c>
      <c r="J324" s="31" t="n">
        <f aca="false">_xlfn.MAXIFS(Trades!$X$2:$X$1146,Trades!$D$2:$D$1146,$A324)</f>
        <v>-0.44</v>
      </c>
      <c r="K324" s="31" t="n">
        <f aca="false">_xlfn.MINIFS(Trades!$X$2:$X$1146,Trades!$D$2:$D$1146,$A324)</f>
        <v>-0.44</v>
      </c>
      <c r="L324" s="33" t="n">
        <f aca="false">SUMIFS(Trades!$Y$2:$Y$1146,Trades!$D$2:$D$1146,$A324)</f>
        <v>-0.0227743271221536</v>
      </c>
      <c r="M324" s="31" t="n">
        <f aca="false">P323</f>
        <v>13421.6</v>
      </c>
      <c r="N324" s="30" t="n">
        <f aca="false">IFERROR(F324/M324,0)</f>
        <v>-3.27829766942839E-005</v>
      </c>
      <c r="O324" s="29" t="str">
        <f aca="false">IF(-N324&gt;=Summary!$C$7,"BREACH","")</f>
        <v/>
      </c>
      <c r="P324" s="31" t="n">
        <f aca="false">M324+F324</f>
        <v>13421.16</v>
      </c>
      <c r="Q324" s="31" t="n">
        <f aca="false">P324-Summary!$C$5</f>
        <v>3421.15999999999</v>
      </c>
      <c r="R324" s="2" t="str">
        <f aca="false">TEXT(A324,"ddd")</f>
        <v>Wed</v>
      </c>
    </row>
    <row r="325" customFormat="false" ht="15" hidden="false" customHeight="false" outlineLevel="0" collapsed="false">
      <c r="A325" s="43" t="n">
        <v>45169</v>
      </c>
      <c r="B325" s="29" t="n">
        <f aca="false">COUNTIFS(Trades!$D$2:$D$1146,$A325)</f>
        <v>1</v>
      </c>
      <c r="C325" s="29" t="n">
        <f aca="false">COUNTIFS(Trades!$D$2:$D$1146,$A325,Trades!$Z$2:$Z$1146,"Win")</f>
        <v>0</v>
      </c>
      <c r="D325" s="29" t="n">
        <f aca="false">COUNTIFS(Trades!$D$2:$D$1146,$A325,Trades!$Z$2:$Z$1146,"Loss")</f>
        <v>1</v>
      </c>
      <c r="E325" s="30" t="n">
        <f aca="false">IFERROR(C325/B325,0)</f>
        <v>0</v>
      </c>
      <c r="F325" s="31" t="n">
        <f aca="false">SUMIFS(Trades!$X$2:$X$1146,Trades!$D$2:$D$1146,$A325)</f>
        <v>-18.96</v>
      </c>
      <c r="G325" s="31" t="n">
        <f aca="false">SUMIFS(Trades!$X$2:$X$1146,Trades!$D$2:$D$1146,$A325,Trades!$X$2:$X$1146,"&gt;0")</f>
        <v>0</v>
      </c>
      <c r="H325" s="31" t="n">
        <f aca="false">SUMIFS(Trades!$X$2:$X$1146,Trades!$D$2:$D$1146,$A325,Trades!$X$2:$X$1146,"&lt;0")</f>
        <v>-18.96</v>
      </c>
      <c r="I325" s="32" t="n">
        <f aca="false">IFERROR(G325/-H325,"no loss")</f>
        <v>0</v>
      </c>
      <c r="J325" s="31" t="n">
        <f aca="false">_xlfn.MAXIFS(Trades!$X$2:$X$1146,Trades!$D$2:$D$1146,$A325)</f>
        <v>-18.96</v>
      </c>
      <c r="K325" s="31" t="n">
        <f aca="false">_xlfn.MINIFS(Trades!$X$2:$X$1146,Trades!$D$2:$D$1146,$A325)</f>
        <v>-18.96</v>
      </c>
      <c r="L325" s="33" t="n">
        <f aca="false">SUMIFS(Trades!$Y$2:$Y$1146,Trades!$D$2:$D$1146,$A325)</f>
        <v>-1.00211416490496</v>
      </c>
      <c r="M325" s="31" t="n">
        <f aca="false">P324</f>
        <v>13421.16</v>
      </c>
      <c r="N325" s="30" t="n">
        <f aca="false">IFERROR(F325/M325,0)</f>
        <v>-0.0014126945807963</v>
      </c>
      <c r="O325" s="29" t="str">
        <f aca="false">IF(-N325&gt;=Summary!$C$7,"BREACH","")</f>
        <v/>
      </c>
      <c r="P325" s="31" t="n">
        <f aca="false">M325+F325</f>
        <v>13402.2</v>
      </c>
      <c r="Q325" s="31" t="n">
        <f aca="false">P325-Summary!$C$5</f>
        <v>3402.19999999999</v>
      </c>
      <c r="R325" s="2" t="str">
        <f aca="false">TEXT(A325,"ddd")</f>
        <v>Thu</v>
      </c>
    </row>
    <row r="326" customFormat="false" ht="15" hidden="false" customHeight="false" outlineLevel="0" collapsed="false">
      <c r="A326" s="43" t="n">
        <v>45170</v>
      </c>
      <c r="B326" s="29" t="n">
        <f aca="false">COUNTIFS(Trades!$D$2:$D$1146,$A326)</f>
        <v>1</v>
      </c>
      <c r="C326" s="29" t="n">
        <f aca="false">COUNTIFS(Trades!$D$2:$D$1146,$A326,Trades!$Z$2:$Z$1146,"Win")</f>
        <v>0</v>
      </c>
      <c r="D326" s="29" t="n">
        <f aca="false">COUNTIFS(Trades!$D$2:$D$1146,$A326,Trades!$Z$2:$Z$1146,"Loss")</f>
        <v>1</v>
      </c>
      <c r="E326" s="30" t="n">
        <f aca="false">IFERROR(C326/B326,0)</f>
        <v>0</v>
      </c>
      <c r="F326" s="31" t="n">
        <f aca="false">SUMIFS(Trades!$X$2:$X$1146,Trades!$D$2:$D$1146,$A326)</f>
        <v>-70.48</v>
      </c>
      <c r="G326" s="31" t="n">
        <f aca="false">SUMIFS(Trades!$X$2:$X$1146,Trades!$D$2:$D$1146,$A326,Trades!$X$2:$X$1146,"&gt;0")</f>
        <v>0</v>
      </c>
      <c r="H326" s="31" t="n">
        <f aca="false">SUMIFS(Trades!$X$2:$X$1146,Trades!$D$2:$D$1146,$A326,Trades!$X$2:$X$1146,"&lt;0")</f>
        <v>-70.48</v>
      </c>
      <c r="I326" s="32" t="n">
        <f aca="false">IFERROR(G326/-H326,"no loss")</f>
        <v>0</v>
      </c>
      <c r="J326" s="31" t="n">
        <f aca="false">_xlfn.MAXIFS(Trades!$X$2:$X$1146,Trades!$D$2:$D$1146,$A326)</f>
        <v>-70.48</v>
      </c>
      <c r="K326" s="31" t="n">
        <f aca="false">_xlfn.MINIFS(Trades!$X$2:$X$1146,Trades!$D$2:$D$1146,$A326)</f>
        <v>-70.48</v>
      </c>
      <c r="L326" s="33" t="n">
        <f aca="false">SUMIFS(Trades!$Y$2:$Y$1146,Trades!$D$2:$D$1146,$A326)</f>
        <v>-1.04756242568373</v>
      </c>
      <c r="M326" s="31" t="n">
        <f aca="false">P325</f>
        <v>13402.2</v>
      </c>
      <c r="N326" s="30" t="n">
        <f aca="false">IFERROR(F326/M326,0)</f>
        <v>-0.00525883810120727</v>
      </c>
      <c r="O326" s="29" t="str">
        <f aca="false">IF(-N326&gt;=Summary!$C$7,"BREACH","")</f>
        <v/>
      </c>
      <c r="P326" s="31" t="n">
        <f aca="false">M326+F326</f>
        <v>13331.72</v>
      </c>
      <c r="Q326" s="31" t="n">
        <f aca="false">P326-Summary!$C$5</f>
        <v>3331.71999999999</v>
      </c>
      <c r="R326" s="2" t="str">
        <f aca="false">TEXT(A326,"ddd")</f>
        <v>Fri</v>
      </c>
    </row>
    <row r="327" customFormat="false" ht="15" hidden="false" customHeight="false" outlineLevel="0" collapsed="false">
      <c r="A327" s="43" t="n">
        <v>45174</v>
      </c>
      <c r="B327" s="29" t="n">
        <f aca="false">COUNTIFS(Trades!$D$2:$D$1146,$A327)</f>
        <v>2</v>
      </c>
      <c r="C327" s="29" t="n">
        <f aca="false">COUNTIFS(Trades!$D$2:$D$1146,$A327,Trades!$Z$2:$Z$1146,"Win")</f>
        <v>0</v>
      </c>
      <c r="D327" s="29" t="n">
        <f aca="false">COUNTIFS(Trades!$D$2:$D$1146,$A327,Trades!$Z$2:$Z$1146,"Loss")</f>
        <v>2</v>
      </c>
      <c r="E327" s="30" t="n">
        <f aca="false">IFERROR(C327/B327,0)</f>
        <v>0</v>
      </c>
      <c r="F327" s="31" t="n">
        <f aca="false">SUMIFS(Trades!$X$2:$X$1146,Trades!$D$2:$D$1146,$A327)</f>
        <v>-38.64</v>
      </c>
      <c r="G327" s="31" t="n">
        <f aca="false">SUMIFS(Trades!$X$2:$X$1146,Trades!$D$2:$D$1146,$A327,Trades!$X$2:$X$1146,"&gt;0")</f>
        <v>0</v>
      </c>
      <c r="H327" s="31" t="n">
        <f aca="false">SUMIFS(Trades!$X$2:$X$1146,Trades!$D$2:$D$1146,$A327,Trades!$X$2:$X$1146,"&lt;0")</f>
        <v>-38.64</v>
      </c>
      <c r="I327" s="32" t="n">
        <f aca="false">IFERROR(G327/-H327,"no loss")</f>
        <v>0</v>
      </c>
      <c r="J327" s="31" t="n">
        <f aca="false">_xlfn.MAXIFS(Trades!$X$2:$X$1146,Trades!$D$2:$D$1146,$A327)</f>
        <v>-17.64</v>
      </c>
      <c r="K327" s="31" t="n">
        <f aca="false">_xlfn.MINIFS(Trades!$X$2:$X$1146,Trades!$D$2:$D$1146,$A327)</f>
        <v>-21</v>
      </c>
      <c r="L327" s="33" t="n">
        <f aca="false">SUMIFS(Trades!$Y$2:$Y$1146,Trades!$D$2:$D$1146,$A327)</f>
        <v>-2.12802874743291</v>
      </c>
      <c r="M327" s="31" t="n">
        <f aca="false">P326</f>
        <v>13331.72</v>
      </c>
      <c r="N327" s="30" t="n">
        <f aca="false">IFERROR(F327/M327,0)</f>
        <v>-0.00289835070043475</v>
      </c>
      <c r="O327" s="29" t="str">
        <f aca="false">IF(-N327&gt;=Summary!$C$7,"BREACH","")</f>
        <v/>
      </c>
      <c r="P327" s="31" t="n">
        <f aca="false">M327+F327</f>
        <v>13293.08</v>
      </c>
      <c r="Q327" s="31" t="n">
        <f aca="false">P327-Summary!$C$5</f>
        <v>3293.07999999999</v>
      </c>
      <c r="R327" s="2" t="str">
        <f aca="false">TEXT(A327,"ddd")</f>
        <v>Tue</v>
      </c>
    </row>
    <row r="328" customFormat="false" ht="15" hidden="false" customHeight="false" outlineLevel="0" collapsed="false">
      <c r="A328" s="43" t="n">
        <v>45175</v>
      </c>
      <c r="B328" s="29" t="n">
        <f aca="false">COUNTIFS(Trades!$D$2:$D$1146,$A328)</f>
        <v>1</v>
      </c>
      <c r="C328" s="29" t="n">
        <f aca="false">COUNTIFS(Trades!$D$2:$D$1146,$A328,Trades!$Z$2:$Z$1146,"Win")</f>
        <v>0</v>
      </c>
      <c r="D328" s="29" t="n">
        <f aca="false">COUNTIFS(Trades!$D$2:$D$1146,$A328,Trades!$Z$2:$Z$1146,"Loss")</f>
        <v>1</v>
      </c>
      <c r="E328" s="30" t="n">
        <f aca="false">IFERROR(C328/B328,0)</f>
        <v>0</v>
      </c>
      <c r="F328" s="31" t="n">
        <f aca="false">SUMIFS(Trades!$X$2:$X$1146,Trades!$D$2:$D$1146,$A328)</f>
        <v>-1.16</v>
      </c>
      <c r="G328" s="31" t="n">
        <f aca="false">SUMIFS(Trades!$X$2:$X$1146,Trades!$D$2:$D$1146,$A328,Trades!$X$2:$X$1146,"&gt;0")</f>
        <v>0</v>
      </c>
      <c r="H328" s="31" t="n">
        <f aca="false">SUMIFS(Trades!$X$2:$X$1146,Trades!$D$2:$D$1146,$A328,Trades!$X$2:$X$1146,"&lt;0")</f>
        <v>-1.16</v>
      </c>
      <c r="I328" s="32" t="n">
        <f aca="false">IFERROR(G328/-H328,"no loss")</f>
        <v>0</v>
      </c>
      <c r="J328" s="31" t="n">
        <f aca="false">_xlfn.MAXIFS(Trades!$X$2:$X$1146,Trades!$D$2:$D$1146,$A328)</f>
        <v>-1.16</v>
      </c>
      <c r="K328" s="31" t="n">
        <f aca="false">_xlfn.MINIFS(Trades!$X$2:$X$1146,Trades!$D$2:$D$1146,$A328)</f>
        <v>-1.16</v>
      </c>
      <c r="L328" s="33" t="n">
        <f aca="false">SUMIFS(Trades!$Y$2:$Y$1146,Trades!$D$2:$D$1146,$A328)</f>
        <v>-0.0125378296584527</v>
      </c>
      <c r="M328" s="31" t="n">
        <f aca="false">P327</f>
        <v>13293.08</v>
      </c>
      <c r="N328" s="30" t="n">
        <f aca="false">IFERROR(F328/M328,0)</f>
        <v>-8.72634483505704E-005</v>
      </c>
      <c r="O328" s="29" t="str">
        <f aca="false">IF(-N328&gt;=Summary!$C$7,"BREACH","")</f>
        <v/>
      </c>
      <c r="P328" s="31" t="n">
        <f aca="false">M328+F328</f>
        <v>13291.92</v>
      </c>
      <c r="Q328" s="31" t="n">
        <f aca="false">P328-Summary!$C$5</f>
        <v>3291.91999999999</v>
      </c>
      <c r="R328" s="2" t="str">
        <f aca="false">TEXT(A328,"ddd")</f>
        <v>Wed</v>
      </c>
    </row>
    <row r="329" customFormat="false" ht="15" hidden="false" customHeight="false" outlineLevel="0" collapsed="false">
      <c r="A329" s="43" t="n">
        <v>45176</v>
      </c>
      <c r="B329" s="29" t="n">
        <f aca="false">COUNTIFS(Trades!$D$2:$D$1146,$A329)</f>
        <v>1</v>
      </c>
      <c r="C329" s="29" t="n">
        <f aca="false">COUNTIFS(Trades!$D$2:$D$1146,$A329,Trades!$Z$2:$Z$1146,"Win")</f>
        <v>0</v>
      </c>
      <c r="D329" s="29" t="n">
        <f aca="false">COUNTIFS(Trades!$D$2:$D$1146,$A329,Trades!$Z$2:$Z$1146,"Loss")</f>
        <v>1</v>
      </c>
      <c r="E329" s="30" t="n">
        <f aca="false">IFERROR(C329/B329,0)</f>
        <v>0</v>
      </c>
      <c r="F329" s="31" t="n">
        <f aca="false">SUMIFS(Trades!$X$2:$X$1146,Trades!$D$2:$D$1146,$A329)</f>
        <v>-0.04</v>
      </c>
      <c r="G329" s="31" t="n">
        <f aca="false">SUMIFS(Trades!$X$2:$X$1146,Trades!$D$2:$D$1146,$A329,Trades!$X$2:$X$1146,"&gt;0")</f>
        <v>0</v>
      </c>
      <c r="H329" s="31" t="n">
        <f aca="false">SUMIFS(Trades!$X$2:$X$1146,Trades!$D$2:$D$1146,$A329,Trades!$X$2:$X$1146,"&lt;0")</f>
        <v>-0.04</v>
      </c>
      <c r="I329" s="32" t="n">
        <f aca="false">IFERROR(G329/-H329,"no loss")</f>
        <v>0</v>
      </c>
      <c r="J329" s="31" t="n">
        <f aca="false">_xlfn.MAXIFS(Trades!$X$2:$X$1146,Trades!$D$2:$D$1146,$A329)</f>
        <v>-0.04</v>
      </c>
      <c r="K329" s="31" t="n">
        <f aca="false">_xlfn.MINIFS(Trades!$X$2:$X$1146,Trades!$D$2:$D$1146,$A329)</f>
        <v>-0.04</v>
      </c>
      <c r="L329" s="33" t="n">
        <f aca="false">SUMIFS(Trades!$Y$2:$Y$1146,Trades!$D$2:$D$1146,$A329)</f>
        <v>-0.00132625994694977</v>
      </c>
      <c r="M329" s="31" t="n">
        <f aca="false">P328</f>
        <v>13291.92</v>
      </c>
      <c r="N329" s="30" t="n">
        <f aca="false">IFERROR(F329/M329,0)</f>
        <v>-3.00934703188102E-006</v>
      </c>
      <c r="O329" s="29" t="str">
        <f aca="false">IF(-N329&gt;=Summary!$C$7,"BREACH","")</f>
        <v/>
      </c>
      <c r="P329" s="31" t="n">
        <f aca="false">M329+F329</f>
        <v>13291.88</v>
      </c>
      <c r="Q329" s="31" t="n">
        <f aca="false">P329-Summary!$C$5</f>
        <v>3291.87999999999</v>
      </c>
      <c r="R329" s="2" t="str">
        <f aca="false">TEXT(A329,"ddd")</f>
        <v>Thu</v>
      </c>
    </row>
    <row r="330" customFormat="false" ht="15" hidden="false" customHeight="false" outlineLevel="0" collapsed="false">
      <c r="A330" s="43" t="n">
        <v>45180</v>
      </c>
      <c r="B330" s="29" t="n">
        <f aca="false">COUNTIFS(Trades!$D$2:$D$1146,$A330)</f>
        <v>1</v>
      </c>
      <c r="C330" s="29" t="n">
        <f aca="false">COUNTIFS(Trades!$D$2:$D$1146,$A330,Trades!$Z$2:$Z$1146,"Win")</f>
        <v>0</v>
      </c>
      <c r="D330" s="29" t="n">
        <f aca="false">COUNTIFS(Trades!$D$2:$D$1146,$A330,Trades!$Z$2:$Z$1146,"Loss")</f>
        <v>1</v>
      </c>
      <c r="E330" s="30" t="n">
        <f aca="false">IFERROR(C330/B330,0)</f>
        <v>0</v>
      </c>
      <c r="F330" s="31" t="n">
        <f aca="false">SUMIFS(Trades!$X$2:$X$1146,Trades!$D$2:$D$1146,$A330)</f>
        <v>-0.52</v>
      </c>
      <c r="G330" s="31" t="n">
        <f aca="false">SUMIFS(Trades!$X$2:$X$1146,Trades!$D$2:$D$1146,$A330,Trades!$X$2:$X$1146,"&gt;0")</f>
        <v>0</v>
      </c>
      <c r="H330" s="31" t="n">
        <f aca="false">SUMIFS(Trades!$X$2:$X$1146,Trades!$D$2:$D$1146,$A330,Trades!$X$2:$X$1146,"&lt;0")</f>
        <v>-0.52</v>
      </c>
      <c r="I330" s="32" t="n">
        <f aca="false">IFERROR(G330/-H330,"no loss")</f>
        <v>0</v>
      </c>
      <c r="J330" s="31" t="n">
        <f aca="false">_xlfn.MAXIFS(Trades!$X$2:$X$1146,Trades!$D$2:$D$1146,$A330)</f>
        <v>-0.52</v>
      </c>
      <c r="K330" s="31" t="n">
        <f aca="false">_xlfn.MINIFS(Trades!$X$2:$X$1146,Trades!$D$2:$D$1146,$A330)</f>
        <v>-0.52</v>
      </c>
      <c r="L330" s="33" t="n">
        <f aca="false">SUMIFS(Trades!$Y$2:$Y$1146,Trades!$D$2:$D$1146,$A330)</f>
        <v>-0.0255905511811027</v>
      </c>
      <c r="M330" s="31" t="n">
        <f aca="false">P329</f>
        <v>13291.88</v>
      </c>
      <c r="N330" s="30" t="n">
        <f aca="false">IFERROR(F330/M330,0)</f>
        <v>-3.91216291450119E-005</v>
      </c>
      <c r="O330" s="29" t="str">
        <f aca="false">IF(-N330&gt;=Summary!$C$7,"BREACH","")</f>
        <v/>
      </c>
      <c r="P330" s="31" t="n">
        <f aca="false">M330+F330</f>
        <v>13291.36</v>
      </c>
      <c r="Q330" s="31" t="n">
        <f aca="false">P330-Summary!$C$5</f>
        <v>3291.35999999999</v>
      </c>
      <c r="R330" s="2" t="str">
        <f aca="false">TEXT(A330,"ddd")</f>
        <v>Mon</v>
      </c>
    </row>
    <row r="331" customFormat="false" ht="15" hidden="false" customHeight="false" outlineLevel="0" collapsed="false">
      <c r="A331" s="43" t="n">
        <v>45181</v>
      </c>
      <c r="B331" s="29" t="n">
        <f aca="false">COUNTIFS(Trades!$D$2:$D$1146,$A331)</f>
        <v>1</v>
      </c>
      <c r="C331" s="29" t="n">
        <f aca="false">COUNTIFS(Trades!$D$2:$D$1146,$A331,Trades!$Z$2:$Z$1146,"Win")</f>
        <v>0</v>
      </c>
      <c r="D331" s="29" t="n">
        <f aca="false">COUNTIFS(Trades!$D$2:$D$1146,$A331,Trades!$Z$2:$Z$1146,"Loss")</f>
        <v>1</v>
      </c>
      <c r="E331" s="30" t="n">
        <f aca="false">IFERROR(C331/B331,0)</f>
        <v>0</v>
      </c>
      <c r="F331" s="31" t="n">
        <f aca="false">SUMIFS(Trades!$X$2:$X$1146,Trades!$D$2:$D$1146,$A331)</f>
        <v>-32.24</v>
      </c>
      <c r="G331" s="31" t="n">
        <f aca="false">SUMIFS(Trades!$X$2:$X$1146,Trades!$D$2:$D$1146,$A331,Trades!$X$2:$X$1146,"&gt;0")</f>
        <v>0</v>
      </c>
      <c r="H331" s="31" t="n">
        <f aca="false">SUMIFS(Trades!$X$2:$X$1146,Trades!$D$2:$D$1146,$A331,Trades!$X$2:$X$1146,"&lt;0")</f>
        <v>-32.24</v>
      </c>
      <c r="I331" s="32" t="n">
        <f aca="false">IFERROR(G331/-H331,"no loss")</f>
        <v>0</v>
      </c>
      <c r="J331" s="31" t="n">
        <f aca="false">_xlfn.MAXIFS(Trades!$X$2:$X$1146,Trades!$D$2:$D$1146,$A331)</f>
        <v>-32.24</v>
      </c>
      <c r="K331" s="31" t="n">
        <f aca="false">_xlfn.MINIFS(Trades!$X$2:$X$1146,Trades!$D$2:$D$1146,$A331)</f>
        <v>-32.24</v>
      </c>
      <c r="L331" s="33" t="n">
        <f aca="false">SUMIFS(Trades!$Y$2:$Y$1146,Trades!$D$2:$D$1146,$A331)</f>
        <v>-1.17664233576636</v>
      </c>
      <c r="M331" s="31" t="n">
        <f aca="false">P330</f>
        <v>13291.36</v>
      </c>
      <c r="N331" s="30" t="n">
        <f aca="false">IFERROR(F331/M331,0)</f>
        <v>-0.00242563590181893</v>
      </c>
      <c r="O331" s="29" t="str">
        <f aca="false">IF(-N331&gt;=Summary!$C$7,"BREACH","")</f>
        <v/>
      </c>
      <c r="P331" s="31" t="n">
        <f aca="false">M331+F331</f>
        <v>13259.12</v>
      </c>
      <c r="Q331" s="31" t="n">
        <f aca="false">P331-Summary!$C$5</f>
        <v>3259.11999999999</v>
      </c>
      <c r="R331" s="2" t="str">
        <f aca="false">TEXT(A331,"ddd")</f>
        <v>Tue</v>
      </c>
    </row>
    <row r="332" customFormat="false" ht="15" hidden="false" customHeight="false" outlineLevel="0" collapsed="false">
      <c r="A332" s="43" t="n">
        <v>45182</v>
      </c>
      <c r="B332" s="29" t="n">
        <f aca="false">COUNTIFS(Trades!$D$2:$D$1146,$A332)</f>
        <v>1</v>
      </c>
      <c r="C332" s="29" t="n">
        <f aca="false">COUNTIFS(Trades!$D$2:$D$1146,$A332,Trades!$Z$2:$Z$1146,"Win")</f>
        <v>0</v>
      </c>
      <c r="D332" s="29" t="n">
        <f aca="false">COUNTIFS(Trades!$D$2:$D$1146,$A332,Trades!$Z$2:$Z$1146,"Loss")</f>
        <v>1</v>
      </c>
      <c r="E332" s="30" t="n">
        <f aca="false">IFERROR(C332/B332,0)</f>
        <v>0</v>
      </c>
      <c r="F332" s="31" t="n">
        <f aca="false">SUMIFS(Trades!$X$2:$X$1146,Trades!$D$2:$D$1146,$A332)</f>
        <v>-16.92</v>
      </c>
      <c r="G332" s="31" t="n">
        <f aca="false">SUMIFS(Trades!$X$2:$X$1146,Trades!$D$2:$D$1146,$A332,Trades!$X$2:$X$1146,"&gt;0")</f>
        <v>0</v>
      </c>
      <c r="H332" s="31" t="n">
        <f aca="false">SUMIFS(Trades!$X$2:$X$1146,Trades!$D$2:$D$1146,$A332,Trades!$X$2:$X$1146,"&lt;0")</f>
        <v>-16.92</v>
      </c>
      <c r="I332" s="32" t="n">
        <f aca="false">IFERROR(G332/-H332,"no loss")</f>
        <v>0</v>
      </c>
      <c r="J332" s="31" t="n">
        <f aca="false">_xlfn.MAXIFS(Trades!$X$2:$X$1146,Trades!$D$2:$D$1146,$A332)</f>
        <v>-16.92</v>
      </c>
      <c r="K332" s="31" t="n">
        <f aca="false">_xlfn.MINIFS(Trades!$X$2:$X$1146,Trades!$D$2:$D$1146,$A332)</f>
        <v>-16.92</v>
      </c>
      <c r="L332" s="33" t="n">
        <f aca="false">SUMIFS(Trades!$Y$2:$Y$1146,Trades!$D$2:$D$1146,$A332)</f>
        <v>-1.11904761904796</v>
      </c>
      <c r="M332" s="31" t="n">
        <f aca="false">P331</f>
        <v>13259.12</v>
      </c>
      <c r="N332" s="30" t="n">
        <f aca="false">IFERROR(F332/M332,0)</f>
        <v>-0.00127610278811867</v>
      </c>
      <c r="O332" s="29" t="str">
        <f aca="false">IF(-N332&gt;=Summary!$C$7,"BREACH","")</f>
        <v/>
      </c>
      <c r="P332" s="31" t="n">
        <f aca="false">M332+F332</f>
        <v>13242.2</v>
      </c>
      <c r="Q332" s="31" t="n">
        <f aca="false">P332-Summary!$C$5</f>
        <v>3242.19999999999</v>
      </c>
      <c r="R332" s="2" t="str">
        <f aca="false">TEXT(A332,"ddd")</f>
        <v>Wed</v>
      </c>
    </row>
    <row r="333" customFormat="false" ht="15" hidden="false" customHeight="false" outlineLevel="0" collapsed="false">
      <c r="A333" s="43" t="n">
        <v>45183</v>
      </c>
      <c r="B333" s="29" t="n">
        <f aca="false">COUNTIFS(Trades!$D$2:$D$1146,$A333)</f>
        <v>1</v>
      </c>
      <c r="C333" s="29" t="n">
        <f aca="false">COUNTIFS(Trades!$D$2:$D$1146,$A333,Trades!$Z$2:$Z$1146,"Win")</f>
        <v>0</v>
      </c>
      <c r="D333" s="29" t="n">
        <f aca="false">COUNTIFS(Trades!$D$2:$D$1146,$A333,Trades!$Z$2:$Z$1146,"Loss")</f>
        <v>1</v>
      </c>
      <c r="E333" s="30" t="n">
        <f aca="false">IFERROR(C333/B333,0)</f>
        <v>0</v>
      </c>
      <c r="F333" s="31" t="n">
        <f aca="false">SUMIFS(Trades!$X$2:$X$1146,Trades!$D$2:$D$1146,$A333)</f>
        <v>-0.24</v>
      </c>
      <c r="G333" s="31" t="n">
        <f aca="false">SUMIFS(Trades!$X$2:$X$1146,Trades!$D$2:$D$1146,$A333,Trades!$X$2:$X$1146,"&gt;0")</f>
        <v>0</v>
      </c>
      <c r="H333" s="31" t="n">
        <f aca="false">SUMIFS(Trades!$X$2:$X$1146,Trades!$D$2:$D$1146,$A333,Trades!$X$2:$X$1146,"&lt;0")</f>
        <v>-0.24</v>
      </c>
      <c r="I333" s="32" t="n">
        <f aca="false">IFERROR(G333/-H333,"no loss")</f>
        <v>0</v>
      </c>
      <c r="J333" s="31" t="n">
        <f aca="false">_xlfn.MAXIFS(Trades!$X$2:$X$1146,Trades!$D$2:$D$1146,$A333)</f>
        <v>-0.24</v>
      </c>
      <c r="K333" s="31" t="n">
        <f aca="false">_xlfn.MINIFS(Trades!$X$2:$X$1146,Trades!$D$2:$D$1146,$A333)</f>
        <v>-0.24</v>
      </c>
      <c r="L333" s="33" t="n">
        <f aca="false">SUMIFS(Trades!$Y$2:$Y$1146,Trades!$D$2:$D$1146,$A333)</f>
        <v>-0.0301507537688475</v>
      </c>
      <c r="M333" s="31" t="n">
        <f aca="false">P332</f>
        <v>13242.2</v>
      </c>
      <c r="N333" s="30" t="n">
        <f aca="false">IFERROR(F333/M333,0)</f>
        <v>-1.81238766972255E-005</v>
      </c>
      <c r="O333" s="29" t="str">
        <f aca="false">IF(-N333&gt;=Summary!$C$7,"BREACH","")</f>
        <v/>
      </c>
      <c r="P333" s="31" t="n">
        <f aca="false">M333+F333</f>
        <v>13241.96</v>
      </c>
      <c r="Q333" s="31" t="n">
        <f aca="false">P333-Summary!$C$5</f>
        <v>3241.95999999999</v>
      </c>
      <c r="R333" s="2" t="str">
        <f aca="false">TEXT(A333,"ddd")</f>
        <v>Thu</v>
      </c>
    </row>
    <row r="334" customFormat="false" ht="15" hidden="false" customHeight="false" outlineLevel="0" collapsed="false">
      <c r="A334" s="43" t="n">
        <v>45184</v>
      </c>
      <c r="B334" s="29" t="n">
        <f aca="false">COUNTIFS(Trades!$D$2:$D$1146,$A334)</f>
        <v>2</v>
      </c>
      <c r="C334" s="29" t="n">
        <f aca="false">COUNTIFS(Trades!$D$2:$D$1146,$A334,Trades!$Z$2:$Z$1146,"Win")</f>
        <v>0</v>
      </c>
      <c r="D334" s="29" t="n">
        <f aca="false">COUNTIFS(Trades!$D$2:$D$1146,$A334,Trades!$Z$2:$Z$1146,"Loss")</f>
        <v>2</v>
      </c>
      <c r="E334" s="30" t="n">
        <f aca="false">IFERROR(C334/B334,0)</f>
        <v>0</v>
      </c>
      <c r="F334" s="31" t="n">
        <f aca="false">SUMIFS(Trades!$X$2:$X$1146,Trades!$D$2:$D$1146,$A334)</f>
        <v>-80.8</v>
      </c>
      <c r="G334" s="31" t="n">
        <f aca="false">SUMIFS(Trades!$X$2:$X$1146,Trades!$D$2:$D$1146,$A334,Trades!$X$2:$X$1146,"&gt;0")</f>
        <v>0</v>
      </c>
      <c r="H334" s="31" t="n">
        <f aca="false">SUMIFS(Trades!$X$2:$X$1146,Trades!$D$2:$D$1146,$A334,Trades!$X$2:$X$1146,"&lt;0")</f>
        <v>-80.8</v>
      </c>
      <c r="I334" s="32" t="n">
        <f aca="false">IFERROR(G334/-H334,"no loss")</f>
        <v>0</v>
      </c>
      <c r="J334" s="31" t="n">
        <f aca="false">_xlfn.MAXIFS(Trades!$X$2:$X$1146,Trades!$D$2:$D$1146,$A334)</f>
        <v>-14.28</v>
      </c>
      <c r="K334" s="31" t="n">
        <f aca="false">_xlfn.MINIFS(Trades!$X$2:$X$1146,Trades!$D$2:$D$1146,$A334)</f>
        <v>-66.52</v>
      </c>
      <c r="L334" s="33" t="n">
        <f aca="false">SUMIFS(Trades!$Y$2:$Y$1146,Trades!$D$2:$D$1146,$A334)</f>
        <v>-2.05163436454358</v>
      </c>
      <c r="M334" s="31" t="n">
        <f aca="false">P333</f>
        <v>13241.96</v>
      </c>
      <c r="N334" s="30" t="n">
        <f aca="false">IFERROR(F334/M334,0)</f>
        <v>-0.00610181574328876</v>
      </c>
      <c r="O334" s="29" t="str">
        <f aca="false">IF(-N334&gt;=Summary!$C$7,"BREACH","")</f>
        <v/>
      </c>
      <c r="P334" s="31" t="n">
        <f aca="false">M334+F334</f>
        <v>13161.16</v>
      </c>
      <c r="Q334" s="31" t="n">
        <f aca="false">P334-Summary!$C$5</f>
        <v>3161.15999999999</v>
      </c>
      <c r="R334" s="2" t="str">
        <f aca="false">TEXT(A334,"ddd")</f>
        <v>Fri</v>
      </c>
    </row>
    <row r="335" customFormat="false" ht="15" hidden="false" customHeight="false" outlineLevel="0" collapsed="false">
      <c r="A335" s="43" t="n">
        <v>45187</v>
      </c>
      <c r="B335" s="29" t="n">
        <f aca="false">COUNTIFS(Trades!$D$2:$D$1146,$A335)</f>
        <v>1</v>
      </c>
      <c r="C335" s="29" t="n">
        <f aca="false">COUNTIFS(Trades!$D$2:$D$1146,$A335,Trades!$Z$2:$Z$1146,"Win")</f>
        <v>1</v>
      </c>
      <c r="D335" s="29" t="n">
        <f aca="false">COUNTIFS(Trades!$D$2:$D$1146,$A335,Trades!$Z$2:$Z$1146,"Loss")</f>
        <v>0</v>
      </c>
      <c r="E335" s="30" t="n">
        <f aca="false">IFERROR(C335/B335,0)</f>
        <v>1</v>
      </c>
      <c r="F335" s="31" t="n">
        <f aca="false">SUMIFS(Trades!$X$2:$X$1146,Trades!$D$2:$D$1146,$A335)</f>
        <v>57.92</v>
      </c>
      <c r="G335" s="31" t="n">
        <f aca="false">SUMIFS(Trades!$X$2:$X$1146,Trades!$D$2:$D$1146,$A335,Trades!$X$2:$X$1146,"&gt;0")</f>
        <v>57.92</v>
      </c>
      <c r="H335" s="31" t="n">
        <f aca="false">SUMIFS(Trades!$X$2:$X$1146,Trades!$D$2:$D$1146,$A335,Trades!$X$2:$X$1146,"&lt;0")</f>
        <v>0</v>
      </c>
      <c r="I335" s="32" t="str">
        <f aca="false">IFERROR(G335/-H335,"no loss")</f>
        <v>no loss</v>
      </c>
      <c r="J335" s="31" t="n">
        <f aca="false">_xlfn.MAXIFS(Trades!$X$2:$X$1146,Trades!$D$2:$D$1146,$A335)</f>
        <v>57.92</v>
      </c>
      <c r="K335" s="31" t="n">
        <f aca="false">_xlfn.MINIFS(Trades!$X$2:$X$1146,Trades!$D$2:$D$1146,$A335)</f>
        <v>57.92</v>
      </c>
      <c r="L335" s="33" t="n">
        <f aca="false">SUMIFS(Trades!$Y$2:$Y$1146,Trades!$D$2:$D$1146,$A335)</f>
        <v>2.45008460236893</v>
      </c>
      <c r="M335" s="31" t="n">
        <f aca="false">P334</f>
        <v>13161.16</v>
      </c>
      <c r="N335" s="30" t="n">
        <f aca="false">IFERROR(F335/M335,0)</f>
        <v>0.00440082789055068</v>
      </c>
      <c r="O335" s="29" t="str">
        <f aca="false">IF(-N335&gt;=Summary!$C$7,"BREACH","")</f>
        <v/>
      </c>
      <c r="P335" s="31" t="n">
        <f aca="false">M335+F335</f>
        <v>13219.08</v>
      </c>
      <c r="Q335" s="31" t="n">
        <f aca="false">P335-Summary!$C$5</f>
        <v>3219.07999999999</v>
      </c>
      <c r="R335" s="2" t="str">
        <f aca="false">TEXT(A335,"ddd")</f>
        <v>Mon</v>
      </c>
    </row>
    <row r="336" customFormat="false" ht="15" hidden="false" customHeight="false" outlineLevel="0" collapsed="false">
      <c r="A336" s="43" t="n">
        <v>45188</v>
      </c>
      <c r="B336" s="29" t="n">
        <f aca="false">COUNTIFS(Trades!$D$2:$D$1146,$A336)</f>
        <v>1</v>
      </c>
      <c r="C336" s="29" t="n">
        <f aca="false">COUNTIFS(Trades!$D$2:$D$1146,$A336,Trades!$Z$2:$Z$1146,"Win")</f>
        <v>0</v>
      </c>
      <c r="D336" s="29" t="n">
        <f aca="false">COUNTIFS(Trades!$D$2:$D$1146,$A336,Trades!$Z$2:$Z$1146,"Loss")</f>
        <v>1</v>
      </c>
      <c r="E336" s="30" t="n">
        <f aca="false">IFERROR(C336/B336,0)</f>
        <v>0</v>
      </c>
      <c r="F336" s="31" t="n">
        <f aca="false">SUMIFS(Trades!$X$2:$X$1146,Trades!$D$2:$D$1146,$A336)</f>
        <v>-61.4</v>
      </c>
      <c r="G336" s="31" t="n">
        <f aca="false">SUMIFS(Trades!$X$2:$X$1146,Trades!$D$2:$D$1146,$A336,Trades!$X$2:$X$1146,"&gt;0")</f>
        <v>0</v>
      </c>
      <c r="H336" s="31" t="n">
        <f aca="false">SUMIFS(Trades!$X$2:$X$1146,Trades!$D$2:$D$1146,$A336,Trades!$X$2:$X$1146,"&lt;0")</f>
        <v>-61.4</v>
      </c>
      <c r="I336" s="32" t="n">
        <f aca="false">IFERROR(G336/-H336,"no loss")</f>
        <v>0</v>
      </c>
      <c r="J336" s="31" t="n">
        <f aca="false">_xlfn.MAXIFS(Trades!$X$2:$X$1146,Trades!$D$2:$D$1146,$A336)</f>
        <v>-61.4</v>
      </c>
      <c r="K336" s="31" t="n">
        <f aca="false">_xlfn.MINIFS(Trades!$X$2:$X$1146,Trades!$D$2:$D$1146,$A336)</f>
        <v>-61.4</v>
      </c>
      <c r="L336" s="33" t="n">
        <f aca="false">SUMIFS(Trades!$Y$2:$Y$1146,Trades!$D$2:$D$1146,$A336)</f>
        <v>-1.01119894598154</v>
      </c>
      <c r="M336" s="31" t="n">
        <f aca="false">P335</f>
        <v>13219.08</v>
      </c>
      <c r="N336" s="30" t="n">
        <f aca="false">IFERROR(F336/M336,0)</f>
        <v>-0.00464480130235993</v>
      </c>
      <c r="O336" s="29" t="str">
        <f aca="false">IF(-N336&gt;=Summary!$C$7,"BREACH","")</f>
        <v/>
      </c>
      <c r="P336" s="31" t="n">
        <f aca="false">M336+F336</f>
        <v>13157.68</v>
      </c>
      <c r="Q336" s="31" t="n">
        <f aca="false">P336-Summary!$C$5</f>
        <v>3157.67999999999</v>
      </c>
      <c r="R336" s="2" t="str">
        <f aca="false">TEXT(A336,"ddd")</f>
        <v>Tue</v>
      </c>
    </row>
    <row r="337" customFormat="false" ht="15" hidden="false" customHeight="false" outlineLevel="0" collapsed="false">
      <c r="A337" s="43" t="n">
        <v>45189</v>
      </c>
      <c r="B337" s="29" t="n">
        <f aca="false">COUNTIFS(Trades!$D$2:$D$1146,$A337)</f>
        <v>1</v>
      </c>
      <c r="C337" s="29" t="n">
        <f aca="false">COUNTIFS(Trades!$D$2:$D$1146,$A337,Trades!$Z$2:$Z$1146,"Win")</f>
        <v>0</v>
      </c>
      <c r="D337" s="29" t="n">
        <f aca="false">COUNTIFS(Trades!$D$2:$D$1146,$A337,Trades!$Z$2:$Z$1146,"Loss")</f>
        <v>1</v>
      </c>
      <c r="E337" s="30" t="n">
        <f aca="false">IFERROR(C337/B337,0)</f>
        <v>0</v>
      </c>
      <c r="F337" s="31" t="n">
        <f aca="false">SUMIFS(Trades!$X$2:$X$1146,Trades!$D$2:$D$1146,$A337)</f>
        <v>-56.72</v>
      </c>
      <c r="G337" s="31" t="n">
        <f aca="false">SUMIFS(Trades!$X$2:$X$1146,Trades!$D$2:$D$1146,$A337,Trades!$X$2:$X$1146,"&gt;0")</f>
        <v>0</v>
      </c>
      <c r="H337" s="31" t="n">
        <f aca="false">SUMIFS(Trades!$X$2:$X$1146,Trades!$D$2:$D$1146,$A337,Trades!$X$2:$X$1146,"&lt;0")</f>
        <v>-56.72</v>
      </c>
      <c r="I337" s="32" t="n">
        <f aca="false">IFERROR(G337/-H337,"no loss")</f>
        <v>0</v>
      </c>
      <c r="J337" s="31" t="n">
        <f aca="false">_xlfn.MAXIFS(Trades!$X$2:$X$1146,Trades!$D$2:$D$1146,$A337)</f>
        <v>-56.72</v>
      </c>
      <c r="K337" s="31" t="n">
        <f aca="false">_xlfn.MINIFS(Trades!$X$2:$X$1146,Trades!$D$2:$D$1146,$A337)</f>
        <v>-56.72</v>
      </c>
      <c r="L337" s="33" t="n">
        <f aca="false">SUMIFS(Trades!$Y$2:$Y$1146,Trades!$D$2:$D$1146,$A337)</f>
        <v>-1.03202328966523</v>
      </c>
      <c r="M337" s="31" t="n">
        <f aca="false">P336</f>
        <v>13157.68</v>
      </c>
      <c r="N337" s="30" t="n">
        <f aca="false">IFERROR(F337/M337,0)</f>
        <v>-0.00431079035209855</v>
      </c>
      <c r="O337" s="29" t="str">
        <f aca="false">IF(-N337&gt;=Summary!$C$7,"BREACH","")</f>
        <v/>
      </c>
      <c r="P337" s="31" t="n">
        <f aca="false">M337+F337</f>
        <v>13100.96</v>
      </c>
      <c r="Q337" s="31" t="n">
        <f aca="false">P337-Summary!$C$5</f>
        <v>3100.95999999999</v>
      </c>
      <c r="R337" s="2" t="str">
        <f aca="false">TEXT(A337,"ddd")</f>
        <v>Wed</v>
      </c>
    </row>
    <row r="338" customFormat="false" ht="15" hidden="false" customHeight="false" outlineLevel="0" collapsed="false">
      <c r="A338" s="43" t="n">
        <v>45190</v>
      </c>
      <c r="B338" s="29" t="n">
        <f aca="false">COUNTIFS(Trades!$D$2:$D$1146,$A338)</f>
        <v>1</v>
      </c>
      <c r="C338" s="29" t="n">
        <f aca="false">COUNTIFS(Trades!$D$2:$D$1146,$A338,Trades!$Z$2:$Z$1146,"Win")</f>
        <v>0</v>
      </c>
      <c r="D338" s="29" t="n">
        <f aca="false">COUNTIFS(Trades!$D$2:$D$1146,$A338,Trades!$Z$2:$Z$1146,"Loss")</f>
        <v>1</v>
      </c>
      <c r="E338" s="30" t="n">
        <f aca="false">IFERROR(C338/B338,0)</f>
        <v>0</v>
      </c>
      <c r="F338" s="31" t="n">
        <f aca="false">SUMIFS(Trades!$X$2:$X$1146,Trades!$D$2:$D$1146,$A338)</f>
        <v>-23.92</v>
      </c>
      <c r="G338" s="31" t="n">
        <f aca="false">SUMIFS(Trades!$X$2:$X$1146,Trades!$D$2:$D$1146,$A338,Trades!$X$2:$X$1146,"&gt;0")</f>
        <v>0</v>
      </c>
      <c r="H338" s="31" t="n">
        <f aca="false">SUMIFS(Trades!$X$2:$X$1146,Trades!$D$2:$D$1146,$A338,Trades!$X$2:$X$1146,"&lt;0")</f>
        <v>-23.92</v>
      </c>
      <c r="I338" s="32" t="n">
        <f aca="false">IFERROR(G338/-H338,"no loss")</f>
        <v>0</v>
      </c>
      <c r="J338" s="31" t="n">
        <f aca="false">_xlfn.MAXIFS(Trades!$X$2:$X$1146,Trades!$D$2:$D$1146,$A338)</f>
        <v>-23.92</v>
      </c>
      <c r="K338" s="31" t="n">
        <f aca="false">_xlfn.MINIFS(Trades!$X$2:$X$1146,Trades!$D$2:$D$1146,$A338)</f>
        <v>-23.92</v>
      </c>
      <c r="L338" s="33" t="n">
        <f aca="false">SUMIFS(Trades!$Y$2:$Y$1146,Trades!$D$2:$D$1146,$A338)</f>
        <v>-1.01184433164131</v>
      </c>
      <c r="M338" s="31" t="n">
        <f aca="false">P337</f>
        <v>13100.96</v>
      </c>
      <c r="N338" s="30" t="n">
        <f aca="false">IFERROR(F338/M338,0)</f>
        <v>-0.00182582039789451</v>
      </c>
      <c r="O338" s="29" t="str">
        <f aca="false">IF(-N338&gt;=Summary!$C$7,"BREACH","")</f>
        <v/>
      </c>
      <c r="P338" s="31" t="n">
        <f aca="false">M338+F338</f>
        <v>13077.04</v>
      </c>
      <c r="Q338" s="31" t="n">
        <f aca="false">P338-Summary!$C$5</f>
        <v>3077.03999999999</v>
      </c>
      <c r="R338" s="2" t="str">
        <f aca="false">TEXT(A338,"ddd")</f>
        <v>Thu</v>
      </c>
    </row>
    <row r="339" customFormat="false" ht="15" hidden="false" customHeight="false" outlineLevel="0" collapsed="false">
      <c r="A339" s="43" t="n">
        <v>45191</v>
      </c>
      <c r="B339" s="29" t="n">
        <f aca="false">COUNTIFS(Trades!$D$2:$D$1146,$A339)</f>
        <v>1</v>
      </c>
      <c r="C339" s="29" t="n">
        <f aca="false">COUNTIFS(Trades!$D$2:$D$1146,$A339,Trades!$Z$2:$Z$1146,"Win")</f>
        <v>0</v>
      </c>
      <c r="D339" s="29" t="n">
        <f aca="false">COUNTIFS(Trades!$D$2:$D$1146,$A339,Trades!$Z$2:$Z$1146,"Loss")</f>
        <v>1</v>
      </c>
      <c r="E339" s="30" t="n">
        <f aca="false">IFERROR(C339/B339,0)</f>
        <v>0</v>
      </c>
      <c r="F339" s="31" t="n">
        <f aca="false">SUMIFS(Trades!$X$2:$X$1146,Trades!$D$2:$D$1146,$A339)</f>
        <v>-17.28</v>
      </c>
      <c r="G339" s="31" t="n">
        <f aca="false">SUMIFS(Trades!$X$2:$X$1146,Trades!$D$2:$D$1146,$A339,Trades!$X$2:$X$1146,"&gt;0")</f>
        <v>0</v>
      </c>
      <c r="H339" s="31" t="n">
        <f aca="false">SUMIFS(Trades!$X$2:$X$1146,Trades!$D$2:$D$1146,$A339,Trades!$X$2:$X$1146,"&lt;0")</f>
        <v>-17.28</v>
      </c>
      <c r="I339" s="32" t="n">
        <f aca="false">IFERROR(G339/-H339,"no loss")</f>
        <v>0</v>
      </c>
      <c r="J339" s="31" t="n">
        <f aca="false">_xlfn.MAXIFS(Trades!$X$2:$X$1146,Trades!$D$2:$D$1146,$A339)</f>
        <v>-17.28</v>
      </c>
      <c r="K339" s="31" t="n">
        <f aca="false">_xlfn.MINIFS(Trades!$X$2:$X$1146,Trades!$D$2:$D$1146,$A339)</f>
        <v>-17.28</v>
      </c>
      <c r="L339" s="33" t="n">
        <f aca="false">SUMIFS(Trades!$Y$2:$Y$1146,Trades!$D$2:$D$1146,$A339)</f>
        <v>-1.08270676691735</v>
      </c>
      <c r="M339" s="31" t="n">
        <f aca="false">P338</f>
        <v>13077.04</v>
      </c>
      <c r="N339" s="30" t="n">
        <f aca="false">IFERROR(F339/M339,0)</f>
        <v>-0.00132139994983574</v>
      </c>
      <c r="O339" s="29" t="str">
        <f aca="false">IF(-N339&gt;=Summary!$C$7,"BREACH","")</f>
        <v/>
      </c>
      <c r="P339" s="31" t="n">
        <f aca="false">M339+F339</f>
        <v>13059.76</v>
      </c>
      <c r="Q339" s="31" t="n">
        <f aca="false">P339-Summary!$C$5</f>
        <v>3059.75999999999</v>
      </c>
      <c r="R339" s="2" t="str">
        <f aca="false">TEXT(A339,"ddd")</f>
        <v>Fri</v>
      </c>
    </row>
    <row r="340" customFormat="false" ht="15" hidden="false" customHeight="false" outlineLevel="0" collapsed="false">
      <c r="A340" s="43" t="n">
        <v>45194</v>
      </c>
      <c r="B340" s="29" t="n">
        <f aca="false">COUNTIFS(Trades!$D$2:$D$1146,$A340)</f>
        <v>1</v>
      </c>
      <c r="C340" s="29" t="n">
        <f aca="false">COUNTIFS(Trades!$D$2:$D$1146,$A340,Trades!$Z$2:$Z$1146,"Win")</f>
        <v>1</v>
      </c>
      <c r="D340" s="29" t="n">
        <f aca="false">COUNTIFS(Trades!$D$2:$D$1146,$A340,Trades!$Z$2:$Z$1146,"Loss")</f>
        <v>0</v>
      </c>
      <c r="E340" s="30" t="n">
        <f aca="false">IFERROR(C340/B340,0)</f>
        <v>1</v>
      </c>
      <c r="F340" s="31" t="n">
        <f aca="false">SUMIFS(Trades!$X$2:$X$1146,Trades!$D$2:$D$1146,$A340)</f>
        <v>107.76</v>
      </c>
      <c r="G340" s="31" t="n">
        <f aca="false">SUMIFS(Trades!$X$2:$X$1146,Trades!$D$2:$D$1146,$A340,Trades!$X$2:$X$1146,"&gt;0")</f>
        <v>107.76</v>
      </c>
      <c r="H340" s="31" t="n">
        <f aca="false">SUMIFS(Trades!$X$2:$X$1146,Trades!$D$2:$D$1146,$A340,Trades!$X$2:$X$1146,"&lt;0")</f>
        <v>0</v>
      </c>
      <c r="I340" s="32" t="str">
        <f aca="false">IFERROR(G340/-H340,"no loss")</f>
        <v>no loss</v>
      </c>
      <c r="J340" s="31" t="n">
        <f aca="false">_xlfn.MAXIFS(Trades!$X$2:$X$1146,Trades!$D$2:$D$1146,$A340)</f>
        <v>107.76</v>
      </c>
      <c r="K340" s="31" t="n">
        <f aca="false">_xlfn.MINIFS(Trades!$X$2:$X$1146,Trades!$D$2:$D$1146,$A340)</f>
        <v>107.76</v>
      </c>
      <c r="L340" s="33" t="n">
        <f aca="false">SUMIFS(Trades!$Y$2:$Y$1146,Trades!$D$2:$D$1146,$A340)</f>
        <v>2.56083650190103</v>
      </c>
      <c r="M340" s="31" t="n">
        <f aca="false">P339</f>
        <v>13059.76</v>
      </c>
      <c r="N340" s="30" t="n">
        <f aca="false">IFERROR(F340/M340,0)</f>
        <v>0.00825130017703236</v>
      </c>
      <c r="O340" s="29" t="str">
        <f aca="false">IF(-N340&gt;=Summary!$C$7,"BREACH","")</f>
        <v/>
      </c>
      <c r="P340" s="31" t="n">
        <f aca="false">M340+F340</f>
        <v>13167.52</v>
      </c>
      <c r="Q340" s="31" t="n">
        <f aca="false">P340-Summary!$C$5</f>
        <v>3167.51999999999</v>
      </c>
      <c r="R340" s="2" t="str">
        <f aca="false">TEXT(A340,"ddd")</f>
        <v>Mon</v>
      </c>
    </row>
    <row r="341" customFormat="false" ht="15" hidden="false" customHeight="false" outlineLevel="0" collapsed="false">
      <c r="A341" s="43" t="n">
        <v>45195</v>
      </c>
      <c r="B341" s="29" t="n">
        <f aca="false">COUNTIFS(Trades!$D$2:$D$1146,$A341)</f>
        <v>1</v>
      </c>
      <c r="C341" s="29" t="n">
        <f aca="false">COUNTIFS(Trades!$D$2:$D$1146,$A341,Trades!$Z$2:$Z$1146,"Win")</f>
        <v>0</v>
      </c>
      <c r="D341" s="29" t="n">
        <f aca="false">COUNTIFS(Trades!$D$2:$D$1146,$A341,Trades!$Z$2:$Z$1146,"Loss")</f>
        <v>1</v>
      </c>
      <c r="E341" s="30" t="n">
        <f aca="false">IFERROR(C341/B341,0)</f>
        <v>0</v>
      </c>
      <c r="F341" s="31" t="n">
        <f aca="false">SUMIFS(Trades!$X$2:$X$1146,Trades!$D$2:$D$1146,$A341)</f>
        <v>-1.8</v>
      </c>
      <c r="G341" s="31" t="n">
        <f aca="false">SUMIFS(Trades!$X$2:$X$1146,Trades!$D$2:$D$1146,$A341,Trades!$X$2:$X$1146,"&gt;0")</f>
        <v>0</v>
      </c>
      <c r="H341" s="31" t="n">
        <f aca="false">SUMIFS(Trades!$X$2:$X$1146,Trades!$D$2:$D$1146,$A341,Trades!$X$2:$X$1146,"&lt;0")</f>
        <v>-1.8</v>
      </c>
      <c r="I341" s="32" t="n">
        <f aca="false">IFERROR(G341/-H341,"no loss")</f>
        <v>0</v>
      </c>
      <c r="J341" s="31" t="n">
        <f aca="false">_xlfn.MAXIFS(Trades!$X$2:$X$1146,Trades!$D$2:$D$1146,$A341)</f>
        <v>-1.8</v>
      </c>
      <c r="K341" s="31" t="n">
        <f aca="false">_xlfn.MINIFS(Trades!$X$2:$X$1146,Trades!$D$2:$D$1146,$A341)</f>
        <v>-1.8</v>
      </c>
      <c r="L341" s="33" t="n">
        <f aca="false">SUMIFS(Trades!$Y$2:$Y$1146,Trades!$D$2:$D$1146,$A341)</f>
        <v>-0.0271575135787573</v>
      </c>
      <c r="M341" s="31" t="n">
        <f aca="false">P340</f>
        <v>13167.52</v>
      </c>
      <c r="N341" s="30" t="n">
        <f aca="false">IFERROR(F341/M341,0)</f>
        <v>-0.000136700001215111</v>
      </c>
      <c r="O341" s="29" t="str">
        <f aca="false">IF(-N341&gt;=Summary!$C$7,"BREACH","")</f>
        <v/>
      </c>
      <c r="P341" s="31" t="n">
        <f aca="false">M341+F341</f>
        <v>13165.72</v>
      </c>
      <c r="Q341" s="31" t="n">
        <f aca="false">P341-Summary!$C$5</f>
        <v>3165.71999999999</v>
      </c>
      <c r="R341" s="2" t="str">
        <f aca="false">TEXT(A341,"ddd")</f>
        <v>Tue</v>
      </c>
    </row>
    <row r="342" customFormat="false" ht="15" hidden="false" customHeight="false" outlineLevel="0" collapsed="false">
      <c r="A342" s="43" t="n">
        <v>45196</v>
      </c>
      <c r="B342" s="29" t="n">
        <f aca="false">COUNTIFS(Trades!$D$2:$D$1146,$A342)</f>
        <v>1</v>
      </c>
      <c r="C342" s="29" t="n">
        <f aca="false">COUNTIFS(Trades!$D$2:$D$1146,$A342,Trades!$Z$2:$Z$1146,"Win")</f>
        <v>0</v>
      </c>
      <c r="D342" s="29" t="n">
        <f aca="false">COUNTIFS(Trades!$D$2:$D$1146,$A342,Trades!$Z$2:$Z$1146,"Loss")</f>
        <v>1</v>
      </c>
      <c r="E342" s="30" t="n">
        <f aca="false">IFERROR(C342/B342,0)</f>
        <v>0</v>
      </c>
      <c r="F342" s="31" t="n">
        <f aca="false">SUMIFS(Trades!$X$2:$X$1146,Trades!$D$2:$D$1146,$A342)</f>
        <v>-0.04</v>
      </c>
      <c r="G342" s="31" t="n">
        <f aca="false">SUMIFS(Trades!$X$2:$X$1146,Trades!$D$2:$D$1146,$A342,Trades!$X$2:$X$1146,"&gt;0")</f>
        <v>0</v>
      </c>
      <c r="H342" s="31" t="n">
        <f aca="false">SUMIFS(Trades!$X$2:$X$1146,Trades!$D$2:$D$1146,$A342,Trades!$X$2:$X$1146,"&lt;0")</f>
        <v>-0.04</v>
      </c>
      <c r="I342" s="32" t="n">
        <f aca="false">IFERROR(G342/-H342,"no loss")</f>
        <v>0</v>
      </c>
      <c r="J342" s="31" t="n">
        <f aca="false">_xlfn.MAXIFS(Trades!$X$2:$X$1146,Trades!$D$2:$D$1146,$A342)</f>
        <v>-0.04</v>
      </c>
      <c r="K342" s="31" t="n">
        <f aca="false">_xlfn.MINIFS(Trades!$X$2:$X$1146,Trades!$D$2:$D$1146,$A342)</f>
        <v>-0.04</v>
      </c>
      <c r="L342" s="33" t="n">
        <f aca="false">SUMIFS(Trades!$Y$2:$Y$1146,Trades!$D$2:$D$1146,$A342)</f>
        <v>-0.00106382978723408</v>
      </c>
      <c r="M342" s="31" t="n">
        <f aca="false">P341</f>
        <v>13165.72</v>
      </c>
      <c r="N342" s="30" t="n">
        <f aca="false">IFERROR(F342/M342,0)</f>
        <v>-3.03819312578424E-006</v>
      </c>
      <c r="O342" s="29" t="str">
        <f aca="false">IF(-N342&gt;=Summary!$C$7,"BREACH","")</f>
        <v/>
      </c>
      <c r="P342" s="31" t="n">
        <f aca="false">M342+F342</f>
        <v>13165.68</v>
      </c>
      <c r="Q342" s="31" t="n">
        <f aca="false">P342-Summary!$C$5</f>
        <v>3165.67999999999</v>
      </c>
      <c r="R342" s="2" t="str">
        <f aca="false">TEXT(A342,"ddd")</f>
        <v>Wed</v>
      </c>
    </row>
    <row r="343" customFormat="false" ht="15" hidden="false" customHeight="false" outlineLevel="0" collapsed="false">
      <c r="A343" s="43" t="n">
        <v>45197</v>
      </c>
      <c r="B343" s="29" t="n">
        <f aca="false">COUNTIFS(Trades!$D$2:$D$1146,$A343)</f>
        <v>1</v>
      </c>
      <c r="C343" s="29" t="n">
        <f aca="false">COUNTIFS(Trades!$D$2:$D$1146,$A343,Trades!$Z$2:$Z$1146,"Win")</f>
        <v>1</v>
      </c>
      <c r="D343" s="29" t="n">
        <f aca="false">COUNTIFS(Trades!$D$2:$D$1146,$A343,Trades!$Z$2:$Z$1146,"Loss")</f>
        <v>0</v>
      </c>
      <c r="E343" s="30" t="n">
        <f aca="false">IFERROR(C343/B343,0)</f>
        <v>1</v>
      </c>
      <c r="F343" s="31" t="n">
        <f aca="false">SUMIFS(Trades!$X$2:$X$1146,Trades!$D$2:$D$1146,$A343)</f>
        <v>151.36</v>
      </c>
      <c r="G343" s="31" t="n">
        <f aca="false">SUMIFS(Trades!$X$2:$X$1146,Trades!$D$2:$D$1146,$A343,Trades!$X$2:$X$1146,"&gt;0")</f>
        <v>151.36</v>
      </c>
      <c r="H343" s="31" t="n">
        <f aca="false">SUMIFS(Trades!$X$2:$X$1146,Trades!$D$2:$D$1146,$A343,Trades!$X$2:$X$1146,"&lt;0")</f>
        <v>0</v>
      </c>
      <c r="I343" s="32" t="str">
        <f aca="false">IFERROR(G343/-H343,"no loss")</f>
        <v>no loss</v>
      </c>
      <c r="J343" s="31" t="n">
        <f aca="false">_xlfn.MAXIFS(Trades!$X$2:$X$1146,Trades!$D$2:$D$1146,$A343)</f>
        <v>151.36</v>
      </c>
      <c r="K343" s="31" t="n">
        <f aca="false">_xlfn.MINIFS(Trades!$X$2:$X$1146,Trades!$D$2:$D$1146,$A343)</f>
        <v>151.36</v>
      </c>
      <c r="L343" s="33" t="n">
        <f aca="false">SUMIFS(Trades!$Y$2:$Y$1146,Trades!$D$2:$D$1146,$A343)</f>
        <v>2.82598954443627</v>
      </c>
      <c r="M343" s="31" t="n">
        <f aca="false">P342</f>
        <v>13165.68</v>
      </c>
      <c r="N343" s="30" t="n">
        <f aca="false">IFERROR(F343/M343,0)</f>
        <v>0.0114965577167302</v>
      </c>
      <c r="O343" s="29" t="str">
        <f aca="false">IF(-N343&gt;=Summary!$C$7,"BREACH","")</f>
        <v/>
      </c>
      <c r="P343" s="31" t="n">
        <f aca="false">M343+F343</f>
        <v>13317.04</v>
      </c>
      <c r="Q343" s="31" t="n">
        <f aca="false">P343-Summary!$C$5</f>
        <v>3317.03999999999</v>
      </c>
      <c r="R343" s="2" t="str">
        <f aca="false">TEXT(A343,"ddd")</f>
        <v>Thu</v>
      </c>
    </row>
    <row r="344" customFormat="false" ht="15" hidden="false" customHeight="false" outlineLevel="0" collapsed="false">
      <c r="A344" s="43" t="n">
        <v>45198</v>
      </c>
      <c r="B344" s="29" t="n">
        <f aca="false">COUNTIFS(Trades!$D$2:$D$1146,$A344)</f>
        <v>1</v>
      </c>
      <c r="C344" s="29" t="n">
        <f aca="false">COUNTIFS(Trades!$D$2:$D$1146,$A344,Trades!$Z$2:$Z$1146,"Win")</f>
        <v>0</v>
      </c>
      <c r="D344" s="29" t="n">
        <f aca="false">COUNTIFS(Trades!$D$2:$D$1146,$A344,Trades!$Z$2:$Z$1146,"Loss")</f>
        <v>1</v>
      </c>
      <c r="E344" s="30" t="n">
        <f aca="false">IFERROR(C344/B344,0)</f>
        <v>0</v>
      </c>
      <c r="F344" s="31" t="n">
        <f aca="false">SUMIFS(Trades!$X$2:$X$1146,Trades!$D$2:$D$1146,$A344)</f>
        <v>-20</v>
      </c>
      <c r="G344" s="31" t="n">
        <f aca="false">SUMIFS(Trades!$X$2:$X$1146,Trades!$D$2:$D$1146,$A344,Trades!$X$2:$X$1146,"&gt;0")</f>
        <v>0</v>
      </c>
      <c r="H344" s="31" t="n">
        <f aca="false">SUMIFS(Trades!$X$2:$X$1146,Trades!$D$2:$D$1146,$A344,Trades!$X$2:$X$1146,"&lt;0")</f>
        <v>-20</v>
      </c>
      <c r="I344" s="32" t="n">
        <f aca="false">IFERROR(G344/-H344,"no loss")</f>
        <v>0</v>
      </c>
      <c r="J344" s="31" t="n">
        <f aca="false">_xlfn.MAXIFS(Trades!$X$2:$X$1146,Trades!$D$2:$D$1146,$A344)</f>
        <v>-20</v>
      </c>
      <c r="K344" s="31" t="n">
        <f aca="false">_xlfn.MINIFS(Trades!$X$2:$X$1146,Trades!$D$2:$D$1146,$A344)</f>
        <v>-20</v>
      </c>
      <c r="L344" s="33" t="n">
        <f aca="false">SUMIFS(Trades!$Y$2:$Y$1146,Trades!$D$2:$D$1146,$A344)</f>
        <v>-1.25944584382892</v>
      </c>
      <c r="M344" s="31" t="n">
        <f aca="false">P343</f>
        <v>13317.04</v>
      </c>
      <c r="N344" s="30" t="n">
        <f aca="false">IFERROR(F344/M344,0)</f>
        <v>-0.00150183524266654</v>
      </c>
      <c r="O344" s="29" t="str">
        <f aca="false">IF(-N344&gt;=Summary!$C$7,"BREACH","")</f>
        <v/>
      </c>
      <c r="P344" s="31" t="n">
        <f aca="false">M344+F344</f>
        <v>13297.04</v>
      </c>
      <c r="Q344" s="31" t="n">
        <f aca="false">P344-Summary!$C$5</f>
        <v>3297.03999999999</v>
      </c>
      <c r="R344" s="2" t="str">
        <f aca="false">TEXT(A344,"ddd")</f>
        <v>Fri</v>
      </c>
    </row>
    <row r="345" customFormat="false" ht="15" hidden="false" customHeight="false" outlineLevel="0" collapsed="false">
      <c r="A345" s="43" t="n">
        <v>45202</v>
      </c>
      <c r="B345" s="29" t="n">
        <f aca="false">COUNTIFS(Trades!$D$2:$D$1146,$A345)</f>
        <v>1</v>
      </c>
      <c r="C345" s="29" t="n">
        <f aca="false">COUNTIFS(Trades!$D$2:$D$1146,$A345,Trades!$Z$2:$Z$1146,"Win")</f>
        <v>0</v>
      </c>
      <c r="D345" s="29" t="n">
        <f aca="false">COUNTIFS(Trades!$D$2:$D$1146,$A345,Trades!$Z$2:$Z$1146,"Loss")</f>
        <v>1</v>
      </c>
      <c r="E345" s="30" t="n">
        <f aca="false">IFERROR(C345/B345,0)</f>
        <v>0</v>
      </c>
      <c r="F345" s="31" t="n">
        <f aca="false">SUMIFS(Trades!$X$2:$X$1146,Trades!$D$2:$D$1146,$A345)</f>
        <v>-64.08</v>
      </c>
      <c r="G345" s="31" t="n">
        <f aca="false">SUMIFS(Trades!$X$2:$X$1146,Trades!$D$2:$D$1146,$A345,Trades!$X$2:$X$1146,"&gt;0")</f>
        <v>0</v>
      </c>
      <c r="H345" s="31" t="n">
        <f aca="false">SUMIFS(Trades!$X$2:$X$1146,Trades!$D$2:$D$1146,$A345,Trades!$X$2:$X$1146,"&lt;0")</f>
        <v>-64.08</v>
      </c>
      <c r="I345" s="32" t="n">
        <f aca="false">IFERROR(G345/-H345,"no loss")</f>
        <v>0</v>
      </c>
      <c r="J345" s="31" t="n">
        <f aca="false">_xlfn.MAXIFS(Trades!$X$2:$X$1146,Trades!$D$2:$D$1146,$A345)</f>
        <v>-64.08</v>
      </c>
      <c r="K345" s="31" t="n">
        <f aca="false">_xlfn.MINIFS(Trades!$X$2:$X$1146,Trades!$D$2:$D$1146,$A345)</f>
        <v>-64.08</v>
      </c>
      <c r="L345" s="33" t="n">
        <f aca="false">SUMIFS(Trades!$Y$2:$Y$1146,Trades!$D$2:$D$1146,$A345)</f>
        <v>-1.01585288522508</v>
      </c>
      <c r="M345" s="31" t="n">
        <f aca="false">P344</f>
        <v>13297.04</v>
      </c>
      <c r="N345" s="30" t="n">
        <f aca="false">IFERROR(F345/M345,0)</f>
        <v>-0.00481911763821121</v>
      </c>
      <c r="O345" s="29" t="str">
        <f aca="false">IF(-N345&gt;=Summary!$C$7,"BREACH","")</f>
        <v/>
      </c>
      <c r="P345" s="31" t="n">
        <f aca="false">M345+F345</f>
        <v>13232.96</v>
      </c>
      <c r="Q345" s="31" t="n">
        <f aca="false">P345-Summary!$C$5</f>
        <v>3232.95999999999</v>
      </c>
      <c r="R345" s="2" t="str">
        <f aca="false">TEXT(A345,"ddd")</f>
        <v>Tue</v>
      </c>
    </row>
    <row r="346" customFormat="false" ht="15" hidden="false" customHeight="false" outlineLevel="0" collapsed="false">
      <c r="A346" s="43" t="n">
        <v>45203</v>
      </c>
      <c r="B346" s="29" t="n">
        <f aca="false">COUNTIFS(Trades!$D$2:$D$1146,$A346)</f>
        <v>1</v>
      </c>
      <c r="C346" s="29" t="n">
        <f aca="false">COUNTIFS(Trades!$D$2:$D$1146,$A346,Trades!$Z$2:$Z$1146,"Win")</f>
        <v>0</v>
      </c>
      <c r="D346" s="29" t="n">
        <f aca="false">COUNTIFS(Trades!$D$2:$D$1146,$A346,Trades!$Z$2:$Z$1146,"Loss")</f>
        <v>1</v>
      </c>
      <c r="E346" s="30" t="n">
        <f aca="false">IFERROR(C346/B346,0)</f>
        <v>0</v>
      </c>
      <c r="F346" s="31" t="n">
        <f aca="false">SUMIFS(Trades!$X$2:$X$1146,Trades!$D$2:$D$1146,$A346)</f>
        <v>-26.04</v>
      </c>
      <c r="G346" s="31" t="n">
        <f aca="false">SUMIFS(Trades!$X$2:$X$1146,Trades!$D$2:$D$1146,$A346,Trades!$X$2:$X$1146,"&gt;0")</f>
        <v>0</v>
      </c>
      <c r="H346" s="31" t="n">
        <f aca="false">SUMIFS(Trades!$X$2:$X$1146,Trades!$D$2:$D$1146,$A346,Trades!$X$2:$X$1146,"&lt;0")</f>
        <v>-26.04</v>
      </c>
      <c r="I346" s="32" t="n">
        <f aca="false">IFERROR(G346/-H346,"no loss")</f>
        <v>0</v>
      </c>
      <c r="J346" s="31" t="n">
        <f aca="false">_xlfn.MAXIFS(Trades!$X$2:$X$1146,Trades!$D$2:$D$1146,$A346)</f>
        <v>-26.04</v>
      </c>
      <c r="K346" s="31" t="n">
        <f aca="false">_xlfn.MINIFS(Trades!$X$2:$X$1146,Trades!$D$2:$D$1146,$A346)</f>
        <v>-26.04</v>
      </c>
      <c r="L346" s="33" t="n">
        <f aca="false">SUMIFS(Trades!$Y$2:$Y$1146,Trades!$D$2:$D$1146,$A346)</f>
        <v>-1.04494382022479</v>
      </c>
      <c r="M346" s="31" t="n">
        <f aca="false">P345</f>
        <v>13232.96</v>
      </c>
      <c r="N346" s="30" t="n">
        <f aca="false">IFERROR(F346/M346,0)</f>
        <v>-0.00196781370154523</v>
      </c>
      <c r="O346" s="29" t="str">
        <f aca="false">IF(-N346&gt;=Summary!$C$7,"BREACH","")</f>
        <v/>
      </c>
      <c r="P346" s="31" t="n">
        <f aca="false">M346+F346</f>
        <v>13206.92</v>
      </c>
      <c r="Q346" s="31" t="n">
        <f aca="false">P346-Summary!$C$5</f>
        <v>3206.91999999999</v>
      </c>
      <c r="R346" s="2" t="str">
        <f aca="false">TEXT(A346,"ddd")</f>
        <v>Wed</v>
      </c>
    </row>
    <row r="347" customFormat="false" ht="15" hidden="false" customHeight="false" outlineLevel="0" collapsed="false">
      <c r="A347" s="43" t="n">
        <v>45204</v>
      </c>
      <c r="B347" s="29" t="n">
        <f aca="false">COUNTIFS(Trades!$D$2:$D$1146,$A347)</f>
        <v>1</v>
      </c>
      <c r="C347" s="29" t="n">
        <f aca="false">COUNTIFS(Trades!$D$2:$D$1146,$A347,Trades!$Z$2:$Z$1146,"Win")</f>
        <v>0</v>
      </c>
      <c r="D347" s="29" t="n">
        <f aca="false">COUNTIFS(Trades!$D$2:$D$1146,$A347,Trades!$Z$2:$Z$1146,"Loss")</f>
        <v>1</v>
      </c>
      <c r="E347" s="30" t="n">
        <f aca="false">IFERROR(C347/B347,0)</f>
        <v>0</v>
      </c>
      <c r="F347" s="31" t="n">
        <f aca="false">SUMIFS(Trades!$X$2:$X$1146,Trades!$D$2:$D$1146,$A347)</f>
        <v>-26.36</v>
      </c>
      <c r="G347" s="31" t="n">
        <f aca="false">SUMIFS(Trades!$X$2:$X$1146,Trades!$D$2:$D$1146,$A347,Trades!$X$2:$X$1146,"&gt;0")</f>
        <v>0</v>
      </c>
      <c r="H347" s="31" t="n">
        <f aca="false">SUMIFS(Trades!$X$2:$X$1146,Trades!$D$2:$D$1146,$A347,Trades!$X$2:$X$1146,"&lt;0")</f>
        <v>-26.36</v>
      </c>
      <c r="I347" s="32" t="n">
        <f aca="false">IFERROR(G347/-H347,"no loss")</f>
        <v>0</v>
      </c>
      <c r="J347" s="31" t="n">
        <f aca="false">_xlfn.MAXIFS(Trades!$X$2:$X$1146,Trades!$D$2:$D$1146,$A347)</f>
        <v>-26.36</v>
      </c>
      <c r="K347" s="31" t="n">
        <f aca="false">_xlfn.MINIFS(Trades!$X$2:$X$1146,Trades!$D$2:$D$1146,$A347)</f>
        <v>-26.36</v>
      </c>
      <c r="L347" s="33" t="n">
        <f aca="false">SUMIFS(Trades!$Y$2:$Y$1146,Trades!$D$2:$D$1146,$A347)</f>
        <v>-1.00610687022912</v>
      </c>
      <c r="M347" s="31" t="n">
        <f aca="false">P346</f>
        <v>13206.92</v>
      </c>
      <c r="N347" s="30" t="n">
        <f aca="false">IFERROR(F347/M347,0)</f>
        <v>-0.00199592334927447</v>
      </c>
      <c r="O347" s="29" t="str">
        <f aca="false">IF(-N347&gt;=Summary!$C$7,"BREACH","")</f>
        <v/>
      </c>
      <c r="P347" s="31" t="n">
        <f aca="false">M347+F347</f>
        <v>13180.56</v>
      </c>
      <c r="Q347" s="31" t="n">
        <f aca="false">P347-Summary!$C$5</f>
        <v>3180.55999999999</v>
      </c>
      <c r="R347" s="2" t="str">
        <f aca="false">TEXT(A347,"ddd")</f>
        <v>Thu</v>
      </c>
    </row>
    <row r="348" customFormat="false" ht="15" hidden="false" customHeight="false" outlineLevel="0" collapsed="false">
      <c r="A348" s="43" t="n">
        <v>45205</v>
      </c>
      <c r="B348" s="29" t="n">
        <f aca="false">COUNTIFS(Trades!$D$2:$D$1146,$A348)</f>
        <v>2</v>
      </c>
      <c r="C348" s="29" t="n">
        <f aca="false">COUNTIFS(Trades!$D$2:$D$1146,$A348,Trades!$Z$2:$Z$1146,"Win")</f>
        <v>1</v>
      </c>
      <c r="D348" s="29" t="n">
        <f aca="false">COUNTIFS(Trades!$D$2:$D$1146,$A348,Trades!$Z$2:$Z$1146,"Loss")</f>
        <v>1</v>
      </c>
      <c r="E348" s="30" t="n">
        <f aca="false">IFERROR(C348/B348,0)</f>
        <v>0.5</v>
      </c>
      <c r="F348" s="31" t="n">
        <f aca="false">SUMIFS(Trades!$X$2:$X$1146,Trades!$D$2:$D$1146,$A348)</f>
        <v>-60.72</v>
      </c>
      <c r="G348" s="31" t="n">
        <f aca="false">SUMIFS(Trades!$X$2:$X$1146,Trades!$D$2:$D$1146,$A348,Trades!$X$2:$X$1146,"&gt;0")</f>
        <v>184.76</v>
      </c>
      <c r="H348" s="31" t="n">
        <f aca="false">SUMIFS(Trades!$X$2:$X$1146,Trades!$D$2:$D$1146,$A348,Trades!$X$2:$X$1146,"&lt;0")</f>
        <v>-245.48</v>
      </c>
      <c r="I348" s="32" t="n">
        <f aca="false">IFERROR(G348/-H348,"no loss")</f>
        <v>0.752647873553854</v>
      </c>
      <c r="J348" s="31" t="n">
        <f aca="false">_xlfn.MAXIFS(Trades!$X$2:$X$1146,Trades!$D$2:$D$1146,$A348)</f>
        <v>184.76</v>
      </c>
      <c r="K348" s="31" t="n">
        <f aca="false">_xlfn.MINIFS(Trades!$X$2:$X$1146,Trades!$D$2:$D$1146,$A348)</f>
        <v>-245.48</v>
      </c>
      <c r="L348" s="33" t="n">
        <f aca="false">SUMIFS(Trades!$Y$2:$Y$1146,Trades!$D$2:$D$1146,$A348)</f>
        <v>1.42250109716533</v>
      </c>
      <c r="M348" s="31" t="n">
        <f aca="false">P347</f>
        <v>13180.56</v>
      </c>
      <c r="N348" s="30" t="n">
        <f aca="false">IFERROR(F348/M348,0)</f>
        <v>-0.00460678453722756</v>
      </c>
      <c r="O348" s="29" t="str">
        <f aca="false">IF(-N348&gt;=Summary!$C$7,"BREACH","")</f>
        <v/>
      </c>
      <c r="P348" s="31" t="n">
        <f aca="false">M348+F348</f>
        <v>13119.84</v>
      </c>
      <c r="Q348" s="31" t="n">
        <f aca="false">P348-Summary!$C$5</f>
        <v>3119.83999999999</v>
      </c>
      <c r="R348" s="2" t="str">
        <f aca="false">TEXT(A348,"ddd")</f>
        <v>Fri</v>
      </c>
    </row>
    <row r="349" customFormat="false" ht="15" hidden="false" customHeight="false" outlineLevel="0" collapsed="false">
      <c r="A349" s="43" t="n">
        <v>45208</v>
      </c>
      <c r="B349" s="29" t="n">
        <f aca="false">COUNTIFS(Trades!$D$2:$D$1146,$A349)</f>
        <v>1</v>
      </c>
      <c r="C349" s="29" t="n">
        <f aca="false">COUNTIFS(Trades!$D$2:$D$1146,$A349,Trades!$Z$2:$Z$1146,"Win")</f>
        <v>0</v>
      </c>
      <c r="D349" s="29" t="n">
        <f aca="false">COUNTIFS(Trades!$D$2:$D$1146,$A349,Trades!$Z$2:$Z$1146,"Loss")</f>
        <v>1</v>
      </c>
      <c r="E349" s="30" t="n">
        <f aca="false">IFERROR(C349/B349,0)</f>
        <v>0</v>
      </c>
      <c r="F349" s="31" t="n">
        <f aca="false">SUMIFS(Trades!$X$2:$X$1146,Trades!$D$2:$D$1146,$A349)</f>
        <v>-38.96</v>
      </c>
      <c r="G349" s="31" t="n">
        <f aca="false">SUMIFS(Trades!$X$2:$X$1146,Trades!$D$2:$D$1146,$A349,Trades!$X$2:$X$1146,"&gt;0")</f>
        <v>0</v>
      </c>
      <c r="H349" s="31" t="n">
        <f aca="false">SUMIFS(Trades!$X$2:$X$1146,Trades!$D$2:$D$1146,$A349,Trades!$X$2:$X$1146,"&lt;0")</f>
        <v>-38.96</v>
      </c>
      <c r="I349" s="32" t="n">
        <f aca="false">IFERROR(G349/-H349,"no loss")</f>
        <v>0</v>
      </c>
      <c r="J349" s="31" t="n">
        <f aca="false">_xlfn.MAXIFS(Trades!$X$2:$X$1146,Trades!$D$2:$D$1146,$A349)</f>
        <v>-38.96</v>
      </c>
      <c r="K349" s="31" t="n">
        <f aca="false">_xlfn.MINIFS(Trades!$X$2:$X$1146,Trades!$D$2:$D$1146,$A349)</f>
        <v>-38.96</v>
      </c>
      <c r="L349" s="33" t="n">
        <f aca="false">SUMIFS(Trades!$Y$2:$Y$1146,Trades!$D$2:$D$1146,$A349)</f>
        <v>-1.08705357142846</v>
      </c>
      <c r="M349" s="31" t="n">
        <f aca="false">P348</f>
        <v>13119.84</v>
      </c>
      <c r="N349" s="30" t="n">
        <f aca="false">IFERROR(F349/M349,0)</f>
        <v>-0.00296954840912694</v>
      </c>
      <c r="O349" s="29" t="str">
        <f aca="false">IF(-N349&gt;=Summary!$C$7,"BREACH","")</f>
        <v/>
      </c>
      <c r="P349" s="31" t="n">
        <f aca="false">M349+F349</f>
        <v>13080.88</v>
      </c>
      <c r="Q349" s="31" t="n">
        <f aca="false">P349-Summary!$C$5</f>
        <v>3080.87999999999</v>
      </c>
      <c r="R349" s="2" t="str">
        <f aca="false">TEXT(A349,"ddd")</f>
        <v>Mon</v>
      </c>
    </row>
    <row r="350" customFormat="false" ht="15" hidden="false" customHeight="false" outlineLevel="0" collapsed="false">
      <c r="A350" s="43" t="n">
        <v>45209</v>
      </c>
      <c r="B350" s="29" t="n">
        <f aca="false">COUNTIFS(Trades!$D$2:$D$1146,$A350)</f>
        <v>1</v>
      </c>
      <c r="C350" s="29" t="n">
        <f aca="false">COUNTIFS(Trades!$D$2:$D$1146,$A350,Trades!$Z$2:$Z$1146,"Win")</f>
        <v>0</v>
      </c>
      <c r="D350" s="29" t="n">
        <f aca="false">COUNTIFS(Trades!$D$2:$D$1146,$A350,Trades!$Z$2:$Z$1146,"Loss")</f>
        <v>1</v>
      </c>
      <c r="E350" s="30" t="n">
        <f aca="false">IFERROR(C350/B350,0)</f>
        <v>0</v>
      </c>
      <c r="F350" s="31" t="n">
        <f aca="false">SUMIFS(Trades!$X$2:$X$1146,Trades!$D$2:$D$1146,$A350)</f>
        <v>-18.4</v>
      </c>
      <c r="G350" s="31" t="n">
        <f aca="false">SUMIFS(Trades!$X$2:$X$1146,Trades!$D$2:$D$1146,$A350,Trades!$X$2:$X$1146,"&gt;0")</f>
        <v>0</v>
      </c>
      <c r="H350" s="31" t="n">
        <f aca="false">SUMIFS(Trades!$X$2:$X$1146,Trades!$D$2:$D$1146,$A350,Trades!$X$2:$X$1146,"&lt;0")</f>
        <v>-18.4</v>
      </c>
      <c r="I350" s="32" t="n">
        <f aca="false">IFERROR(G350/-H350,"no loss")</f>
        <v>0</v>
      </c>
      <c r="J350" s="31" t="n">
        <f aca="false">_xlfn.MAXIFS(Trades!$X$2:$X$1146,Trades!$D$2:$D$1146,$A350)</f>
        <v>-18.4</v>
      </c>
      <c r="K350" s="31" t="n">
        <f aca="false">_xlfn.MINIFS(Trades!$X$2:$X$1146,Trades!$D$2:$D$1146,$A350)</f>
        <v>-18.4</v>
      </c>
      <c r="L350" s="33" t="n">
        <f aca="false">SUMIFS(Trades!$Y$2:$Y$1146,Trades!$D$2:$D$1146,$A350)</f>
        <v>-1.00217864923744</v>
      </c>
      <c r="M350" s="31" t="n">
        <f aca="false">P349</f>
        <v>13080.88</v>
      </c>
      <c r="N350" s="30" t="n">
        <f aca="false">IFERROR(F350/M350,0)</f>
        <v>-0.00140663319287387</v>
      </c>
      <c r="O350" s="29" t="str">
        <f aca="false">IF(-N350&gt;=Summary!$C$7,"BREACH","")</f>
        <v/>
      </c>
      <c r="P350" s="31" t="n">
        <f aca="false">M350+F350</f>
        <v>13062.48</v>
      </c>
      <c r="Q350" s="31" t="n">
        <f aca="false">P350-Summary!$C$5</f>
        <v>3062.47999999999</v>
      </c>
      <c r="R350" s="2" t="str">
        <f aca="false">TEXT(A350,"ddd")</f>
        <v>Tue</v>
      </c>
    </row>
    <row r="351" customFormat="false" ht="15" hidden="false" customHeight="false" outlineLevel="0" collapsed="false">
      <c r="A351" s="43" t="n">
        <v>45210</v>
      </c>
      <c r="B351" s="29" t="n">
        <f aca="false">COUNTIFS(Trades!$D$2:$D$1146,$A351)</f>
        <v>1</v>
      </c>
      <c r="C351" s="29" t="n">
        <f aca="false">COUNTIFS(Trades!$D$2:$D$1146,$A351,Trades!$Z$2:$Z$1146,"Win")</f>
        <v>0</v>
      </c>
      <c r="D351" s="29" t="n">
        <f aca="false">COUNTIFS(Trades!$D$2:$D$1146,$A351,Trades!$Z$2:$Z$1146,"Loss")</f>
        <v>1</v>
      </c>
      <c r="E351" s="30" t="n">
        <f aca="false">IFERROR(C351/B351,0)</f>
        <v>0</v>
      </c>
      <c r="F351" s="31" t="n">
        <f aca="false">SUMIFS(Trades!$X$2:$X$1146,Trades!$D$2:$D$1146,$A351)</f>
        <v>-50.36</v>
      </c>
      <c r="G351" s="31" t="n">
        <f aca="false">SUMIFS(Trades!$X$2:$X$1146,Trades!$D$2:$D$1146,$A351,Trades!$X$2:$X$1146,"&gt;0")</f>
        <v>0</v>
      </c>
      <c r="H351" s="31" t="n">
        <f aca="false">SUMIFS(Trades!$X$2:$X$1146,Trades!$D$2:$D$1146,$A351,Trades!$X$2:$X$1146,"&lt;0")</f>
        <v>-50.36</v>
      </c>
      <c r="I351" s="32" t="n">
        <f aca="false">IFERROR(G351/-H351,"no loss")</f>
        <v>0</v>
      </c>
      <c r="J351" s="31" t="n">
        <f aca="false">_xlfn.MAXIFS(Trades!$X$2:$X$1146,Trades!$D$2:$D$1146,$A351)</f>
        <v>-50.36</v>
      </c>
      <c r="K351" s="31" t="n">
        <f aca="false">_xlfn.MINIFS(Trades!$X$2:$X$1146,Trades!$D$2:$D$1146,$A351)</f>
        <v>-50.36</v>
      </c>
      <c r="L351" s="33" t="n">
        <f aca="false">SUMIFS(Trades!$Y$2:$Y$1146,Trades!$D$2:$D$1146,$A351)</f>
        <v>-1.11811722912982</v>
      </c>
      <c r="M351" s="31" t="n">
        <f aca="false">P350</f>
        <v>13062.48</v>
      </c>
      <c r="N351" s="30" t="n">
        <f aca="false">IFERROR(F351/M351,0)</f>
        <v>-0.00385531690766225</v>
      </c>
      <c r="O351" s="29" t="str">
        <f aca="false">IF(-N351&gt;=Summary!$C$7,"BREACH","")</f>
        <v/>
      </c>
      <c r="P351" s="31" t="n">
        <f aca="false">M351+F351</f>
        <v>13012.12</v>
      </c>
      <c r="Q351" s="31" t="n">
        <f aca="false">P351-Summary!$C$5</f>
        <v>3012.11999999999</v>
      </c>
      <c r="R351" s="2" t="str">
        <f aca="false">TEXT(A351,"ddd")</f>
        <v>Wed</v>
      </c>
    </row>
    <row r="352" customFormat="false" ht="15" hidden="false" customHeight="false" outlineLevel="0" collapsed="false">
      <c r="A352" s="43" t="n">
        <v>45211</v>
      </c>
      <c r="B352" s="29" t="n">
        <f aca="false">COUNTIFS(Trades!$D$2:$D$1146,$A352)</f>
        <v>2</v>
      </c>
      <c r="C352" s="29" t="n">
        <f aca="false">COUNTIFS(Trades!$D$2:$D$1146,$A352,Trades!$Z$2:$Z$1146,"Win")</f>
        <v>0</v>
      </c>
      <c r="D352" s="29" t="n">
        <f aca="false">COUNTIFS(Trades!$D$2:$D$1146,$A352,Trades!$Z$2:$Z$1146,"Loss")</f>
        <v>2</v>
      </c>
      <c r="E352" s="30" t="n">
        <f aca="false">IFERROR(C352/B352,0)</f>
        <v>0</v>
      </c>
      <c r="F352" s="31" t="n">
        <f aca="false">SUMIFS(Trades!$X$2:$X$1146,Trades!$D$2:$D$1146,$A352)</f>
        <v>-6.72</v>
      </c>
      <c r="G352" s="31" t="n">
        <f aca="false">SUMIFS(Trades!$X$2:$X$1146,Trades!$D$2:$D$1146,$A352,Trades!$X$2:$X$1146,"&gt;0")</f>
        <v>0</v>
      </c>
      <c r="H352" s="31" t="n">
        <f aca="false">SUMIFS(Trades!$X$2:$X$1146,Trades!$D$2:$D$1146,$A352,Trades!$X$2:$X$1146,"&lt;0")</f>
        <v>-6.72</v>
      </c>
      <c r="I352" s="32" t="n">
        <f aca="false">IFERROR(G352/-H352,"no loss")</f>
        <v>0</v>
      </c>
      <c r="J352" s="31" t="n">
        <f aca="false">_xlfn.MAXIFS(Trades!$X$2:$X$1146,Trades!$D$2:$D$1146,$A352)</f>
        <v>-2.2</v>
      </c>
      <c r="K352" s="31" t="n">
        <f aca="false">_xlfn.MINIFS(Trades!$X$2:$X$1146,Trades!$D$2:$D$1146,$A352)</f>
        <v>-4.52</v>
      </c>
      <c r="L352" s="33" t="n">
        <f aca="false">SUMIFS(Trades!$Y$2:$Y$1146,Trades!$D$2:$D$1146,$A352)</f>
        <v>-1.16831683168292</v>
      </c>
      <c r="M352" s="31" t="n">
        <f aca="false">P351</f>
        <v>13012.12</v>
      </c>
      <c r="N352" s="30" t="n">
        <f aca="false">IFERROR(F352/M352,0)</f>
        <v>-0.000516441594451942</v>
      </c>
      <c r="O352" s="29" t="str">
        <f aca="false">IF(-N352&gt;=Summary!$C$7,"BREACH","")</f>
        <v/>
      </c>
      <c r="P352" s="31" t="n">
        <f aca="false">M352+F352</f>
        <v>13005.4</v>
      </c>
      <c r="Q352" s="31" t="n">
        <f aca="false">P352-Summary!$C$5</f>
        <v>3005.39999999999</v>
      </c>
      <c r="R352" s="2" t="str">
        <f aca="false">TEXT(A352,"ddd")</f>
        <v>Thu</v>
      </c>
    </row>
    <row r="353" customFormat="false" ht="15" hidden="false" customHeight="false" outlineLevel="0" collapsed="false">
      <c r="A353" s="43" t="n">
        <v>45212</v>
      </c>
      <c r="B353" s="29" t="n">
        <f aca="false">COUNTIFS(Trades!$D$2:$D$1146,$A353)</f>
        <v>1</v>
      </c>
      <c r="C353" s="29" t="n">
        <f aca="false">COUNTIFS(Trades!$D$2:$D$1146,$A353,Trades!$Z$2:$Z$1146,"Win")</f>
        <v>0</v>
      </c>
      <c r="D353" s="29" t="n">
        <f aca="false">COUNTIFS(Trades!$D$2:$D$1146,$A353,Trades!$Z$2:$Z$1146,"Loss")</f>
        <v>1</v>
      </c>
      <c r="E353" s="30" t="n">
        <f aca="false">IFERROR(C353/B353,0)</f>
        <v>0</v>
      </c>
      <c r="F353" s="31" t="n">
        <f aca="false">SUMIFS(Trades!$X$2:$X$1146,Trades!$D$2:$D$1146,$A353)</f>
        <v>-2.64</v>
      </c>
      <c r="G353" s="31" t="n">
        <f aca="false">SUMIFS(Trades!$X$2:$X$1146,Trades!$D$2:$D$1146,$A353,Trades!$X$2:$X$1146,"&gt;0")</f>
        <v>0</v>
      </c>
      <c r="H353" s="31" t="n">
        <f aca="false">SUMIFS(Trades!$X$2:$X$1146,Trades!$D$2:$D$1146,$A353,Trades!$X$2:$X$1146,"&lt;0")</f>
        <v>-2.64</v>
      </c>
      <c r="I353" s="32" t="n">
        <f aca="false">IFERROR(G353/-H353,"no loss")</f>
        <v>0</v>
      </c>
      <c r="J353" s="31" t="n">
        <f aca="false">_xlfn.MAXIFS(Trades!$X$2:$X$1146,Trades!$D$2:$D$1146,$A353)</f>
        <v>-2.64</v>
      </c>
      <c r="K353" s="31" t="n">
        <f aca="false">_xlfn.MINIFS(Trades!$X$2:$X$1146,Trades!$D$2:$D$1146,$A353)</f>
        <v>-2.64</v>
      </c>
      <c r="L353" s="33" t="n">
        <f aca="false">SUMIFS(Trades!$Y$2:$Y$1146,Trades!$D$2:$D$1146,$A353)</f>
        <v>-0.0414833438089256</v>
      </c>
      <c r="M353" s="31" t="n">
        <f aca="false">P352</f>
        <v>13005.4</v>
      </c>
      <c r="N353" s="30" t="n">
        <f aca="false">IFERROR(F353/M353,0)</f>
        <v>-0.00020299260307257</v>
      </c>
      <c r="O353" s="29" t="str">
        <f aca="false">IF(-N353&gt;=Summary!$C$7,"BREACH","")</f>
        <v/>
      </c>
      <c r="P353" s="31" t="n">
        <f aca="false">M353+F353</f>
        <v>13002.76</v>
      </c>
      <c r="Q353" s="31" t="n">
        <f aca="false">P353-Summary!$C$5</f>
        <v>3002.75999999999</v>
      </c>
      <c r="R353" s="2" t="str">
        <f aca="false">TEXT(A353,"ddd")</f>
        <v>Fri</v>
      </c>
    </row>
    <row r="354" customFormat="false" ht="15" hidden="false" customHeight="false" outlineLevel="0" collapsed="false">
      <c r="A354" s="43" t="n">
        <v>45216</v>
      </c>
      <c r="B354" s="29" t="n">
        <f aca="false">COUNTIFS(Trades!$D$2:$D$1146,$A354)</f>
        <v>1</v>
      </c>
      <c r="C354" s="29" t="n">
        <f aca="false">COUNTIFS(Trades!$D$2:$D$1146,$A354,Trades!$Z$2:$Z$1146,"Win")</f>
        <v>0</v>
      </c>
      <c r="D354" s="29" t="n">
        <f aca="false">COUNTIFS(Trades!$D$2:$D$1146,$A354,Trades!$Z$2:$Z$1146,"Loss")</f>
        <v>1</v>
      </c>
      <c r="E354" s="30" t="n">
        <f aca="false">IFERROR(C354/B354,0)</f>
        <v>0</v>
      </c>
      <c r="F354" s="31" t="n">
        <f aca="false">SUMIFS(Trades!$X$2:$X$1146,Trades!$D$2:$D$1146,$A354)</f>
        <v>-0.28</v>
      </c>
      <c r="G354" s="31" t="n">
        <f aca="false">SUMIFS(Trades!$X$2:$X$1146,Trades!$D$2:$D$1146,$A354,Trades!$X$2:$X$1146,"&gt;0")</f>
        <v>0</v>
      </c>
      <c r="H354" s="31" t="n">
        <f aca="false">SUMIFS(Trades!$X$2:$X$1146,Trades!$D$2:$D$1146,$A354,Trades!$X$2:$X$1146,"&lt;0")</f>
        <v>-0.28</v>
      </c>
      <c r="I354" s="32" t="n">
        <f aca="false">IFERROR(G354/-H354,"no loss")</f>
        <v>0</v>
      </c>
      <c r="J354" s="31" t="n">
        <f aca="false">_xlfn.MAXIFS(Trades!$X$2:$X$1146,Trades!$D$2:$D$1146,$A354)</f>
        <v>-0.28</v>
      </c>
      <c r="K354" s="31" t="n">
        <f aca="false">_xlfn.MINIFS(Trades!$X$2:$X$1146,Trades!$D$2:$D$1146,$A354)</f>
        <v>-0.28</v>
      </c>
      <c r="L354" s="33" t="n">
        <f aca="false">SUMIFS(Trades!$Y$2:$Y$1146,Trades!$D$2:$D$1146,$A354)</f>
        <v>-0.00381679389312974</v>
      </c>
      <c r="M354" s="31" t="n">
        <f aca="false">P353</f>
        <v>13002.76</v>
      </c>
      <c r="N354" s="30" t="n">
        <f aca="false">IFERROR(F354/M354,0)</f>
        <v>-2.1533889728027E-005</v>
      </c>
      <c r="O354" s="29" t="str">
        <f aca="false">IF(-N354&gt;=Summary!$C$7,"BREACH","")</f>
        <v/>
      </c>
      <c r="P354" s="31" t="n">
        <f aca="false">M354+F354</f>
        <v>13002.48</v>
      </c>
      <c r="Q354" s="31" t="n">
        <f aca="false">P354-Summary!$C$5</f>
        <v>3002.47999999999</v>
      </c>
      <c r="R354" s="2" t="str">
        <f aca="false">TEXT(A354,"ddd")</f>
        <v>Tue</v>
      </c>
    </row>
    <row r="355" customFormat="false" ht="15" hidden="false" customHeight="false" outlineLevel="0" collapsed="false">
      <c r="A355" s="43" t="n">
        <v>45217</v>
      </c>
      <c r="B355" s="29" t="n">
        <f aca="false">COUNTIFS(Trades!$D$2:$D$1146,$A355)</f>
        <v>1</v>
      </c>
      <c r="C355" s="29" t="n">
        <f aca="false">COUNTIFS(Trades!$D$2:$D$1146,$A355,Trades!$Z$2:$Z$1146,"Win")</f>
        <v>0</v>
      </c>
      <c r="D355" s="29" t="n">
        <f aca="false">COUNTIFS(Trades!$D$2:$D$1146,$A355,Trades!$Z$2:$Z$1146,"Loss")</f>
        <v>1</v>
      </c>
      <c r="E355" s="30" t="n">
        <f aca="false">IFERROR(C355/B355,0)</f>
        <v>0</v>
      </c>
      <c r="F355" s="31" t="n">
        <f aca="false">SUMIFS(Trades!$X$2:$X$1146,Trades!$D$2:$D$1146,$A355)</f>
        <v>-3.36</v>
      </c>
      <c r="G355" s="31" t="n">
        <f aca="false">SUMIFS(Trades!$X$2:$X$1146,Trades!$D$2:$D$1146,$A355,Trades!$X$2:$X$1146,"&gt;0")</f>
        <v>0</v>
      </c>
      <c r="H355" s="31" t="n">
        <f aca="false">SUMIFS(Trades!$X$2:$X$1146,Trades!$D$2:$D$1146,$A355,Trades!$X$2:$X$1146,"&lt;0")</f>
        <v>-3.36</v>
      </c>
      <c r="I355" s="32" t="n">
        <f aca="false">IFERROR(G355/-H355,"no loss")</f>
        <v>0</v>
      </c>
      <c r="J355" s="31" t="n">
        <f aca="false">_xlfn.MAXIFS(Trades!$X$2:$X$1146,Trades!$D$2:$D$1146,$A355)</f>
        <v>-3.36</v>
      </c>
      <c r="K355" s="31" t="n">
        <f aca="false">_xlfn.MINIFS(Trades!$X$2:$X$1146,Trades!$D$2:$D$1146,$A355)</f>
        <v>-3.36</v>
      </c>
      <c r="L355" s="33" t="n">
        <f aca="false">SUMIFS(Trades!$Y$2:$Y$1146,Trades!$D$2:$D$1146,$A355)</f>
        <v>-0.104868913857675</v>
      </c>
      <c r="M355" s="31" t="n">
        <f aca="false">P354</f>
        <v>13002.48</v>
      </c>
      <c r="N355" s="30" t="n">
        <f aca="false">IFERROR(F355/M355,0)</f>
        <v>-0.000258412241357034</v>
      </c>
      <c r="O355" s="29" t="str">
        <f aca="false">IF(-N355&gt;=Summary!$C$7,"BREACH","")</f>
        <v/>
      </c>
      <c r="P355" s="31" t="n">
        <f aca="false">M355+F355</f>
        <v>12999.12</v>
      </c>
      <c r="Q355" s="31" t="n">
        <f aca="false">P355-Summary!$C$5</f>
        <v>2999.11999999999</v>
      </c>
      <c r="R355" s="2" t="str">
        <f aca="false">TEXT(A355,"ddd")</f>
        <v>Wed</v>
      </c>
    </row>
    <row r="356" customFormat="false" ht="15" hidden="false" customHeight="false" outlineLevel="0" collapsed="false">
      <c r="A356" s="43" t="n">
        <v>45218</v>
      </c>
      <c r="B356" s="29" t="n">
        <f aca="false">COUNTIFS(Trades!$D$2:$D$1146,$A356)</f>
        <v>1</v>
      </c>
      <c r="C356" s="29" t="n">
        <f aca="false">COUNTIFS(Trades!$D$2:$D$1146,$A356,Trades!$Z$2:$Z$1146,"Win")</f>
        <v>1</v>
      </c>
      <c r="D356" s="29" t="n">
        <f aca="false">COUNTIFS(Trades!$D$2:$D$1146,$A356,Trades!$Z$2:$Z$1146,"Loss")</f>
        <v>0</v>
      </c>
      <c r="E356" s="30" t="n">
        <f aca="false">IFERROR(C356/B356,0)</f>
        <v>1</v>
      </c>
      <c r="F356" s="31" t="n">
        <f aca="false">SUMIFS(Trades!$X$2:$X$1146,Trades!$D$2:$D$1146,$A356)</f>
        <v>106.8</v>
      </c>
      <c r="G356" s="31" t="n">
        <f aca="false">SUMIFS(Trades!$X$2:$X$1146,Trades!$D$2:$D$1146,$A356,Trades!$X$2:$X$1146,"&gt;0")</f>
        <v>106.8</v>
      </c>
      <c r="H356" s="31" t="n">
        <f aca="false">SUMIFS(Trades!$X$2:$X$1146,Trades!$D$2:$D$1146,$A356,Trades!$X$2:$X$1146,"&lt;0")</f>
        <v>0</v>
      </c>
      <c r="I356" s="32" t="str">
        <f aca="false">IFERROR(G356/-H356,"no loss")</f>
        <v>no loss</v>
      </c>
      <c r="J356" s="31" t="n">
        <f aca="false">_xlfn.MAXIFS(Trades!$X$2:$X$1146,Trades!$D$2:$D$1146,$A356)</f>
        <v>106.8</v>
      </c>
      <c r="K356" s="31" t="n">
        <f aca="false">_xlfn.MINIFS(Trades!$X$2:$X$1146,Trades!$D$2:$D$1146,$A356)</f>
        <v>106.8</v>
      </c>
      <c r="L356" s="33" t="n">
        <f aca="false">SUMIFS(Trades!$Y$2:$Y$1146,Trades!$D$2:$D$1146,$A356)</f>
        <v>2.7134146341463</v>
      </c>
      <c r="M356" s="31" t="n">
        <f aca="false">P355</f>
        <v>12999.12</v>
      </c>
      <c r="N356" s="30" t="n">
        <f aca="false">IFERROR(F356/M356,0)</f>
        <v>0.0082159407713753</v>
      </c>
      <c r="O356" s="29" t="str">
        <f aca="false">IF(-N356&gt;=Summary!$C$7,"BREACH","")</f>
        <v/>
      </c>
      <c r="P356" s="31" t="n">
        <f aca="false">M356+F356</f>
        <v>13105.92</v>
      </c>
      <c r="Q356" s="31" t="n">
        <f aca="false">P356-Summary!$C$5</f>
        <v>3105.91999999999</v>
      </c>
      <c r="R356" s="2" t="str">
        <f aca="false">TEXT(A356,"ddd")</f>
        <v>Thu</v>
      </c>
    </row>
    <row r="357" customFormat="false" ht="15" hidden="false" customHeight="false" outlineLevel="0" collapsed="false">
      <c r="A357" s="43" t="n">
        <v>45219</v>
      </c>
      <c r="B357" s="29" t="n">
        <f aca="false">COUNTIFS(Trades!$D$2:$D$1146,$A357)</f>
        <v>1</v>
      </c>
      <c r="C357" s="29" t="n">
        <f aca="false">COUNTIFS(Trades!$D$2:$D$1146,$A357,Trades!$Z$2:$Z$1146,"Win")</f>
        <v>0</v>
      </c>
      <c r="D357" s="29" t="n">
        <f aca="false">COUNTIFS(Trades!$D$2:$D$1146,$A357,Trades!$Z$2:$Z$1146,"Loss")</f>
        <v>1</v>
      </c>
      <c r="E357" s="30" t="n">
        <f aca="false">IFERROR(C357/B357,0)</f>
        <v>0</v>
      </c>
      <c r="F357" s="31" t="n">
        <f aca="false">SUMIFS(Trades!$X$2:$X$1146,Trades!$D$2:$D$1146,$A357)</f>
        <v>-1.44</v>
      </c>
      <c r="G357" s="31" t="n">
        <f aca="false">SUMIFS(Trades!$X$2:$X$1146,Trades!$D$2:$D$1146,$A357,Trades!$X$2:$X$1146,"&gt;0")</f>
        <v>0</v>
      </c>
      <c r="H357" s="31" t="n">
        <f aca="false">SUMIFS(Trades!$X$2:$X$1146,Trades!$D$2:$D$1146,$A357,Trades!$X$2:$X$1146,"&lt;0")</f>
        <v>-1.44</v>
      </c>
      <c r="I357" s="32" t="n">
        <f aca="false">IFERROR(G357/-H357,"no loss")</f>
        <v>0</v>
      </c>
      <c r="J357" s="31" t="n">
        <f aca="false">_xlfn.MAXIFS(Trades!$X$2:$X$1146,Trades!$D$2:$D$1146,$A357)</f>
        <v>-1.44</v>
      </c>
      <c r="K357" s="31" t="n">
        <f aca="false">_xlfn.MINIFS(Trades!$X$2:$X$1146,Trades!$D$2:$D$1146,$A357)</f>
        <v>-1.44</v>
      </c>
      <c r="L357" s="33" t="n">
        <f aca="false">SUMIFS(Trades!$Y$2:$Y$1146,Trades!$D$2:$D$1146,$A357)</f>
        <v>-0.0652173913043427</v>
      </c>
      <c r="M357" s="31" t="n">
        <f aca="false">P356</f>
        <v>13105.92</v>
      </c>
      <c r="N357" s="30" t="n">
        <f aca="false">IFERROR(F357/M357,0)</f>
        <v>-0.0001098740111339</v>
      </c>
      <c r="O357" s="29" t="str">
        <f aca="false">IF(-N357&gt;=Summary!$C$7,"BREACH","")</f>
        <v/>
      </c>
      <c r="P357" s="31" t="n">
        <f aca="false">M357+F357</f>
        <v>13104.48</v>
      </c>
      <c r="Q357" s="31" t="n">
        <f aca="false">P357-Summary!$C$5</f>
        <v>3104.47999999999</v>
      </c>
      <c r="R357" s="2" t="str">
        <f aca="false">TEXT(A357,"ddd")</f>
        <v>Fri</v>
      </c>
    </row>
    <row r="358" customFormat="false" ht="15" hidden="false" customHeight="false" outlineLevel="0" collapsed="false">
      <c r="A358" s="43" t="n">
        <v>45222</v>
      </c>
      <c r="B358" s="29" t="n">
        <f aca="false">COUNTIFS(Trades!$D$2:$D$1146,$A358)</f>
        <v>1</v>
      </c>
      <c r="C358" s="29" t="n">
        <f aca="false">COUNTIFS(Trades!$D$2:$D$1146,$A358,Trades!$Z$2:$Z$1146,"Win")</f>
        <v>0</v>
      </c>
      <c r="D358" s="29" t="n">
        <f aca="false">COUNTIFS(Trades!$D$2:$D$1146,$A358,Trades!$Z$2:$Z$1146,"Loss")</f>
        <v>1</v>
      </c>
      <c r="E358" s="30" t="n">
        <f aca="false">IFERROR(C358/B358,0)</f>
        <v>0</v>
      </c>
      <c r="F358" s="31" t="n">
        <f aca="false">SUMIFS(Trades!$X$2:$X$1146,Trades!$D$2:$D$1146,$A358)</f>
        <v>-0.36</v>
      </c>
      <c r="G358" s="31" t="n">
        <f aca="false">SUMIFS(Trades!$X$2:$X$1146,Trades!$D$2:$D$1146,$A358,Trades!$X$2:$X$1146,"&gt;0")</f>
        <v>0</v>
      </c>
      <c r="H358" s="31" t="n">
        <f aca="false">SUMIFS(Trades!$X$2:$X$1146,Trades!$D$2:$D$1146,$A358,Trades!$X$2:$X$1146,"&lt;0")</f>
        <v>-0.36</v>
      </c>
      <c r="I358" s="32" t="n">
        <f aca="false">IFERROR(G358/-H358,"no loss")</f>
        <v>0</v>
      </c>
      <c r="J358" s="31" t="n">
        <f aca="false">_xlfn.MAXIFS(Trades!$X$2:$X$1146,Trades!$D$2:$D$1146,$A358)</f>
        <v>-0.36</v>
      </c>
      <c r="K358" s="31" t="n">
        <f aca="false">_xlfn.MINIFS(Trades!$X$2:$X$1146,Trades!$D$2:$D$1146,$A358)</f>
        <v>-0.36</v>
      </c>
      <c r="L358" s="33" t="n">
        <f aca="false">SUMIFS(Trades!$Y$2:$Y$1146,Trades!$D$2:$D$1146,$A358)</f>
        <v>-0.01272984441301</v>
      </c>
      <c r="M358" s="31" t="n">
        <f aca="false">P357</f>
        <v>13104.48</v>
      </c>
      <c r="N358" s="30" t="n">
        <f aca="false">IFERROR(F358/M358,0)</f>
        <v>-2.74715211897E-005</v>
      </c>
      <c r="O358" s="29" t="str">
        <f aca="false">IF(-N358&gt;=Summary!$C$7,"BREACH","")</f>
        <v/>
      </c>
      <c r="P358" s="31" t="n">
        <f aca="false">M358+F358</f>
        <v>13104.12</v>
      </c>
      <c r="Q358" s="31" t="n">
        <f aca="false">P358-Summary!$C$5</f>
        <v>3104.11999999999</v>
      </c>
      <c r="R358" s="2" t="str">
        <f aca="false">TEXT(A358,"ddd")</f>
        <v>Mon</v>
      </c>
    </row>
    <row r="359" customFormat="false" ht="15" hidden="false" customHeight="false" outlineLevel="0" collapsed="false">
      <c r="A359" s="43" t="n">
        <v>45223</v>
      </c>
      <c r="B359" s="29" t="n">
        <f aca="false">COUNTIFS(Trades!$D$2:$D$1146,$A359)</f>
        <v>1</v>
      </c>
      <c r="C359" s="29" t="n">
        <f aca="false">COUNTIFS(Trades!$D$2:$D$1146,$A359,Trades!$Z$2:$Z$1146,"Win")</f>
        <v>0</v>
      </c>
      <c r="D359" s="29" t="n">
        <f aca="false">COUNTIFS(Trades!$D$2:$D$1146,$A359,Trades!$Z$2:$Z$1146,"Loss")</f>
        <v>1</v>
      </c>
      <c r="E359" s="30" t="n">
        <f aca="false">IFERROR(C359/B359,0)</f>
        <v>0</v>
      </c>
      <c r="F359" s="31" t="n">
        <f aca="false">SUMIFS(Trades!$X$2:$X$1146,Trades!$D$2:$D$1146,$A359)</f>
        <v>-2.12</v>
      </c>
      <c r="G359" s="31" t="n">
        <f aca="false">SUMIFS(Trades!$X$2:$X$1146,Trades!$D$2:$D$1146,$A359,Trades!$X$2:$X$1146,"&gt;0")</f>
        <v>0</v>
      </c>
      <c r="H359" s="31" t="n">
        <f aca="false">SUMIFS(Trades!$X$2:$X$1146,Trades!$D$2:$D$1146,$A359,Trades!$X$2:$X$1146,"&lt;0")</f>
        <v>-2.12</v>
      </c>
      <c r="I359" s="32" t="n">
        <f aca="false">IFERROR(G359/-H359,"no loss")</f>
        <v>0</v>
      </c>
      <c r="J359" s="31" t="n">
        <f aca="false">_xlfn.MAXIFS(Trades!$X$2:$X$1146,Trades!$D$2:$D$1146,$A359)</f>
        <v>-2.12</v>
      </c>
      <c r="K359" s="31" t="n">
        <f aca="false">_xlfn.MINIFS(Trades!$X$2:$X$1146,Trades!$D$2:$D$1146,$A359)</f>
        <v>-2.12</v>
      </c>
      <c r="L359" s="33" t="n">
        <f aca="false">SUMIFS(Trades!$Y$2:$Y$1146,Trades!$D$2:$D$1146,$A359)</f>
        <v>-0.0406753645433651</v>
      </c>
      <c r="M359" s="31" t="n">
        <f aca="false">P358</f>
        <v>13104.12</v>
      </c>
      <c r="N359" s="30" t="n">
        <f aca="false">IFERROR(F359/M359,0)</f>
        <v>-0.000161781180270022</v>
      </c>
      <c r="O359" s="29" t="str">
        <f aca="false">IF(-N359&gt;=Summary!$C$7,"BREACH","")</f>
        <v/>
      </c>
      <c r="P359" s="31" t="n">
        <f aca="false">M359+F359</f>
        <v>13102</v>
      </c>
      <c r="Q359" s="31" t="n">
        <f aca="false">P359-Summary!$C$5</f>
        <v>3101.99999999999</v>
      </c>
      <c r="R359" s="2" t="str">
        <f aca="false">TEXT(A359,"ddd")</f>
        <v>Tue</v>
      </c>
    </row>
    <row r="360" customFormat="false" ht="15" hidden="false" customHeight="false" outlineLevel="0" collapsed="false">
      <c r="A360" s="43" t="n">
        <v>45224</v>
      </c>
      <c r="B360" s="29" t="n">
        <f aca="false">COUNTIFS(Trades!$D$2:$D$1146,$A360)</f>
        <v>1</v>
      </c>
      <c r="C360" s="29" t="n">
        <f aca="false">COUNTIFS(Trades!$D$2:$D$1146,$A360,Trades!$Z$2:$Z$1146,"Win")</f>
        <v>1</v>
      </c>
      <c r="D360" s="29" t="n">
        <f aca="false">COUNTIFS(Trades!$D$2:$D$1146,$A360,Trades!$Z$2:$Z$1146,"Loss")</f>
        <v>0</v>
      </c>
      <c r="E360" s="30" t="n">
        <f aca="false">IFERROR(C360/B360,0)</f>
        <v>1</v>
      </c>
      <c r="F360" s="31" t="n">
        <f aca="false">SUMIFS(Trades!$X$2:$X$1146,Trades!$D$2:$D$1146,$A360)</f>
        <v>144.68</v>
      </c>
      <c r="G360" s="31" t="n">
        <f aca="false">SUMIFS(Trades!$X$2:$X$1146,Trades!$D$2:$D$1146,$A360,Trades!$X$2:$X$1146,"&gt;0")</f>
        <v>144.68</v>
      </c>
      <c r="H360" s="31" t="n">
        <f aca="false">SUMIFS(Trades!$X$2:$X$1146,Trades!$D$2:$D$1146,$A360,Trades!$X$2:$X$1146,"&lt;0")</f>
        <v>0</v>
      </c>
      <c r="I360" s="32" t="str">
        <f aca="false">IFERROR(G360/-H360,"no loss")</f>
        <v>no loss</v>
      </c>
      <c r="J360" s="31" t="n">
        <f aca="false">_xlfn.MAXIFS(Trades!$X$2:$X$1146,Trades!$D$2:$D$1146,$A360)</f>
        <v>144.68</v>
      </c>
      <c r="K360" s="31" t="n">
        <f aca="false">_xlfn.MINIFS(Trades!$X$2:$X$1146,Trades!$D$2:$D$1146,$A360)</f>
        <v>144.68</v>
      </c>
      <c r="L360" s="33" t="n">
        <f aca="false">SUMIFS(Trades!$Y$2:$Y$1146,Trades!$D$2:$D$1146,$A360)</f>
        <v>2.40972684876745</v>
      </c>
      <c r="M360" s="31" t="n">
        <f aca="false">P359</f>
        <v>13102</v>
      </c>
      <c r="N360" s="30" t="n">
        <f aca="false">IFERROR(F360/M360,0)</f>
        <v>0.0110425889177225</v>
      </c>
      <c r="O360" s="29" t="str">
        <f aca="false">IF(-N360&gt;=Summary!$C$7,"BREACH","")</f>
        <v/>
      </c>
      <c r="P360" s="31" t="n">
        <f aca="false">M360+F360</f>
        <v>13246.68</v>
      </c>
      <c r="Q360" s="31" t="n">
        <f aca="false">P360-Summary!$C$5</f>
        <v>3246.67999999999</v>
      </c>
      <c r="R360" s="2" t="str">
        <f aca="false">TEXT(A360,"ddd")</f>
        <v>Wed</v>
      </c>
    </row>
    <row r="361" customFormat="false" ht="15" hidden="false" customHeight="false" outlineLevel="0" collapsed="false">
      <c r="A361" s="43" t="n">
        <v>45225</v>
      </c>
      <c r="B361" s="29" t="n">
        <f aca="false">COUNTIFS(Trades!$D$2:$D$1146,$A361)</f>
        <v>1</v>
      </c>
      <c r="C361" s="29" t="n">
        <f aca="false">COUNTIFS(Trades!$D$2:$D$1146,$A361,Trades!$Z$2:$Z$1146,"Win")</f>
        <v>1</v>
      </c>
      <c r="D361" s="29" t="n">
        <f aca="false">COUNTIFS(Trades!$D$2:$D$1146,$A361,Trades!$Z$2:$Z$1146,"Loss")</f>
        <v>0</v>
      </c>
      <c r="E361" s="30" t="n">
        <f aca="false">IFERROR(C361/B361,0)</f>
        <v>1</v>
      </c>
      <c r="F361" s="31" t="n">
        <f aca="false">SUMIFS(Trades!$X$2:$X$1146,Trades!$D$2:$D$1146,$A361)</f>
        <v>185.4</v>
      </c>
      <c r="G361" s="31" t="n">
        <f aca="false">SUMIFS(Trades!$X$2:$X$1146,Trades!$D$2:$D$1146,$A361,Trades!$X$2:$X$1146,"&gt;0")</f>
        <v>185.4</v>
      </c>
      <c r="H361" s="31" t="n">
        <f aca="false">SUMIFS(Trades!$X$2:$X$1146,Trades!$D$2:$D$1146,$A361,Trades!$X$2:$X$1146,"&lt;0")</f>
        <v>0</v>
      </c>
      <c r="I361" s="32" t="str">
        <f aca="false">IFERROR(G361/-H361,"no loss")</f>
        <v>no loss</v>
      </c>
      <c r="J361" s="31" t="n">
        <f aca="false">_xlfn.MAXIFS(Trades!$X$2:$X$1146,Trades!$D$2:$D$1146,$A361)</f>
        <v>185.4</v>
      </c>
      <c r="K361" s="31" t="n">
        <f aca="false">_xlfn.MINIFS(Trades!$X$2:$X$1146,Trades!$D$2:$D$1146,$A361)</f>
        <v>185.4</v>
      </c>
      <c r="L361" s="33" t="n">
        <f aca="false">SUMIFS(Trades!$Y$2:$Y$1146,Trades!$D$2:$D$1146,$A361)</f>
        <v>2.4497885835095</v>
      </c>
      <c r="M361" s="31" t="n">
        <f aca="false">P360</f>
        <v>13246.68</v>
      </c>
      <c r="N361" s="30" t="n">
        <f aca="false">IFERROR(F361/M361,0)</f>
        <v>0.0139959597423656</v>
      </c>
      <c r="O361" s="29" t="str">
        <f aca="false">IF(-N361&gt;=Summary!$C$7,"BREACH","")</f>
        <v/>
      </c>
      <c r="P361" s="31" t="n">
        <f aca="false">M361+F361</f>
        <v>13432.08</v>
      </c>
      <c r="Q361" s="31" t="n">
        <f aca="false">P361-Summary!$C$5</f>
        <v>3432.07999999999</v>
      </c>
      <c r="R361" s="2" t="str">
        <f aca="false">TEXT(A361,"ddd")</f>
        <v>Thu</v>
      </c>
    </row>
    <row r="362" customFormat="false" ht="15" hidden="false" customHeight="false" outlineLevel="0" collapsed="false">
      <c r="A362" s="43" t="n">
        <v>45229</v>
      </c>
      <c r="B362" s="29" t="n">
        <f aca="false">COUNTIFS(Trades!$D$2:$D$1146,$A362)</f>
        <v>1</v>
      </c>
      <c r="C362" s="29" t="n">
        <f aca="false">COUNTIFS(Trades!$D$2:$D$1146,$A362,Trades!$Z$2:$Z$1146,"Win")</f>
        <v>1</v>
      </c>
      <c r="D362" s="29" t="n">
        <f aca="false">COUNTIFS(Trades!$D$2:$D$1146,$A362,Trades!$Z$2:$Z$1146,"Loss")</f>
        <v>0</v>
      </c>
      <c r="E362" s="30" t="n">
        <f aca="false">IFERROR(C362/B362,0)</f>
        <v>1</v>
      </c>
      <c r="F362" s="31" t="n">
        <f aca="false">SUMIFS(Trades!$X$2:$X$1146,Trades!$D$2:$D$1146,$A362)</f>
        <v>161.96</v>
      </c>
      <c r="G362" s="31" t="n">
        <f aca="false">SUMIFS(Trades!$X$2:$X$1146,Trades!$D$2:$D$1146,$A362,Trades!$X$2:$X$1146,"&gt;0")</f>
        <v>161.96</v>
      </c>
      <c r="H362" s="31" t="n">
        <f aca="false">SUMIFS(Trades!$X$2:$X$1146,Trades!$D$2:$D$1146,$A362,Trades!$X$2:$X$1146,"&lt;0")</f>
        <v>0</v>
      </c>
      <c r="I362" s="32" t="str">
        <f aca="false">IFERROR(G362/-H362,"no loss")</f>
        <v>no loss</v>
      </c>
      <c r="J362" s="31" t="n">
        <f aca="false">_xlfn.MAXIFS(Trades!$X$2:$X$1146,Trades!$D$2:$D$1146,$A362)</f>
        <v>161.96</v>
      </c>
      <c r="K362" s="31" t="n">
        <f aca="false">_xlfn.MINIFS(Trades!$X$2:$X$1146,Trades!$D$2:$D$1146,$A362)</f>
        <v>161.96</v>
      </c>
      <c r="L362" s="33" t="n">
        <f aca="false">SUMIFS(Trades!$Y$2:$Y$1146,Trades!$D$2:$D$1146,$A362)</f>
        <v>2.51646985705405</v>
      </c>
      <c r="M362" s="31" t="n">
        <f aca="false">P361</f>
        <v>13432.08</v>
      </c>
      <c r="N362" s="30" t="n">
        <f aca="false">IFERROR(F362/M362,0)</f>
        <v>0.0120577006688465</v>
      </c>
      <c r="O362" s="29" t="str">
        <f aca="false">IF(-N362&gt;=Summary!$C$7,"BREACH","")</f>
        <v/>
      </c>
      <c r="P362" s="31" t="n">
        <f aca="false">M362+F362</f>
        <v>13594.04</v>
      </c>
      <c r="Q362" s="31" t="n">
        <f aca="false">P362-Summary!$C$5</f>
        <v>3594.03999999999</v>
      </c>
      <c r="R362" s="2" t="str">
        <f aca="false">TEXT(A362,"ddd")</f>
        <v>Mon</v>
      </c>
    </row>
    <row r="363" customFormat="false" ht="15" hidden="false" customHeight="false" outlineLevel="0" collapsed="false">
      <c r="A363" s="43" t="n">
        <v>45230</v>
      </c>
      <c r="B363" s="29" t="n">
        <f aca="false">COUNTIFS(Trades!$D$2:$D$1146,$A363)</f>
        <v>1</v>
      </c>
      <c r="C363" s="29" t="n">
        <f aca="false">COUNTIFS(Trades!$D$2:$D$1146,$A363,Trades!$Z$2:$Z$1146,"Win")</f>
        <v>0</v>
      </c>
      <c r="D363" s="29" t="n">
        <f aca="false">COUNTIFS(Trades!$D$2:$D$1146,$A363,Trades!$Z$2:$Z$1146,"Loss")</f>
        <v>1</v>
      </c>
      <c r="E363" s="30" t="n">
        <f aca="false">IFERROR(C363/B363,0)</f>
        <v>0</v>
      </c>
      <c r="F363" s="31" t="n">
        <f aca="false">SUMIFS(Trades!$X$2:$X$1146,Trades!$D$2:$D$1146,$A363)</f>
        <v>-1.76</v>
      </c>
      <c r="G363" s="31" t="n">
        <f aca="false">SUMIFS(Trades!$X$2:$X$1146,Trades!$D$2:$D$1146,$A363,Trades!$X$2:$X$1146,"&gt;0")</f>
        <v>0</v>
      </c>
      <c r="H363" s="31" t="n">
        <f aca="false">SUMIFS(Trades!$X$2:$X$1146,Trades!$D$2:$D$1146,$A363,Trades!$X$2:$X$1146,"&lt;0")</f>
        <v>-1.76</v>
      </c>
      <c r="I363" s="32" t="n">
        <f aca="false">IFERROR(G363/-H363,"no loss")</f>
        <v>0</v>
      </c>
      <c r="J363" s="31" t="n">
        <f aca="false">_xlfn.MAXIFS(Trades!$X$2:$X$1146,Trades!$D$2:$D$1146,$A363)</f>
        <v>-1.76</v>
      </c>
      <c r="K363" s="31" t="n">
        <f aca="false">_xlfn.MINIFS(Trades!$X$2:$X$1146,Trades!$D$2:$D$1146,$A363)</f>
        <v>-1.76</v>
      </c>
      <c r="L363" s="33" t="n">
        <f aca="false">SUMIFS(Trades!$Y$2:$Y$1146,Trades!$D$2:$D$1146,$A363)</f>
        <v>-0.0547945205479532</v>
      </c>
      <c r="M363" s="31" t="n">
        <f aca="false">P362</f>
        <v>13594.04</v>
      </c>
      <c r="N363" s="30" t="n">
        <f aca="false">IFERROR(F363/M363,0)</f>
        <v>-0.000129468502373099</v>
      </c>
      <c r="O363" s="29" t="str">
        <f aca="false">IF(-N363&gt;=Summary!$C$7,"BREACH","")</f>
        <v/>
      </c>
      <c r="P363" s="31" t="n">
        <f aca="false">M363+F363</f>
        <v>13592.28</v>
      </c>
      <c r="Q363" s="31" t="n">
        <f aca="false">P363-Summary!$C$5</f>
        <v>3592.27999999999</v>
      </c>
      <c r="R363" s="2" t="str">
        <f aca="false">TEXT(A363,"ddd")</f>
        <v>Tue</v>
      </c>
    </row>
    <row r="364" customFormat="false" ht="15" hidden="false" customHeight="false" outlineLevel="0" collapsed="false">
      <c r="A364" s="43" t="n">
        <v>45231</v>
      </c>
      <c r="B364" s="29" t="n">
        <f aca="false">COUNTIFS(Trades!$D$2:$D$1146,$A364)</f>
        <v>1</v>
      </c>
      <c r="C364" s="29" t="n">
        <f aca="false">COUNTIFS(Trades!$D$2:$D$1146,$A364,Trades!$Z$2:$Z$1146,"Win")</f>
        <v>0</v>
      </c>
      <c r="D364" s="29" t="n">
        <f aca="false">COUNTIFS(Trades!$D$2:$D$1146,$A364,Trades!$Z$2:$Z$1146,"Loss")</f>
        <v>1</v>
      </c>
      <c r="E364" s="30" t="n">
        <f aca="false">IFERROR(C364/B364,0)</f>
        <v>0</v>
      </c>
      <c r="F364" s="31" t="n">
        <f aca="false">SUMIFS(Trades!$X$2:$X$1146,Trades!$D$2:$D$1146,$A364)</f>
        <v>-59.8</v>
      </c>
      <c r="G364" s="31" t="n">
        <f aca="false">SUMIFS(Trades!$X$2:$X$1146,Trades!$D$2:$D$1146,$A364,Trades!$X$2:$X$1146,"&gt;0")</f>
        <v>0</v>
      </c>
      <c r="H364" s="31" t="n">
        <f aca="false">SUMIFS(Trades!$X$2:$X$1146,Trades!$D$2:$D$1146,$A364,Trades!$X$2:$X$1146,"&lt;0")</f>
        <v>-59.8</v>
      </c>
      <c r="I364" s="32" t="n">
        <f aca="false">IFERROR(G364/-H364,"no loss")</f>
        <v>0</v>
      </c>
      <c r="J364" s="31" t="n">
        <f aca="false">_xlfn.MAXIFS(Trades!$X$2:$X$1146,Trades!$D$2:$D$1146,$A364)</f>
        <v>-59.8</v>
      </c>
      <c r="K364" s="31" t="n">
        <f aca="false">_xlfn.MINIFS(Trades!$X$2:$X$1146,Trades!$D$2:$D$1146,$A364)</f>
        <v>-59.8</v>
      </c>
      <c r="L364" s="33" t="n">
        <f aca="false">SUMIFS(Trades!$Y$2:$Y$1146,Trades!$D$2:$D$1146,$A364)</f>
        <v>-1.00537995965037</v>
      </c>
      <c r="M364" s="31" t="n">
        <f aca="false">P363</f>
        <v>13592.28</v>
      </c>
      <c r="N364" s="30" t="n">
        <f aca="false">IFERROR(F364/M364,0)</f>
        <v>-0.00439955621867708</v>
      </c>
      <c r="O364" s="29" t="str">
        <f aca="false">IF(-N364&gt;=Summary!$C$7,"BREACH","")</f>
        <v/>
      </c>
      <c r="P364" s="31" t="n">
        <f aca="false">M364+F364</f>
        <v>13532.48</v>
      </c>
      <c r="Q364" s="31" t="n">
        <f aca="false">P364-Summary!$C$5</f>
        <v>3532.47999999999</v>
      </c>
      <c r="R364" s="2" t="str">
        <f aca="false">TEXT(A364,"ddd")</f>
        <v>Wed</v>
      </c>
    </row>
    <row r="365" customFormat="false" ht="15" hidden="false" customHeight="false" outlineLevel="0" collapsed="false">
      <c r="A365" s="43" t="n">
        <v>45232</v>
      </c>
      <c r="B365" s="29" t="n">
        <f aca="false">COUNTIFS(Trades!$D$2:$D$1146,$A365)</f>
        <v>1</v>
      </c>
      <c r="C365" s="29" t="n">
        <f aca="false">COUNTIFS(Trades!$D$2:$D$1146,$A365,Trades!$Z$2:$Z$1146,"Win")</f>
        <v>1</v>
      </c>
      <c r="D365" s="29" t="n">
        <f aca="false">COUNTIFS(Trades!$D$2:$D$1146,$A365,Trades!$Z$2:$Z$1146,"Loss")</f>
        <v>0</v>
      </c>
      <c r="E365" s="30" t="n">
        <f aca="false">IFERROR(C365/B365,0)</f>
        <v>1</v>
      </c>
      <c r="F365" s="31" t="n">
        <f aca="false">SUMIFS(Trades!$X$2:$X$1146,Trades!$D$2:$D$1146,$A365)</f>
        <v>74.08</v>
      </c>
      <c r="G365" s="31" t="n">
        <f aca="false">SUMIFS(Trades!$X$2:$X$1146,Trades!$D$2:$D$1146,$A365,Trades!$X$2:$X$1146,"&gt;0")</f>
        <v>74.08</v>
      </c>
      <c r="H365" s="31" t="n">
        <f aca="false">SUMIFS(Trades!$X$2:$X$1146,Trades!$D$2:$D$1146,$A365,Trades!$X$2:$X$1146,"&lt;0")</f>
        <v>0</v>
      </c>
      <c r="I365" s="32" t="str">
        <f aca="false">IFERROR(G365/-H365,"no loss")</f>
        <v>no loss</v>
      </c>
      <c r="J365" s="31" t="n">
        <f aca="false">_xlfn.MAXIFS(Trades!$X$2:$X$1146,Trades!$D$2:$D$1146,$A365)</f>
        <v>74.08</v>
      </c>
      <c r="K365" s="31" t="n">
        <f aca="false">_xlfn.MINIFS(Trades!$X$2:$X$1146,Trades!$D$2:$D$1146,$A365)</f>
        <v>74.08</v>
      </c>
      <c r="L365" s="33" t="n">
        <f aca="false">SUMIFS(Trades!$Y$2:$Y$1146,Trades!$D$2:$D$1146,$A365)</f>
        <v>2.47263017356483</v>
      </c>
      <c r="M365" s="31" t="n">
        <f aca="false">P364</f>
        <v>13532.48</v>
      </c>
      <c r="N365" s="30" t="n">
        <f aca="false">IFERROR(F365/M365,0)</f>
        <v>0.00547423679916764</v>
      </c>
      <c r="O365" s="29" t="str">
        <f aca="false">IF(-N365&gt;=Summary!$C$7,"BREACH","")</f>
        <v/>
      </c>
      <c r="P365" s="31" t="n">
        <f aca="false">M365+F365</f>
        <v>13606.56</v>
      </c>
      <c r="Q365" s="31" t="n">
        <f aca="false">P365-Summary!$C$5</f>
        <v>3606.55999999999</v>
      </c>
      <c r="R365" s="2" t="str">
        <f aca="false">TEXT(A365,"ddd")</f>
        <v>Thu</v>
      </c>
    </row>
    <row r="366" customFormat="false" ht="15" hidden="false" customHeight="false" outlineLevel="0" collapsed="false">
      <c r="A366" s="43" t="n">
        <v>45233</v>
      </c>
      <c r="B366" s="29" t="n">
        <f aca="false">COUNTIFS(Trades!$D$2:$D$1146,$A366)</f>
        <v>1</v>
      </c>
      <c r="C366" s="29" t="n">
        <f aca="false">COUNTIFS(Trades!$D$2:$D$1146,$A366,Trades!$Z$2:$Z$1146,"Win")</f>
        <v>0</v>
      </c>
      <c r="D366" s="29" t="n">
        <f aca="false">COUNTIFS(Trades!$D$2:$D$1146,$A366,Trades!$Z$2:$Z$1146,"Loss")</f>
        <v>1</v>
      </c>
      <c r="E366" s="30" t="n">
        <f aca="false">IFERROR(C366/B366,0)</f>
        <v>0</v>
      </c>
      <c r="F366" s="31" t="n">
        <f aca="false">SUMIFS(Trades!$X$2:$X$1146,Trades!$D$2:$D$1146,$A366)</f>
        <v>-0.12</v>
      </c>
      <c r="G366" s="31" t="n">
        <f aca="false">SUMIFS(Trades!$X$2:$X$1146,Trades!$D$2:$D$1146,$A366,Trades!$X$2:$X$1146,"&gt;0")</f>
        <v>0</v>
      </c>
      <c r="H366" s="31" t="n">
        <f aca="false">SUMIFS(Trades!$X$2:$X$1146,Trades!$D$2:$D$1146,$A366,Trades!$X$2:$X$1146,"&lt;0")</f>
        <v>-0.12</v>
      </c>
      <c r="I366" s="32" t="n">
        <f aca="false">IFERROR(G366/-H366,"no loss")</f>
        <v>0</v>
      </c>
      <c r="J366" s="31" t="n">
        <f aca="false">_xlfn.MAXIFS(Trades!$X$2:$X$1146,Trades!$D$2:$D$1146,$A366)</f>
        <v>-0.12</v>
      </c>
      <c r="K366" s="31" t="n">
        <f aca="false">_xlfn.MINIFS(Trades!$X$2:$X$1146,Trades!$D$2:$D$1146,$A366)</f>
        <v>-0.12</v>
      </c>
      <c r="L366" s="33" t="n">
        <f aca="false">SUMIFS(Trades!$Y$2:$Y$1146,Trades!$D$2:$D$1146,$A366)</f>
        <v>-0.00161637931034487</v>
      </c>
      <c r="M366" s="31" t="n">
        <f aca="false">P365</f>
        <v>13606.56</v>
      </c>
      <c r="N366" s="30" t="n">
        <f aca="false">IFERROR(F366/M366,0)</f>
        <v>-8.81927540833246E-006</v>
      </c>
      <c r="O366" s="29" t="str">
        <f aca="false">IF(-N366&gt;=Summary!$C$7,"BREACH","")</f>
        <v/>
      </c>
      <c r="P366" s="31" t="n">
        <f aca="false">M366+F366</f>
        <v>13606.44</v>
      </c>
      <c r="Q366" s="31" t="n">
        <f aca="false">P366-Summary!$C$5</f>
        <v>3606.43999999999</v>
      </c>
      <c r="R366" s="2" t="str">
        <f aca="false">TEXT(A366,"ddd")</f>
        <v>Fri</v>
      </c>
    </row>
    <row r="367" customFormat="false" ht="15" hidden="false" customHeight="false" outlineLevel="0" collapsed="false">
      <c r="A367" s="43" t="n">
        <v>45236</v>
      </c>
      <c r="B367" s="29" t="n">
        <f aca="false">COUNTIFS(Trades!$D$2:$D$1146,$A367)</f>
        <v>1</v>
      </c>
      <c r="C367" s="29" t="n">
        <f aca="false">COUNTIFS(Trades!$D$2:$D$1146,$A367,Trades!$Z$2:$Z$1146,"Win")</f>
        <v>0</v>
      </c>
      <c r="D367" s="29" t="n">
        <f aca="false">COUNTIFS(Trades!$D$2:$D$1146,$A367,Trades!$Z$2:$Z$1146,"Loss")</f>
        <v>1</v>
      </c>
      <c r="E367" s="30" t="n">
        <f aca="false">IFERROR(C367/B367,0)</f>
        <v>0</v>
      </c>
      <c r="F367" s="31" t="n">
        <f aca="false">SUMIFS(Trades!$X$2:$X$1146,Trades!$D$2:$D$1146,$A367)</f>
        <v>-39</v>
      </c>
      <c r="G367" s="31" t="n">
        <f aca="false">SUMIFS(Trades!$X$2:$X$1146,Trades!$D$2:$D$1146,$A367,Trades!$X$2:$X$1146,"&gt;0")</f>
        <v>0</v>
      </c>
      <c r="H367" s="31" t="n">
        <f aca="false">SUMIFS(Trades!$X$2:$X$1146,Trades!$D$2:$D$1146,$A367,Trades!$X$2:$X$1146,"&lt;0")</f>
        <v>-39</v>
      </c>
      <c r="I367" s="32" t="n">
        <f aca="false">IFERROR(G367/-H367,"no loss")</f>
        <v>0</v>
      </c>
      <c r="J367" s="31" t="n">
        <f aca="false">_xlfn.MAXIFS(Trades!$X$2:$X$1146,Trades!$D$2:$D$1146,$A367)</f>
        <v>-39</v>
      </c>
      <c r="K367" s="31" t="n">
        <f aca="false">_xlfn.MINIFS(Trades!$X$2:$X$1146,Trades!$D$2:$D$1146,$A367)</f>
        <v>-39</v>
      </c>
      <c r="L367" s="33" t="n">
        <f aca="false">SUMIFS(Trades!$Y$2:$Y$1146,Trades!$D$2:$D$1146,$A367)</f>
        <v>-1.02094240837704</v>
      </c>
      <c r="M367" s="31" t="n">
        <f aca="false">P366</f>
        <v>13606.44</v>
      </c>
      <c r="N367" s="30" t="n">
        <f aca="false">IFERROR(F367/M367,0)</f>
        <v>-0.00286628978630707</v>
      </c>
      <c r="O367" s="29" t="str">
        <f aca="false">IF(-N367&gt;=Summary!$C$7,"BREACH","")</f>
        <v/>
      </c>
      <c r="P367" s="31" t="n">
        <f aca="false">M367+F367</f>
        <v>13567.44</v>
      </c>
      <c r="Q367" s="31" t="n">
        <f aca="false">P367-Summary!$C$5</f>
        <v>3567.43999999999</v>
      </c>
      <c r="R367" s="2" t="str">
        <f aca="false">TEXT(A367,"ddd")</f>
        <v>Mon</v>
      </c>
    </row>
    <row r="368" customFormat="false" ht="15" hidden="false" customHeight="false" outlineLevel="0" collapsed="false">
      <c r="A368" s="43" t="n">
        <v>45237</v>
      </c>
      <c r="B368" s="29" t="n">
        <f aca="false">COUNTIFS(Trades!$D$2:$D$1146,$A368)</f>
        <v>1</v>
      </c>
      <c r="C368" s="29" t="n">
        <f aca="false">COUNTIFS(Trades!$D$2:$D$1146,$A368,Trades!$Z$2:$Z$1146,"Win")</f>
        <v>1</v>
      </c>
      <c r="D368" s="29" t="n">
        <f aca="false">COUNTIFS(Trades!$D$2:$D$1146,$A368,Trades!$Z$2:$Z$1146,"Loss")</f>
        <v>0</v>
      </c>
      <c r="E368" s="30" t="n">
        <f aca="false">IFERROR(C368/B368,0)</f>
        <v>1</v>
      </c>
      <c r="F368" s="31" t="n">
        <f aca="false">SUMIFS(Trades!$X$2:$X$1146,Trades!$D$2:$D$1146,$A368)</f>
        <v>70.24</v>
      </c>
      <c r="G368" s="31" t="n">
        <f aca="false">SUMIFS(Trades!$X$2:$X$1146,Trades!$D$2:$D$1146,$A368,Trades!$X$2:$X$1146,"&gt;0")</f>
        <v>70.24</v>
      </c>
      <c r="H368" s="31" t="n">
        <f aca="false">SUMIFS(Trades!$X$2:$X$1146,Trades!$D$2:$D$1146,$A368,Trades!$X$2:$X$1146,"&lt;0")</f>
        <v>0</v>
      </c>
      <c r="I368" s="32" t="str">
        <f aca="false">IFERROR(G368/-H368,"no loss")</f>
        <v>no loss</v>
      </c>
      <c r="J368" s="31" t="n">
        <f aca="false">_xlfn.MAXIFS(Trades!$X$2:$X$1146,Trades!$D$2:$D$1146,$A368)</f>
        <v>70.24</v>
      </c>
      <c r="K368" s="31" t="n">
        <f aca="false">_xlfn.MINIFS(Trades!$X$2:$X$1146,Trades!$D$2:$D$1146,$A368)</f>
        <v>70.24</v>
      </c>
      <c r="L368" s="33" t="n">
        <f aca="false">SUMIFS(Trades!$Y$2:$Y$1146,Trades!$D$2:$D$1146,$A368)</f>
        <v>2.69325153374215</v>
      </c>
      <c r="M368" s="31" t="n">
        <f aca="false">P367</f>
        <v>13567.44</v>
      </c>
      <c r="N368" s="30" t="n">
        <f aca="false">IFERROR(F368/M368,0)</f>
        <v>0.00517710046994865</v>
      </c>
      <c r="O368" s="29" t="str">
        <f aca="false">IF(-N368&gt;=Summary!$C$7,"BREACH","")</f>
        <v/>
      </c>
      <c r="P368" s="31" t="n">
        <f aca="false">M368+F368</f>
        <v>13637.68</v>
      </c>
      <c r="Q368" s="31" t="n">
        <f aca="false">P368-Summary!$C$5</f>
        <v>3637.67999999999</v>
      </c>
      <c r="R368" s="2" t="str">
        <f aca="false">TEXT(A368,"ddd")</f>
        <v>Tue</v>
      </c>
    </row>
    <row r="369" customFormat="false" ht="15" hidden="false" customHeight="false" outlineLevel="0" collapsed="false">
      <c r="A369" s="43" t="n">
        <v>45238</v>
      </c>
      <c r="B369" s="29" t="n">
        <f aca="false">COUNTIFS(Trades!$D$2:$D$1146,$A369)</f>
        <v>1</v>
      </c>
      <c r="C369" s="29" t="n">
        <f aca="false">COUNTIFS(Trades!$D$2:$D$1146,$A369,Trades!$Z$2:$Z$1146,"Win")</f>
        <v>0</v>
      </c>
      <c r="D369" s="29" t="n">
        <f aca="false">COUNTIFS(Trades!$D$2:$D$1146,$A369,Trades!$Z$2:$Z$1146,"Loss")</f>
        <v>1</v>
      </c>
      <c r="E369" s="30" t="n">
        <f aca="false">IFERROR(C369/B369,0)</f>
        <v>0</v>
      </c>
      <c r="F369" s="31" t="n">
        <f aca="false">SUMIFS(Trades!$X$2:$X$1146,Trades!$D$2:$D$1146,$A369)</f>
        <v>-32.12</v>
      </c>
      <c r="G369" s="31" t="n">
        <f aca="false">SUMIFS(Trades!$X$2:$X$1146,Trades!$D$2:$D$1146,$A369,Trades!$X$2:$X$1146,"&gt;0")</f>
        <v>0</v>
      </c>
      <c r="H369" s="31" t="n">
        <f aca="false">SUMIFS(Trades!$X$2:$X$1146,Trades!$D$2:$D$1146,$A369,Trades!$X$2:$X$1146,"&lt;0")</f>
        <v>-32.12</v>
      </c>
      <c r="I369" s="32" t="n">
        <f aca="false">IFERROR(G369/-H369,"no loss")</f>
        <v>0</v>
      </c>
      <c r="J369" s="31" t="n">
        <f aca="false">_xlfn.MAXIFS(Trades!$X$2:$X$1146,Trades!$D$2:$D$1146,$A369)</f>
        <v>-32.12</v>
      </c>
      <c r="K369" s="31" t="n">
        <f aca="false">_xlfn.MINIFS(Trades!$X$2:$X$1146,Trades!$D$2:$D$1146,$A369)</f>
        <v>-32.12</v>
      </c>
      <c r="L369" s="33" t="n">
        <f aca="false">SUMIFS(Trades!$Y$2:$Y$1146,Trades!$D$2:$D$1146,$A369)</f>
        <v>-1.11527777777795</v>
      </c>
      <c r="M369" s="31" t="n">
        <f aca="false">P368</f>
        <v>13637.68</v>
      </c>
      <c r="N369" s="30" t="n">
        <f aca="false">IFERROR(F369/M369,0)</f>
        <v>-0.00235523930756551</v>
      </c>
      <c r="O369" s="29" t="str">
        <f aca="false">IF(-N369&gt;=Summary!$C$7,"BREACH","")</f>
        <v/>
      </c>
      <c r="P369" s="31" t="n">
        <f aca="false">M369+F369</f>
        <v>13605.56</v>
      </c>
      <c r="Q369" s="31" t="n">
        <f aca="false">P369-Summary!$C$5</f>
        <v>3605.55999999999</v>
      </c>
      <c r="R369" s="2" t="str">
        <f aca="false">TEXT(A369,"ddd")</f>
        <v>Wed</v>
      </c>
    </row>
    <row r="370" customFormat="false" ht="15" hidden="false" customHeight="false" outlineLevel="0" collapsed="false">
      <c r="A370" s="43" t="n">
        <v>45239</v>
      </c>
      <c r="B370" s="29" t="n">
        <f aca="false">COUNTIFS(Trades!$D$2:$D$1146,$A370)</f>
        <v>2</v>
      </c>
      <c r="C370" s="29" t="n">
        <f aca="false">COUNTIFS(Trades!$D$2:$D$1146,$A370,Trades!$Z$2:$Z$1146,"Win")</f>
        <v>0</v>
      </c>
      <c r="D370" s="29" t="n">
        <f aca="false">COUNTIFS(Trades!$D$2:$D$1146,$A370,Trades!$Z$2:$Z$1146,"Loss")</f>
        <v>2</v>
      </c>
      <c r="E370" s="30" t="n">
        <f aca="false">IFERROR(C370/B370,0)</f>
        <v>0</v>
      </c>
      <c r="F370" s="31" t="n">
        <f aca="false">SUMIFS(Trades!$X$2:$X$1146,Trades!$D$2:$D$1146,$A370)</f>
        <v>-54.68</v>
      </c>
      <c r="G370" s="31" t="n">
        <f aca="false">SUMIFS(Trades!$X$2:$X$1146,Trades!$D$2:$D$1146,$A370,Trades!$X$2:$X$1146,"&gt;0")</f>
        <v>0</v>
      </c>
      <c r="H370" s="31" t="n">
        <f aca="false">SUMIFS(Trades!$X$2:$X$1146,Trades!$D$2:$D$1146,$A370,Trades!$X$2:$X$1146,"&lt;0")</f>
        <v>-54.68</v>
      </c>
      <c r="I370" s="32" t="n">
        <f aca="false">IFERROR(G370/-H370,"no loss")</f>
        <v>0</v>
      </c>
      <c r="J370" s="31" t="n">
        <f aca="false">_xlfn.MAXIFS(Trades!$X$2:$X$1146,Trades!$D$2:$D$1146,$A370)</f>
        <v>-3.88</v>
      </c>
      <c r="K370" s="31" t="n">
        <f aca="false">_xlfn.MINIFS(Trades!$X$2:$X$1146,Trades!$D$2:$D$1146,$A370)</f>
        <v>-50.8</v>
      </c>
      <c r="L370" s="33" t="n">
        <f aca="false">SUMIFS(Trades!$Y$2:$Y$1146,Trades!$D$2:$D$1146,$A370)</f>
        <v>-1.1787589690144</v>
      </c>
      <c r="M370" s="31" t="n">
        <f aca="false">P369</f>
        <v>13605.56</v>
      </c>
      <c r="N370" s="30" t="n">
        <f aca="false">IFERROR(F370/M370,0)</f>
        <v>-0.00401894519593461</v>
      </c>
      <c r="O370" s="29" t="str">
        <f aca="false">IF(-N370&gt;=Summary!$C$7,"BREACH","")</f>
        <v/>
      </c>
      <c r="P370" s="31" t="n">
        <f aca="false">M370+F370</f>
        <v>13550.88</v>
      </c>
      <c r="Q370" s="31" t="n">
        <f aca="false">P370-Summary!$C$5</f>
        <v>3550.87999999999</v>
      </c>
      <c r="R370" s="2" t="str">
        <f aca="false">TEXT(A370,"ddd")</f>
        <v>Thu</v>
      </c>
    </row>
    <row r="371" customFormat="false" ht="15" hidden="false" customHeight="false" outlineLevel="0" collapsed="false">
      <c r="A371" s="43" t="n">
        <v>45240</v>
      </c>
      <c r="B371" s="29" t="n">
        <f aca="false">COUNTIFS(Trades!$D$2:$D$1146,$A371)</f>
        <v>2</v>
      </c>
      <c r="C371" s="29" t="n">
        <f aca="false">COUNTIFS(Trades!$D$2:$D$1146,$A371,Trades!$Z$2:$Z$1146,"Win")</f>
        <v>2</v>
      </c>
      <c r="D371" s="29" t="n">
        <f aca="false">COUNTIFS(Trades!$D$2:$D$1146,$A371,Trades!$Z$2:$Z$1146,"Loss")</f>
        <v>0</v>
      </c>
      <c r="E371" s="30" t="n">
        <f aca="false">IFERROR(C371/B371,0)</f>
        <v>1</v>
      </c>
      <c r="F371" s="31" t="n">
        <f aca="false">SUMIFS(Trades!$X$2:$X$1146,Trades!$D$2:$D$1146,$A371)</f>
        <v>122.68</v>
      </c>
      <c r="G371" s="31" t="n">
        <f aca="false">SUMIFS(Trades!$X$2:$X$1146,Trades!$D$2:$D$1146,$A371,Trades!$X$2:$X$1146,"&gt;0")</f>
        <v>122.68</v>
      </c>
      <c r="H371" s="31" t="n">
        <f aca="false">SUMIFS(Trades!$X$2:$X$1146,Trades!$D$2:$D$1146,$A371,Trades!$X$2:$X$1146,"&lt;0")</f>
        <v>0</v>
      </c>
      <c r="I371" s="32" t="str">
        <f aca="false">IFERROR(G371/-H371,"no loss")</f>
        <v>no loss</v>
      </c>
      <c r="J371" s="31" t="n">
        <f aca="false">_xlfn.MAXIFS(Trades!$X$2:$X$1146,Trades!$D$2:$D$1146,$A371)</f>
        <v>90.76</v>
      </c>
      <c r="K371" s="31" t="n">
        <f aca="false">_xlfn.MINIFS(Trades!$X$2:$X$1146,Trades!$D$2:$D$1146,$A371)</f>
        <v>31.92</v>
      </c>
      <c r="L371" s="33" t="n">
        <f aca="false">SUMIFS(Trades!$Y$2:$Y$1146,Trades!$D$2:$D$1146,$A371)</f>
        <v>5.35898713159057</v>
      </c>
      <c r="M371" s="31" t="n">
        <f aca="false">P370</f>
        <v>13550.88</v>
      </c>
      <c r="N371" s="30" t="n">
        <f aca="false">IFERROR(F371/M371,0)</f>
        <v>0.00905328657622236</v>
      </c>
      <c r="O371" s="29" t="str">
        <f aca="false">IF(-N371&gt;=Summary!$C$7,"BREACH","")</f>
        <v/>
      </c>
      <c r="P371" s="31" t="n">
        <f aca="false">M371+F371</f>
        <v>13673.56</v>
      </c>
      <c r="Q371" s="31" t="n">
        <f aca="false">P371-Summary!$C$5</f>
        <v>3673.55999999999</v>
      </c>
      <c r="R371" s="2" t="str">
        <f aca="false">TEXT(A371,"ddd")</f>
        <v>Fri</v>
      </c>
    </row>
    <row r="372" customFormat="false" ht="15" hidden="false" customHeight="false" outlineLevel="0" collapsed="false">
      <c r="A372" s="43" t="n">
        <v>45244</v>
      </c>
      <c r="B372" s="29" t="n">
        <f aca="false">COUNTIFS(Trades!$D$2:$D$1146,$A372)</f>
        <v>1</v>
      </c>
      <c r="C372" s="29" t="n">
        <f aca="false">COUNTIFS(Trades!$D$2:$D$1146,$A372,Trades!$Z$2:$Z$1146,"Win")</f>
        <v>1</v>
      </c>
      <c r="D372" s="29" t="n">
        <f aca="false">COUNTIFS(Trades!$D$2:$D$1146,$A372,Trades!$Z$2:$Z$1146,"Loss")</f>
        <v>0</v>
      </c>
      <c r="E372" s="30" t="n">
        <f aca="false">IFERROR(C372/B372,0)</f>
        <v>1</v>
      </c>
      <c r="F372" s="31" t="n">
        <f aca="false">SUMIFS(Trades!$X$2:$X$1146,Trades!$D$2:$D$1146,$A372)</f>
        <v>20.96</v>
      </c>
      <c r="G372" s="31" t="n">
        <f aca="false">SUMIFS(Trades!$X$2:$X$1146,Trades!$D$2:$D$1146,$A372,Trades!$X$2:$X$1146,"&gt;0")</f>
        <v>20.96</v>
      </c>
      <c r="H372" s="31" t="n">
        <f aca="false">SUMIFS(Trades!$X$2:$X$1146,Trades!$D$2:$D$1146,$A372,Trades!$X$2:$X$1146,"&lt;0")</f>
        <v>0</v>
      </c>
      <c r="I372" s="32" t="str">
        <f aca="false">IFERROR(G372/-H372,"no loss")</f>
        <v>no loss</v>
      </c>
      <c r="J372" s="31" t="n">
        <f aca="false">_xlfn.MAXIFS(Trades!$X$2:$X$1146,Trades!$D$2:$D$1146,$A372)</f>
        <v>20.96</v>
      </c>
      <c r="K372" s="31" t="n">
        <f aca="false">_xlfn.MINIFS(Trades!$X$2:$X$1146,Trades!$D$2:$D$1146,$A372)</f>
        <v>20.96</v>
      </c>
      <c r="L372" s="33" t="n">
        <f aca="false">SUMIFS(Trades!$Y$2:$Y$1146,Trades!$D$2:$D$1146,$A372)</f>
        <v>2.46009389671244</v>
      </c>
      <c r="M372" s="31" t="n">
        <f aca="false">P371</f>
        <v>13673.56</v>
      </c>
      <c r="N372" s="30" t="n">
        <f aca="false">IFERROR(F372/M372,0)</f>
        <v>0.00153288536416266</v>
      </c>
      <c r="O372" s="29" t="str">
        <f aca="false">IF(-N372&gt;=Summary!$C$7,"BREACH","")</f>
        <v/>
      </c>
      <c r="P372" s="31" t="n">
        <f aca="false">M372+F372</f>
        <v>13694.52</v>
      </c>
      <c r="Q372" s="31" t="n">
        <f aca="false">P372-Summary!$C$5</f>
        <v>3694.51999999999</v>
      </c>
      <c r="R372" s="2" t="str">
        <f aca="false">TEXT(A372,"ddd")</f>
        <v>Tue</v>
      </c>
    </row>
    <row r="373" customFormat="false" ht="15" hidden="false" customHeight="false" outlineLevel="0" collapsed="false">
      <c r="A373" s="43" t="n">
        <v>45245</v>
      </c>
      <c r="B373" s="29" t="n">
        <f aca="false">COUNTIFS(Trades!$D$2:$D$1146,$A373)</f>
        <v>1</v>
      </c>
      <c r="C373" s="29" t="n">
        <f aca="false">COUNTIFS(Trades!$D$2:$D$1146,$A373,Trades!$Z$2:$Z$1146,"Win")</f>
        <v>1</v>
      </c>
      <c r="D373" s="29" t="n">
        <f aca="false">COUNTIFS(Trades!$D$2:$D$1146,$A373,Trades!$Z$2:$Z$1146,"Loss")</f>
        <v>0</v>
      </c>
      <c r="E373" s="30" t="n">
        <f aca="false">IFERROR(C373/B373,0)</f>
        <v>1</v>
      </c>
      <c r="F373" s="31" t="n">
        <f aca="false">SUMIFS(Trades!$X$2:$X$1146,Trades!$D$2:$D$1146,$A373)</f>
        <v>32.64</v>
      </c>
      <c r="G373" s="31" t="n">
        <f aca="false">SUMIFS(Trades!$X$2:$X$1146,Trades!$D$2:$D$1146,$A373,Trades!$X$2:$X$1146,"&gt;0")</f>
        <v>32.64</v>
      </c>
      <c r="H373" s="31" t="n">
        <f aca="false">SUMIFS(Trades!$X$2:$X$1146,Trades!$D$2:$D$1146,$A373,Trades!$X$2:$X$1146,"&lt;0")</f>
        <v>0</v>
      </c>
      <c r="I373" s="32" t="str">
        <f aca="false">IFERROR(G373/-H373,"no loss")</f>
        <v>no loss</v>
      </c>
      <c r="J373" s="31" t="n">
        <f aca="false">_xlfn.MAXIFS(Trades!$X$2:$X$1146,Trades!$D$2:$D$1146,$A373)</f>
        <v>32.64</v>
      </c>
      <c r="K373" s="31" t="n">
        <f aca="false">_xlfn.MINIFS(Trades!$X$2:$X$1146,Trades!$D$2:$D$1146,$A373)</f>
        <v>32.64</v>
      </c>
      <c r="L373" s="33" t="n">
        <f aca="false">SUMIFS(Trades!$Y$2:$Y$1146,Trades!$D$2:$D$1146,$A373)</f>
        <v>2.93525179856046</v>
      </c>
      <c r="M373" s="31" t="n">
        <f aca="false">P372</f>
        <v>13694.52</v>
      </c>
      <c r="N373" s="30" t="n">
        <f aca="false">IFERROR(F373/M373,0)</f>
        <v>0.00238343512587517</v>
      </c>
      <c r="O373" s="29" t="str">
        <f aca="false">IF(-N373&gt;=Summary!$C$7,"BREACH","")</f>
        <v/>
      </c>
      <c r="P373" s="31" t="n">
        <f aca="false">M373+F373</f>
        <v>13727.16</v>
      </c>
      <c r="Q373" s="31" t="n">
        <f aca="false">P373-Summary!$C$5</f>
        <v>3727.15999999999</v>
      </c>
      <c r="R373" s="2" t="str">
        <f aca="false">TEXT(A373,"ddd")</f>
        <v>Wed</v>
      </c>
    </row>
    <row r="374" customFormat="false" ht="15" hidden="false" customHeight="false" outlineLevel="0" collapsed="false">
      <c r="A374" s="43" t="n">
        <v>45246</v>
      </c>
      <c r="B374" s="29" t="n">
        <f aca="false">COUNTIFS(Trades!$D$2:$D$1146,$A374)</f>
        <v>1</v>
      </c>
      <c r="C374" s="29" t="n">
        <f aca="false">COUNTIFS(Trades!$D$2:$D$1146,$A374,Trades!$Z$2:$Z$1146,"Win")</f>
        <v>0</v>
      </c>
      <c r="D374" s="29" t="n">
        <f aca="false">COUNTIFS(Trades!$D$2:$D$1146,$A374,Trades!$Z$2:$Z$1146,"Loss")</f>
        <v>1</v>
      </c>
      <c r="E374" s="30" t="n">
        <f aca="false">IFERROR(C374/B374,0)</f>
        <v>0</v>
      </c>
      <c r="F374" s="31" t="n">
        <f aca="false">SUMIFS(Trades!$X$2:$X$1146,Trades!$D$2:$D$1146,$A374)</f>
        <v>-17.64</v>
      </c>
      <c r="G374" s="31" t="n">
        <f aca="false">SUMIFS(Trades!$X$2:$X$1146,Trades!$D$2:$D$1146,$A374,Trades!$X$2:$X$1146,"&gt;0")</f>
        <v>0</v>
      </c>
      <c r="H374" s="31" t="n">
        <f aca="false">SUMIFS(Trades!$X$2:$X$1146,Trades!$D$2:$D$1146,$A374,Trades!$X$2:$X$1146,"&lt;0")</f>
        <v>-17.64</v>
      </c>
      <c r="I374" s="32" t="n">
        <f aca="false">IFERROR(G374/-H374,"no loss")</f>
        <v>0</v>
      </c>
      <c r="J374" s="31" t="n">
        <f aca="false">_xlfn.MAXIFS(Trades!$X$2:$X$1146,Trades!$D$2:$D$1146,$A374)</f>
        <v>-17.64</v>
      </c>
      <c r="K374" s="31" t="n">
        <f aca="false">_xlfn.MINIFS(Trades!$X$2:$X$1146,Trades!$D$2:$D$1146,$A374)</f>
        <v>-17.64</v>
      </c>
      <c r="L374" s="33" t="n">
        <f aca="false">SUMIFS(Trades!$Y$2:$Y$1146,Trades!$D$2:$D$1146,$A374)</f>
        <v>-1.03521126760558</v>
      </c>
      <c r="M374" s="31" t="n">
        <f aca="false">P373</f>
        <v>13727.16</v>
      </c>
      <c r="N374" s="30" t="n">
        <f aca="false">IFERROR(F374/M374,0)</f>
        <v>-0.00128504366525924</v>
      </c>
      <c r="O374" s="29" t="str">
        <f aca="false">IF(-N374&gt;=Summary!$C$7,"BREACH","")</f>
        <v/>
      </c>
      <c r="P374" s="31" t="n">
        <f aca="false">M374+F374</f>
        <v>13709.52</v>
      </c>
      <c r="Q374" s="31" t="n">
        <f aca="false">P374-Summary!$C$5</f>
        <v>3709.51999999999</v>
      </c>
      <c r="R374" s="2" t="str">
        <f aca="false">TEXT(A374,"ddd")</f>
        <v>Thu</v>
      </c>
    </row>
    <row r="375" customFormat="false" ht="15" hidden="false" customHeight="false" outlineLevel="0" collapsed="false">
      <c r="A375" s="43" t="n">
        <v>45247</v>
      </c>
      <c r="B375" s="29" t="n">
        <f aca="false">COUNTIFS(Trades!$D$2:$D$1146,$A375)</f>
        <v>1</v>
      </c>
      <c r="C375" s="29" t="n">
        <f aca="false">COUNTIFS(Trades!$D$2:$D$1146,$A375,Trades!$Z$2:$Z$1146,"Win")</f>
        <v>0</v>
      </c>
      <c r="D375" s="29" t="n">
        <f aca="false">COUNTIFS(Trades!$D$2:$D$1146,$A375,Trades!$Z$2:$Z$1146,"Loss")</f>
        <v>1</v>
      </c>
      <c r="E375" s="30" t="n">
        <f aca="false">IFERROR(C375/B375,0)</f>
        <v>0</v>
      </c>
      <c r="F375" s="31" t="n">
        <f aca="false">SUMIFS(Trades!$X$2:$X$1146,Trades!$D$2:$D$1146,$A375)</f>
        <v>-1.88</v>
      </c>
      <c r="G375" s="31" t="n">
        <f aca="false">SUMIFS(Trades!$X$2:$X$1146,Trades!$D$2:$D$1146,$A375,Trades!$X$2:$X$1146,"&gt;0")</f>
        <v>0</v>
      </c>
      <c r="H375" s="31" t="n">
        <f aca="false">SUMIFS(Trades!$X$2:$X$1146,Trades!$D$2:$D$1146,$A375,Trades!$X$2:$X$1146,"&lt;0")</f>
        <v>-1.88</v>
      </c>
      <c r="I375" s="32" t="n">
        <f aca="false">IFERROR(G375/-H375,"no loss")</f>
        <v>0</v>
      </c>
      <c r="J375" s="31" t="n">
        <f aca="false">_xlfn.MAXIFS(Trades!$X$2:$X$1146,Trades!$D$2:$D$1146,$A375)</f>
        <v>-1.88</v>
      </c>
      <c r="K375" s="31" t="n">
        <f aca="false">_xlfn.MINIFS(Trades!$X$2:$X$1146,Trades!$D$2:$D$1146,$A375)</f>
        <v>-1.88</v>
      </c>
      <c r="L375" s="33" t="n">
        <f aca="false">SUMIFS(Trades!$Y$2:$Y$1146,Trades!$D$2:$D$1146,$A375)</f>
        <v>-0.118387909319865</v>
      </c>
      <c r="M375" s="31" t="n">
        <f aca="false">P374</f>
        <v>13709.52</v>
      </c>
      <c r="N375" s="30" t="n">
        <f aca="false">IFERROR(F375/M375,0)</f>
        <v>-0.00013713098635109</v>
      </c>
      <c r="O375" s="29" t="str">
        <f aca="false">IF(-N375&gt;=Summary!$C$7,"BREACH","")</f>
        <v/>
      </c>
      <c r="P375" s="31" t="n">
        <f aca="false">M375+F375</f>
        <v>13707.64</v>
      </c>
      <c r="Q375" s="31" t="n">
        <f aca="false">P375-Summary!$C$5</f>
        <v>3707.63999999999</v>
      </c>
      <c r="R375" s="2" t="str">
        <f aca="false">TEXT(A375,"ddd")</f>
        <v>Fri</v>
      </c>
    </row>
    <row r="376" customFormat="false" ht="15" hidden="false" customHeight="false" outlineLevel="0" collapsed="false">
      <c r="A376" s="43" t="n">
        <v>45250</v>
      </c>
      <c r="B376" s="29" t="n">
        <f aca="false">COUNTIFS(Trades!$D$2:$D$1146,$A376)</f>
        <v>1</v>
      </c>
      <c r="C376" s="29" t="n">
        <f aca="false">COUNTIFS(Trades!$D$2:$D$1146,$A376,Trades!$Z$2:$Z$1146,"Win")</f>
        <v>1</v>
      </c>
      <c r="D376" s="29" t="n">
        <f aca="false">COUNTIFS(Trades!$D$2:$D$1146,$A376,Trades!$Z$2:$Z$1146,"Loss")</f>
        <v>0</v>
      </c>
      <c r="E376" s="30" t="n">
        <f aca="false">IFERROR(C376/B376,0)</f>
        <v>1</v>
      </c>
      <c r="F376" s="31" t="n">
        <f aca="false">SUMIFS(Trades!$X$2:$X$1146,Trades!$D$2:$D$1146,$A376)</f>
        <v>143.8</v>
      </c>
      <c r="G376" s="31" t="n">
        <f aca="false">SUMIFS(Trades!$X$2:$X$1146,Trades!$D$2:$D$1146,$A376,Trades!$X$2:$X$1146,"&gt;0")</f>
        <v>143.8</v>
      </c>
      <c r="H376" s="31" t="n">
        <f aca="false">SUMIFS(Trades!$X$2:$X$1146,Trades!$D$2:$D$1146,$A376,Trades!$X$2:$X$1146,"&lt;0")</f>
        <v>0</v>
      </c>
      <c r="I376" s="32" t="str">
        <f aca="false">IFERROR(G376/-H376,"no loss")</f>
        <v>no loss</v>
      </c>
      <c r="J376" s="31" t="n">
        <f aca="false">_xlfn.MAXIFS(Trades!$X$2:$X$1146,Trades!$D$2:$D$1146,$A376)</f>
        <v>143.8</v>
      </c>
      <c r="K376" s="31" t="n">
        <f aca="false">_xlfn.MINIFS(Trades!$X$2:$X$1146,Trades!$D$2:$D$1146,$A376)</f>
        <v>143.8</v>
      </c>
      <c r="L376" s="33" t="n">
        <f aca="false">SUMIFS(Trades!$Y$2:$Y$1146,Trades!$D$2:$D$1146,$A376)</f>
        <v>2.45057941376959</v>
      </c>
      <c r="M376" s="31" t="n">
        <f aca="false">P375</f>
        <v>13707.64</v>
      </c>
      <c r="N376" s="30" t="n">
        <f aca="false">IFERROR(F376/M376,0)</f>
        <v>0.0104905001882162</v>
      </c>
      <c r="O376" s="29" t="str">
        <f aca="false">IF(-N376&gt;=Summary!$C$7,"BREACH","")</f>
        <v/>
      </c>
      <c r="P376" s="31" t="n">
        <f aca="false">M376+F376</f>
        <v>13851.44</v>
      </c>
      <c r="Q376" s="31" t="n">
        <f aca="false">P376-Summary!$C$5</f>
        <v>3851.43999999999</v>
      </c>
      <c r="R376" s="2" t="str">
        <f aca="false">TEXT(A376,"ddd")</f>
        <v>Mon</v>
      </c>
    </row>
    <row r="377" customFormat="false" ht="15" hidden="false" customHeight="false" outlineLevel="0" collapsed="false">
      <c r="A377" s="43" t="n">
        <v>45251</v>
      </c>
      <c r="B377" s="29" t="n">
        <f aca="false">COUNTIFS(Trades!$D$2:$D$1146,$A377)</f>
        <v>1</v>
      </c>
      <c r="C377" s="29" t="n">
        <f aca="false">COUNTIFS(Trades!$D$2:$D$1146,$A377,Trades!$Z$2:$Z$1146,"Win")</f>
        <v>0</v>
      </c>
      <c r="D377" s="29" t="n">
        <f aca="false">COUNTIFS(Trades!$D$2:$D$1146,$A377,Trades!$Z$2:$Z$1146,"Loss")</f>
        <v>1</v>
      </c>
      <c r="E377" s="30" t="n">
        <f aca="false">IFERROR(C377/B377,0)</f>
        <v>0</v>
      </c>
      <c r="F377" s="31" t="n">
        <f aca="false">SUMIFS(Trades!$X$2:$X$1146,Trades!$D$2:$D$1146,$A377)</f>
        <v>-10.2</v>
      </c>
      <c r="G377" s="31" t="n">
        <f aca="false">SUMIFS(Trades!$X$2:$X$1146,Trades!$D$2:$D$1146,$A377,Trades!$X$2:$X$1146,"&gt;0")</f>
        <v>0</v>
      </c>
      <c r="H377" s="31" t="n">
        <f aca="false">SUMIFS(Trades!$X$2:$X$1146,Trades!$D$2:$D$1146,$A377,Trades!$X$2:$X$1146,"&lt;0")</f>
        <v>-10.2</v>
      </c>
      <c r="I377" s="32" t="n">
        <f aca="false">IFERROR(G377/-H377,"no loss")</f>
        <v>0</v>
      </c>
      <c r="J377" s="31" t="n">
        <f aca="false">_xlfn.MAXIFS(Trades!$X$2:$X$1146,Trades!$D$2:$D$1146,$A377)</f>
        <v>-10.2</v>
      </c>
      <c r="K377" s="31" t="n">
        <f aca="false">_xlfn.MINIFS(Trades!$X$2:$X$1146,Trades!$D$2:$D$1146,$A377)</f>
        <v>-10.2</v>
      </c>
      <c r="L377" s="33" t="n">
        <f aca="false">SUMIFS(Trades!$Y$2:$Y$1146,Trades!$D$2:$D$1146,$A377)</f>
        <v>-1.34210526315815</v>
      </c>
      <c r="M377" s="31" t="n">
        <f aca="false">P376</f>
        <v>13851.44</v>
      </c>
      <c r="N377" s="30" t="n">
        <f aca="false">IFERROR(F377/M377,0)</f>
        <v>-0.000736385531035041</v>
      </c>
      <c r="O377" s="29" t="str">
        <f aca="false">IF(-N377&gt;=Summary!$C$7,"BREACH","")</f>
        <v/>
      </c>
      <c r="P377" s="31" t="n">
        <f aca="false">M377+F377</f>
        <v>13841.24</v>
      </c>
      <c r="Q377" s="31" t="n">
        <f aca="false">P377-Summary!$C$5</f>
        <v>3841.23999999999</v>
      </c>
      <c r="R377" s="2" t="str">
        <f aca="false">TEXT(A377,"ddd")</f>
        <v>Tue</v>
      </c>
    </row>
    <row r="378" customFormat="false" ht="15" hidden="false" customHeight="false" outlineLevel="0" collapsed="false">
      <c r="A378" s="43" t="n">
        <v>45252</v>
      </c>
      <c r="B378" s="29" t="n">
        <f aca="false">COUNTIFS(Trades!$D$2:$D$1146,$A378)</f>
        <v>1</v>
      </c>
      <c r="C378" s="29" t="n">
        <f aca="false">COUNTIFS(Trades!$D$2:$D$1146,$A378,Trades!$Z$2:$Z$1146,"Win")</f>
        <v>1</v>
      </c>
      <c r="D378" s="29" t="n">
        <f aca="false">COUNTIFS(Trades!$D$2:$D$1146,$A378,Trades!$Z$2:$Z$1146,"Loss")</f>
        <v>0</v>
      </c>
      <c r="E378" s="30" t="n">
        <f aca="false">IFERROR(C378/B378,0)</f>
        <v>1</v>
      </c>
      <c r="F378" s="31" t="n">
        <f aca="false">SUMIFS(Trades!$X$2:$X$1146,Trades!$D$2:$D$1146,$A378)</f>
        <v>142.56</v>
      </c>
      <c r="G378" s="31" t="n">
        <f aca="false">SUMIFS(Trades!$X$2:$X$1146,Trades!$D$2:$D$1146,$A378,Trades!$X$2:$X$1146,"&gt;0")</f>
        <v>142.56</v>
      </c>
      <c r="H378" s="31" t="n">
        <f aca="false">SUMIFS(Trades!$X$2:$X$1146,Trades!$D$2:$D$1146,$A378,Trades!$X$2:$X$1146,"&lt;0")</f>
        <v>0</v>
      </c>
      <c r="I378" s="32" t="str">
        <f aca="false">IFERROR(G378/-H378,"no loss")</f>
        <v>no loss</v>
      </c>
      <c r="J378" s="31" t="n">
        <f aca="false">_xlfn.MAXIFS(Trades!$X$2:$X$1146,Trades!$D$2:$D$1146,$A378)</f>
        <v>142.56</v>
      </c>
      <c r="K378" s="31" t="n">
        <f aca="false">_xlfn.MINIFS(Trades!$X$2:$X$1146,Trades!$D$2:$D$1146,$A378)</f>
        <v>142.56</v>
      </c>
      <c r="L378" s="33" t="n">
        <f aca="false">SUMIFS(Trades!$Y$2:$Y$1146,Trades!$D$2:$D$1146,$A378)</f>
        <v>2.49405178446483</v>
      </c>
      <c r="M378" s="31" t="n">
        <f aca="false">P377</f>
        <v>13841.24</v>
      </c>
      <c r="N378" s="30" t="n">
        <f aca="false">IFERROR(F378/M378,0)</f>
        <v>0.0102996552332017</v>
      </c>
      <c r="O378" s="29" t="str">
        <f aca="false">IF(-N378&gt;=Summary!$C$7,"BREACH","")</f>
        <v/>
      </c>
      <c r="P378" s="31" t="n">
        <f aca="false">M378+F378</f>
        <v>13983.8</v>
      </c>
      <c r="Q378" s="31" t="n">
        <f aca="false">P378-Summary!$C$5</f>
        <v>3983.79999999999</v>
      </c>
      <c r="R378" s="2" t="str">
        <f aca="false">TEXT(A378,"ddd")</f>
        <v>Wed</v>
      </c>
    </row>
    <row r="379" customFormat="false" ht="15" hidden="false" customHeight="false" outlineLevel="0" collapsed="false">
      <c r="A379" s="43" t="n">
        <v>45254</v>
      </c>
      <c r="B379" s="29" t="n">
        <f aca="false">COUNTIFS(Trades!$D$2:$D$1146,$A379)</f>
        <v>1</v>
      </c>
      <c r="C379" s="29" t="n">
        <f aca="false">COUNTIFS(Trades!$D$2:$D$1146,$A379,Trades!$Z$2:$Z$1146,"Win")</f>
        <v>0</v>
      </c>
      <c r="D379" s="29" t="n">
        <f aca="false">COUNTIFS(Trades!$D$2:$D$1146,$A379,Trades!$Z$2:$Z$1146,"Loss")</f>
        <v>1</v>
      </c>
      <c r="E379" s="30" t="n">
        <f aca="false">IFERROR(C379/B379,0)</f>
        <v>0</v>
      </c>
      <c r="F379" s="31" t="n">
        <f aca="false">SUMIFS(Trades!$X$2:$X$1146,Trades!$D$2:$D$1146,$A379)</f>
        <v>-0.08</v>
      </c>
      <c r="G379" s="31" t="n">
        <f aca="false">SUMIFS(Trades!$X$2:$X$1146,Trades!$D$2:$D$1146,$A379,Trades!$X$2:$X$1146,"&gt;0")</f>
        <v>0</v>
      </c>
      <c r="H379" s="31" t="n">
        <f aca="false">SUMIFS(Trades!$X$2:$X$1146,Trades!$D$2:$D$1146,$A379,Trades!$X$2:$X$1146,"&lt;0")</f>
        <v>-0.08</v>
      </c>
      <c r="I379" s="32" t="n">
        <f aca="false">IFERROR(G379/-H379,"no loss")</f>
        <v>0</v>
      </c>
      <c r="J379" s="31" t="n">
        <f aca="false">_xlfn.MAXIFS(Trades!$X$2:$X$1146,Trades!$D$2:$D$1146,$A379)</f>
        <v>-0.08</v>
      </c>
      <c r="K379" s="31" t="n">
        <f aca="false">_xlfn.MINIFS(Trades!$X$2:$X$1146,Trades!$D$2:$D$1146,$A379)</f>
        <v>-0.08</v>
      </c>
      <c r="L379" s="33" t="n">
        <f aca="false">SUMIFS(Trades!$Y$2:$Y$1146,Trades!$D$2:$D$1146,$A379)</f>
        <v>-0.00840336134453422</v>
      </c>
      <c r="M379" s="31" t="n">
        <f aca="false">P378</f>
        <v>13983.8</v>
      </c>
      <c r="N379" s="30" t="n">
        <f aca="false">IFERROR(F379/M379,0)</f>
        <v>-5.72090561935955E-006</v>
      </c>
      <c r="O379" s="29" t="str">
        <f aca="false">IF(-N379&gt;=Summary!$C$7,"BREACH","")</f>
        <v/>
      </c>
      <c r="P379" s="31" t="n">
        <f aca="false">M379+F379</f>
        <v>13983.72</v>
      </c>
      <c r="Q379" s="31" t="n">
        <f aca="false">P379-Summary!$C$5</f>
        <v>3983.71999999999</v>
      </c>
      <c r="R379" s="2" t="str">
        <f aca="false">TEXT(A379,"ddd")</f>
        <v>Fri</v>
      </c>
    </row>
    <row r="380" customFormat="false" ht="15" hidden="false" customHeight="false" outlineLevel="0" collapsed="false">
      <c r="A380" s="43" t="n">
        <v>45257</v>
      </c>
      <c r="B380" s="29" t="n">
        <f aca="false">COUNTIFS(Trades!$D$2:$D$1146,$A380)</f>
        <v>2</v>
      </c>
      <c r="C380" s="29" t="n">
        <f aca="false">COUNTIFS(Trades!$D$2:$D$1146,$A380,Trades!$Z$2:$Z$1146,"Win")</f>
        <v>0</v>
      </c>
      <c r="D380" s="29" t="n">
        <f aca="false">COUNTIFS(Trades!$D$2:$D$1146,$A380,Trades!$Z$2:$Z$1146,"Loss")</f>
        <v>2</v>
      </c>
      <c r="E380" s="30" t="n">
        <f aca="false">IFERROR(C380/B380,0)</f>
        <v>0</v>
      </c>
      <c r="F380" s="31" t="n">
        <f aca="false">SUMIFS(Trades!$X$2:$X$1146,Trades!$D$2:$D$1146,$A380)</f>
        <v>-28.84</v>
      </c>
      <c r="G380" s="31" t="n">
        <f aca="false">SUMIFS(Trades!$X$2:$X$1146,Trades!$D$2:$D$1146,$A380,Trades!$X$2:$X$1146,"&gt;0")</f>
        <v>0</v>
      </c>
      <c r="H380" s="31" t="n">
        <f aca="false">SUMIFS(Trades!$X$2:$X$1146,Trades!$D$2:$D$1146,$A380,Trades!$X$2:$X$1146,"&lt;0")</f>
        <v>-28.84</v>
      </c>
      <c r="I380" s="32" t="n">
        <f aca="false">IFERROR(G380/-H380,"no loss")</f>
        <v>0</v>
      </c>
      <c r="J380" s="31" t="n">
        <f aca="false">_xlfn.MAXIFS(Trades!$X$2:$X$1146,Trades!$D$2:$D$1146,$A380)</f>
        <v>-12.88</v>
      </c>
      <c r="K380" s="31" t="n">
        <f aca="false">_xlfn.MINIFS(Trades!$X$2:$X$1146,Trades!$D$2:$D$1146,$A380)</f>
        <v>-15.96</v>
      </c>
      <c r="L380" s="33" t="n">
        <f aca="false">SUMIFS(Trades!$Y$2:$Y$1146,Trades!$D$2:$D$1146,$A380)</f>
        <v>-2.12732662467904</v>
      </c>
      <c r="M380" s="31" t="n">
        <f aca="false">P379</f>
        <v>13983.72</v>
      </c>
      <c r="N380" s="30" t="n">
        <f aca="false">IFERROR(F380/M380,0)</f>
        <v>-0.002062398274565</v>
      </c>
      <c r="O380" s="29" t="str">
        <f aca="false">IF(-N380&gt;=Summary!$C$7,"BREACH","")</f>
        <v/>
      </c>
      <c r="P380" s="31" t="n">
        <f aca="false">M380+F380</f>
        <v>13954.88</v>
      </c>
      <c r="Q380" s="31" t="n">
        <f aca="false">P380-Summary!$C$5</f>
        <v>3954.87999999999</v>
      </c>
      <c r="R380" s="2" t="str">
        <f aca="false">TEXT(A380,"ddd")</f>
        <v>Mon</v>
      </c>
    </row>
    <row r="381" customFormat="false" ht="15" hidden="false" customHeight="false" outlineLevel="0" collapsed="false">
      <c r="A381" s="43" t="n">
        <v>45259</v>
      </c>
      <c r="B381" s="29" t="n">
        <f aca="false">COUNTIFS(Trades!$D$2:$D$1146,$A381)</f>
        <v>1</v>
      </c>
      <c r="C381" s="29" t="n">
        <f aca="false">COUNTIFS(Trades!$D$2:$D$1146,$A381,Trades!$Z$2:$Z$1146,"Win")</f>
        <v>0</v>
      </c>
      <c r="D381" s="29" t="n">
        <f aca="false">COUNTIFS(Trades!$D$2:$D$1146,$A381,Trades!$Z$2:$Z$1146,"Loss")</f>
        <v>1</v>
      </c>
      <c r="E381" s="30" t="n">
        <f aca="false">IFERROR(C381/B381,0)</f>
        <v>0</v>
      </c>
      <c r="F381" s="31" t="n">
        <f aca="false">SUMIFS(Trades!$X$2:$X$1146,Trades!$D$2:$D$1146,$A381)</f>
        <v>-0.88</v>
      </c>
      <c r="G381" s="31" t="n">
        <f aca="false">SUMIFS(Trades!$X$2:$X$1146,Trades!$D$2:$D$1146,$A381,Trades!$X$2:$X$1146,"&gt;0")</f>
        <v>0</v>
      </c>
      <c r="H381" s="31" t="n">
        <f aca="false">SUMIFS(Trades!$X$2:$X$1146,Trades!$D$2:$D$1146,$A381,Trades!$X$2:$X$1146,"&lt;0")</f>
        <v>-0.88</v>
      </c>
      <c r="I381" s="32" t="n">
        <f aca="false">IFERROR(G381/-H381,"no loss")</f>
        <v>0</v>
      </c>
      <c r="J381" s="31" t="n">
        <f aca="false">_xlfn.MAXIFS(Trades!$X$2:$X$1146,Trades!$D$2:$D$1146,$A381)</f>
        <v>-0.88</v>
      </c>
      <c r="K381" s="31" t="n">
        <f aca="false">_xlfn.MINIFS(Trades!$X$2:$X$1146,Trades!$D$2:$D$1146,$A381)</f>
        <v>-0.88</v>
      </c>
      <c r="L381" s="33" t="n">
        <f aca="false">SUMIFS(Trades!$Y$2:$Y$1146,Trades!$D$2:$D$1146,$A381)</f>
        <v>-0.0571428571428518</v>
      </c>
      <c r="M381" s="31" t="n">
        <f aca="false">P380</f>
        <v>13954.88</v>
      </c>
      <c r="N381" s="30" t="n">
        <f aca="false">IFERROR(F381/M381,0)</f>
        <v>-6.30603774450229E-005</v>
      </c>
      <c r="O381" s="29" t="str">
        <f aca="false">IF(-N381&gt;=Summary!$C$7,"BREACH","")</f>
        <v/>
      </c>
      <c r="P381" s="31" t="n">
        <f aca="false">M381+F381</f>
        <v>13954</v>
      </c>
      <c r="Q381" s="31" t="n">
        <f aca="false">P381-Summary!$C$5</f>
        <v>3953.99999999999</v>
      </c>
      <c r="R381" s="2" t="str">
        <f aca="false">TEXT(A381,"ddd")</f>
        <v>Wed</v>
      </c>
    </row>
    <row r="382" customFormat="false" ht="15" hidden="false" customHeight="false" outlineLevel="0" collapsed="false">
      <c r="A382" s="43" t="n">
        <v>45260</v>
      </c>
      <c r="B382" s="29" t="n">
        <f aca="false">COUNTIFS(Trades!$D$2:$D$1146,$A382)</f>
        <v>1</v>
      </c>
      <c r="C382" s="29" t="n">
        <f aca="false">COUNTIFS(Trades!$D$2:$D$1146,$A382,Trades!$Z$2:$Z$1146,"Win")</f>
        <v>1</v>
      </c>
      <c r="D382" s="29" t="n">
        <f aca="false">COUNTIFS(Trades!$D$2:$D$1146,$A382,Trades!$Z$2:$Z$1146,"Loss")</f>
        <v>0</v>
      </c>
      <c r="E382" s="30" t="n">
        <f aca="false">IFERROR(C382/B382,0)</f>
        <v>1</v>
      </c>
      <c r="F382" s="31" t="n">
        <f aca="false">SUMIFS(Trades!$X$2:$X$1146,Trades!$D$2:$D$1146,$A382)</f>
        <v>176.04</v>
      </c>
      <c r="G382" s="31" t="n">
        <f aca="false">SUMIFS(Trades!$X$2:$X$1146,Trades!$D$2:$D$1146,$A382,Trades!$X$2:$X$1146,"&gt;0")</f>
        <v>176.04</v>
      </c>
      <c r="H382" s="31" t="n">
        <f aca="false">SUMIFS(Trades!$X$2:$X$1146,Trades!$D$2:$D$1146,$A382,Trades!$X$2:$X$1146,"&lt;0")</f>
        <v>0</v>
      </c>
      <c r="I382" s="32" t="str">
        <f aca="false">IFERROR(G382/-H382,"no loss")</f>
        <v>no loss</v>
      </c>
      <c r="J382" s="31" t="n">
        <f aca="false">_xlfn.MAXIFS(Trades!$X$2:$X$1146,Trades!$D$2:$D$1146,$A382)</f>
        <v>176.04</v>
      </c>
      <c r="K382" s="31" t="n">
        <f aca="false">_xlfn.MINIFS(Trades!$X$2:$X$1146,Trades!$D$2:$D$1146,$A382)</f>
        <v>176.04</v>
      </c>
      <c r="L382" s="33" t="n">
        <f aca="false">SUMIFS(Trades!$Y$2:$Y$1146,Trades!$D$2:$D$1146,$A382)</f>
        <v>2.35852090032156</v>
      </c>
      <c r="M382" s="31" t="n">
        <f aca="false">P381</f>
        <v>13954</v>
      </c>
      <c r="N382" s="30" t="n">
        <f aca="false">IFERROR(F382/M382,0)</f>
        <v>0.0126157374229612</v>
      </c>
      <c r="O382" s="29" t="str">
        <f aca="false">IF(-N382&gt;=Summary!$C$7,"BREACH","")</f>
        <v/>
      </c>
      <c r="P382" s="31" t="n">
        <f aca="false">M382+F382</f>
        <v>14130.04</v>
      </c>
      <c r="Q382" s="31" t="n">
        <f aca="false">P382-Summary!$C$5</f>
        <v>4130.03999999999</v>
      </c>
      <c r="R382" s="2" t="str">
        <f aca="false">TEXT(A382,"ddd")</f>
        <v>Thu</v>
      </c>
    </row>
    <row r="383" customFormat="false" ht="15" hidden="false" customHeight="false" outlineLevel="0" collapsed="false">
      <c r="A383" s="43" t="n">
        <v>45264</v>
      </c>
      <c r="B383" s="29" t="n">
        <f aca="false">COUNTIFS(Trades!$D$2:$D$1146,$A383)</f>
        <v>1</v>
      </c>
      <c r="C383" s="29" t="n">
        <f aca="false">COUNTIFS(Trades!$D$2:$D$1146,$A383,Trades!$Z$2:$Z$1146,"Win")</f>
        <v>0</v>
      </c>
      <c r="D383" s="29" t="n">
        <f aca="false">COUNTIFS(Trades!$D$2:$D$1146,$A383,Trades!$Z$2:$Z$1146,"Loss")</f>
        <v>1</v>
      </c>
      <c r="E383" s="30" t="n">
        <f aca="false">IFERROR(C383/B383,0)</f>
        <v>0</v>
      </c>
      <c r="F383" s="31" t="n">
        <f aca="false">SUMIFS(Trades!$X$2:$X$1146,Trades!$D$2:$D$1146,$A383)</f>
        <v>-35.68</v>
      </c>
      <c r="G383" s="31" t="n">
        <f aca="false">SUMIFS(Trades!$X$2:$X$1146,Trades!$D$2:$D$1146,$A383,Trades!$X$2:$X$1146,"&gt;0")</f>
        <v>0</v>
      </c>
      <c r="H383" s="31" t="n">
        <f aca="false">SUMIFS(Trades!$X$2:$X$1146,Trades!$D$2:$D$1146,$A383,Trades!$X$2:$X$1146,"&lt;0")</f>
        <v>-35.68</v>
      </c>
      <c r="I383" s="32" t="n">
        <f aca="false">IFERROR(G383/-H383,"no loss")</f>
        <v>0</v>
      </c>
      <c r="J383" s="31" t="n">
        <f aca="false">_xlfn.MAXIFS(Trades!$X$2:$X$1146,Trades!$D$2:$D$1146,$A383)</f>
        <v>-35.68</v>
      </c>
      <c r="K383" s="31" t="n">
        <f aca="false">_xlfn.MINIFS(Trades!$X$2:$X$1146,Trades!$D$2:$D$1146,$A383)</f>
        <v>-35.68</v>
      </c>
      <c r="L383" s="33" t="n">
        <f aca="false">SUMIFS(Trades!$Y$2:$Y$1146,Trades!$D$2:$D$1146,$A383)</f>
        <v>-1.0045045045046</v>
      </c>
      <c r="M383" s="31" t="n">
        <f aca="false">P382</f>
        <v>14130.04</v>
      </c>
      <c r="N383" s="30" t="n">
        <f aca="false">IFERROR(F383/M383,0)</f>
        <v>-0.00252511670172201</v>
      </c>
      <c r="O383" s="29" t="str">
        <f aca="false">IF(-N383&gt;=Summary!$C$7,"BREACH","")</f>
        <v/>
      </c>
      <c r="P383" s="31" t="n">
        <f aca="false">M383+F383</f>
        <v>14094.36</v>
      </c>
      <c r="Q383" s="31" t="n">
        <f aca="false">P383-Summary!$C$5</f>
        <v>4094.35999999999</v>
      </c>
      <c r="R383" s="2" t="str">
        <f aca="false">TEXT(A383,"ddd")</f>
        <v>Mon</v>
      </c>
    </row>
    <row r="384" customFormat="false" ht="15" hidden="false" customHeight="false" outlineLevel="0" collapsed="false">
      <c r="A384" s="43" t="n">
        <v>45266</v>
      </c>
      <c r="B384" s="29" t="n">
        <f aca="false">COUNTIFS(Trades!$D$2:$D$1146,$A384)</f>
        <v>1</v>
      </c>
      <c r="C384" s="29" t="n">
        <f aca="false">COUNTIFS(Trades!$D$2:$D$1146,$A384,Trades!$Z$2:$Z$1146,"Win")</f>
        <v>0</v>
      </c>
      <c r="D384" s="29" t="n">
        <f aca="false">COUNTIFS(Trades!$D$2:$D$1146,$A384,Trades!$Z$2:$Z$1146,"Loss")</f>
        <v>1</v>
      </c>
      <c r="E384" s="30" t="n">
        <f aca="false">IFERROR(C384/B384,0)</f>
        <v>0</v>
      </c>
      <c r="F384" s="31" t="n">
        <f aca="false">SUMIFS(Trades!$X$2:$X$1146,Trades!$D$2:$D$1146,$A384)</f>
        <v>-11.24</v>
      </c>
      <c r="G384" s="31" t="n">
        <f aca="false">SUMIFS(Trades!$X$2:$X$1146,Trades!$D$2:$D$1146,$A384,Trades!$X$2:$X$1146,"&gt;0")</f>
        <v>0</v>
      </c>
      <c r="H384" s="31" t="n">
        <f aca="false">SUMIFS(Trades!$X$2:$X$1146,Trades!$D$2:$D$1146,$A384,Trades!$X$2:$X$1146,"&lt;0")</f>
        <v>-11.24</v>
      </c>
      <c r="I384" s="32" t="n">
        <f aca="false">IFERROR(G384/-H384,"no loss")</f>
        <v>0</v>
      </c>
      <c r="J384" s="31" t="n">
        <f aca="false">_xlfn.MAXIFS(Trades!$X$2:$X$1146,Trades!$D$2:$D$1146,$A384)</f>
        <v>-11.24</v>
      </c>
      <c r="K384" s="31" t="n">
        <f aca="false">_xlfn.MINIFS(Trades!$X$2:$X$1146,Trades!$D$2:$D$1146,$A384)</f>
        <v>-11.24</v>
      </c>
      <c r="L384" s="33" t="n">
        <f aca="false">SUMIFS(Trades!$Y$2:$Y$1146,Trades!$D$2:$D$1146,$A384)</f>
        <v>-1.00000000000018</v>
      </c>
      <c r="M384" s="31" t="n">
        <f aca="false">P383</f>
        <v>14094.36</v>
      </c>
      <c r="N384" s="30" t="n">
        <f aca="false">IFERROR(F384/M384,0)</f>
        <v>-0.000797482113412742</v>
      </c>
      <c r="O384" s="29" t="str">
        <f aca="false">IF(-N384&gt;=Summary!$C$7,"BREACH","")</f>
        <v/>
      </c>
      <c r="P384" s="31" t="n">
        <f aca="false">M384+F384</f>
        <v>14083.12</v>
      </c>
      <c r="Q384" s="31" t="n">
        <f aca="false">P384-Summary!$C$5</f>
        <v>4083.11999999999</v>
      </c>
      <c r="R384" s="2" t="str">
        <f aca="false">TEXT(A384,"ddd")</f>
        <v>Wed</v>
      </c>
    </row>
    <row r="385" customFormat="false" ht="15" hidden="false" customHeight="false" outlineLevel="0" collapsed="false">
      <c r="A385" s="43" t="n">
        <v>45267</v>
      </c>
      <c r="B385" s="29" t="n">
        <f aca="false">COUNTIFS(Trades!$D$2:$D$1146,$A385)</f>
        <v>2</v>
      </c>
      <c r="C385" s="29" t="n">
        <f aca="false">COUNTIFS(Trades!$D$2:$D$1146,$A385,Trades!$Z$2:$Z$1146,"Win")</f>
        <v>0</v>
      </c>
      <c r="D385" s="29" t="n">
        <f aca="false">COUNTIFS(Trades!$D$2:$D$1146,$A385,Trades!$Z$2:$Z$1146,"Loss")</f>
        <v>2</v>
      </c>
      <c r="E385" s="30" t="n">
        <f aca="false">IFERROR(C385/B385,0)</f>
        <v>0</v>
      </c>
      <c r="F385" s="31" t="n">
        <f aca="false">SUMIFS(Trades!$X$2:$X$1146,Trades!$D$2:$D$1146,$A385)</f>
        <v>-17.36</v>
      </c>
      <c r="G385" s="31" t="n">
        <f aca="false">SUMIFS(Trades!$X$2:$X$1146,Trades!$D$2:$D$1146,$A385,Trades!$X$2:$X$1146,"&gt;0")</f>
        <v>0</v>
      </c>
      <c r="H385" s="31" t="n">
        <f aca="false">SUMIFS(Trades!$X$2:$X$1146,Trades!$D$2:$D$1146,$A385,Trades!$X$2:$X$1146,"&lt;0")</f>
        <v>-17.36</v>
      </c>
      <c r="I385" s="32" t="n">
        <f aca="false">IFERROR(G385/-H385,"no loss")</f>
        <v>0</v>
      </c>
      <c r="J385" s="31" t="n">
        <f aca="false">_xlfn.MAXIFS(Trades!$X$2:$X$1146,Trades!$D$2:$D$1146,$A385)</f>
        <v>-4.16</v>
      </c>
      <c r="K385" s="31" t="n">
        <f aca="false">_xlfn.MINIFS(Trades!$X$2:$X$1146,Trades!$D$2:$D$1146,$A385)</f>
        <v>-13.2</v>
      </c>
      <c r="L385" s="33" t="n">
        <f aca="false">SUMIFS(Trades!$Y$2:$Y$1146,Trades!$D$2:$D$1146,$A385)</f>
        <v>-1.14676734652289</v>
      </c>
      <c r="M385" s="31" t="n">
        <f aca="false">P384</f>
        <v>14083.12</v>
      </c>
      <c r="N385" s="30" t="n">
        <f aca="false">IFERROR(F385/M385,0)</f>
        <v>-0.00123268139446373</v>
      </c>
      <c r="O385" s="29" t="str">
        <f aca="false">IF(-N385&gt;=Summary!$C$7,"BREACH","")</f>
        <v/>
      </c>
      <c r="P385" s="31" t="n">
        <f aca="false">M385+F385</f>
        <v>14065.76</v>
      </c>
      <c r="Q385" s="31" t="n">
        <f aca="false">P385-Summary!$C$5</f>
        <v>4065.75999999999</v>
      </c>
      <c r="R385" s="2" t="str">
        <f aca="false">TEXT(A385,"ddd")</f>
        <v>Thu</v>
      </c>
    </row>
    <row r="386" customFormat="false" ht="15" hidden="false" customHeight="false" outlineLevel="0" collapsed="false">
      <c r="A386" s="43" t="n">
        <v>45268</v>
      </c>
      <c r="B386" s="29" t="n">
        <f aca="false">COUNTIFS(Trades!$D$2:$D$1146,$A386)</f>
        <v>1</v>
      </c>
      <c r="C386" s="29" t="n">
        <f aca="false">COUNTIFS(Trades!$D$2:$D$1146,$A386,Trades!$Z$2:$Z$1146,"Win")</f>
        <v>0</v>
      </c>
      <c r="D386" s="29" t="n">
        <f aca="false">COUNTIFS(Trades!$D$2:$D$1146,$A386,Trades!$Z$2:$Z$1146,"Loss")</f>
        <v>1</v>
      </c>
      <c r="E386" s="30" t="n">
        <f aca="false">IFERROR(C386/B386,0)</f>
        <v>0</v>
      </c>
      <c r="F386" s="31" t="n">
        <f aca="false">SUMIFS(Trades!$X$2:$X$1146,Trades!$D$2:$D$1146,$A386)</f>
        <v>-1.44</v>
      </c>
      <c r="G386" s="31" t="n">
        <f aca="false">SUMIFS(Trades!$X$2:$X$1146,Trades!$D$2:$D$1146,$A386,Trades!$X$2:$X$1146,"&gt;0")</f>
        <v>0</v>
      </c>
      <c r="H386" s="31" t="n">
        <f aca="false">SUMIFS(Trades!$X$2:$X$1146,Trades!$D$2:$D$1146,$A386,Trades!$X$2:$X$1146,"&lt;0")</f>
        <v>-1.44</v>
      </c>
      <c r="I386" s="32" t="n">
        <f aca="false">IFERROR(G386/-H386,"no loss")</f>
        <v>0</v>
      </c>
      <c r="J386" s="31" t="n">
        <f aca="false">_xlfn.MAXIFS(Trades!$X$2:$X$1146,Trades!$D$2:$D$1146,$A386)</f>
        <v>-1.44</v>
      </c>
      <c r="K386" s="31" t="n">
        <f aca="false">_xlfn.MINIFS(Trades!$X$2:$X$1146,Trades!$D$2:$D$1146,$A386)</f>
        <v>-1.44</v>
      </c>
      <c r="L386" s="33" t="n">
        <f aca="false">SUMIFS(Trades!$Y$2:$Y$1146,Trades!$D$2:$D$1146,$A386)</f>
        <v>-0.0190274841437631</v>
      </c>
      <c r="M386" s="31" t="n">
        <f aca="false">P385</f>
        <v>14065.76</v>
      </c>
      <c r="N386" s="30" t="n">
        <f aca="false">IFERROR(F386/M386,0)</f>
        <v>-0.000102376266906303</v>
      </c>
      <c r="O386" s="29" t="str">
        <f aca="false">IF(-N386&gt;=Summary!$C$7,"BREACH","")</f>
        <v/>
      </c>
      <c r="P386" s="31" t="n">
        <f aca="false">M386+F386</f>
        <v>14064.32</v>
      </c>
      <c r="Q386" s="31" t="n">
        <f aca="false">P386-Summary!$C$5</f>
        <v>4064.31999999999</v>
      </c>
      <c r="R386" s="2" t="str">
        <f aca="false">TEXT(A386,"ddd")</f>
        <v>Fri</v>
      </c>
    </row>
    <row r="387" customFormat="false" ht="15" hidden="false" customHeight="false" outlineLevel="0" collapsed="false">
      <c r="A387" s="43" t="n">
        <v>45271</v>
      </c>
      <c r="B387" s="29" t="n">
        <f aca="false">COUNTIFS(Trades!$D$2:$D$1146,$A387)</f>
        <v>1</v>
      </c>
      <c r="C387" s="29" t="n">
        <f aca="false">COUNTIFS(Trades!$D$2:$D$1146,$A387,Trades!$Z$2:$Z$1146,"Win")</f>
        <v>0</v>
      </c>
      <c r="D387" s="29" t="n">
        <f aca="false">COUNTIFS(Trades!$D$2:$D$1146,$A387,Trades!$Z$2:$Z$1146,"Loss")</f>
        <v>1</v>
      </c>
      <c r="E387" s="30" t="n">
        <f aca="false">IFERROR(C387/B387,0)</f>
        <v>0</v>
      </c>
      <c r="F387" s="31" t="n">
        <f aca="false">SUMIFS(Trades!$X$2:$X$1146,Trades!$D$2:$D$1146,$A387)</f>
        <v>-87.32</v>
      </c>
      <c r="G387" s="31" t="n">
        <f aca="false">SUMIFS(Trades!$X$2:$X$1146,Trades!$D$2:$D$1146,$A387,Trades!$X$2:$X$1146,"&gt;0")</f>
        <v>0</v>
      </c>
      <c r="H387" s="31" t="n">
        <f aca="false">SUMIFS(Trades!$X$2:$X$1146,Trades!$D$2:$D$1146,$A387,Trades!$X$2:$X$1146,"&lt;0")</f>
        <v>-87.32</v>
      </c>
      <c r="I387" s="32" t="n">
        <f aca="false">IFERROR(G387/-H387,"no loss")</f>
        <v>0</v>
      </c>
      <c r="J387" s="31" t="n">
        <f aca="false">_xlfn.MAXIFS(Trades!$X$2:$X$1146,Trades!$D$2:$D$1146,$A387)</f>
        <v>-87.32</v>
      </c>
      <c r="K387" s="31" t="n">
        <f aca="false">_xlfn.MINIFS(Trades!$X$2:$X$1146,Trades!$D$2:$D$1146,$A387)</f>
        <v>-87.32</v>
      </c>
      <c r="L387" s="33" t="n">
        <f aca="false">SUMIFS(Trades!$Y$2:$Y$1146,Trades!$D$2:$D$1146,$A387)</f>
        <v>-1.01252319109464</v>
      </c>
      <c r="M387" s="31" t="n">
        <f aca="false">P386</f>
        <v>14064.32</v>
      </c>
      <c r="N387" s="30" t="n">
        <f aca="false">IFERROR(F387/M387,0)</f>
        <v>-0.00620861868899457</v>
      </c>
      <c r="O387" s="29" t="str">
        <f aca="false">IF(-N387&gt;=Summary!$C$7,"BREACH","")</f>
        <v/>
      </c>
      <c r="P387" s="31" t="n">
        <f aca="false">M387+F387</f>
        <v>13977</v>
      </c>
      <c r="Q387" s="31" t="n">
        <f aca="false">P387-Summary!$C$5</f>
        <v>3976.99999999999</v>
      </c>
      <c r="R387" s="2" t="str">
        <f aca="false">TEXT(A387,"ddd")</f>
        <v>Mon</v>
      </c>
    </row>
    <row r="388" customFormat="false" ht="15" hidden="false" customHeight="false" outlineLevel="0" collapsed="false">
      <c r="A388" s="43" t="n">
        <v>45272</v>
      </c>
      <c r="B388" s="29" t="n">
        <f aca="false">COUNTIFS(Trades!$D$2:$D$1146,$A388)</f>
        <v>1</v>
      </c>
      <c r="C388" s="29" t="n">
        <f aca="false">COUNTIFS(Trades!$D$2:$D$1146,$A388,Trades!$Z$2:$Z$1146,"Win")</f>
        <v>1</v>
      </c>
      <c r="D388" s="29" t="n">
        <f aca="false">COUNTIFS(Trades!$D$2:$D$1146,$A388,Trades!$Z$2:$Z$1146,"Loss")</f>
        <v>0</v>
      </c>
      <c r="E388" s="30" t="n">
        <f aca="false">IFERROR(C388/B388,0)</f>
        <v>1</v>
      </c>
      <c r="F388" s="31" t="n">
        <f aca="false">SUMIFS(Trades!$X$2:$X$1146,Trades!$D$2:$D$1146,$A388)</f>
        <v>36.32</v>
      </c>
      <c r="G388" s="31" t="n">
        <f aca="false">SUMIFS(Trades!$X$2:$X$1146,Trades!$D$2:$D$1146,$A388,Trades!$X$2:$X$1146,"&gt;0")</f>
        <v>36.32</v>
      </c>
      <c r="H388" s="31" t="n">
        <f aca="false">SUMIFS(Trades!$X$2:$X$1146,Trades!$D$2:$D$1146,$A388,Trades!$X$2:$X$1146,"&lt;0")</f>
        <v>0</v>
      </c>
      <c r="I388" s="32" t="str">
        <f aca="false">IFERROR(G388/-H388,"no loss")</f>
        <v>no loss</v>
      </c>
      <c r="J388" s="31" t="n">
        <f aca="false">_xlfn.MAXIFS(Trades!$X$2:$X$1146,Trades!$D$2:$D$1146,$A388)</f>
        <v>36.32</v>
      </c>
      <c r="K388" s="31" t="n">
        <f aca="false">_xlfn.MINIFS(Trades!$X$2:$X$1146,Trades!$D$2:$D$1146,$A388)</f>
        <v>36.32</v>
      </c>
      <c r="L388" s="33" t="n">
        <f aca="false">SUMIFS(Trades!$Y$2:$Y$1146,Trades!$D$2:$D$1146,$A388)</f>
        <v>2.52222222222197</v>
      </c>
      <c r="M388" s="31" t="n">
        <f aca="false">P387</f>
        <v>13977</v>
      </c>
      <c r="N388" s="30" t="n">
        <f aca="false">IFERROR(F388/M388,0)</f>
        <v>0.00259855476854833</v>
      </c>
      <c r="O388" s="29" t="str">
        <f aca="false">IF(-N388&gt;=Summary!$C$7,"BREACH","")</f>
        <v/>
      </c>
      <c r="P388" s="31" t="n">
        <f aca="false">M388+F388</f>
        <v>14013.32</v>
      </c>
      <c r="Q388" s="31" t="n">
        <f aca="false">P388-Summary!$C$5</f>
        <v>4013.31999999999</v>
      </c>
      <c r="R388" s="2" t="str">
        <f aca="false">TEXT(A388,"ddd")</f>
        <v>Tue</v>
      </c>
    </row>
    <row r="389" customFormat="false" ht="15" hidden="false" customHeight="false" outlineLevel="0" collapsed="false">
      <c r="A389" s="43" t="n">
        <v>45273</v>
      </c>
      <c r="B389" s="29" t="n">
        <f aca="false">COUNTIFS(Trades!$D$2:$D$1146,$A389)</f>
        <v>1</v>
      </c>
      <c r="C389" s="29" t="n">
        <f aca="false">COUNTIFS(Trades!$D$2:$D$1146,$A389,Trades!$Z$2:$Z$1146,"Win")</f>
        <v>1</v>
      </c>
      <c r="D389" s="29" t="n">
        <f aca="false">COUNTIFS(Trades!$D$2:$D$1146,$A389,Trades!$Z$2:$Z$1146,"Loss")</f>
        <v>0</v>
      </c>
      <c r="E389" s="30" t="n">
        <f aca="false">IFERROR(C389/B389,0)</f>
        <v>1</v>
      </c>
      <c r="F389" s="31" t="n">
        <f aca="false">SUMIFS(Trades!$X$2:$X$1146,Trades!$D$2:$D$1146,$A389)</f>
        <v>50.08</v>
      </c>
      <c r="G389" s="31" t="n">
        <f aca="false">SUMIFS(Trades!$X$2:$X$1146,Trades!$D$2:$D$1146,$A389,Trades!$X$2:$X$1146,"&gt;0")</f>
        <v>50.08</v>
      </c>
      <c r="H389" s="31" t="n">
        <f aca="false">SUMIFS(Trades!$X$2:$X$1146,Trades!$D$2:$D$1146,$A389,Trades!$X$2:$X$1146,"&lt;0")</f>
        <v>0</v>
      </c>
      <c r="I389" s="32" t="str">
        <f aca="false">IFERROR(G389/-H389,"no loss")</f>
        <v>no loss</v>
      </c>
      <c r="J389" s="31" t="n">
        <f aca="false">_xlfn.MAXIFS(Trades!$X$2:$X$1146,Trades!$D$2:$D$1146,$A389)</f>
        <v>50.08</v>
      </c>
      <c r="K389" s="31" t="n">
        <f aca="false">_xlfn.MINIFS(Trades!$X$2:$X$1146,Trades!$D$2:$D$1146,$A389)</f>
        <v>50.08</v>
      </c>
      <c r="L389" s="33" t="n">
        <f aca="false">SUMIFS(Trades!$Y$2:$Y$1146,Trades!$D$2:$D$1146,$A389)</f>
        <v>2.47920792079244</v>
      </c>
      <c r="M389" s="31" t="n">
        <f aca="false">P388</f>
        <v>14013.32</v>
      </c>
      <c r="N389" s="30" t="n">
        <f aca="false">IFERROR(F389/M389,0)</f>
        <v>0.00357374269623473</v>
      </c>
      <c r="O389" s="29" t="str">
        <f aca="false">IF(-N389&gt;=Summary!$C$7,"BREACH","")</f>
        <v/>
      </c>
      <c r="P389" s="31" t="n">
        <f aca="false">M389+F389</f>
        <v>14063.4</v>
      </c>
      <c r="Q389" s="31" t="n">
        <f aca="false">P389-Summary!$C$5</f>
        <v>4063.39999999999</v>
      </c>
      <c r="R389" s="2" t="str">
        <f aca="false">TEXT(A389,"ddd")</f>
        <v>Wed</v>
      </c>
    </row>
    <row r="390" customFormat="false" ht="15" hidden="false" customHeight="false" outlineLevel="0" collapsed="false">
      <c r="A390" s="43" t="n">
        <v>45274</v>
      </c>
      <c r="B390" s="29" t="n">
        <f aca="false">COUNTIFS(Trades!$D$2:$D$1146,$A390)</f>
        <v>1</v>
      </c>
      <c r="C390" s="29" t="n">
        <f aca="false">COUNTIFS(Trades!$D$2:$D$1146,$A390,Trades!$Z$2:$Z$1146,"Win")</f>
        <v>1</v>
      </c>
      <c r="D390" s="29" t="n">
        <f aca="false">COUNTIFS(Trades!$D$2:$D$1146,$A390,Trades!$Z$2:$Z$1146,"Loss")</f>
        <v>0</v>
      </c>
      <c r="E390" s="30" t="n">
        <f aca="false">IFERROR(C390/B390,0)</f>
        <v>1</v>
      </c>
      <c r="F390" s="31" t="n">
        <f aca="false">SUMIFS(Trades!$X$2:$X$1146,Trades!$D$2:$D$1146,$A390)</f>
        <v>18.84</v>
      </c>
      <c r="G390" s="31" t="n">
        <f aca="false">SUMIFS(Trades!$X$2:$X$1146,Trades!$D$2:$D$1146,$A390,Trades!$X$2:$X$1146,"&gt;0")</f>
        <v>18.84</v>
      </c>
      <c r="H390" s="31" t="n">
        <f aca="false">SUMIFS(Trades!$X$2:$X$1146,Trades!$D$2:$D$1146,$A390,Trades!$X$2:$X$1146,"&lt;0")</f>
        <v>0</v>
      </c>
      <c r="I390" s="32" t="str">
        <f aca="false">IFERROR(G390/-H390,"no loss")</f>
        <v>no loss</v>
      </c>
      <c r="J390" s="31" t="n">
        <f aca="false">_xlfn.MAXIFS(Trades!$X$2:$X$1146,Trades!$D$2:$D$1146,$A390)</f>
        <v>18.84</v>
      </c>
      <c r="K390" s="31" t="n">
        <f aca="false">_xlfn.MINIFS(Trades!$X$2:$X$1146,Trades!$D$2:$D$1146,$A390)</f>
        <v>18.84</v>
      </c>
      <c r="L390" s="33" t="n">
        <f aca="false">SUMIFS(Trades!$Y$2:$Y$1146,Trades!$D$2:$D$1146,$A390)</f>
        <v>2.67613636363327</v>
      </c>
      <c r="M390" s="31" t="n">
        <f aca="false">P389</f>
        <v>14063.4</v>
      </c>
      <c r="N390" s="30" t="n">
        <f aca="false">IFERROR(F390/M390,0)</f>
        <v>0.0013396475958872</v>
      </c>
      <c r="O390" s="29" t="str">
        <f aca="false">IF(-N390&gt;=Summary!$C$7,"BREACH","")</f>
        <v/>
      </c>
      <c r="P390" s="31" t="n">
        <f aca="false">M390+F390</f>
        <v>14082.24</v>
      </c>
      <c r="Q390" s="31" t="n">
        <f aca="false">P390-Summary!$C$5</f>
        <v>4082.23999999999</v>
      </c>
      <c r="R390" s="2" t="str">
        <f aca="false">TEXT(A390,"ddd")</f>
        <v>Thu</v>
      </c>
    </row>
    <row r="391" customFormat="false" ht="15" hidden="false" customHeight="false" outlineLevel="0" collapsed="false">
      <c r="A391" s="43" t="n">
        <v>45275</v>
      </c>
      <c r="B391" s="29" t="n">
        <f aca="false">COUNTIFS(Trades!$D$2:$D$1146,$A391)</f>
        <v>1</v>
      </c>
      <c r="C391" s="29" t="n">
        <f aca="false">COUNTIFS(Trades!$D$2:$D$1146,$A391,Trades!$Z$2:$Z$1146,"Win")</f>
        <v>0</v>
      </c>
      <c r="D391" s="29" t="n">
        <f aca="false">COUNTIFS(Trades!$D$2:$D$1146,$A391,Trades!$Z$2:$Z$1146,"Loss")</f>
        <v>1</v>
      </c>
      <c r="E391" s="30" t="n">
        <f aca="false">IFERROR(C391/B391,0)</f>
        <v>0</v>
      </c>
      <c r="F391" s="31" t="n">
        <f aca="false">SUMIFS(Trades!$X$2:$X$1146,Trades!$D$2:$D$1146,$A391)</f>
        <v>-30.4</v>
      </c>
      <c r="G391" s="31" t="n">
        <f aca="false">SUMIFS(Trades!$X$2:$X$1146,Trades!$D$2:$D$1146,$A391,Trades!$X$2:$X$1146,"&gt;0")</f>
        <v>0</v>
      </c>
      <c r="H391" s="31" t="n">
        <f aca="false">SUMIFS(Trades!$X$2:$X$1146,Trades!$D$2:$D$1146,$A391,Trades!$X$2:$X$1146,"&lt;0")</f>
        <v>-30.4</v>
      </c>
      <c r="I391" s="32" t="n">
        <f aca="false">IFERROR(G391/-H391,"no loss")</f>
        <v>0</v>
      </c>
      <c r="J391" s="31" t="n">
        <f aca="false">_xlfn.MAXIFS(Trades!$X$2:$X$1146,Trades!$D$2:$D$1146,$A391)</f>
        <v>-30.4</v>
      </c>
      <c r="K391" s="31" t="n">
        <f aca="false">_xlfn.MINIFS(Trades!$X$2:$X$1146,Trades!$D$2:$D$1146,$A391)</f>
        <v>-30.4</v>
      </c>
      <c r="L391" s="33" t="n">
        <f aca="false">SUMIFS(Trades!$Y$2:$Y$1146,Trades!$D$2:$D$1146,$A391)</f>
        <v>-1.03825136612026</v>
      </c>
      <c r="M391" s="31" t="n">
        <f aca="false">P390</f>
        <v>14082.24</v>
      </c>
      <c r="N391" s="30" t="n">
        <f aca="false">IFERROR(F391/M391,0)</f>
        <v>-0.00215874747199309</v>
      </c>
      <c r="O391" s="29" t="str">
        <f aca="false">IF(-N391&gt;=Summary!$C$7,"BREACH","")</f>
        <v/>
      </c>
      <c r="P391" s="31" t="n">
        <f aca="false">M391+F391</f>
        <v>14051.84</v>
      </c>
      <c r="Q391" s="31" t="n">
        <f aca="false">P391-Summary!$C$5</f>
        <v>4051.83999999999</v>
      </c>
      <c r="R391" s="2" t="str">
        <f aca="false">TEXT(A391,"ddd")</f>
        <v>Fri</v>
      </c>
    </row>
    <row r="392" customFormat="false" ht="15" hidden="false" customHeight="false" outlineLevel="0" collapsed="false">
      <c r="A392" s="43" t="n">
        <v>45278</v>
      </c>
      <c r="B392" s="29" t="n">
        <f aca="false">COUNTIFS(Trades!$D$2:$D$1146,$A392)</f>
        <v>1</v>
      </c>
      <c r="C392" s="29" t="n">
        <f aca="false">COUNTIFS(Trades!$D$2:$D$1146,$A392,Trades!$Z$2:$Z$1146,"Win")</f>
        <v>0</v>
      </c>
      <c r="D392" s="29" t="n">
        <f aca="false">COUNTIFS(Trades!$D$2:$D$1146,$A392,Trades!$Z$2:$Z$1146,"Loss")</f>
        <v>1</v>
      </c>
      <c r="E392" s="30" t="n">
        <f aca="false">IFERROR(C392/B392,0)</f>
        <v>0</v>
      </c>
      <c r="F392" s="31" t="n">
        <f aca="false">SUMIFS(Trades!$X$2:$X$1146,Trades!$D$2:$D$1146,$A392)</f>
        <v>-0.84</v>
      </c>
      <c r="G392" s="31" t="n">
        <f aca="false">SUMIFS(Trades!$X$2:$X$1146,Trades!$D$2:$D$1146,$A392,Trades!$X$2:$X$1146,"&gt;0")</f>
        <v>0</v>
      </c>
      <c r="H392" s="31" t="n">
        <f aca="false">SUMIFS(Trades!$X$2:$X$1146,Trades!$D$2:$D$1146,$A392,Trades!$X$2:$X$1146,"&lt;0")</f>
        <v>-0.84</v>
      </c>
      <c r="I392" s="32" t="n">
        <f aca="false">IFERROR(G392/-H392,"no loss")</f>
        <v>0</v>
      </c>
      <c r="J392" s="31" t="n">
        <f aca="false">_xlfn.MAXIFS(Trades!$X$2:$X$1146,Trades!$D$2:$D$1146,$A392)</f>
        <v>-0.84</v>
      </c>
      <c r="K392" s="31" t="n">
        <f aca="false">_xlfn.MINIFS(Trades!$X$2:$X$1146,Trades!$D$2:$D$1146,$A392)</f>
        <v>-0.84</v>
      </c>
      <c r="L392" s="33" t="n">
        <f aca="false">SUMIFS(Trades!$Y$2:$Y$1146,Trades!$D$2:$D$1146,$A392)</f>
        <v>-0.0233853006681526</v>
      </c>
      <c r="M392" s="31" t="n">
        <f aca="false">P391</f>
        <v>14051.84</v>
      </c>
      <c r="N392" s="30" t="n">
        <f aca="false">IFERROR(F392/M392,0)</f>
        <v>-5.9778648205502E-005</v>
      </c>
      <c r="O392" s="29" t="str">
        <f aca="false">IF(-N392&gt;=Summary!$C$7,"BREACH","")</f>
        <v/>
      </c>
      <c r="P392" s="31" t="n">
        <f aca="false">M392+F392</f>
        <v>14051</v>
      </c>
      <c r="Q392" s="31" t="n">
        <f aca="false">P392-Summary!$C$5</f>
        <v>4050.99999999999</v>
      </c>
      <c r="R392" s="2" t="str">
        <f aca="false">TEXT(A392,"ddd")</f>
        <v>Mon</v>
      </c>
    </row>
    <row r="393" customFormat="false" ht="15" hidden="false" customHeight="false" outlineLevel="0" collapsed="false">
      <c r="A393" s="43" t="n">
        <v>45279</v>
      </c>
      <c r="B393" s="29" t="n">
        <f aca="false">COUNTIFS(Trades!$D$2:$D$1146,$A393)</f>
        <v>1</v>
      </c>
      <c r="C393" s="29" t="n">
        <f aca="false">COUNTIFS(Trades!$D$2:$D$1146,$A393,Trades!$Z$2:$Z$1146,"Win")</f>
        <v>0</v>
      </c>
      <c r="D393" s="29" t="n">
        <f aca="false">COUNTIFS(Trades!$D$2:$D$1146,$A393,Trades!$Z$2:$Z$1146,"Loss")</f>
        <v>1</v>
      </c>
      <c r="E393" s="30" t="n">
        <f aca="false">IFERROR(C393/B393,0)</f>
        <v>0</v>
      </c>
      <c r="F393" s="31" t="n">
        <f aca="false">SUMIFS(Trades!$X$2:$X$1146,Trades!$D$2:$D$1146,$A393)</f>
        <v>-0.08</v>
      </c>
      <c r="G393" s="31" t="n">
        <f aca="false">SUMIFS(Trades!$X$2:$X$1146,Trades!$D$2:$D$1146,$A393,Trades!$X$2:$X$1146,"&gt;0")</f>
        <v>0</v>
      </c>
      <c r="H393" s="31" t="n">
        <f aca="false">SUMIFS(Trades!$X$2:$X$1146,Trades!$D$2:$D$1146,$A393,Trades!$X$2:$X$1146,"&lt;0")</f>
        <v>-0.08</v>
      </c>
      <c r="I393" s="32" t="n">
        <f aca="false">IFERROR(G393/-H393,"no loss")</f>
        <v>0</v>
      </c>
      <c r="J393" s="31" t="n">
        <f aca="false">_xlfn.MAXIFS(Trades!$X$2:$X$1146,Trades!$D$2:$D$1146,$A393)</f>
        <v>-0.08</v>
      </c>
      <c r="K393" s="31" t="n">
        <f aca="false">_xlfn.MINIFS(Trades!$X$2:$X$1146,Trades!$D$2:$D$1146,$A393)</f>
        <v>-0.08</v>
      </c>
      <c r="L393" s="33" t="n">
        <f aca="false">SUMIFS(Trades!$Y$2:$Y$1146,Trades!$D$2:$D$1146,$A393)</f>
        <v>-0.00328947368420958</v>
      </c>
      <c r="M393" s="31" t="n">
        <f aca="false">P392</f>
        <v>14051</v>
      </c>
      <c r="N393" s="30" t="n">
        <f aca="false">IFERROR(F393/M393,0)</f>
        <v>-5.6935449434204E-006</v>
      </c>
      <c r="O393" s="29" t="str">
        <f aca="false">IF(-N393&gt;=Summary!$C$7,"BREACH","")</f>
        <v/>
      </c>
      <c r="P393" s="31" t="n">
        <f aca="false">M393+F393</f>
        <v>14050.92</v>
      </c>
      <c r="Q393" s="31" t="n">
        <f aca="false">P393-Summary!$C$5</f>
        <v>4050.91999999999</v>
      </c>
      <c r="R393" s="2" t="str">
        <f aca="false">TEXT(A393,"ddd")</f>
        <v>Tue</v>
      </c>
    </row>
    <row r="394" customFormat="false" ht="15" hidden="false" customHeight="false" outlineLevel="0" collapsed="false">
      <c r="A394" s="43" t="n">
        <v>45280</v>
      </c>
      <c r="B394" s="29" t="n">
        <f aca="false">COUNTIFS(Trades!$D$2:$D$1146,$A394)</f>
        <v>2</v>
      </c>
      <c r="C394" s="29" t="n">
        <f aca="false">COUNTIFS(Trades!$D$2:$D$1146,$A394,Trades!$Z$2:$Z$1146,"Win")</f>
        <v>2</v>
      </c>
      <c r="D394" s="29" t="n">
        <f aca="false">COUNTIFS(Trades!$D$2:$D$1146,$A394,Trades!$Z$2:$Z$1146,"Loss")</f>
        <v>0</v>
      </c>
      <c r="E394" s="30" t="n">
        <f aca="false">IFERROR(C394/B394,0)</f>
        <v>1</v>
      </c>
      <c r="F394" s="31" t="n">
        <f aca="false">SUMIFS(Trades!$X$2:$X$1146,Trades!$D$2:$D$1146,$A394)</f>
        <v>148.68</v>
      </c>
      <c r="G394" s="31" t="n">
        <f aca="false">SUMIFS(Trades!$X$2:$X$1146,Trades!$D$2:$D$1146,$A394,Trades!$X$2:$X$1146,"&gt;0")</f>
        <v>148.68</v>
      </c>
      <c r="H394" s="31" t="n">
        <f aca="false">SUMIFS(Trades!$X$2:$X$1146,Trades!$D$2:$D$1146,$A394,Trades!$X$2:$X$1146,"&lt;0")</f>
        <v>0</v>
      </c>
      <c r="I394" s="32" t="str">
        <f aca="false">IFERROR(G394/-H394,"no loss")</f>
        <v>no loss</v>
      </c>
      <c r="J394" s="31" t="n">
        <f aca="false">_xlfn.MAXIFS(Trades!$X$2:$X$1146,Trades!$D$2:$D$1146,$A394)</f>
        <v>133.2</v>
      </c>
      <c r="K394" s="31" t="n">
        <f aca="false">_xlfn.MINIFS(Trades!$X$2:$X$1146,Trades!$D$2:$D$1146,$A394)</f>
        <v>15.48</v>
      </c>
      <c r="L394" s="33" t="n">
        <f aca="false">SUMIFS(Trades!$Y$2:$Y$1146,Trades!$D$2:$D$1146,$A394)</f>
        <v>5.53886888741953</v>
      </c>
      <c r="M394" s="31" t="n">
        <f aca="false">P393</f>
        <v>14050.92</v>
      </c>
      <c r="N394" s="30" t="n">
        <f aca="false">IFERROR(F394/M394,0)</f>
        <v>0.0105815135236696</v>
      </c>
      <c r="O394" s="29" t="str">
        <f aca="false">IF(-N394&gt;=Summary!$C$7,"BREACH","")</f>
        <v/>
      </c>
      <c r="P394" s="31" t="n">
        <f aca="false">M394+F394</f>
        <v>14199.6</v>
      </c>
      <c r="Q394" s="31" t="n">
        <f aca="false">P394-Summary!$C$5</f>
        <v>4199.59999999999</v>
      </c>
      <c r="R394" s="2" t="str">
        <f aca="false">TEXT(A394,"ddd")</f>
        <v>Wed</v>
      </c>
    </row>
    <row r="395" customFormat="false" ht="15" hidden="false" customHeight="false" outlineLevel="0" collapsed="false">
      <c r="A395" s="43" t="n">
        <v>45282</v>
      </c>
      <c r="B395" s="29" t="n">
        <f aca="false">COUNTIFS(Trades!$D$2:$D$1146,$A395)</f>
        <v>1</v>
      </c>
      <c r="C395" s="29" t="n">
        <f aca="false">COUNTIFS(Trades!$D$2:$D$1146,$A395,Trades!$Z$2:$Z$1146,"Win")</f>
        <v>0</v>
      </c>
      <c r="D395" s="29" t="n">
        <f aca="false">COUNTIFS(Trades!$D$2:$D$1146,$A395,Trades!$Z$2:$Z$1146,"Loss")</f>
        <v>1</v>
      </c>
      <c r="E395" s="30" t="n">
        <f aca="false">IFERROR(C395/B395,0)</f>
        <v>0</v>
      </c>
      <c r="F395" s="31" t="n">
        <f aca="false">SUMIFS(Trades!$X$2:$X$1146,Trades!$D$2:$D$1146,$A395)</f>
        <v>-13.48</v>
      </c>
      <c r="G395" s="31" t="n">
        <f aca="false">SUMIFS(Trades!$X$2:$X$1146,Trades!$D$2:$D$1146,$A395,Trades!$X$2:$X$1146,"&gt;0")</f>
        <v>0</v>
      </c>
      <c r="H395" s="31" t="n">
        <f aca="false">SUMIFS(Trades!$X$2:$X$1146,Trades!$D$2:$D$1146,$A395,Trades!$X$2:$X$1146,"&lt;0")</f>
        <v>-13.48</v>
      </c>
      <c r="I395" s="32" t="n">
        <f aca="false">IFERROR(G395/-H395,"no loss")</f>
        <v>0</v>
      </c>
      <c r="J395" s="31" t="n">
        <f aca="false">_xlfn.MAXIFS(Trades!$X$2:$X$1146,Trades!$D$2:$D$1146,$A395)</f>
        <v>-13.48</v>
      </c>
      <c r="K395" s="31" t="n">
        <f aca="false">_xlfn.MINIFS(Trades!$X$2:$X$1146,Trades!$D$2:$D$1146,$A395)</f>
        <v>-13.48</v>
      </c>
      <c r="L395" s="33" t="n">
        <f aca="false">SUMIFS(Trades!$Y$2:$Y$1146,Trades!$D$2:$D$1146,$A395)</f>
        <v>-1.20357142857174</v>
      </c>
      <c r="M395" s="31" t="n">
        <f aca="false">P394</f>
        <v>14199.6</v>
      </c>
      <c r="N395" s="30" t="n">
        <f aca="false">IFERROR(F395/M395,0)</f>
        <v>-0.000949322516127216</v>
      </c>
      <c r="O395" s="29" t="str">
        <f aca="false">IF(-N395&gt;=Summary!$C$7,"BREACH","")</f>
        <v/>
      </c>
      <c r="P395" s="31" t="n">
        <f aca="false">M395+F395</f>
        <v>14186.12</v>
      </c>
      <c r="Q395" s="31" t="n">
        <f aca="false">P395-Summary!$C$5</f>
        <v>4186.11999999999</v>
      </c>
      <c r="R395" s="2" t="str">
        <f aca="false">TEXT(A395,"ddd")</f>
        <v>Fri</v>
      </c>
    </row>
    <row r="396" customFormat="false" ht="15" hidden="false" customHeight="false" outlineLevel="0" collapsed="false">
      <c r="A396" s="43" t="n">
        <v>45286</v>
      </c>
      <c r="B396" s="29" t="n">
        <f aca="false">COUNTIFS(Trades!$D$2:$D$1146,$A396)</f>
        <v>1</v>
      </c>
      <c r="C396" s="29" t="n">
        <f aca="false">COUNTIFS(Trades!$D$2:$D$1146,$A396,Trades!$Z$2:$Z$1146,"Win")</f>
        <v>0</v>
      </c>
      <c r="D396" s="29" t="n">
        <f aca="false">COUNTIFS(Trades!$D$2:$D$1146,$A396,Trades!$Z$2:$Z$1146,"Loss")</f>
        <v>1</v>
      </c>
      <c r="E396" s="30" t="n">
        <f aca="false">IFERROR(C396/B396,0)</f>
        <v>0</v>
      </c>
      <c r="F396" s="31" t="n">
        <f aca="false">SUMIFS(Trades!$X$2:$X$1146,Trades!$D$2:$D$1146,$A396)</f>
        <v>-0.64</v>
      </c>
      <c r="G396" s="31" t="n">
        <f aca="false">SUMIFS(Trades!$X$2:$X$1146,Trades!$D$2:$D$1146,$A396,Trades!$X$2:$X$1146,"&gt;0")</f>
        <v>0</v>
      </c>
      <c r="H396" s="31" t="n">
        <f aca="false">SUMIFS(Trades!$X$2:$X$1146,Trades!$D$2:$D$1146,$A396,Trades!$X$2:$X$1146,"&lt;0")</f>
        <v>-0.64</v>
      </c>
      <c r="I396" s="32" t="n">
        <f aca="false">IFERROR(G396/-H396,"no loss")</f>
        <v>0</v>
      </c>
      <c r="J396" s="31" t="n">
        <f aca="false">_xlfn.MAXIFS(Trades!$X$2:$X$1146,Trades!$D$2:$D$1146,$A396)</f>
        <v>-0.64</v>
      </c>
      <c r="K396" s="31" t="n">
        <f aca="false">_xlfn.MINIFS(Trades!$X$2:$X$1146,Trades!$D$2:$D$1146,$A396)</f>
        <v>-0.64</v>
      </c>
      <c r="L396" s="33" t="n">
        <f aca="false">SUMIFS(Trades!$Y$2:$Y$1146,Trades!$D$2:$D$1146,$A396)</f>
        <v>-0.0229555236728919</v>
      </c>
      <c r="M396" s="31" t="n">
        <f aca="false">P395</f>
        <v>14186.12</v>
      </c>
      <c r="N396" s="30" t="n">
        <f aca="false">IFERROR(F396/M396,0)</f>
        <v>-4.51145203903534E-005</v>
      </c>
      <c r="O396" s="29" t="str">
        <f aca="false">IF(-N396&gt;=Summary!$C$7,"BREACH","")</f>
        <v/>
      </c>
      <c r="P396" s="31" t="n">
        <f aca="false">M396+F396</f>
        <v>14185.48</v>
      </c>
      <c r="Q396" s="31" t="n">
        <f aca="false">P396-Summary!$C$5</f>
        <v>4185.47999999999</v>
      </c>
      <c r="R396" s="2" t="str">
        <f aca="false">TEXT(A396,"ddd")</f>
        <v>Tue</v>
      </c>
    </row>
    <row r="397" customFormat="false" ht="15" hidden="false" customHeight="false" outlineLevel="0" collapsed="false">
      <c r="A397" s="43" t="n">
        <v>45287</v>
      </c>
      <c r="B397" s="29" t="n">
        <f aca="false">COUNTIFS(Trades!$D$2:$D$1146,$A397)</f>
        <v>1</v>
      </c>
      <c r="C397" s="29" t="n">
        <f aca="false">COUNTIFS(Trades!$D$2:$D$1146,$A397,Trades!$Z$2:$Z$1146,"Win")</f>
        <v>0</v>
      </c>
      <c r="D397" s="29" t="n">
        <f aca="false">COUNTIFS(Trades!$D$2:$D$1146,$A397,Trades!$Z$2:$Z$1146,"Loss")</f>
        <v>1</v>
      </c>
      <c r="E397" s="30" t="n">
        <f aca="false">IFERROR(C397/B397,0)</f>
        <v>0</v>
      </c>
      <c r="F397" s="31" t="n">
        <f aca="false">SUMIFS(Trades!$X$2:$X$1146,Trades!$D$2:$D$1146,$A397)</f>
        <v>-50.96</v>
      </c>
      <c r="G397" s="31" t="n">
        <f aca="false">SUMIFS(Trades!$X$2:$X$1146,Trades!$D$2:$D$1146,$A397,Trades!$X$2:$X$1146,"&gt;0")</f>
        <v>0</v>
      </c>
      <c r="H397" s="31" t="n">
        <f aca="false">SUMIFS(Trades!$X$2:$X$1146,Trades!$D$2:$D$1146,$A397,Trades!$X$2:$X$1146,"&lt;0")</f>
        <v>-50.96</v>
      </c>
      <c r="I397" s="32" t="n">
        <f aca="false">IFERROR(G397/-H397,"no loss")</f>
        <v>0</v>
      </c>
      <c r="J397" s="31" t="n">
        <f aca="false">_xlfn.MAXIFS(Trades!$X$2:$X$1146,Trades!$D$2:$D$1146,$A397)</f>
        <v>-50.96</v>
      </c>
      <c r="K397" s="31" t="n">
        <f aca="false">_xlfn.MINIFS(Trades!$X$2:$X$1146,Trades!$D$2:$D$1146,$A397)</f>
        <v>-50.96</v>
      </c>
      <c r="L397" s="33" t="n">
        <f aca="false">SUMIFS(Trades!$Y$2:$Y$1146,Trades!$D$2:$D$1146,$A397)</f>
        <v>-1.06879194630856</v>
      </c>
      <c r="M397" s="31" t="n">
        <f aca="false">P396</f>
        <v>14185.48</v>
      </c>
      <c r="N397" s="30" t="n">
        <f aca="false">IFERROR(F397/M397,0)</f>
        <v>-0.00359240575574461</v>
      </c>
      <c r="O397" s="29" t="str">
        <f aca="false">IF(-N397&gt;=Summary!$C$7,"BREACH","")</f>
        <v/>
      </c>
      <c r="P397" s="31" t="n">
        <f aca="false">M397+F397</f>
        <v>14134.52</v>
      </c>
      <c r="Q397" s="31" t="n">
        <f aca="false">P397-Summary!$C$5</f>
        <v>4134.51999999999</v>
      </c>
      <c r="R397" s="2" t="str">
        <f aca="false">TEXT(A397,"ddd")</f>
        <v>Wed</v>
      </c>
    </row>
    <row r="398" customFormat="false" ht="15" hidden="false" customHeight="false" outlineLevel="0" collapsed="false">
      <c r="A398" s="43" t="n">
        <v>45288</v>
      </c>
      <c r="B398" s="29" t="n">
        <f aca="false">COUNTIFS(Trades!$D$2:$D$1146,$A398)</f>
        <v>1</v>
      </c>
      <c r="C398" s="29" t="n">
        <f aca="false">COUNTIFS(Trades!$D$2:$D$1146,$A398,Trades!$Z$2:$Z$1146,"Win")</f>
        <v>1</v>
      </c>
      <c r="D398" s="29" t="n">
        <f aca="false">COUNTIFS(Trades!$D$2:$D$1146,$A398,Trades!$Z$2:$Z$1146,"Loss")</f>
        <v>0</v>
      </c>
      <c r="E398" s="30" t="n">
        <f aca="false">IFERROR(C398/B398,0)</f>
        <v>1</v>
      </c>
      <c r="F398" s="31" t="n">
        <f aca="false">SUMIFS(Trades!$X$2:$X$1146,Trades!$D$2:$D$1146,$A398)</f>
        <v>14.6</v>
      </c>
      <c r="G398" s="31" t="n">
        <f aca="false">SUMIFS(Trades!$X$2:$X$1146,Trades!$D$2:$D$1146,$A398,Trades!$X$2:$X$1146,"&gt;0")</f>
        <v>14.6</v>
      </c>
      <c r="H398" s="31" t="n">
        <f aca="false">SUMIFS(Trades!$X$2:$X$1146,Trades!$D$2:$D$1146,$A398,Trades!$X$2:$X$1146,"&lt;0")</f>
        <v>0</v>
      </c>
      <c r="I398" s="32" t="str">
        <f aca="false">IFERROR(G398/-H398,"no loss")</f>
        <v>no loss</v>
      </c>
      <c r="J398" s="31" t="n">
        <f aca="false">_xlfn.MAXIFS(Trades!$X$2:$X$1146,Trades!$D$2:$D$1146,$A398)</f>
        <v>14.6</v>
      </c>
      <c r="K398" s="31" t="n">
        <f aca="false">_xlfn.MINIFS(Trades!$X$2:$X$1146,Trades!$D$2:$D$1146,$A398)</f>
        <v>14.6</v>
      </c>
      <c r="L398" s="33" t="n">
        <f aca="false">SUMIFS(Trades!$Y$2:$Y$1146,Trades!$D$2:$D$1146,$A398)</f>
        <v>2.72388059701463</v>
      </c>
      <c r="M398" s="31" t="n">
        <f aca="false">P397</f>
        <v>14134.52</v>
      </c>
      <c r="N398" s="30" t="n">
        <f aca="false">IFERROR(F398/M398,0)</f>
        <v>0.00103293214060329</v>
      </c>
      <c r="O398" s="29" t="str">
        <f aca="false">IF(-N398&gt;=Summary!$C$7,"BREACH","")</f>
        <v/>
      </c>
      <c r="P398" s="31" t="n">
        <f aca="false">M398+F398</f>
        <v>14149.12</v>
      </c>
      <c r="Q398" s="31" t="n">
        <f aca="false">P398-Summary!$C$5</f>
        <v>4149.11999999999</v>
      </c>
      <c r="R398" s="2" t="str">
        <f aca="false">TEXT(A398,"ddd")</f>
        <v>Thu</v>
      </c>
    </row>
    <row r="399" customFormat="false" ht="15" hidden="false" customHeight="false" outlineLevel="0" collapsed="false">
      <c r="A399" s="43" t="n">
        <v>45289</v>
      </c>
      <c r="B399" s="29" t="n">
        <f aca="false">COUNTIFS(Trades!$D$2:$D$1146,$A399)</f>
        <v>1</v>
      </c>
      <c r="C399" s="29" t="n">
        <f aca="false">COUNTIFS(Trades!$D$2:$D$1146,$A399,Trades!$Z$2:$Z$1146,"Win")</f>
        <v>0</v>
      </c>
      <c r="D399" s="29" t="n">
        <f aca="false">COUNTIFS(Trades!$D$2:$D$1146,$A399,Trades!$Z$2:$Z$1146,"Loss")</f>
        <v>1</v>
      </c>
      <c r="E399" s="30" t="n">
        <f aca="false">IFERROR(C399/B399,0)</f>
        <v>0</v>
      </c>
      <c r="F399" s="31" t="n">
        <f aca="false">SUMIFS(Trades!$X$2:$X$1146,Trades!$D$2:$D$1146,$A399)</f>
        <v>-27.72</v>
      </c>
      <c r="G399" s="31" t="n">
        <f aca="false">SUMIFS(Trades!$X$2:$X$1146,Trades!$D$2:$D$1146,$A399,Trades!$X$2:$X$1146,"&gt;0")</f>
        <v>0</v>
      </c>
      <c r="H399" s="31" t="n">
        <f aca="false">SUMIFS(Trades!$X$2:$X$1146,Trades!$D$2:$D$1146,$A399,Trades!$X$2:$X$1146,"&lt;0")</f>
        <v>-27.72</v>
      </c>
      <c r="I399" s="32" t="n">
        <f aca="false">IFERROR(G399/-H399,"no loss")</f>
        <v>0</v>
      </c>
      <c r="J399" s="31" t="n">
        <f aca="false">_xlfn.MAXIFS(Trades!$X$2:$X$1146,Trades!$D$2:$D$1146,$A399)</f>
        <v>-27.72</v>
      </c>
      <c r="K399" s="31" t="n">
        <f aca="false">_xlfn.MINIFS(Trades!$X$2:$X$1146,Trades!$D$2:$D$1146,$A399)</f>
        <v>-27.72</v>
      </c>
      <c r="L399" s="33" t="n">
        <f aca="false">SUMIFS(Trades!$Y$2:$Y$1146,Trades!$D$2:$D$1146,$A399)</f>
        <v>-1.05640243902418</v>
      </c>
      <c r="M399" s="31" t="n">
        <f aca="false">P398</f>
        <v>14149.12</v>
      </c>
      <c r="N399" s="30" t="n">
        <f aca="false">IFERROR(F399/M399,0)</f>
        <v>-0.00195913244074543</v>
      </c>
      <c r="O399" s="29" t="str">
        <f aca="false">IF(-N399&gt;=Summary!$C$7,"BREACH","")</f>
        <v/>
      </c>
      <c r="P399" s="31" t="n">
        <f aca="false">M399+F399</f>
        <v>14121.4</v>
      </c>
      <c r="Q399" s="31" t="n">
        <f aca="false">P399-Summary!$C$5</f>
        <v>4121.39999999999</v>
      </c>
      <c r="R399" s="2" t="str">
        <f aca="false">TEXT(A399,"ddd")</f>
        <v>Fri</v>
      </c>
    </row>
    <row r="400" customFormat="false" ht="15" hidden="false" customHeight="false" outlineLevel="0" collapsed="false">
      <c r="A400" s="43" t="n">
        <v>45293</v>
      </c>
      <c r="B400" s="29" t="n">
        <f aca="false">COUNTIFS(Trades!$D$2:$D$1146,$A400)</f>
        <v>1</v>
      </c>
      <c r="C400" s="29" t="n">
        <f aca="false">COUNTIFS(Trades!$D$2:$D$1146,$A400,Trades!$Z$2:$Z$1146,"Win")</f>
        <v>1</v>
      </c>
      <c r="D400" s="29" t="n">
        <f aca="false">COUNTIFS(Trades!$D$2:$D$1146,$A400,Trades!$Z$2:$Z$1146,"Loss")</f>
        <v>0</v>
      </c>
      <c r="E400" s="30" t="n">
        <f aca="false">IFERROR(C400/B400,0)</f>
        <v>1</v>
      </c>
      <c r="F400" s="31" t="n">
        <f aca="false">SUMIFS(Trades!$X$2:$X$1146,Trades!$D$2:$D$1146,$A400)</f>
        <v>65.64</v>
      </c>
      <c r="G400" s="31" t="n">
        <f aca="false">SUMIFS(Trades!$X$2:$X$1146,Trades!$D$2:$D$1146,$A400,Trades!$X$2:$X$1146,"&gt;0")</f>
        <v>65.64</v>
      </c>
      <c r="H400" s="31" t="n">
        <f aca="false">SUMIFS(Trades!$X$2:$X$1146,Trades!$D$2:$D$1146,$A400,Trades!$X$2:$X$1146,"&lt;0")</f>
        <v>0</v>
      </c>
      <c r="I400" s="32" t="str">
        <f aca="false">IFERROR(G400/-H400,"no loss")</f>
        <v>no loss</v>
      </c>
      <c r="J400" s="31" t="n">
        <f aca="false">_xlfn.MAXIFS(Trades!$X$2:$X$1146,Trades!$D$2:$D$1146,$A400)</f>
        <v>65.64</v>
      </c>
      <c r="K400" s="31" t="n">
        <f aca="false">_xlfn.MINIFS(Trades!$X$2:$X$1146,Trades!$D$2:$D$1146,$A400)</f>
        <v>65.64</v>
      </c>
      <c r="L400" s="33" t="n">
        <f aca="false">SUMIFS(Trades!$Y$2:$Y$1146,Trades!$D$2:$D$1146,$A400)</f>
        <v>2.59241706161215</v>
      </c>
      <c r="M400" s="31" t="n">
        <f aca="false">P399</f>
        <v>14121.4</v>
      </c>
      <c r="N400" s="30" t="n">
        <f aca="false">IFERROR(F400/M400,0)</f>
        <v>0.00464826433639724</v>
      </c>
      <c r="O400" s="29" t="str">
        <f aca="false">IF(-N400&gt;=Summary!$C$7,"BREACH","")</f>
        <v/>
      </c>
      <c r="P400" s="31" t="n">
        <f aca="false">M400+F400</f>
        <v>14187.04</v>
      </c>
      <c r="Q400" s="31" t="n">
        <f aca="false">P400-Summary!$C$5</f>
        <v>4187.03999999999</v>
      </c>
      <c r="R400" s="2" t="str">
        <f aca="false">TEXT(A400,"ddd")</f>
        <v>Tue</v>
      </c>
    </row>
    <row r="401" customFormat="false" ht="15" hidden="false" customHeight="false" outlineLevel="0" collapsed="false">
      <c r="A401" s="43" t="n">
        <v>45294</v>
      </c>
      <c r="B401" s="29" t="n">
        <f aca="false">COUNTIFS(Trades!$D$2:$D$1146,$A401)</f>
        <v>1</v>
      </c>
      <c r="C401" s="29" t="n">
        <f aca="false">COUNTIFS(Trades!$D$2:$D$1146,$A401,Trades!$Z$2:$Z$1146,"Win")</f>
        <v>1</v>
      </c>
      <c r="D401" s="29" t="n">
        <f aca="false">COUNTIFS(Trades!$D$2:$D$1146,$A401,Trades!$Z$2:$Z$1146,"Loss")</f>
        <v>0</v>
      </c>
      <c r="E401" s="30" t="n">
        <f aca="false">IFERROR(C401/B401,0)</f>
        <v>1</v>
      </c>
      <c r="F401" s="31" t="n">
        <f aca="false">SUMIFS(Trades!$X$2:$X$1146,Trades!$D$2:$D$1146,$A401)</f>
        <v>47.92</v>
      </c>
      <c r="G401" s="31" t="n">
        <f aca="false">SUMIFS(Trades!$X$2:$X$1146,Trades!$D$2:$D$1146,$A401,Trades!$X$2:$X$1146,"&gt;0")</f>
        <v>47.92</v>
      </c>
      <c r="H401" s="31" t="n">
        <f aca="false">SUMIFS(Trades!$X$2:$X$1146,Trades!$D$2:$D$1146,$A401,Trades!$X$2:$X$1146,"&lt;0")</f>
        <v>0</v>
      </c>
      <c r="I401" s="32" t="str">
        <f aca="false">IFERROR(G401/-H401,"no loss")</f>
        <v>no loss</v>
      </c>
      <c r="J401" s="31" t="n">
        <f aca="false">_xlfn.MAXIFS(Trades!$X$2:$X$1146,Trades!$D$2:$D$1146,$A401)</f>
        <v>47.92</v>
      </c>
      <c r="K401" s="31" t="n">
        <f aca="false">_xlfn.MINIFS(Trades!$X$2:$X$1146,Trades!$D$2:$D$1146,$A401)</f>
        <v>47.92</v>
      </c>
      <c r="L401" s="33" t="n">
        <f aca="false">SUMIFS(Trades!$Y$2:$Y$1146,Trades!$D$2:$D$1146,$A401)</f>
        <v>2.44989775051154</v>
      </c>
      <c r="M401" s="31" t="n">
        <f aca="false">P400</f>
        <v>14187.04</v>
      </c>
      <c r="N401" s="30" t="n">
        <f aca="false">IFERROR(F401/M401,0)</f>
        <v>0.0033777306612232</v>
      </c>
      <c r="O401" s="29" t="str">
        <f aca="false">IF(-N401&gt;=Summary!$C$7,"BREACH","")</f>
        <v/>
      </c>
      <c r="P401" s="31" t="n">
        <f aca="false">M401+F401</f>
        <v>14234.96</v>
      </c>
      <c r="Q401" s="31" t="n">
        <f aca="false">P401-Summary!$C$5</f>
        <v>4234.95999999999</v>
      </c>
      <c r="R401" s="2" t="str">
        <f aca="false">TEXT(A401,"ddd")</f>
        <v>Wed</v>
      </c>
    </row>
    <row r="402" customFormat="false" ht="15" hidden="false" customHeight="false" outlineLevel="0" collapsed="false">
      <c r="A402" s="43" t="n">
        <v>45295</v>
      </c>
      <c r="B402" s="29" t="n">
        <f aca="false">COUNTIFS(Trades!$D$2:$D$1146,$A402)</f>
        <v>1</v>
      </c>
      <c r="C402" s="29" t="n">
        <f aca="false">COUNTIFS(Trades!$D$2:$D$1146,$A402,Trades!$Z$2:$Z$1146,"Win")</f>
        <v>0</v>
      </c>
      <c r="D402" s="29" t="n">
        <f aca="false">COUNTIFS(Trades!$D$2:$D$1146,$A402,Trades!$Z$2:$Z$1146,"Loss")</f>
        <v>1</v>
      </c>
      <c r="E402" s="30" t="n">
        <f aca="false">IFERROR(C402/B402,0)</f>
        <v>0</v>
      </c>
      <c r="F402" s="31" t="n">
        <f aca="false">SUMIFS(Trades!$X$2:$X$1146,Trades!$D$2:$D$1146,$A402)</f>
        <v>-0.64</v>
      </c>
      <c r="G402" s="31" t="n">
        <f aca="false">SUMIFS(Trades!$X$2:$X$1146,Trades!$D$2:$D$1146,$A402,Trades!$X$2:$X$1146,"&gt;0")</f>
        <v>0</v>
      </c>
      <c r="H402" s="31" t="n">
        <f aca="false">SUMIFS(Trades!$X$2:$X$1146,Trades!$D$2:$D$1146,$A402,Trades!$X$2:$X$1146,"&lt;0")</f>
        <v>-0.64</v>
      </c>
      <c r="I402" s="32" t="n">
        <f aca="false">IFERROR(G402/-H402,"no loss")</f>
        <v>0</v>
      </c>
      <c r="J402" s="31" t="n">
        <f aca="false">_xlfn.MAXIFS(Trades!$X$2:$X$1146,Trades!$D$2:$D$1146,$A402)</f>
        <v>-0.64</v>
      </c>
      <c r="K402" s="31" t="n">
        <f aca="false">_xlfn.MINIFS(Trades!$X$2:$X$1146,Trades!$D$2:$D$1146,$A402)</f>
        <v>-0.64</v>
      </c>
      <c r="L402" s="33" t="n">
        <f aca="false">SUMIFS(Trades!$Y$2:$Y$1146,Trades!$D$2:$D$1146,$A402)</f>
        <v>-0.0218878248973969</v>
      </c>
      <c r="M402" s="31" t="n">
        <f aca="false">P401</f>
        <v>14234.96</v>
      </c>
      <c r="N402" s="30" t="n">
        <f aca="false">IFERROR(F402/M402,0)</f>
        <v>-4.49597329391864E-005</v>
      </c>
      <c r="O402" s="29" t="str">
        <f aca="false">IF(-N402&gt;=Summary!$C$7,"BREACH","")</f>
        <v/>
      </c>
      <c r="P402" s="31" t="n">
        <f aca="false">M402+F402</f>
        <v>14234.32</v>
      </c>
      <c r="Q402" s="31" t="n">
        <f aca="false">P402-Summary!$C$5</f>
        <v>4234.31999999999</v>
      </c>
      <c r="R402" s="2" t="str">
        <f aca="false">TEXT(A402,"ddd")</f>
        <v>Thu</v>
      </c>
    </row>
    <row r="403" customFormat="false" ht="15" hidden="false" customHeight="false" outlineLevel="0" collapsed="false">
      <c r="A403" s="43" t="n">
        <v>45296</v>
      </c>
      <c r="B403" s="29" t="n">
        <f aca="false">COUNTIFS(Trades!$D$2:$D$1146,$A403)</f>
        <v>1</v>
      </c>
      <c r="C403" s="29" t="n">
        <f aca="false">COUNTIFS(Trades!$D$2:$D$1146,$A403,Trades!$Z$2:$Z$1146,"Win")</f>
        <v>1</v>
      </c>
      <c r="D403" s="29" t="n">
        <f aca="false">COUNTIFS(Trades!$D$2:$D$1146,$A403,Trades!$Z$2:$Z$1146,"Loss")</f>
        <v>0</v>
      </c>
      <c r="E403" s="30" t="n">
        <f aca="false">IFERROR(C403/B403,0)</f>
        <v>1</v>
      </c>
      <c r="F403" s="31" t="n">
        <f aca="false">SUMIFS(Trades!$X$2:$X$1146,Trades!$D$2:$D$1146,$A403)</f>
        <v>22.2</v>
      </c>
      <c r="G403" s="31" t="n">
        <f aca="false">SUMIFS(Trades!$X$2:$X$1146,Trades!$D$2:$D$1146,$A403,Trades!$X$2:$X$1146,"&gt;0")</f>
        <v>22.2</v>
      </c>
      <c r="H403" s="31" t="n">
        <f aca="false">SUMIFS(Trades!$X$2:$X$1146,Trades!$D$2:$D$1146,$A403,Trades!$X$2:$X$1146,"&lt;0")</f>
        <v>0</v>
      </c>
      <c r="I403" s="32" t="str">
        <f aca="false">IFERROR(G403/-H403,"no loss")</f>
        <v>no loss</v>
      </c>
      <c r="J403" s="31" t="n">
        <f aca="false">_xlfn.MAXIFS(Trades!$X$2:$X$1146,Trades!$D$2:$D$1146,$A403)</f>
        <v>22.2</v>
      </c>
      <c r="K403" s="31" t="n">
        <f aca="false">_xlfn.MINIFS(Trades!$X$2:$X$1146,Trades!$D$2:$D$1146,$A403)</f>
        <v>22.2</v>
      </c>
      <c r="L403" s="33" t="n">
        <f aca="false">SUMIFS(Trades!$Y$2:$Y$1146,Trades!$D$2:$D$1146,$A403)</f>
        <v>2.45575221238914</v>
      </c>
      <c r="M403" s="31" t="n">
        <f aca="false">P402</f>
        <v>14234.32</v>
      </c>
      <c r="N403" s="30" t="n">
        <f aca="false">IFERROR(F403/M403,0)</f>
        <v>0.0015596108560156</v>
      </c>
      <c r="O403" s="29" t="str">
        <f aca="false">IF(-N403&gt;=Summary!$C$7,"BREACH","")</f>
        <v/>
      </c>
      <c r="P403" s="31" t="n">
        <f aca="false">M403+F403</f>
        <v>14256.52</v>
      </c>
      <c r="Q403" s="31" t="n">
        <f aca="false">P403-Summary!$C$5</f>
        <v>4256.51999999999</v>
      </c>
      <c r="R403" s="2" t="str">
        <f aca="false">TEXT(A403,"ddd")</f>
        <v>Fri</v>
      </c>
    </row>
    <row r="404" customFormat="false" ht="15" hidden="false" customHeight="false" outlineLevel="0" collapsed="false">
      <c r="A404" s="43" t="n">
        <v>45299</v>
      </c>
      <c r="B404" s="29" t="n">
        <f aca="false">COUNTIFS(Trades!$D$2:$D$1146,$A404)</f>
        <v>1</v>
      </c>
      <c r="C404" s="29" t="n">
        <f aca="false">COUNTIFS(Trades!$D$2:$D$1146,$A404,Trades!$Z$2:$Z$1146,"Win")</f>
        <v>1</v>
      </c>
      <c r="D404" s="29" t="n">
        <f aca="false">COUNTIFS(Trades!$D$2:$D$1146,$A404,Trades!$Z$2:$Z$1146,"Loss")</f>
        <v>0</v>
      </c>
      <c r="E404" s="30" t="n">
        <f aca="false">IFERROR(C404/B404,0)</f>
        <v>1</v>
      </c>
      <c r="F404" s="31" t="n">
        <f aca="false">SUMIFS(Trades!$X$2:$X$1146,Trades!$D$2:$D$1146,$A404)</f>
        <v>95.68</v>
      </c>
      <c r="G404" s="31" t="n">
        <f aca="false">SUMIFS(Trades!$X$2:$X$1146,Trades!$D$2:$D$1146,$A404,Trades!$X$2:$X$1146,"&gt;0")</f>
        <v>95.68</v>
      </c>
      <c r="H404" s="31" t="n">
        <f aca="false">SUMIFS(Trades!$X$2:$X$1146,Trades!$D$2:$D$1146,$A404,Trades!$X$2:$X$1146,"&lt;0")</f>
        <v>0</v>
      </c>
      <c r="I404" s="32" t="str">
        <f aca="false">IFERROR(G404/-H404,"no loss")</f>
        <v>no loss</v>
      </c>
      <c r="J404" s="31" t="n">
        <f aca="false">_xlfn.MAXIFS(Trades!$X$2:$X$1146,Trades!$D$2:$D$1146,$A404)</f>
        <v>95.68</v>
      </c>
      <c r="K404" s="31" t="n">
        <f aca="false">_xlfn.MINIFS(Trades!$X$2:$X$1146,Trades!$D$2:$D$1146,$A404)</f>
        <v>95.68</v>
      </c>
      <c r="L404" s="33" t="n">
        <f aca="false">SUMIFS(Trades!$Y$2:$Y$1146,Trades!$D$2:$D$1146,$A404)</f>
        <v>2.48907388137342</v>
      </c>
      <c r="M404" s="31" t="n">
        <f aca="false">P403</f>
        <v>14256.52</v>
      </c>
      <c r="N404" s="30" t="n">
        <f aca="false">IFERROR(F404/M404,0)</f>
        <v>0.0067113152438323</v>
      </c>
      <c r="O404" s="29" t="str">
        <f aca="false">IF(-N404&gt;=Summary!$C$7,"BREACH","")</f>
        <v/>
      </c>
      <c r="P404" s="31" t="n">
        <f aca="false">M404+F404</f>
        <v>14352.2</v>
      </c>
      <c r="Q404" s="31" t="n">
        <f aca="false">P404-Summary!$C$5</f>
        <v>4352.19999999999</v>
      </c>
      <c r="R404" s="2" t="str">
        <f aca="false">TEXT(A404,"ddd")</f>
        <v>Mon</v>
      </c>
    </row>
    <row r="405" customFormat="false" ht="15" hidden="false" customHeight="false" outlineLevel="0" collapsed="false">
      <c r="A405" s="43" t="n">
        <v>45300</v>
      </c>
      <c r="B405" s="29" t="n">
        <f aca="false">COUNTIFS(Trades!$D$2:$D$1146,$A405)</f>
        <v>1</v>
      </c>
      <c r="C405" s="29" t="n">
        <f aca="false">COUNTIFS(Trades!$D$2:$D$1146,$A405,Trades!$Z$2:$Z$1146,"Win")</f>
        <v>0</v>
      </c>
      <c r="D405" s="29" t="n">
        <f aca="false">COUNTIFS(Trades!$D$2:$D$1146,$A405,Trades!$Z$2:$Z$1146,"Loss")</f>
        <v>1</v>
      </c>
      <c r="E405" s="30" t="n">
        <f aca="false">IFERROR(C405/B405,0)</f>
        <v>0</v>
      </c>
      <c r="F405" s="31" t="n">
        <f aca="false">SUMIFS(Trades!$X$2:$X$1146,Trades!$D$2:$D$1146,$A405)</f>
        <v>-0.32</v>
      </c>
      <c r="G405" s="31" t="n">
        <f aca="false">SUMIFS(Trades!$X$2:$X$1146,Trades!$D$2:$D$1146,$A405,Trades!$X$2:$X$1146,"&gt;0")</f>
        <v>0</v>
      </c>
      <c r="H405" s="31" t="n">
        <f aca="false">SUMIFS(Trades!$X$2:$X$1146,Trades!$D$2:$D$1146,$A405,Trades!$X$2:$X$1146,"&lt;0")</f>
        <v>-0.32</v>
      </c>
      <c r="I405" s="32" t="n">
        <f aca="false">IFERROR(G405/-H405,"no loss")</f>
        <v>0</v>
      </c>
      <c r="J405" s="31" t="n">
        <f aca="false">_xlfn.MAXIFS(Trades!$X$2:$X$1146,Trades!$D$2:$D$1146,$A405)</f>
        <v>-0.32</v>
      </c>
      <c r="K405" s="31" t="n">
        <f aca="false">_xlfn.MINIFS(Trades!$X$2:$X$1146,Trades!$D$2:$D$1146,$A405)</f>
        <v>-0.32</v>
      </c>
      <c r="L405" s="33" t="n">
        <f aca="false">SUMIFS(Trades!$Y$2:$Y$1146,Trades!$D$2:$D$1146,$A405)</f>
        <v>-0.0141093474426761</v>
      </c>
      <c r="M405" s="31" t="n">
        <f aca="false">P404</f>
        <v>14352.2</v>
      </c>
      <c r="N405" s="30" t="n">
        <f aca="false">IFERROR(F405/M405,0)</f>
        <v>-2.22962333300818E-005</v>
      </c>
      <c r="O405" s="29" t="str">
        <f aca="false">IF(-N405&gt;=Summary!$C$7,"BREACH","")</f>
        <v/>
      </c>
      <c r="P405" s="31" t="n">
        <f aca="false">M405+F405</f>
        <v>14351.88</v>
      </c>
      <c r="Q405" s="31" t="n">
        <f aca="false">P405-Summary!$C$5</f>
        <v>4351.87999999999</v>
      </c>
      <c r="R405" s="2" t="str">
        <f aca="false">TEXT(A405,"ddd")</f>
        <v>Tue</v>
      </c>
    </row>
    <row r="406" customFormat="false" ht="15" hidden="false" customHeight="false" outlineLevel="0" collapsed="false">
      <c r="A406" s="43" t="n">
        <v>45301</v>
      </c>
      <c r="B406" s="29" t="n">
        <f aca="false">COUNTIFS(Trades!$D$2:$D$1146,$A406)</f>
        <v>1</v>
      </c>
      <c r="C406" s="29" t="n">
        <f aca="false">COUNTIFS(Trades!$D$2:$D$1146,$A406,Trades!$Z$2:$Z$1146,"Win")</f>
        <v>1</v>
      </c>
      <c r="D406" s="29" t="n">
        <f aca="false">COUNTIFS(Trades!$D$2:$D$1146,$A406,Trades!$Z$2:$Z$1146,"Loss")</f>
        <v>0</v>
      </c>
      <c r="E406" s="30" t="n">
        <f aca="false">IFERROR(C406/B406,0)</f>
        <v>1</v>
      </c>
      <c r="F406" s="31" t="n">
        <f aca="false">SUMIFS(Trades!$X$2:$X$1146,Trades!$D$2:$D$1146,$A406)</f>
        <v>70.84</v>
      </c>
      <c r="G406" s="31" t="n">
        <f aca="false">SUMIFS(Trades!$X$2:$X$1146,Trades!$D$2:$D$1146,$A406,Trades!$X$2:$X$1146,"&gt;0")</f>
        <v>70.84</v>
      </c>
      <c r="H406" s="31" t="n">
        <f aca="false">SUMIFS(Trades!$X$2:$X$1146,Trades!$D$2:$D$1146,$A406,Trades!$X$2:$X$1146,"&lt;0")</f>
        <v>0</v>
      </c>
      <c r="I406" s="32" t="str">
        <f aca="false">IFERROR(G406/-H406,"no loss")</f>
        <v>no loss</v>
      </c>
      <c r="J406" s="31" t="n">
        <f aca="false">_xlfn.MAXIFS(Trades!$X$2:$X$1146,Trades!$D$2:$D$1146,$A406)</f>
        <v>70.84</v>
      </c>
      <c r="K406" s="31" t="n">
        <f aca="false">_xlfn.MINIFS(Trades!$X$2:$X$1146,Trades!$D$2:$D$1146,$A406)</f>
        <v>70.84</v>
      </c>
      <c r="L406" s="33" t="n">
        <f aca="false">SUMIFS(Trades!$Y$2:$Y$1146,Trades!$D$2:$D$1146,$A406)</f>
        <v>3.72842105263158</v>
      </c>
      <c r="M406" s="31" t="n">
        <f aca="false">P405</f>
        <v>14351.88</v>
      </c>
      <c r="N406" s="30" t="n">
        <f aca="false">IFERROR(F406/M406,0)</f>
        <v>0.00493593870628796</v>
      </c>
      <c r="O406" s="29" t="str">
        <f aca="false">IF(-N406&gt;=Summary!$C$7,"BREACH","")</f>
        <v/>
      </c>
      <c r="P406" s="31" t="n">
        <f aca="false">M406+F406</f>
        <v>14422.72</v>
      </c>
      <c r="Q406" s="31" t="n">
        <f aca="false">P406-Summary!$C$5</f>
        <v>4422.71999999999</v>
      </c>
      <c r="R406" s="2" t="str">
        <f aca="false">TEXT(A406,"ddd")</f>
        <v>Wed</v>
      </c>
    </row>
    <row r="407" customFormat="false" ht="15" hidden="false" customHeight="false" outlineLevel="0" collapsed="false">
      <c r="A407" s="43" t="n">
        <v>45302</v>
      </c>
      <c r="B407" s="29" t="n">
        <f aca="false">COUNTIFS(Trades!$D$2:$D$1146,$A407)</f>
        <v>2</v>
      </c>
      <c r="C407" s="29" t="n">
        <f aca="false">COUNTIFS(Trades!$D$2:$D$1146,$A407,Trades!$Z$2:$Z$1146,"Win")</f>
        <v>0</v>
      </c>
      <c r="D407" s="29" t="n">
        <f aca="false">COUNTIFS(Trades!$D$2:$D$1146,$A407,Trades!$Z$2:$Z$1146,"Loss")</f>
        <v>2</v>
      </c>
      <c r="E407" s="30" t="n">
        <f aca="false">IFERROR(C407/B407,0)</f>
        <v>0</v>
      </c>
      <c r="F407" s="31" t="n">
        <f aca="false">SUMIFS(Trades!$X$2:$X$1146,Trades!$D$2:$D$1146,$A407)</f>
        <v>-92.32</v>
      </c>
      <c r="G407" s="31" t="n">
        <f aca="false">SUMIFS(Trades!$X$2:$X$1146,Trades!$D$2:$D$1146,$A407,Trades!$X$2:$X$1146,"&gt;0")</f>
        <v>0</v>
      </c>
      <c r="H407" s="31" t="n">
        <f aca="false">SUMIFS(Trades!$X$2:$X$1146,Trades!$D$2:$D$1146,$A407,Trades!$X$2:$X$1146,"&lt;0")</f>
        <v>-92.32</v>
      </c>
      <c r="I407" s="32" t="n">
        <f aca="false">IFERROR(G407/-H407,"no loss")</f>
        <v>0</v>
      </c>
      <c r="J407" s="31" t="n">
        <f aca="false">_xlfn.MAXIFS(Trades!$X$2:$X$1146,Trades!$D$2:$D$1146,$A407)</f>
        <v>-17.56</v>
      </c>
      <c r="K407" s="31" t="n">
        <f aca="false">_xlfn.MINIFS(Trades!$X$2:$X$1146,Trades!$D$2:$D$1146,$A407)</f>
        <v>-74.76</v>
      </c>
      <c r="L407" s="33" t="n">
        <f aca="false">SUMIFS(Trades!$Y$2:$Y$1146,Trades!$D$2:$D$1146,$A407)</f>
        <v>-2.08813364055293</v>
      </c>
      <c r="M407" s="31" t="n">
        <f aca="false">P406</f>
        <v>14422.72</v>
      </c>
      <c r="N407" s="30" t="n">
        <f aca="false">IFERROR(F407/M407,0)</f>
        <v>-0.00640101173703712</v>
      </c>
      <c r="O407" s="29" t="str">
        <f aca="false">IF(-N407&gt;=Summary!$C$7,"BREACH","")</f>
        <v/>
      </c>
      <c r="P407" s="31" t="n">
        <f aca="false">M407+F407</f>
        <v>14330.4</v>
      </c>
      <c r="Q407" s="31" t="n">
        <f aca="false">P407-Summary!$C$5</f>
        <v>4330.39999999999</v>
      </c>
      <c r="R407" s="2" t="str">
        <f aca="false">TEXT(A407,"ddd")</f>
        <v>Thu</v>
      </c>
    </row>
    <row r="408" customFormat="false" ht="15" hidden="false" customHeight="false" outlineLevel="0" collapsed="false">
      <c r="A408" s="43" t="n">
        <v>45307</v>
      </c>
      <c r="B408" s="29" t="n">
        <f aca="false">COUNTIFS(Trades!$D$2:$D$1146,$A408)</f>
        <v>2</v>
      </c>
      <c r="C408" s="29" t="n">
        <f aca="false">COUNTIFS(Trades!$D$2:$D$1146,$A408,Trades!$Z$2:$Z$1146,"Win")</f>
        <v>0</v>
      </c>
      <c r="D408" s="29" t="n">
        <f aca="false">COUNTIFS(Trades!$D$2:$D$1146,$A408,Trades!$Z$2:$Z$1146,"Loss")</f>
        <v>2</v>
      </c>
      <c r="E408" s="30" t="n">
        <f aca="false">IFERROR(C408/B408,0)</f>
        <v>0</v>
      </c>
      <c r="F408" s="31" t="n">
        <f aca="false">SUMIFS(Trades!$X$2:$X$1146,Trades!$D$2:$D$1146,$A408)</f>
        <v>-0.32</v>
      </c>
      <c r="G408" s="31" t="n">
        <f aca="false">SUMIFS(Trades!$X$2:$X$1146,Trades!$D$2:$D$1146,$A408,Trades!$X$2:$X$1146,"&gt;0")</f>
        <v>0</v>
      </c>
      <c r="H408" s="31" t="n">
        <f aca="false">SUMIFS(Trades!$X$2:$X$1146,Trades!$D$2:$D$1146,$A408,Trades!$X$2:$X$1146,"&lt;0")</f>
        <v>-0.32</v>
      </c>
      <c r="I408" s="32" t="n">
        <f aca="false">IFERROR(G408/-H408,"no loss")</f>
        <v>0</v>
      </c>
      <c r="J408" s="31" t="n">
        <f aca="false">_xlfn.MAXIFS(Trades!$X$2:$X$1146,Trades!$D$2:$D$1146,$A408)</f>
        <v>-0.08</v>
      </c>
      <c r="K408" s="31" t="n">
        <f aca="false">_xlfn.MINIFS(Trades!$X$2:$X$1146,Trades!$D$2:$D$1146,$A408)</f>
        <v>-0.24</v>
      </c>
      <c r="L408" s="33" t="n">
        <f aca="false">SUMIFS(Trades!$Y$2:$Y$1146,Trades!$D$2:$D$1146,$A408)</f>
        <v>-0.0212155162983072</v>
      </c>
      <c r="M408" s="31" t="n">
        <f aca="false">P407</f>
        <v>14330.4</v>
      </c>
      <c r="N408" s="30" t="n">
        <f aca="false">IFERROR(F408/M408,0)</f>
        <v>-2.2330151286775E-005</v>
      </c>
      <c r="O408" s="29" t="str">
        <f aca="false">IF(-N408&gt;=Summary!$C$7,"BREACH","")</f>
        <v/>
      </c>
      <c r="P408" s="31" t="n">
        <f aca="false">M408+F408</f>
        <v>14330.08</v>
      </c>
      <c r="Q408" s="31" t="n">
        <f aca="false">P408-Summary!$C$5</f>
        <v>4330.07999999999</v>
      </c>
      <c r="R408" s="2" t="str">
        <f aca="false">TEXT(A408,"ddd")</f>
        <v>Tue</v>
      </c>
    </row>
    <row r="409" customFormat="false" ht="15" hidden="false" customHeight="false" outlineLevel="0" collapsed="false">
      <c r="A409" s="43" t="n">
        <v>45308</v>
      </c>
      <c r="B409" s="29" t="n">
        <f aca="false">COUNTIFS(Trades!$D$2:$D$1146,$A409)</f>
        <v>1</v>
      </c>
      <c r="C409" s="29" t="n">
        <f aca="false">COUNTIFS(Trades!$D$2:$D$1146,$A409,Trades!$Z$2:$Z$1146,"Win")</f>
        <v>0</v>
      </c>
      <c r="D409" s="29" t="n">
        <f aca="false">COUNTIFS(Trades!$D$2:$D$1146,$A409,Trades!$Z$2:$Z$1146,"Loss")</f>
        <v>1</v>
      </c>
      <c r="E409" s="30" t="n">
        <f aca="false">IFERROR(C409/B409,0)</f>
        <v>0</v>
      </c>
      <c r="F409" s="31" t="n">
        <f aca="false">SUMIFS(Trades!$X$2:$X$1146,Trades!$D$2:$D$1146,$A409)</f>
        <v>-22.68</v>
      </c>
      <c r="G409" s="31" t="n">
        <f aca="false">SUMIFS(Trades!$X$2:$X$1146,Trades!$D$2:$D$1146,$A409,Trades!$X$2:$X$1146,"&gt;0")</f>
        <v>0</v>
      </c>
      <c r="H409" s="31" t="n">
        <f aca="false">SUMIFS(Trades!$X$2:$X$1146,Trades!$D$2:$D$1146,$A409,Trades!$X$2:$X$1146,"&lt;0")</f>
        <v>-22.68</v>
      </c>
      <c r="I409" s="32" t="n">
        <f aca="false">IFERROR(G409/-H409,"no loss")</f>
        <v>0</v>
      </c>
      <c r="J409" s="31" t="n">
        <f aca="false">_xlfn.MAXIFS(Trades!$X$2:$X$1146,Trades!$D$2:$D$1146,$A409)</f>
        <v>-22.68</v>
      </c>
      <c r="K409" s="31" t="n">
        <f aca="false">_xlfn.MINIFS(Trades!$X$2:$X$1146,Trades!$D$2:$D$1146,$A409)</f>
        <v>-22.68</v>
      </c>
      <c r="L409" s="33" t="n">
        <f aca="false">SUMIFS(Trades!$Y$2:$Y$1146,Trades!$D$2:$D$1146,$A409)</f>
        <v>-1.00353982300924</v>
      </c>
      <c r="M409" s="31" t="n">
        <f aca="false">P408</f>
        <v>14330.08</v>
      </c>
      <c r="N409" s="30" t="n">
        <f aca="false">IFERROR(F409/M409,0)</f>
        <v>-0.00158268481404151</v>
      </c>
      <c r="O409" s="29" t="str">
        <f aca="false">IF(-N409&gt;=Summary!$C$7,"BREACH","")</f>
        <v/>
      </c>
      <c r="P409" s="31" t="n">
        <f aca="false">M409+F409</f>
        <v>14307.4</v>
      </c>
      <c r="Q409" s="31" t="n">
        <f aca="false">P409-Summary!$C$5</f>
        <v>4307.39999999999</v>
      </c>
      <c r="R409" s="2" t="str">
        <f aca="false">TEXT(A409,"ddd")</f>
        <v>Wed</v>
      </c>
    </row>
    <row r="410" customFormat="false" ht="15" hidden="false" customHeight="false" outlineLevel="0" collapsed="false">
      <c r="A410" s="43" t="n">
        <v>45309</v>
      </c>
      <c r="B410" s="29" t="n">
        <f aca="false">COUNTIFS(Trades!$D$2:$D$1146,$A410)</f>
        <v>1</v>
      </c>
      <c r="C410" s="29" t="n">
        <f aca="false">COUNTIFS(Trades!$D$2:$D$1146,$A410,Trades!$Z$2:$Z$1146,"Win")</f>
        <v>0</v>
      </c>
      <c r="D410" s="29" t="n">
        <f aca="false">COUNTIFS(Trades!$D$2:$D$1146,$A410,Trades!$Z$2:$Z$1146,"Loss")</f>
        <v>1</v>
      </c>
      <c r="E410" s="30" t="n">
        <f aca="false">IFERROR(C410/B410,0)</f>
        <v>0</v>
      </c>
      <c r="F410" s="31" t="n">
        <f aca="false">SUMIFS(Trades!$X$2:$X$1146,Trades!$D$2:$D$1146,$A410)</f>
        <v>-18.6</v>
      </c>
      <c r="G410" s="31" t="n">
        <f aca="false">SUMIFS(Trades!$X$2:$X$1146,Trades!$D$2:$D$1146,$A410,Trades!$X$2:$X$1146,"&gt;0")</f>
        <v>0</v>
      </c>
      <c r="H410" s="31" t="n">
        <f aca="false">SUMIFS(Trades!$X$2:$X$1146,Trades!$D$2:$D$1146,$A410,Trades!$X$2:$X$1146,"&lt;0")</f>
        <v>-18.6</v>
      </c>
      <c r="I410" s="32" t="n">
        <f aca="false">IFERROR(G410/-H410,"no loss")</f>
        <v>0</v>
      </c>
      <c r="J410" s="31" t="n">
        <f aca="false">_xlfn.MAXIFS(Trades!$X$2:$X$1146,Trades!$D$2:$D$1146,$A410)</f>
        <v>-18.6</v>
      </c>
      <c r="K410" s="31" t="n">
        <f aca="false">_xlfn.MINIFS(Trades!$X$2:$X$1146,Trades!$D$2:$D$1146,$A410)</f>
        <v>-18.6</v>
      </c>
      <c r="L410" s="33" t="n">
        <f aca="false">SUMIFS(Trades!$Y$2:$Y$1146,Trades!$D$2:$D$1146,$A410)</f>
        <v>-1.06164383561619</v>
      </c>
      <c r="M410" s="31" t="n">
        <f aca="false">P409</f>
        <v>14307.4</v>
      </c>
      <c r="N410" s="30" t="n">
        <f aca="false">IFERROR(F410/M410,0)</f>
        <v>-0.0013000265596824</v>
      </c>
      <c r="O410" s="29" t="str">
        <f aca="false">IF(-N410&gt;=Summary!$C$7,"BREACH","")</f>
        <v/>
      </c>
      <c r="P410" s="31" t="n">
        <f aca="false">M410+F410</f>
        <v>14288.8</v>
      </c>
      <c r="Q410" s="31" t="n">
        <f aca="false">P410-Summary!$C$5</f>
        <v>4288.79999999999</v>
      </c>
      <c r="R410" s="2" t="str">
        <f aca="false">TEXT(A410,"ddd")</f>
        <v>Thu</v>
      </c>
    </row>
    <row r="411" customFormat="false" ht="15" hidden="false" customHeight="false" outlineLevel="0" collapsed="false">
      <c r="A411" s="43" t="n">
        <v>45310</v>
      </c>
      <c r="B411" s="29" t="n">
        <f aca="false">COUNTIFS(Trades!$D$2:$D$1146,$A411)</f>
        <v>1</v>
      </c>
      <c r="C411" s="29" t="n">
        <f aca="false">COUNTIFS(Trades!$D$2:$D$1146,$A411,Trades!$Z$2:$Z$1146,"Win")</f>
        <v>0</v>
      </c>
      <c r="D411" s="29" t="n">
        <f aca="false">COUNTIFS(Trades!$D$2:$D$1146,$A411,Trades!$Z$2:$Z$1146,"Loss")</f>
        <v>1</v>
      </c>
      <c r="E411" s="30" t="n">
        <f aca="false">IFERROR(C411/B411,0)</f>
        <v>0</v>
      </c>
      <c r="F411" s="31" t="n">
        <f aca="false">SUMIFS(Trades!$X$2:$X$1146,Trades!$D$2:$D$1146,$A411)</f>
        <v>-7.28</v>
      </c>
      <c r="G411" s="31" t="n">
        <f aca="false">SUMIFS(Trades!$X$2:$X$1146,Trades!$D$2:$D$1146,$A411,Trades!$X$2:$X$1146,"&gt;0")</f>
        <v>0</v>
      </c>
      <c r="H411" s="31" t="n">
        <f aca="false">SUMIFS(Trades!$X$2:$X$1146,Trades!$D$2:$D$1146,$A411,Trades!$X$2:$X$1146,"&lt;0")</f>
        <v>-7.28</v>
      </c>
      <c r="I411" s="32" t="n">
        <f aca="false">IFERROR(G411/-H411,"no loss")</f>
        <v>0</v>
      </c>
      <c r="J411" s="31" t="n">
        <f aca="false">_xlfn.MAXIFS(Trades!$X$2:$X$1146,Trades!$D$2:$D$1146,$A411)</f>
        <v>-7.28</v>
      </c>
      <c r="K411" s="31" t="n">
        <f aca="false">_xlfn.MINIFS(Trades!$X$2:$X$1146,Trades!$D$2:$D$1146,$A411)</f>
        <v>-7.28</v>
      </c>
      <c r="L411" s="33" t="n">
        <f aca="false">SUMIFS(Trades!$Y$2:$Y$1146,Trades!$D$2:$D$1146,$A411)</f>
        <v>-1.04597701149329</v>
      </c>
      <c r="M411" s="31" t="n">
        <f aca="false">P410</f>
        <v>14288.8</v>
      </c>
      <c r="N411" s="30" t="n">
        <f aca="false">IFERROR(F411/M411,0)</f>
        <v>-0.000509489950170763</v>
      </c>
      <c r="O411" s="29" t="str">
        <f aca="false">IF(-N411&gt;=Summary!$C$7,"BREACH","")</f>
        <v/>
      </c>
      <c r="P411" s="31" t="n">
        <f aca="false">M411+F411</f>
        <v>14281.52</v>
      </c>
      <c r="Q411" s="31" t="n">
        <f aca="false">P411-Summary!$C$5</f>
        <v>4281.51999999999</v>
      </c>
      <c r="R411" s="2" t="str">
        <f aca="false">TEXT(A411,"ddd")</f>
        <v>Fri</v>
      </c>
    </row>
    <row r="412" customFormat="false" ht="15" hidden="false" customHeight="false" outlineLevel="0" collapsed="false">
      <c r="A412" s="43" t="n">
        <v>45313</v>
      </c>
      <c r="B412" s="29" t="n">
        <f aca="false">COUNTIFS(Trades!$D$2:$D$1146,$A412)</f>
        <v>1</v>
      </c>
      <c r="C412" s="29" t="n">
        <f aca="false">COUNTIFS(Trades!$D$2:$D$1146,$A412,Trades!$Z$2:$Z$1146,"Win")</f>
        <v>0</v>
      </c>
      <c r="D412" s="29" t="n">
        <f aca="false">COUNTIFS(Trades!$D$2:$D$1146,$A412,Trades!$Z$2:$Z$1146,"Loss")</f>
        <v>1</v>
      </c>
      <c r="E412" s="30" t="n">
        <f aca="false">IFERROR(C412/B412,0)</f>
        <v>0</v>
      </c>
      <c r="F412" s="31" t="n">
        <f aca="false">SUMIFS(Trades!$X$2:$X$1146,Trades!$D$2:$D$1146,$A412)</f>
        <v>-1.6</v>
      </c>
      <c r="G412" s="31" t="n">
        <f aca="false">SUMIFS(Trades!$X$2:$X$1146,Trades!$D$2:$D$1146,$A412,Trades!$X$2:$X$1146,"&gt;0")</f>
        <v>0</v>
      </c>
      <c r="H412" s="31" t="n">
        <f aca="false">SUMIFS(Trades!$X$2:$X$1146,Trades!$D$2:$D$1146,$A412,Trades!$X$2:$X$1146,"&lt;0")</f>
        <v>-1.6</v>
      </c>
      <c r="I412" s="32" t="n">
        <f aca="false">IFERROR(G412/-H412,"no loss")</f>
        <v>0</v>
      </c>
      <c r="J412" s="31" t="n">
        <f aca="false">_xlfn.MAXIFS(Trades!$X$2:$X$1146,Trades!$D$2:$D$1146,$A412)</f>
        <v>-1.6</v>
      </c>
      <c r="K412" s="31" t="n">
        <f aca="false">_xlfn.MINIFS(Trades!$X$2:$X$1146,Trades!$D$2:$D$1146,$A412)</f>
        <v>-1.6</v>
      </c>
      <c r="L412" s="33" t="n">
        <f aca="false">SUMIFS(Trades!$Y$2:$Y$1146,Trades!$D$2:$D$1146,$A412)</f>
        <v>-0.0420609884332192</v>
      </c>
      <c r="M412" s="31" t="n">
        <f aca="false">P411</f>
        <v>14281.52</v>
      </c>
      <c r="N412" s="30" t="n">
        <f aca="false">IFERROR(F412/M412,0)</f>
        <v>-0.000112032892857343</v>
      </c>
      <c r="O412" s="29" t="str">
        <f aca="false">IF(-N412&gt;=Summary!$C$7,"BREACH","")</f>
        <v/>
      </c>
      <c r="P412" s="31" t="n">
        <f aca="false">M412+F412</f>
        <v>14279.92</v>
      </c>
      <c r="Q412" s="31" t="n">
        <f aca="false">P412-Summary!$C$5</f>
        <v>4279.91999999999</v>
      </c>
      <c r="R412" s="2" t="str">
        <f aca="false">TEXT(A412,"ddd")</f>
        <v>Mon</v>
      </c>
    </row>
    <row r="413" customFormat="false" ht="15" hidden="false" customHeight="false" outlineLevel="0" collapsed="false">
      <c r="A413" s="43" t="n">
        <v>45314</v>
      </c>
      <c r="B413" s="29" t="n">
        <f aca="false">COUNTIFS(Trades!$D$2:$D$1146,$A413)</f>
        <v>1</v>
      </c>
      <c r="C413" s="29" t="n">
        <f aca="false">COUNTIFS(Trades!$D$2:$D$1146,$A413,Trades!$Z$2:$Z$1146,"Win")</f>
        <v>0</v>
      </c>
      <c r="D413" s="29" t="n">
        <f aca="false">COUNTIFS(Trades!$D$2:$D$1146,$A413,Trades!$Z$2:$Z$1146,"Loss")</f>
        <v>1</v>
      </c>
      <c r="E413" s="30" t="n">
        <f aca="false">IFERROR(C413/B413,0)</f>
        <v>0</v>
      </c>
      <c r="F413" s="31" t="n">
        <f aca="false">SUMIFS(Trades!$X$2:$X$1146,Trades!$D$2:$D$1146,$A413)</f>
        <v>-20.8</v>
      </c>
      <c r="G413" s="31" t="n">
        <f aca="false">SUMIFS(Trades!$X$2:$X$1146,Trades!$D$2:$D$1146,$A413,Trades!$X$2:$X$1146,"&gt;0")</f>
        <v>0</v>
      </c>
      <c r="H413" s="31" t="n">
        <f aca="false">SUMIFS(Trades!$X$2:$X$1146,Trades!$D$2:$D$1146,$A413,Trades!$X$2:$X$1146,"&lt;0")</f>
        <v>-20.8</v>
      </c>
      <c r="I413" s="32" t="n">
        <f aca="false">IFERROR(G413/-H413,"no loss")</f>
        <v>0</v>
      </c>
      <c r="J413" s="31" t="n">
        <f aca="false">_xlfn.MAXIFS(Trades!$X$2:$X$1146,Trades!$D$2:$D$1146,$A413)</f>
        <v>-20.8</v>
      </c>
      <c r="K413" s="31" t="n">
        <f aca="false">_xlfn.MINIFS(Trades!$X$2:$X$1146,Trades!$D$2:$D$1146,$A413)</f>
        <v>-20.8</v>
      </c>
      <c r="L413" s="33" t="n">
        <f aca="false">SUMIFS(Trades!$Y$2:$Y$1146,Trades!$D$2:$D$1146,$A413)</f>
        <v>-1.00775193798452</v>
      </c>
      <c r="M413" s="31" t="n">
        <f aca="false">P412</f>
        <v>14279.92</v>
      </c>
      <c r="N413" s="30" t="n">
        <f aca="false">IFERROR(F413/M413,0)</f>
        <v>-0.00145659079322573</v>
      </c>
      <c r="O413" s="29" t="str">
        <f aca="false">IF(-N413&gt;=Summary!$C$7,"BREACH","")</f>
        <v/>
      </c>
      <c r="P413" s="31" t="n">
        <f aca="false">M413+F413</f>
        <v>14259.12</v>
      </c>
      <c r="Q413" s="31" t="n">
        <f aca="false">P413-Summary!$C$5</f>
        <v>4259.11999999999</v>
      </c>
      <c r="R413" s="2" t="str">
        <f aca="false">TEXT(A413,"ddd")</f>
        <v>Tue</v>
      </c>
    </row>
    <row r="414" customFormat="false" ht="15" hidden="false" customHeight="false" outlineLevel="0" collapsed="false">
      <c r="A414" s="43" t="n">
        <v>45315</v>
      </c>
      <c r="B414" s="29" t="n">
        <f aca="false">COUNTIFS(Trades!$D$2:$D$1146,$A414)</f>
        <v>1</v>
      </c>
      <c r="C414" s="29" t="n">
        <f aca="false">COUNTIFS(Trades!$D$2:$D$1146,$A414,Trades!$Z$2:$Z$1146,"Win")</f>
        <v>1</v>
      </c>
      <c r="D414" s="29" t="n">
        <f aca="false">COUNTIFS(Trades!$D$2:$D$1146,$A414,Trades!$Z$2:$Z$1146,"Loss")</f>
        <v>0</v>
      </c>
      <c r="E414" s="30" t="n">
        <f aca="false">IFERROR(C414/B414,0)</f>
        <v>1</v>
      </c>
      <c r="F414" s="31" t="n">
        <f aca="false">SUMIFS(Trades!$X$2:$X$1146,Trades!$D$2:$D$1146,$A414)</f>
        <v>104.84</v>
      </c>
      <c r="G414" s="31" t="n">
        <f aca="false">SUMIFS(Trades!$X$2:$X$1146,Trades!$D$2:$D$1146,$A414,Trades!$X$2:$X$1146,"&gt;0")</f>
        <v>104.84</v>
      </c>
      <c r="H414" s="31" t="n">
        <f aca="false">SUMIFS(Trades!$X$2:$X$1146,Trades!$D$2:$D$1146,$A414,Trades!$X$2:$X$1146,"&lt;0")</f>
        <v>0</v>
      </c>
      <c r="I414" s="32" t="str">
        <f aca="false">IFERROR(G414/-H414,"no loss")</f>
        <v>no loss</v>
      </c>
      <c r="J414" s="31" t="n">
        <f aca="false">_xlfn.MAXIFS(Trades!$X$2:$X$1146,Trades!$D$2:$D$1146,$A414)</f>
        <v>104.84</v>
      </c>
      <c r="K414" s="31" t="n">
        <f aca="false">_xlfn.MINIFS(Trades!$X$2:$X$1146,Trades!$D$2:$D$1146,$A414)</f>
        <v>104.84</v>
      </c>
      <c r="L414" s="33" t="n">
        <f aca="false">SUMIFS(Trades!$Y$2:$Y$1146,Trades!$D$2:$D$1146,$A414)</f>
        <v>2.4518241347048</v>
      </c>
      <c r="M414" s="31" t="n">
        <f aca="false">P413</f>
        <v>14259.12</v>
      </c>
      <c r="N414" s="30" t="n">
        <f aca="false">IFERROR(F414/M414,0)</f>
        <v>0.00735248739052621</v>
      </c>
      <c r="O414" s="29" t="str">
        <f aca="false">IF(-N414&gt;=Summary!$C$7,"BREACH","")</f>
        <v/>
      </c>
      <c r="P414" s="31" t="n">
        <f aca="false">M414+F414</f>
        <v>14363.96</v>
      </c>
      <c r="Q414" s="31" t="n">
        <f aca="false">P414-Summary!$C$5</f>
        <v>4363.95999999999</v>
      </c>
      <c r="R414" s="2" t="str">
        <f aca="false">TEXT(A414,"ddd")</f>
        <v>Wed</v>
      </c>
    </row>
    <row r="415" customFormat="false" ht="15" hidden="false" customHeight="false" outlineLevel="0" collapsed="false">
      <c r="A415" s="43" t="n">
        <v>45316</v>
      </c>
      <c r="B415" s="29" t="n">
        <f aca="false">COUNTIFS(Trades!$D$2:$D$1146,$A415)</f>
        <v>1</v>
      </c>
      <c r="C415" s="29" t="n">
        <f aca="false">COUNTIFS(Trades!$D$2:$D$1146,$A415,Trades!$Z$2:$Z$1146,"Win")</f>
        <v>0</v>
      </c>
      <c r="D415" s="29" t="n">
        <f aca="false">COUNTIFS(Trades!$D$2:$D$1146,$A415,Trades!$Z$2:$Z$1146,"Loss")</f>
        <v>1</v>
      </c>
      <c r="E415" s="30" t="n">
        <f aca="false">IFERROR(C415/B415,0)</f>
        <v>0</v>
      </c>
      <c r="F415" s="31" t="n">
        <f aca="false">SUMIFS(Trades!$X$2:$X$1146,Trades!$D$2:$D$1146,$A415)</f>
        <v>-57.84</v>
      </c>
      <c r="G415" s="31" t="n">
        <f aca="false">SUMIFS(Trades!$X$2:$X$1146,Trades!$D$2:$D$1146,$A415,Trades!$X$2:$X$1146,"&gt;0")</f>
        <v>0</v>
      </c>
      <c r="H415" s="31" t="n">
        <f aca="false">SUMIFS(Trades!$X$2:$X$1146,Trades!$D$2:$D$1146,$A415,Trades!$X$2:$X$1146,"&lt;0")</f>
        <v>-57.84</v>
      </c>
      <c r="I415" s="32" t="n">
        <f aca="false">IFERROR(G415/-H415,"no loss")</f>
        <v>0</v>
      </c>
      <c r="J415" s="31" t="n">
        <f aca="false">_xlfn.MAXIFS(Trades!$X$2:$X$1146,Trades!$D$2:$D$1146,$A415)</f>
        <v>-57.84</v>
      </c>
      <c r="K415" s="31" t="n">
        <f aca="false">_xlfn.MINIFS(Trades!$X$2:$X$1146,Trades!$D$2:$D$1146,$A415)</f>
        <v>-57.84</v>
      </c>
      <c r="L415" s="33" t="n">
        <f aca="false">SUMIFS(Trades!$Y$2:$Y$1146,Trades!$D$2:$D$1146,$A415)</f>
        <v>-1.00416666666682</v>
      </c>
      <c r="M415" s="31" t="n">
        <f aca="false">P414</f>
        <v>14363.96</v>
      </c>
      <c r="N415" s="30" t="n">
        <f aca="false">IFERROR(F415/M415,0)</f>
        <v>-0.00402674471385329</v>
      </c>
      <c r="O415" s="29" t="str">
        <f aca="false">IF(-N415&gt;=Summary!$C$7,"BREACH","")</f>
        <v/>
      </c>
      <c r="P415" s="31" t="n">
        <f aca="false">M415+F415</f>
        <v>14306.12</v>
      </c>
      <c r="Q415" s="31" t="n">
        <f aca="false">P415-Summary!$C$5</f>
        <v>4306.11999999999</v>
      </c>
      <c r="R415" s="2" t="str">
        <f aca="false">TEXT(A415,"ddd")</f>
        <v>Thu</v>
      </c>
    </row>
    <row r="416" customFormat="false" ht="15" hidden="false" customHeight="false" outlineLevel="0" collapsed="false">
      <c r="A416" s="43" t="n">
        <v>45317</v>
      </c>
      <c r="B416" s="29" t="n">
        <f aca="false">COUNTIFS(Trades!$D$2:$D$1146,$A416)</f>
        <v>1</v>
      </c>
      <c r="C416" s="29" t="n">
        <f aca="false">COUNTIFS(Trades!$D$2:$D$1146,$A416,Trades!$Z$2:$Z$1146,"Win")</f>
        <v>0</v>
      </c>
      <c r="D416" s="29" t="n">
        <f aca="false">COUNTIFS(Trades!$D$2:$D$1146,$A416,Trades!$Z$2:$Z$1146,"Loss")</f>
        <v>1</v>
      </c>
      <c r="E416" s="30" t="n">
        <f aca="false">IFERROR(C416/B416,0)</f>
        <v>0</v>
      </c>
      <c r="F416" s="31" t="n">
        <f aca="false">SUMIFS(Trades!$X$2:$X$1146,Trades!$D$2:$D$1146,$A416)</f>
        <v>-2.24</v>
      </c>
      <c r="G416" s="31" t="n">
        <f aca="false">SUMIFS(Trades!$X$2:$X$1146,Trades!$D$2:$D$1146,$A416,Trades!$X$2:$X$1146,"&gt;0")</f>
        <v>0</v>
      </c>
      <c r="H416" s="31" t="n">
        <f aca="false">SUMIFS(Trades!$X$2:$X$1146,Trades!$D$2:$D$1146,$A416,Trades!$X$2:$X$1146,"&lt;0")</f>
        <v>-2.24</v>
      </c>
      <c r="I416" s="32" t="n">
        <f aca="false">IFERROR(G416/-H416,"no loss")</f>
        <v>0</v>
      </c>
      <c r="J416" s="31" t="n">
        <f aca="false">_xlfn.MAXIFS(Trades!$X$2:$X$1146,Trades!$D$2:$D$1146,$A416)</f>
        <v>-2.24</v>
      </c>
      <c r="K416" s="31" t="n">
        <f aca="false">_xlfn.MINIFS(Trades!$X$2:$X$1146,Trades!$D$2:$D$1146,$A416)</f>
        <v>-2.24</v>
      </c>
      <c r="L416" s="33" t="n">
        <f aca="false">SUMIFS(Trades!$Y$2:$Y$1146,Trades!$D$2:$D$1146,$A416)</f>
        <v>-0.114989733059572</v>
      </c>
      <c r="M416" s="31" t="n">
        <f aca="false">P415</f>
        <v>14306.12</v>
      </c>
      <c r="N416" s="30" t="n">
        <f aca="false">IFERROR(F416/M416,0)</f>
        <v>-0.000156576346346878</v>
      </c>
      <c r="O416" s="29" t="str">
        <f aca="false">IF(-N416&gt;=Summary!$C$7,"BREACH","")</f>
        <v/>
      </c>
      <c r="P416" s="31" t="n">
        <f aca="false">M416+F416</f>
        <v>14303.88</v>
      </c>
      <c r="Q416" s="31" t="n">
        <f aca="false">P416-Summary!$C$5</f>
        <v>4303.87999999999</v>
      </c>
      <c r="R416" s="2" t="str">
        <f aca="false">TEXT(A416,"ddd")</f>
        <v>Fri</v>
      </c>
    </row>
    <row r="417" customFormat="false" ht="15" hidden="false" customHeight="false" outlineLevel="0" collapsed="false">
      <c r="A417" s="43" t="n">
        <v>45320</v>
      </c>
      <c r="B417" s="29" t="n">
        <f aca="false">COUNTIFS(Trades!$D$2:$D$1146,$A417)</f>
        <v>1</v>
      </c>
      <c r="C417" s="29" t="n">
        <f aca="false">COUNTIFS(Trades!$D$2:$D$1146,$A417,Trades!$Z$2:$Z$1146,"Win")</f>
        <v>0</v>
      </c>
      <c r="D417" s="29" t="n">
        <f aca="false">COUNTIFS(Trades!$D$2:$D$1146,$A417,Trades!$Z$2:$Z$1146,"Loss")</f>
        <v>1</v>
      </c>
      <c r="E417" s="30" t="n">
        <f aca="false">IFERROR(C417/B417,0)</f>
        <v>0</v>
      </c>
      <c r="F417" s="31" t="n">
        <f aca="false">SUMIFS(Trades!$X$2:$X$1146,Trades!$D$2:$D$1146,$A417)</f>
        <v>-15.84</v>
      </c>
      <c r="G417" s="31" t="n">
        <f aca="false">SUMIFS(Trades!$X$2:$X$1146,Trades!$D$2:$D$1146,$A417,Trades!$X$2:$X$1146,"&gt;0")</f>
        <v>0</v>
      </c>
      <c r="H417" s="31" t="n">
        <f aca="false">SUMIFS(Trades!$X$2:$X$1146,Trades!$D$2:$D$1146,$A417,Trades!$X$2:$X$1146,"&lt;0")</f>
        <v>-15.84</v>
      </c>
      <c r="I417" s="32" t="n">
        <f aca="false">IFERROR(G417/-H417,"no loss")</f>
        <v>0</v>
      </c>
      <c r="J417" s="31" t="n">
        <f aca="false">_xlfn.MAXIFS(Trades!$X$2:$X$1146,Trades!$D$2:$D$1146,$A417)</f>
        <v>-15.84</v>
      </c>
      <c r="K417" s="31" t="n">
        <f aca="false">_xlfn.MINIFS(Trades!$X$2:$X$1146,Trades!$D$2:$D$1146,$A417)</f>
        <v>-15.84</v>
      </c>
      <c r="L417" s="33" t="n">
        <f aca="false">SUMIFS(Trades!$Y$2:$Y$1146,Trades!$D$2:$D$1146,$A417)</f>
        <v>-1.0232558139528</v>
      </c>
      <c r="M417" s="31" t="n">
        <f aca="false">P416</f>
        <v>14303.88</v>
      </c>
      <c r="N417" s="30" t="n">
        <f aca="false">IFERROR(F417/M417,0)</f>
        <v>-0.00110739184053558</v>
      </c>
      <c r="O417" s="29" t="str">
        <f aca="false">IF(-N417&gt;=Summary!$C$7,"BREACH","")</f>
        <v/>
      </c>
      <c r="P417" s="31" t="n">
        <f aca="false">M417+F417</f>
        <v>14288.04</v>
      </c>
      <c r="Q417" s="31" t="n">
        <f aca="false">P417-Summary!$C$5</f>
        <v>4288.03999999999</v>
      </c>
      <c r="R417" s="2" t="str">
        <f aca="false">TEXT(A417,"ddd")</f>
        <v>Mon</v>
      </c>
    </row>
    <row r="418" customFormat="false" ht="15" hidden="false" customHeight="false" outlineLevel="0" collapsed="false">
      <c r="A418" s="43" t="n">
        <v>45321</v>
      </c>
      <c r="B418" s="29" t="n">
        <f aca="false">COUNTIFS(Trades!$D$2:$D$1146,$A418)</f>
        <v>1</v>
      </c>
      <c r="C418" s="29" t="n">
        <f aca="false">COUNTIFS(Trades!$D$2:$D$1146,$A418,Trades!$Z$2:$Z$1146,"Win")</f>
        <v>0</v>
      </c>
      <c r="D418" s="29" t="n">
        <f aca="false">COUNTIFS(Trades!$D$2:$D$1146,$A418,Trades!$Z$2:$Z$1146,"Loss")</f>
        <v>1</v>
      </c>
      <c r="E418" s="30" t="n">
        <f aca="false">IFERROR(C418/B418,0)</f>
        <v>0</v>
      </c>
      <c r="F418" s="31" t="n">
        <f aca="false">SUMIFS(Trades!$X$2:$X$1146,Trades!$D$2:$D$1146,$A418)</f>
        <v>-0.12</v>
      </c>
      <c r="G418" s="31" t="n">
        <f aca="false">SUMIFS(Trades!$X$2:$X$1146,Trades!$D$2:$D$1146,$A418,Trades!$X$2:$X$1146,"&gt;0")</f>
        <v>0</v>
      </c>
      <c r="H418" s="31" t="n">
        <f aca="false">SUMIFS(Trades!$X$2:$X$1146,Trades!$D$2:$D$1146,$A418,Trades!$X$2:$X$1146,"&lt;0")</f>
        <v>-0.12</v>
      </c>
      <c r="I418" s="32" t="n">
        <f aca="false">IFERROR(G418/-H418,"no loss")</f>
        <v>0</v>
      </c>
      <c r="J418" s="31" t="n">
        <f aca="false">_xlfn.MAXIFS(Trades!$X$2:$X$1146,Trades!$D$2:$D$1146,$A418)</f>
        <v>-0.12</v>
      </c>
      <c r="K418" s="31" t="n">
        <f aca="false">_xlfn.MINIFS(Trades!$X$2:$X$1146,Trades!$D$2:$D$1146,$A418)</f>
        <v>-0.12</v>
      </c>
      <c r="L418" s="33" t="n">
        <f aca="false">SUMIFS(Trades!$Y$2:$Y$1146,Trades!$D$2:$D$1146,$A418)</f>
        <v>-0.00546448087431897</v>
      </c>
      <c r="M418" s="31" t="n">
        <f aca="false">P417</f>
        <v>14288.04</v>
      </c>
      <c r="N418" s="30" t="n">
        <f aca="false">IFERROR(F418/M418,0)</f>
        <v>-8.39863270259602E-006</v>
      </c>
      <c r="O418" s="29" t="str">
        <f aca="false">IF(-N418&gt;=Summary!$C$7,"BREACH","")</f>
        <v/>
      </c>
      <c r="P418" s="31" t="n">
        <f aca="false">M418+F418</f>
        <v>14287.92</v>
      </c>
      <c r="Q418" s="31" t="n">
        <f aca="false">P418-Summary!$C$5</f>
        <v>4287.91999999999</v>
      </c>
      <c r="R418" s="2" t="str">
        <f aca="false">TEXT(A418,"ddd")</f>
        <v>Tue</v>
      </c>
    </row>
    <row r="419" customFormat="false" ht="15" hidden="false" customHeight="false" outlineLevel="0" collapsed="false">
      <c r="A419" s="43" t="n">
        <v>45322</v>
      </c>
      <c r="B419" s="29" t="n">
        <f aca="false">COUNTIFS(Trades!$D$2:$D$1146,$A419)</f>
        <v>1</v>
      </c>
      <c r="C419" s="29" t="n">
        <f aca="false">COUNTIFS(Trades!$D$2:$D$1146,$A419,Trades!$Z$2:$Z$1146,"Win")</f>
        <v>1</v>
      </c>
      <c r="D419" s="29" t="n">
        <f aca="false">COUNTIFS(Trades!$D$2:$D$1146,$A419,Trades!$Z$2:$Z$1146,"Loss")</f>
        <v>0</v>
      </c>
      <c r="E419" s="30" t="n">
        <f aca="false">IFERROR(C419/B419,0)</f>
        <v>1</v>
      </c>
      <c r="F419" s="31" t="n">
        <f aca="false">SUMIFS(Trades!$X$2:$X$1146,Trades!$D$2:$D$1146,$A419)</f>
        <v>378.24</v>
      </c>
      <c r="G419" s="31" t="n">
        <f aca="false">SUMIFS(Trades!$X$2:$X$1146,Trades!$D$2:$D$1146,$A419,Trades!$X$2:$X$1146,"&gt;0")</f>
        <v>378.24</v>
      </c>
      <c r="H419" s="31" t="n">
        <f aca="false">SUMIFS(Trades!$X$2:$X$1146,Trades!$D$2:$D$1146,$A419,Trades!$X$2:$X$1146,"&lt;0")</f>
        <v>0</v>
      </c>
      <c r="I419" s="32" t="str">
        <f aca="false">IFERROR(G419/-H419,"no loss")</f>
        <v>no loss</v>
      </c>
      <c r="J419" s="31" t="n">
        <f aca="false">_xlfn.MAXIFS(Trades!$X$2:$X$1146,Trades!$D$2:$D$1146,$A419)</f>
        <v>378.24</v>
      </c>
      <c r="K419" s="31" t="n">
        <f aca="false">_xlfn.MINIFS(Trades!$X$2:$X$1146,Trades!$D$2:$D$1146,$A419)</f>
        <v>378.24</v>
      </c>
      <c r="L419" s="33" t="n">
        <f aca="false">SUMIFS(Trades!$Y$2:$Y$1146,Trades!$D$2:$D$1146,$A419)</f>
        <v>2.45101088646956</v>
      </c>
      <c r="M419" s="31" t="n">
        <f aca="false">P418</f>
        <v>14287.92</v>
      </c>
      <c r="N419" s="30" t="n">
        <f aca="false">IFERROR(F419/M419,0)</f>
        <v>0.0264727126131725</v>
      </c>
      <c r="O419" s="29" t="str">
        <f aca="false">IF(-N419&gt;=Summary!$C$7,"BREACH","")</f>
        <v/>
      </c>
      <c r="P419" s="31" t="n">
        <f aca="false">M419+F419</f>
        <v>14666.16</v>
      </c>
      <c r="Q419" s="31" t="n">
        <f aca="false">P419-Summary!$C$5</f>
        <v>4666.15999999999</v>
      </c>
      <c r="R419" s="2" t="str">
        <f aca="false">TEXT(A419,"ddd")</f>
        <v>Wed</v>
      </c>
    </row>
    <row r="420" customFormat="false" ht="15" hidden="false" customHeight="false" outlineLevel="0" collapsed="false">
      <c r="A420" s="43" t="n">
        <v>45324</v>
      </c>
      <c r="B420" s="29" t="n">
        <f aca="false">COUNTIFS(Trades!$D$2:$D$1146,$A420)</f>
        <v>2</v>
      </c>
      <c r="C420" s="29" t="n">
        <f aca="false">COUNTIFS(Trades!$D$2:$D$1146,$A420,Trades!$Z$2:$Z$1146,"Win")</f>
        <v>1</v>
      </c>
      <c r="D420" s="29" t="n">
        <f aca="false">COUNTIFS(Trades!$D$2:$D$1146,$A420,Trades!$Z$2:$Z$1146,"Loss")</f>
        <v>1</v>
      </c>
      <c r="E420" s="30" t="n">
        <f aca="false">IFERROR(C420/B420,0)</f>
        <v>0.5</v>
      </c>
      <c r="F420" s="31" t="n">
        <f aca="false">SUMIFS(Trades!$X$2:$X$1146,Trades!$D$2:$D$1146,$A420)</f>
        <v>372.08</v>
      </c>
      <c r="G420" s="31" t="n">
        <f aca="false">SUMIFS(Trades!$X$2:$X$1146,Trades!$D$2:$D$1146,$A420,Trades!$X$2:$X$1146,"&gt;0")</f>
        <v>372.12</v>
      </c>
      <c r="H420" s="31" t="n">
        <f aca="false">SUMIFS(Trades!$X$2:$X$1146,Trades!$D$2:$D$1146,$A420,Trades!$X$2:$X$1146,"&lt;0")</f>
        <v>-0.04</v>
      </c>
      <c r="I420" s="32" t="n">
        <f aca="false">IFERROR(G420/-H420,"no loss")</f>
        <v>9303</v>
      </c>
      <c r="J420" s="31" t="n">
        <f aca="false">_xlfn.MAXIFS(Trades!$X$2:$X$1146,Trades!$D$2:$D$1146,$A420)</f>
        <v>372.12</v>
      </c>
      <c r="K420" s="31" t="n">
        <f aca="false">_xlfn.MINIFS(Trades!$X$2:$X$1146,Trades!$D$2:$D$1146,$A420)</f>
        <v>-0.04</v>
      </c>
      <c r="L420" s="33" t="n">
        <f aca="false">SUMIFS(Trades!$Y$2:$Y$1146,Trades!$D$2:$D$1146,$A420)</f>
        <v>3.47209202314156</v>
      </c>
      <c r="M420" s="31" t="n">
        <f aca="false">P419</f>
        <v>14666.16</v>
      </c>
      <c r="N420" s="30" t="n">
        <f aca="false">IFERROR(F420/M420,0)</f>
        <v>0.025369967326144</v>
      </c>
      <c r="O420" s="29" t="str">
        <f aca="false">IF(-N420&gt;=Summary!$C$7,"BREACH","")</f>
        <v/>
      </c>
      <c r="P420" s="31" t="n">
        <f aca="false">M420+F420</f>
        <v>15038.24</v>
      </c>
      <c r="Q420" s="31" t="n">
        <f aca="false">P420-Summary!$C$5</f>
        <v>5038.23999999999</v>
      </c>
      <c r="R420" s="2" t="str">
        <f aca="false">TEXT(A420,"ddd")</f>
        <v>Fri</v>
      </c>
    </row>
    <row r="421" customFormat="false" ht="15" hidden="false" customHeight="false" outlineLevel="0" collapsed="false">
      <c r="A421" s="43" t="n">
        <v>45328</v>
      </c>
      <c r="B421" s="29" t="n">
        <f aca="false">COUNTIFS(Trades!$D$2:$D$1146,$A421)</f>
        <v>1</v>
      </c>
      <c r="C421" s="29" t="n">
        <f aca="false">COUNTIFS(Trades!$D$2:$D$1146,$A421,Trades!$Z$2:$Z$1146,"Win")</f>
        <v>0</v>
      </c>
      <c r="D421" s="29" t="n">
        <f aca="false">COUNTIFS(Trades!$D$2:$D$1146,$A421,Trades!$Z$2:$Z$1146,"Loss")</f>
        <v>1</v>
      </c>
      <c r="E421" s="30" t="n">
        <f aca="false">IFERROR(C421/B421,0)</f>
        <v>0</v>
      </c>
      <c r="F421" s="31" t="n">
        <f aca="false">SUMIFS(Trades!$X$2:$X$1146,Trades!$D$2:$D$1146,$A421)</f>
        <v>-0.2</v>
      </c>
      <c r="G421" s="31" t="n">
        <f aca="false">SUMIFS(Trades!$X$2:$X$1146,Trades!$D$2:$D$1146,$A421,Trades!$X$2:$X$1146,"&gt;0")</f>
        <v>0</v>
      </c>
      <c r="H421" s="31" t="n">
        <f aca="false">SUMIFS(Trades!$X$2:$X$1146,Trades!$D$2:$D$1146,$A421,Trades!$X$2:$X$1146,"&lt;0")</f>
        <v>-0.2</v>
      </c>
      <c r="I421" s="32" t="n">
        <f aca="false">IFERROR(G421/-H421,"no loss")</f>
        <v>0</v>
      </c>
      <c r="J421" s="31" t="n">
        <f aca="false">_xlfn.MAXIFS(Trades!$X$2:$X$1146,Trades!$D$2:$D$1146,$A421)</f>
        <v>-0.2</v>
      </c>
      <c r="K421" s="31" t="n">
        <f aca="false">_xlfn.MINIFS(Trades!$X$2:$X$1146,Trades!$D$2:$D$1146,$A421)</f>
        <v>-0.2</v>
      </c>
      <c r="L421" s="33" t="n">
        <f aca="false">SUMIFS(Trades!$Y$2:$Y$1146,Trades!$D$2:$D$1146,$A421)</f>
        <v>-0.0169491525423687</v>
      </c>
      <c r="M421" s="31" t="n">
        <f aca="false">P420</f>
        <v>15038.24</v>
      </c>
      <c r="N421" s="30" t="n">
        <f aca="false">IFERROR(F421/M421,0)</f>
        <v>-1.32994286565449E-005</v>
      </c>
      <c r="O421" s="29" t="str">
        <f aca="false">IF(-N421&gt;=Summary!$C$7,"BREACH","")</f>
        <v/>
      </c>
      <c r="P421" s="31" t="n">
        <f aca="false">M421+F421</f>
        <v>15038.04</v>
      </c>
      <c r="Q421" s="31" t="n">
        <f aca="false">P421-Summary!$C$5</f>
        <v>5038.03999999999</v>
      </c>
      <c r="R421" s="2" t="str">
        <f aca="false">TEXT(A421,"ddd")</f>
        <v>Tue</v>
      </c>
    </row>
    <row r="422" customFormat="false" ht="15" hidden="false" customHeight="false" outlineLevel="0" collapsed="false">
      <c r="A422" s="43" t="n">
        <v>45329</v>
      </c>
      <c r="B422" s="29" t="n">
        <f aca="false">COUNTIFS(Trades!$D$2:$D$1146,$A422)</f>
        <v>1</v>
      </c>
      <c r="C422" s="29" t="n">
        <f aca="false">COUNTIFS(Trades!$D$2:$D$1146,$A422,Trades!$Z$2:$Z$1146,"Win")</f>
        <v>0</v>
      </c>
      <c r="D422" s="29" t="n">
        <f aca="false">COUNTIFS(Trades!$D$2:$D$1146,$A422,Trades!$Z$2:$Z$1146,"Loss")</f>
        <v>1</v>
      </c>
      <c r="E422" s="30" t="n">
        <f aca="false">IFERROR(C422/B422,0)</f>
        <v>0</v>
      </c>
      <c r="F422" s="31" t="n">
        <f aca="false">SUMIFS(Trades!$X$2:$X$1146,Trades!$D$2:$D$1146,$A422)</f>
        <v>-1.2</v>
      </c>
      <c r="G422" s="31" t="n">
        <f aca="false">SUMIFS(Trades!$X$2:$X$1146,Trades!$D$2:$D$1146,$A422,Trades!$X$2:$X$1146,"&gt;0")</f>
        <v>0</v>
      </c>
      <c r="H422" s="31" t="n">
        <f aca="false">SUMIFS(Trades!$X$2:$X$1146,Trades!$D$2:$D$1146,$A422,Trades!$X$2:$X$1146,"&lt;0")</f>
        <v>-1.2</v>
      </c>
      <c r="I422" s="32" t="n">
        <f aca="false">IFERROR(G422/-H422,"no loss")</f>
        <v>0</v>
      </c>
      <c r="J422" s="31" t="n">
        <f aca="false">_xlfn.MAXIFS(Trades!$X$2:$X$1146,Trades!$D$2:$D$1146,$A422)</f>
        <v>-1.2</v>
      </c>
      <c r="K422" s="31" t="n">
        <f aca="false">_xlfn.MINIFS(Trades!$X$2:$X$1146,Trades!$D$2:$D$1146,$A422)</f>
        <v>-1.2</v>
      </c>
      <c r="L422" s="33" t="n">
        <f aca="false">SUMIFS(Trades!$Y$2:$Y$1146,Trades!$D$2:$D$1146,$A422)</f>
        <v>-0.0580270793036947</v>
      </c>
      <c r="M422" s="31" t="n">
        <f aca="false">P421</f>
        <v>15038.04</v>
      </c>
      <c r="N422" s="30" t="n">
        <f aca="false">IFERROR(F422/M422,0)</f>
        <v>-7.97976332021993E-005</v>
      </c>
      <c r="O422" s="29" t="str">
        <f aca="false">IF(-N422&gt;=Summary!$C$7,"BREACH","")</f>
        <v/>
      </c>
      <c r="P422" s="31" t="n">
        <f aca="false">M422+F422</f>
        <v>15036.84</v>
      </c>
      <c r="Q422" s="31" t="n">
        <f aca="false">P422-Summary!$C$5</f>
        <v>5036.83999999999</v>
      </c>
      <c r="R422" s="2" t="str">
        <f aca="false">TEXT(A422,"ddd")</f>
        <v>Wed</v>
      </c>
    </row>
    <row r="423" customFormat="false" ht="15" hidden="false" customHeight="false" outlineLevel="0" collapsed="false">
      <c r="A423" s="43" t="n">
        <v>45330</v>
      </c>
      <c r="B423" s="29" t="n">
        <f aca="false">COUNTIFS(Trades!$D$2:$D$1146,$A423)</f>
        <v>1</v>
      </c>
      <c r="C423" s="29" t="n">
        <f aca="false">COUNTIFS(Trades!$D$2:$D$1146,$A423,Trades!$Z$2:$Z$1146,"Win")</f>
        <v>0</v>
      </c>
      <c r="D423" s="29" t="n">
        <f aca="false">COUNTIFS(Trades!$D$2:$D$1146,$A423,Trades!$Z$2:$Z$1146,"Loss")</f>
        <v>1</v>
      </c>
      <c r="E423" s="30" t="n">
        <f aca="false">IFERROR(C423/B423,0)</f>
        <v>0</v>
      </c>
      <c r="F423" s="31" t="n">
        <f aca="false">SUMIFS(Trades!$X$2:$X$1146,Trades!$D$2:$D$1146,$A423)</f>
        <v>-1.48</v>
      </c>
      <c r="G423" s="31" t="n">
        <f aca="false">SUMIFS(Trades!$X$2:$X$1146,Trades!$D$2:$D$1146,$A423,Trades!$X$2:$X$1146,"&gt;0")</f>
        <v>0</v>
      </c>
      <c r="H423" s="31" t="n">
        <f aca="false">SUMIFS(Trades!$X$2:$X$1146,Trades!$D$2:$D$1146,$A423,Trades!$X$2:$X$1146,"&lt;0")</f>
        <v>-1.48</v>
      </c>
      <c r="I423" s="32" t="n">
        <f aca="false">IFERROR(G423/-H423,"no loss")</f>
        <v>0</v>
      </c>
      <c r="J423" s="31" t="n">
        <f aca="false">_xlfn.MAXIFS(Trades!$X$2:$X$1146,Trades!$D$2:$D$1146,$A423)</f>
        <v>-1.48</v>
      </c>
      <c r="K423" s="31" t="n">
        <f aca="false">_xlfn.MINIFS(Trades!$X$2:$X$1146,Trades!$D$2:$D$1146,$A423)</f>
        <v>-1.48</v>
      </c>
      <c r="L423" s="33" t="n">
        <f aca="false">SUMIFS(Trades!$Y$2:$Y$1146,Trades!$D$2:$D$1146,$A423)</f>
        <v>-0.0379876796714659</v>
      </c>
      <c r="M423" s="31" t="n">
        <f aca="false">P422</f>
        <v>15036.84</v>
      </c>
      <c r="N423" s="30" t="n">
        <f aca="false">IFERROR(F423/M423,0)</f>
        <v>-9.84249350262423E-005</v>
      </c>
      <c r="O423" s="29" t="str">
        <f aca="false">IF(-N423&gt;=Summary!$C$7,"BREACH","")</f>
        <v/>
      </c>
      <c r="P423" s="31" t="n">
        <f aca="false">M423+F423</f>
        <v>15035.36</v>
      </c>
      <c r="Q423" s="31" t="n">
        <f aca="false">P423-Summary!$C$5</f>
        <v>5035.35999999999</v>
      </c>
      <c r="R423" s="2" t="str">
        <f aca="false">TEXT(A423,"ddd")</f>
        <v>Thu</v>
      </c>
    </row>
    <row r="424" customFormat="false" ht="15" hidden="false" customHeight="false" outlineLevel="0" collapsed="false">
      <c r="A424" s="43" t="n">
        <v>45331</v>
      </c>
      <c r="B424" s="29" t="n">
        <f aca="false">COUNTIFS(Trades!$D$2:$D$1146,$A424)</f>
        <v>1</v>
      </c>
      <c r="C424" s="29" t="n">
        <f aca="false">COUNTIFS(Trades!$D$2:$D$1146,$A424,Trades!$Z$2:$Z$1146,"Win")</f>
        <v>0</v>
      </c>
      <c r="D424" s="29" t="n">
        <f aca="false">COUNTIFS(Trades!$D$2:$D$1146,$A424,Trades!$Z$2:$Z$1146,"Loss")</f>
        <v>1</v>
      </c>
      <c r="E424" s="30" t="n">
        <f aca="false">IFERROR(C424/B424,0)</f>
        <v>0</v>
      </c>
      <c r="F424" s="31" t="n">
        <f aca="false">SUMIFS(Trades!$X$2:$X$1146,Trades!$D$2:$D$1146,$A424)</f>
        <v>-0.68</v>
      </c>
      <c r="G424" s="31" t="n">
        <f aca="false">SUMIFS(Trades!$X$2:$X$1146,Trades!$D$2:$D$1146,$A424,Trades!$X$2:$X$1146,"&gt;0")</f>
        <v>0</v>
      </c>
      <c r="H424" s="31" t="n">
        <f aca="false">SUMIFS(Trades!$X$2:$X$1146,Trades!$D$2:$D$1146,$A424,Trades!$X$2:$X$1146,"&lt;0")</f>
        <v>-0.68</v>
      </c>
      <c r="I424" s="32" t="n">
        <f aca="false">IFERROR(G424/-H424,"no loss")</f>
        <v>0</v>
      </c>
      <c r="J424" s="31" t="n">
        <f aca="false">_xlfn.MAXIFS(Trades!$X$2:$X$1146,Trades!$D$2:$D$1146,$A424)</f>
        <v>-0.68</v>
      </c>
      <c r="K424" s="31" t="n">
        <f aca="false">_xlfn.MINIFS(Trades!$X$2:$X$1146,Trades!$D$2:$D$1146,$A424)</f>
        <v>-0.68</v>
      </c>
      <c r="L424" s="33" t="n">
        <f aca="false">SUMIFS(Trades!$Y$2:$Y$1146,Trades!$D$2:$D$1146,$A424)</f>
        <v>-0.0325047801147029</v>
      </c>
      <c r="M424" s="31" t="n">
        <f aca="false">P423</f>
        <v>15035.36</v>
      </c>
      <c r="N424" s="30" t="n">
        <f aca="false">IFERROR(F424/M424,0)</f>
        <v>-4.52267188813571E-005</v>
      </c>
      <c r="O424" s="29" t="str">
        <f aca="false">IF(-N424&gt;=Summary!$C$7,"BREACH","")</f>
        <v/>
      </c>
      <c r="P424" s="31" t="n">
        <f aca="false">M424+F424</f>
        <v>15034.68</v>
      </c>
      <c r="Q424" s="31" t="n">
        <f aca="false">P424-Summary!$C$5</f>
        <v>5034.67999999999</v>
      </c>
      <c r="R424" s="2" t="str">
        <f aca="false">TEXT(A424,"ddd")</f>
        <v>Fri</v>
      </c>
    </row>
    <row r="425" customFormat="false" ht="15" hidden="false" customHeight="false" outlineLevel="0" collapsed="false">
      <c r="A425" s="43" t="n">
        <v>45334</v>
      </c>
      <c r="B425" s="29" t="n">
        <f aca="false">COUNTIFS(Trades!$D$2:$D$1146,$A425)</f>
        <v>1</v>
      </c>
      <c r="C425" s="29" t="n">
        <f aca="false">COUNTIFS(Trades!$D$2:$D$1146,$A425,Trades!$Z$2:$Z$1146,"Win")</f>
        <v>0</v>
      </c>
      <c r="D425" s="29" t="n">
        <f aca="false">COUNTIFS(Trades!$D$2:$D$1146,$A425,Trades!$Z$2:$Z$1146,"Loss")</f>
        <v>1</v>
      </c>
      <c r="E425" s="30" t="n">
        <f aca="false">IFERROR(C425/B425,0)</f>
        <v>0</v>
      </c>
      <c r="F425" s="31" t="n">
        <f aca="false">SUMIFS(Trades!$X$2:$X$1146,Trades!$D$2:$D$1146,$A425)</f>
        <v>-1.04</v>
      </c>
      <c r="G425" s="31" t="n">
        <f aca="false">SUMIFS(Trades!$X$2:$X$1146,Trades!$D$2:$D$1146,$A425,Trades!$X$2:$X$1146,"&gt;0")</f>
        <v>0</v>
      </c>
      <c r="H425" s="31" t="n">
        <f aca="false">SUMIFS(Trades!$X$2:$X$1146,Trades!$D$2:$D$1146,$A425,Trades!$X$2:$X$1146,"&lt;0")</f>
        <v>-1.04</v>
      </c>
      <c r="I425" s="32" t="n">
        <f aca="false">IFERROR(G425/-H425,"no loss")</f>
        <v>0</v>
      </c>
      <c r="J425" s="31" t="n">
        <f aca="false">_xlfn.MAXIFS(Trades!$X$2:$X$1146,Trades!$D$2:$D$1146,$A425)</f>
        <v>-1.04</v>
      </c>
      <c r="K425" s="31" t="n">
        <f aca="false">_xlfn.MINIFS(Trades!$X$2:$X$1146,Trades!$D$2:$D$1146,$A425)</f>
        <v>-1.04</v>
      </c>
      <c r="L425" s="33" t="n">
        <f aca="false">SUMIFS(Trades!$Y$2:$Y$1146,Trades!$D$2:$D$1146,$A425)</f>
        <v>-0.0376811594203018</v>
      </c>
      <c r="M425" s="31" t="n">
        <f aca="false">P424</f>
        <v>15034.68</v>
      </c>
      <c r="N425" s="30" t="n">
        <f aca="false">IFERROR(F425/M425,0)</f>
        <v>-6.9173404422309E-005</v>
      </c>
      <c r="O425" s="29" t="str">
        <f aca="false">IF(-N425&gt;=Summary!$C$7,"BREACH","")</f>
        <v/>
      </c>
      <c r="P425" s="31" t="n">
        <f aca="false">M425+F425</f>
        <v>15033.64</v>
      </c>
      <c r="Q425" s="31" t="n">
        <f aca="false">P425-Summary!$C$5</f>
        <v>5033.63999999999</v>
      </c>
      <c r="R425" s="2" t="str">
        <f aca="false">TEXT(A425,"ddd")</f>
        <v>Mon</v>
      </c>
    </row>
    <row r="426" customFormat="false" ht="15" hidden="false" customHeight="false" outlineLevel="0" collapsed="false">
      <c r="A426" s="43" t="n">
        <v>45335</v>
      </c>
      <c r="B426" s="29" t="n">
        <f aca="false">COUNTIFS(Trades!$D$2:$D$1146,$A426)</f>
        <v>1</v>
      </c>
      <c r="C426" s="29" t="n">
        <f aca="false">COUNTIFS(Trades!$D$2:$D$1146,$A426,Trades!$Z$2:$Z$1146,"Win")</f>
        <v>0</v>
      </c>
      <c r="D426" s="29" t="n">
        <f aca="false">COUNTIFS(Trades!$D$2:$D$1146,$A426,Trades!$Z$2:$Z$1146,"Loss")</f>
        <v>1</v>
      </c>
      <c r="E426" s="30" t="n">
        <f aca="false">IFERROR(C426/B426,0)</f>
        <v>0</v>
      </c>
      <c r="F426" s="31" t="n">
        <f aca="false">SUMIFS(Trades!$X$2:$X$1146,Trades!$D$2:$D$1146,$A426)</f>
        <v>-12.52</v>
      </c>
      <c r="G426" s="31" t="n">
        <f aca="false">SUMIFS(Trades!$X$2:$X$1146,Trades!$D$2:$D$1146,$A426,Trades!$X$2:$X$1146,"&gt;0")</f>
        <v>0</v>
      </c>
      <c r="H426" s="31" t="n">
        <f aca="false">SUMIFS(Trades!$X$2:$X$1146,Trades!$D$2:$D$1146,$A426,Trades!$X$2:$X$1146,"&lt;0")</f>
        <v>-12.52</v>
      </c>
      <c r="I426" s="32" t="n">
        <f aca="false">IFERROR(G426/-H426,"no loss")</f>
        <v>0</v>
      </c>
      <c r="J426" s="31" t="n">
        <f aca="false">_xlfn.MAXIFS(Trades!$X$2:$X$1146,Trades!$D$2:$D$1146,$A426)</f>
        <v>-12.52</v>
      </c>
      <c r="K426" s="31" t="n">
        <f aca="false">_xlfn.MINIFS(Trades!$X$2:$X$1146,Trades!$D$2:$D$1146,$A426)</f>
        <v>-12.52</v>
      </c>
      <c r="L426" s="33" t="n">
        <f aca="false">SUMIFS(Trades!$Y$2:$Y$1146,Trades!$D$2:$D$1146,$A426)</f>
        <v>-1.00643086816701</v>
      </c>
      <c r="M426" s="31" t="n">
        <f aca="false">P425</f>
        <v>15033.64</v>
      </c>
      <c r="N426" s="30" t="n">
        <f aca="false">IFERROR(F426/M426,0)</f>
        <v>-0.000832798976162793</v>
      </c>
      <c r="O426" s="29" t="str">
        <f aca="false">IF(-N426&gt;=Summary!$C$7,"BREACH","")</f>
        <v/>
      </c>
      <c r="P426" s="31" t="n">
        <f aca="false">M426+F426</f>
        <v>15021.12</v>
      </c>
      <c r="Q426" s="31" t="n">
        <f aca="false">P426-Summary!$C$5</f>
        <v>5021.11999999999</v>
      </c>
      <c r="R426" s="2" t="str">
        <f aca="false">TEXT(A426,"ddd")</f>
        <v>Tue</v>
      </c>
    </row>
    <row r="427" customFormat="false" ht="15" hidden="false" customHeight="false" outlineLevel="0" collapsed="false">
      <c r="A427" s="43" t="n">
        <v>45337</v>
      </c>
      <c r="B427" s="29" t="n">
        <f aca="false">COUNTIFS(Trades!$D$2:$D$1146,$A427)</f>
        <v>1</v>
      </c>
      <c r="C427" s="29" t="n">
        <f aca="false">COUNTIFS(Trades!$D$2:$D$1146,$A427,Trades!$Z$2:$Z$1146,"Win")</f>
        <v>0</v>
      </c>
      <c r="D427" s="29" t="n">
        <f aca="false">COUNTIFS(Trades!$D$2:$D$1146,$A427,Trades!$Z$2:$Z$1146,"Loss")</f>
        <v>1</v>
      </c>
      <c r="E427" s="30" t="n">
        <f aca="false">IFERROR(C427/B427,0)</f>
        <v>0</v>
      </c>
      <c r="F427" s="31" t="n">
        <f aca="false">SUMIFS(Trades!$X$2:$X$1146,Trades!$D$2:$D$1146,$A427)</f>
        <v>-0.28</v>
      </c>
      <c r="G427" s="31" t="n">
        <f aca="false">SUMIFS(Trades!$X$2:$X$1146,Trades!$D$2:$D$1146,$A427,Trades!$X$2:$X$1146,"&gt;0")</f>
        <v>0</v>
      </c>
      <c r="H427" s="31" t="n">
        <f aca="false">SUMIFS(Trades!$X$2:$X$1146,Trades!$D$2:$D$1146,$A427,Trades!$X$2:$X$1146,"&lt;0")</f>
        <v>-0.28</v>
      </c>
      <c r="I427" s="32" t="n">
        <f aca="false">IFERROR(G427/-H427,"no loss")</f>
        <v>0</v>
      </c>
      <c r="J427" s="31" t="n">
        <f aca="false">_xlfn.MAXIFS(Trades!$X$2:$X$1146,Trades!$D$2:$D$1146,$A427)</f>
        <v>-0.28</v>
      </c>
      <c r="K427" s="31" t="n">
        <f aca="false">_xlfn.MINIFS(Trades!$X$2:$X$1146,Trades!$D$2:$D$1146,$A427)</f>
        <v>-0.28</v>
      </c>
      <c r="L427" s="33" t="n">
        <f aca="false">SUMIFS(Trades!$Y$2:$Y$1146,Trades!$D$2:$D$1146,$A427)</f>
        <v>-0.017412935323397</v>
      </c>
      <c r="M427" s="31" t="n">
        <f aca="false">P426</f>
        <v>15021.12</v>
      </c>
      <c r="N427" s="30" t="n">
        <f aca="false">IFERROR(F427/M427,0)</f>
        <v>-1.86404209539635E-005</v>
      </c>
      <c r="O427" s="29" t="str">
        <f aca="false">IF(-N427&gt;=Summary!$C$7,"BREACH","")</f>
        <v/>
      </c>
      <c r="P427" s="31" t="n">
        <f aca="false">M427+F427</f>
        <v>15020.84</v>
      </c>
      <c r="Q427" s="31" t="n">
        <f aca="false">P427-Summary!$C$5</f>
        <v>5020.83999999999</v>
      </c>
      <c r="R427" s="2" t="str">
        <f aca="false">TEXT(A427,"ddd")</f>
        <v>Thu</v>
      </c>
    </row>
    <row r="428" customFormat="false" ht="15" hidden="false" customHeight="false" outlineLevel="0" collapsed="false">
      <c r="A428" s="43" t="n">
        <v>45338</v>
      </c>
      <c r="B428" s="29" t="n">
        <f aca="false">COUNTIFS(Trades!$D$2:$D$1146,$A428)</f>
        <v>2</v>
      </c>
      <c r="C428" s="29" t="n">
        <f aca="false">COUNTIFS(Trades!$D$2:$D$1146,$A428,Trades!$Z$2:$Z$1146,"Win")</f>
        <v>1</v>
      </c>
      <c r="D428" s="29" t="n">
        <f aca="false">COUNTIFS(Trades!$D$2:$D$1146,$A428,Trades!$Z$2:$Z$1146,"Loss")</f>
        <v>1</v>
      </c>
      <c r="E428" s="30" t="n">
        <f aca="false">IFERROR(C428/B428,0)</f>
        <v>0.5</v>
      </c>
      <c r="F428" s="31" t="n">
        <f aca="false">SUMIFS(Trades!$X$2:$X$1146,Trades!$D$2:$D$1146,$A428)</f>
        <v>227.8</v>
      </c>
      <c r="G428" s="31" t="n">
        <f aca="false">SUMIFS(Trades!$X$2:$X$1146,Trades!$D$2:$D$1146,$A428,Trades!$X$2:$X$1146,"&gt;0")</f>
        <v>228.84</v>
      </c>
      <c r="H428" s="31" t="n">
        <f aca="false">SUMIFS(Trades!$X$2:$X$1146,Trades!$D$2:$D$1146,$A428,Trades!$X$2:$X$1146,"&lt;0")</f>
        <v>-1.04</v>
      </c>
      <c r="I428" s="32" t="n">
        <f aca="false">IFERROR(G428/-H428,"no loss")</f>
        <v>220.038461538462</v>
      </c>
      <c r="J428" s="31" t="n">
        <f aca="false">_xlfn.MAXIFS(Trades!$X$2:$X$1146,Trades!$D$2:$D$1146,$A428)</f>
        <v>228.84</v>
      </c>
      <c r="K428" s="31" t="n">
        <f aca="false">_xlfn.MINIFS(Trades!$X$2:$X$1146,Trades!$D$2:$D$1146,$A428)</f>
        <v>-1.04</v>
      </c>
      <c r="L428" s="33" t="n">
        <f aca="false">SUMIFS(Trades!$Y$2:$Y$1146,Trades!$D$2:$D$1146,$A428)</f>
        <v>2.43850808874789</v>
      </c>
      <c r="M428" s="31" t="n">
        <f aca="false">P427</f>
        <v>15020.84</v>
      </c>
      <c r="N428" s="30" t="n">
        <f aca="false">IFERROR(F428/M428,0)</f>
        <v>0.0151655965977935</v>
      </c>
      <c r="O428" s="29" t="str">
        <f aca="false">IF(-N428&gt;=Summary!$C$7,"BREACH","")</f>
        <v/>
      </c>
      <c r="P428" s="31" t="n">
        <f aca="false">M428+F428</f>
        <v>15248.64</v>
      </c>
      <c r="Q428" s="31" t="n">
        <f aca="false">P428-Summary!$C$5</f>
        <v>5248.63999999999</v>
      </c>
      <c r="R428" s="2" t="str">
        <f aca="false">TEXT(A428,"ddd")</f>
        <v>Fri</v>
      </c>
    </row>
    <row r="429" customFormat="false" ht="15" hidden="false" customHeight="false" outlineLevel="0" collapsed="false">
      <c r="A429" s="43" t="n">
        <v>45342</v>
      </c>
      <c r="B429" s="29" t="n">
        <f aca="false">COUNTIFS(Trades!$D$2:$D$1146,$A429)</f>
        <v>1</v>
      </c>
      <c r="C429" s="29" t="n">
        <f aca="false">COUNTIFS(Trades!$D$2:$D$1146,$A429,Trades!$Z$2:$Z$1146,"Win")</f>
        <v>0</v>
      </c>
      <c r="D429" s="29" t="n">
        <f aca="false">COUNTIFS(Trades!$D$2:$D$1146,$A429,Trades!$Z$2:$Z$1146,"Loss")</f>
        <v>1</v>
      </c>
      <c r="E429" s="30" t="n">
        <f aca="false">IFERROR(C429/B429,0)</f>
        <v>0</v>
      </c>
      <c r="F429" s="31" t="n">
        <f aca="false">SUMIFS(Trades!$X$2:$X$1146,Trades!$D$2:$D$1146,$A429)</f>
        <v>-0.4</v>
      </c>
      <c r="G429" s="31" t="n">
        <f aca="false">SUMIFS(Trades!$X$2:$X$1146,Trades!$D$2:$D$1146,$A429,Trades!$X$2:$X$1146,"&gt;0")</f>
        <v>0</v>
      </c>
      <c r="H429" s="31" t="n">
        <f aca="false">SUMIFS(Trades!$X$2:$X$1146,Trades!$D$2:$D$1146,$A429,Trades!$X$2:$X$1146,"&lt;0")</f>
        <v>-0.4</v>
      </c>
      <c r="I429" s="32" t="n">
        <f aca="false">IFERROR(G429/-H429,"no loss")</f>
        <v>0</v>
      </c>
      <c r="J429" s="31" t="n">
        <f aca="false">_xlfn.MAXIFS(Trades!$X$2:$X$1146,Trades!$D$2:$D$1146,$A429)</f>
        <v>-0.4</v>
      </c>
      <c r="K429" s="31" t="n">
        <f aca="false">_xlfn.MINIFS(Trades!$X$2:$X$1146,Trades!$D$2:$D$1146,$A429)</f>
        <v>-0.4</v>
      </c>
      <c r="L429" s="33" t="n">
        <f aca="false">SUMIFS(Trades!$Y$2:$Y$1146,Trades!$D$2:$D$1146,$A429)</f>
        <v>-0.0173010380622872</v>
      </c>
      <c r="M429" s="31" t="n">
        <f aca="false">P428</f>
        <v>15248.64</v>
      </c>
      <c r="N429" s="30" t="n">
        <f aca="false">IFERROR(F429/M429,0)</f>
        <v>-2.62318475614875E-005</v>
      </c>
      <c r="O429" s="29" t="str">
        <f aca="false">IF(-N429&gt;=Summary!$C$7,"BREACH","")</f>
        <v/>
      </c>
      <c r="P429" s="31" t="n">
        <f aca="false">M429+F429</f>
        <v>15248.24</v>
      </c>
      <c r="Q429" s="31" t="n">
        <f aca="false">P429-Summary!$C$5</f>
        <v>5248.23999999999</v>
      </c>
      <c r="R429" s="2" t="str">
        <f aca="false">TEXT(A429,"ddd")</f>
        <v>Tue</v>
      </c>
    </row>
    <row r="430" customFormat="false" ht="15" hidden="false" customHeight="false" outlineLevel="0" collapsed="false">
      <c r="A430" s="43" t="n">
        <v>45343</v>
      </c>
      <c r="B430" s="29" t="n">
        <f aca="false">COUNTIFS(Trades!$D$2:$D$1146,$A430)</f>
        <v>1</v>
      </c>
      <c r="C430" s="29" t="n">
        <f aca="false">COUNTIFS(Trades!$D$2:$D$1146,$A430,Trades!$Z$2:$Z$1146,"Win")</f>
        <v>0</v>
      </c>
      <c r="D430" s="29" t="n">
        <f aca="false">COUNTIFS(Trades!$D$2:$D$1146,$A430,Trades!$Z$2:$Z$1146,"Loss")</f>
        <v>1</v>
      </c>
      <c r="E430" s="30" t="n">
        <f aca="false">IFERROR(C430/B430,0)</f>
        <v>0</v>
      </c>
      <c r="F430" s="31" t="n">
        <f aca="false">SUMIFS(Trades!$X$2:$X$1146,Trades!$D$2:$D$1146,$A430)</f>
        <v>-48.32</v>
      </c>
      <c r="G430" s="31" t="n">
        <f aca="false">SUMIFS(Trades!$X$2:$X$1146,Trades!$D$2:$D$1146,$A430,Trades!$X$2:$X$1146,"&gt;0")</f>
        <v>0</v>
      </c>
      <c r="H430" s="31" t="n">
        <f aca="false">SUMIFS(Trades!$X$2:$X$1146,Trades!$D$2:$D$1146,$A430,Trades!$X$2:$X$1146,"&lt;0")</f>
        <v>-48.32</v>
      </c>
      <c r="I430" s="32" t="n">
        <f aca="false">IFERROR(G430/-H430,"no loss")</f>
        <v>0</v>
      </c>
      <c r="J430" s="31" t="n">
        <f aca="false">_xlfn.MAXIFS(Trades!$X$2:$X$1146,Trades!$D$2:$D$1146,$A430)</f>
        <v>-48.32</v>
      </c>
      <c r="K430" s="31" t="n">
        <f aca="false">_xlfn.MINIFS(Trades!$X$2:$X$1146,Trades!$D$2:$D$1146,$A430)</f>
        <v>-48.32</v>
      </c>
      <c r="L430" s="33" t="n">
        <f aca="false">SUMIFS(Trades!$Y$2:$Y$1146,Trades!$D$2:$D$1146,$A430)</f>
        <v>-1.00750625521285</v>
      </c>
      <c r="M430" s="31" t="n">
        <f aca="false">P429</f>
        <v>15248.24</v>
      </c>
      <c r="N430" s="30" t="n">
        <f aca="false">IFERROR(F430/M430,0)</f>
        <v>-0.00316889031127527</v>
      </c>
      <c r="O430" s="29" t="str">
        <f aca="false">IF(-N430&gt;=Summary!$C$7,"BREACH","")</f>
        <v/>
      </c>
      <c r="P430" s="31" t="n">
        <f aca="false">M430+F430</f>
        <v>15199.92</v>
      </c>
      <c r="Q430" s="31" t="n">
        <f aca="false">P430-Summary!$C$5</f>
        <v>5199.91999999999</v>
      </c>
      <c r="R430" s="2" t="str">
        <f aca="false">TEXT(A430,"ddd")</f>
        <v>Wed</v>
      </c>
    </row>
    <row r="431" customFormat="false" ht="15" hidden="false" customHeight="false" outlineLevel="0" collapsed="false">
      <c r="A431" s="43" t="n">
        <v>45344</v>
      </c>
      <c r="B431" s="29" t="n">
        <f aca="false">COUNTIFS(Trades!$D$2:$D$1146,$A431)</f>
        <v>1</v>
      </c>
      <c r="C431" s="29" t="n">
        <f aca="false">COUNTIFS(Trades!$D$2:$D$1146,$A431,Trades!$Z$2:$Z$1146,"Win")</f>
        <v>1</v>
      </c>
      <c r="D431" s="29" t="n">
        <f aca="false">COUNTIFS(Trades!$D$2:$D$1146,$A431,Trades!$Z$2:$Z$1146,"Loss")</f>
        <v>0</v>
      </c>
      <c r="E431" s="30" t="n">
        <f aca="false">IFERROR(C431/B431,0)</f>
        <v>1</v>
      </c>
      <c r="F431" s="31" t="n">
        <f aca="false">SUMIFS(Trades!$X$2:$X$1146,Trades!$D$2:$D$1146,$A431)</f>
        <v>420.76</v>
      </c>
      <c r="G431" s="31" t="n">
        <f aca="false">SUMIFS(Trades!$X$2:$X$1146,Trades!$D$2:$D$1146,$A431,Trades!$X$2:$X$1146,"&gt;0")</f>
        <v>420.76</v>
      </c>
      <c r="H431" s="31" t="n">
        <f aca="false">SUMIFS(Trades!$X$2:$X$1146,Trades!$D$2:$D$1146,$A431,Trades!$X$2:$X$1146,"&lt;0")</f>
        <v>0</v>
      </c>
      <c r="I431" s="32" t="str">
        <f aca="false">IFERROR(G431/-H431,"no loss")</f>
        <v>no loss</v>
      </c>
      <c r="J431" s="31" t="n">
        <f aca="false">_xlfn.MAXIFS(Trades!$X$2:$X$1146,Trades!$D$2:$D$1146,$A431)</f>
        <v>420.76</v>
      </c>
      <c r="K431" s="31" t="n">
        <f aca="false">_xlfn.MINIFS(Trades!$X$2:$X$1146,Trades!$D$2:$D$1146,$A431)</f>
        <v>420.76</v>
      </c>
      <c r="L431" s="33" t="n">
        <f aca="false">SUMIFS(Trades!$Y$2:$Y$1146,Trades!$D$2:$D$1146,$A431)</f>
        <v>2.44969725197937</v>
      </c>
      <c r="M431" s="31" t="n">
        <f aca="false">P430</f>
        <v>15199.92</v>
      </c>
      <c r="N431" s="30" t="n">
        <f aca="false">IFERROR(F431/M431,0)</f>
        <v>0.027681724640656</v>
      </c>
      <c r="O431" s="29" t="str">
        <f aca="false">IF(-N431&gt;=Summary!$C$7,"BREACH","")</f>
        <v/>
      </c>
      <c r="P431" s="31" t="n">
        <f aca="false">M431+F431</f>
        <v>15620.68</v>
      </c>
      <c r="Q431" s="31" t="n">
        <f aca="false">P431-Summary!$C$5</f>
        <v>5620.67999999999</v>
      </c>
      <c r="R431" s="2" t="str">
        <f aca="false">TEXT(A431,"ddd")</f>
        <v>Thu</v>
      </c>
    </row>
    <row r="432" customFormat="false" ht="15" hidden="false" customHeight="false" outlineLevel="0" collapsed="false">
      <c r="A432" s="43" t="n">
        <v>45345</v>
      </c>
      <c r="B432" s="29" t="n">
        <f aca="false">COUNTIFS(Trades!$D$2:$D$1146,$A432)</f>
        <v>1</v>
      </c>
      <c r="C432" s="29" t="n">
        <f aca="false">COUNTIFS(Trades!$D$2:$D$1146,$A432,Trades!$Z$2:$Z$1146,"Win")</f>
        <v>1</v>
      </c>
      <c r="D432" s="29" t="n">
        <f aca="false">COUNTIFS(Trades!$D$2:$D$1146,$A432,Trades!$Z$2:$Z$1146,"Loss")</f>
        <v>0</v>
      </c>
      <c r="E432" s="30" t="n">
        <f aca="false">IFERROR(C432/B432,0)</f>
        <v>1</v>
      </c>
      <c r="F432" s="31" t="n">
        <f aca="false">SUMIFS(Trades!$X$2:$X$1146,Trades!$D$2:$D$1146,$A432)</f>
        <v>64.32</v>
      </c>
      <c r="G432" s="31" t="n">
        <f aca="false">SUMIFS(Trades!$X$2:$X$1146,Trades!$D$2:$D$1146,$A432,Trades!$X$2:$X$1146,"&gt;0")</f>
        <v>64.32</v>
      </c>
      <c r="H432" s="31" t="n">
        <f aca="false">SUMIFS(Trades!$X$2:$X$1146,Trades!$D$2:$D$1146,$A432,Trades!$X$2:$X$1146,"&lt;0")</f>
        <v>0</v>
      </c>
      <c r="I432" s="32" t="str">
        <f aca="false">IFERROR(G432/-H432,"no loss")</f>
        <v>no loss</v>
      </c>
      <c r="J432" s="31" t="n">
        <f aca="false">_xlfn.MAXIFS(Trades!$X$2:$X$1146,Trades!$D$2:$D$1146,$A432)</f>
        <v>64.32</v>
      </c>
      <c r="K432" s="31" t="n">
        <f aca="false">_xlfn.MINIFS(Trades!$X$2:$X$1146,Trades!$D$2:$D$1146,$A432)</f>
        <v>64.32</v>
      </c>
      <c r="L432" s="33" t="n">
        <f aca="false">SUMIFS(Trades!$Y$2:$Y$1146,Trades!$D$2:$D$1146,$A432)</f>
        <v>2.73935264054562</v>
      </c>
      <c r="M432" s="31" t="n">
        <f aca="false">P431</f>
        <v>15620.68</v>
      </c>
      <c r="N432" s="30" t="n">
        <f aca="false">IFERROR(F432/M432,0)</f>
        <v>0.00411761843914606</v>
      </c>
      <c r="O432" s="29" t="str">
        <f aca="false">IF(-N432&gt;=Summary!$C$7,"BREACH","")</f>
        <v/>
      </c>
      <c r="P432" s="31" t="n">
        <f aca="false">M432+F432</f>
        <v>15685</v>
      </c>
      <c r="Q432" s="31" t="n">
        <f aca="false">P432-Summary!$C$5</f>
        <v>5684.99999999999</v>
      </c>
      <c r="R432" s="2" t="str">
        <f aca="false">TEXT(A432,"ddd")</f>
        <v>Fri</v>
      </c>
    </row>
    <row r="433" customFormat="false" ht="15" hidden="false" customHeight="false" outlineLevel="0" collapsed="false">
      <c r="A433" s="43" t="n">
        <v>45348</v>
      </c>
      <c r="B433" s="29" t="n">
        <f aca="false">COUNTIFS(Trades!$D$2:$D$1146,$A433)</f>
        <v>1</v>
      </c>
      <c r="C433" s="29" t="n">
        <f aca="false">COUNTIFS(Trades!$D$2:$D$1146,$A433,Trades!$Z$2:$Z$1146,"Win")</f>
        <v>0</v>
      </c>
      <c r="D433" s="29" t="n">
        <f aca="false">COUNTIFS(Trades!$D$2:$D$1146,$A433,Trades!$Z$2:$Z$1146,"Loss")</f>
        <v>1</v>
      </c>
      <c r="E433" s="30" t="n">
        <f aca="false">IFERROR(C433/B433,0)</f>
        <v>0</v>
      </c>
      <c r="F433" s="31" t="n">
        <f aca="false">SUMIFS(Trades!$X$2:$X$1146,Trades!$D$2:$D$1146,$A433)</f>
        <v>-1.84</v>
      </c>
      <c r="G433" s="31" t="n">
        <f aca="false">SUMIFS(Trades!$X$2:$X$1146,Trades!$D$2:$D$1146,$A433,Trades!$X$2:$X$1146,"&gt;0")</f>
        <v>0</v>
      </c>
      <c r="H433" s="31" t="n">
        <f aca="false">SUMIFS(Trades!$X$2:$X$1146,Trades!$D$2:$D$1146,$A433,Trades!$X$2:$X$1146,"&lt;0")</f>
        <v>-1.84</v>
      </c>
      <c r="I433" s="32" t="n">
        <f aca="false">IFERROR(G433/-H433,"no loss")</f>
        <v>0</v>
      </c>
      <c r="J433" s="31" t="n">
        <f aca="false">_xlfn.MAXIFS(Trades!$X$2:$X$1146,Trades!$D$2:$D$1146,$A433)</f>
        <v>-1.84</v>
      </c>
      <c r="K433" s="31" t="n">
        <f aca="false">_xlfn.MINIFS(Trades!$X$2:$X$1146,Trades!$D$2:$D$1146,$A433)</f>
        <v>-1.84</v>
      </c>
      <c r="L433" s="33" t="n">
        <f aca="false">SUMIFS(Trades!$Y$2:$Y$1146,Trades!$D$2:$D$1146,$A433)</f>
        <v>-0.0688622754490988</v>
      </c>
      <c r="M433" s="31" t="n">
        <f aca="false">P432</f>
        <v>15685</v>
      </c>
      <c r="N433" s="30" t="n">
        <f aca="false">IFERROR(F433/M433,0)</f>
        <v>-0.000117309531399426</v>
      </c>
      <c r="O433" s="29" t="str">
        <f aca="false">IF(-N433&gt;=Summary!$C$7,"BREACH","")</f>
        <v/>
      </c>
      <c r="P433" s="31" t="n">
        <f aca="false">M433+F433</f>
        <v>15683.16</v>
      </c>
      <c r="Q433" s="31" t="n">
        <f aca="false">P433-Summary!$C$5</f>
        <v>5683.15999999999</v>
      </c>
      <c r="R433" s="2" t="str">
        <f aca="false">TEXT(A433,"ddd")</f>
        <v>Mon</v>
      </c>
    </row>
    <row r="434" customFormat="false" ht="15" hidden="false" customHeight="false" outlineLevel="0" collapsed="false">
      <c r="A434" s="43" t="n">
        <v>45350</v>
      </c>
      <c r="B434" s="29" t="n">
        <f aca="false">COUNTIFS(Trades!$D$2:$D$1146,$A434)</f>
        <v>1</v>
      </c>
      <c r="C434" s="29" t="n">
        <f aca="false">COUNTIFS(Trades!$D$2:$D$1146,$A434,Trades!$Z$2:$Z$1146,"Win")</f>
        <v>0</v>
      </c>
      <c r="D434" s="29" t="n">
        <f aca="false">COUNTIFS(Trades!$D$2:$D$1146,$A434,Trades!$Z$2:$Z$1146,"Loss")</f>
        <v>1</v>
      </c>
      <c r="E434" s="30" t="n">
        <f aca="false">IFERROR(C434/B434,0)</f>
        <v>0</v>
      </c>
      <c r="F434" s="31" t="n">
        <f aca="false">SUMIFS(Trades!$X$2:$X$1146,Trades!$D$2:$D$1146,$A434)</f>
        <v>-36.12</v>
      </c>
      <c r="G434" s="31" t="n">
        <f aca="false">SUMIFS(Trades!$X$2:$X$1146,Trades!$D$2:$D$1146,$A434,Trades!$X$2:$X$1146,"&gt;0")</f>
        <v>0</v>
      </c>
      <c r="H434" s="31" t="n">
        <f aca="false">SUMIFS(Trades!$X$2:$X$1146,Trades!$D$2:$D$1146,$A434,Trades!$X$2:$X$1146,"&lt;0")</f>
        <v>-36.12</v>
      </c>
      <c r="I434" s="32" t="n">
        <f aca="false">IFERROR(G434/-H434,"no loss")</f>
        <v>0</v>
      </c>
      <c r="J434" s="31" t="n">
        <f aca="false">_xlfn.MAXIFS(Trades!$X$2:$X$1146,Trades!$D$2:$D$1146,$A434)</f>
        <v>-36.12</v>
      </c>
      <c r="K434" s="31" t="n">
        <f aca="false">_xlfn.MINIFS(Trades!$X$2:$X$1146,Trades!$D$2:$D$1146,$A434)</f>
        <v>-36.12</v>
      </c>
      <c r="L434" s="33" t="n">
        <f aca="false">SUMIFS(Trades!$Y$2:$Y$1146,Trades!$D$2:$D$1146,$A434)</f>
        <v>-1.06990521327031</v>
      </c>
      <c r="M434" s="31" t="n">
        <f aca="false">P433</f>
        <v>15683.16</v>
      </c>
      <c r="N434" s="30" t="n">
        <f aca="false">IFERROR(F434/M434,0)</f>
        <v>-0.00230310728195083</v>
      </c>
      <c r="O434" s="29" t="str">
        <f aca="false">IF(-N434&gt;=Summary!$C$7,"BREACH","")</f>
        <v/>
      </c>
      <c r="P434" s="31" t="n">
        <f aca="false">M434+F434</f>
        <v>15647.04</v>
      </c>
      <c r="Q434" s="31" t="n">
        <f aca="false">P434-Summary!$C$5</f>
        <v>5647.03999999999</v>
      </c>
      <c r="R434" s="2" t="str">
        <f aca="false">TEXT(A434,"ddd")</f>
        <v>Wed</v>
      </c>
    </row>
    <row r="435" customFormat="false" ht="15" hidden="false" customHeight="false" outlineLevel="0" collapsed="false">
      <c r="A435" s="43" t="n">
        <v>45351</v>
      </c>
      <c r="B435" s="29" t="n">
        <f aca="false">COUNTIFS(Trades!$D$2:$D$1146,$A435)</f>
        <v>2</v>
      </c>
      <c r="C435" s="29" t="n">
        <f aca="false">COUNTIFS(Trades!$D$2:$D$1146,$A435,Trades!$Z$2:$Z$1146,"Win")</f>
        <v>0</v>
      </c>
      <c r="D435" s="29" t="n">
        <f aca="false">COUNTIFS(Trades!$D$2:$D$1146,$A435,Trades!$Z$2:$Z$1146,"Loss")</f>
        <v>1</v>
      </c>
      <c r="E435" s="30" t="n">
        <f aca="false">IFERROR(C435/B435,0)</f>
        <v>0</v>
      </c>
      <c r="F435" s="31" t="n">
        <f aca="false">SUMIFS(Trades!$X$2:$X$1146,Trades!$D$2:$D$1146,$A435)</f>
        <v>-0.56</v>
      </c>
      <c r="G435" s="31" t="n">
        <f aca="false">SUMIFS(Trades!$X$2:$X$1146,Trades!$D$2:$D$1146,$A435,Trades!$X$2:$X$1146,"&gt;0")</f>
        <v>0</v>
      </c>
      <c r="H435" s="31" t="n">
        <f aca="false">SUMIFS(Trades!$X$2:$X$1146,Trades!$D$2:$D$1146,$A435,Trades!$X$2:$X$1146,"&lt;0")</f>
        <v>-0.56</v>
      </c>
      <c r="I435" s="32" t="n">
        <f aca="false">IFERROR(G435/-H435,"no loss")</f>
        <v>0</v>
      </c>
      <c r="J435" s="31" t="n">
        <f aca="false">_xlfn.MAXIFS(Trades!$X$2:$X$1146,Trades!$D$2:$D$1146,$A435)</f>
        <v>0</v>
      </c>
      <c r="K435" s="31" t="n">
        <f aca="false">_xlfn.MINIFS(Trades!$X$2:$X$1146,Trades!$D$2:$D$1146,$A435)</f>
        <v>-0.56</v>
      </c>
      <c r="L435" s="33" t="n">
        <f aca="false">SUMIFS(Trades!$Y$2:$Y$1146,Trades!$D$2:$D$1146,$A435)</f>
        <v>-0.0170940170940198</v>
      </c>
      <c r="M435" s="31" t="n">
        <f aca="false">P434</f>
        <v>15647.04</v>
      </c>
      <c r="N435" s="30" t="n">
        <f aca="false">IFERROR(F435/M435,0)</f>
        <v>-3.57895167392683E-005</v>
      </c>
      <c r="O435" s="29" t="str">
        <f aca="false">IF(-N435&gt;=Summary!$C$7,"BREACH","")</f>
        <v/>
      </c>
      <c r="P435" s="31" t="n">
        <f aca="false">M435+F435</f>
        <v>15646.48</v>
      </c>
      <c r="Q435" s="31" t="n">
        <f aca="false">P435-Summary!$C$5</f>
        <v>5646.47999999999</v>
      </c>
      <c r="R435" s="2" t="str">
        <f aca="false">TEXT(A435,"ddd")</f>
        <v>Thu</v>
      </c>
    </row>
    <row r="436" customFormat="false" ht="15" hidden="false" customHeight="false" outlineLevel="0" collapsed="false">
      <c r="A436" s="43" t="n">
        <v>45352</v>
      </c>
      <c r="B436" s="29" t="n">
        <f aca="false">COUNTIFS(Trades!$D$2:$D$1146,$A436)</f>
        <v>1</v>
      </c>
      <c r="C436" s="29" t="n">
        <f aca="false">COUNTIFS(Trades!$D$2:$D$1146,$A436,Trades!$Z$2:$Z$1146,"Win")</f>
        <v>0</v>
      </c>
      <c r="D436" s="29" t="n">
        <f aca="false">COUNTIFS(Trades!$D$2:$D$1146,$A436,Trades!$Z$2:$Z$1146,"Loss")</f>
        <v>1</v>
      </c>
      <c r="E436" s="30" t="n">
        <f aca="false">IFERROR(C436/B436,0)</f>
        <v>0</v>
      </c>
      <c r="F436" s="31" t="n">
        <f aca="false">SUMIFS(Trades!$X$2:$X$1146,Trades!$D$2:$D$1146,$A436)</f>
        <v>-1.6</v>
      </c>
      <c r="G436" s="31" t="n">
        <f aca="false">SUMIFS(Trades!$X$2:$X$1146,Trades!$D$2:$D$1146,$A436,Trades!$X$2:$X$1146,"&gt;0")</f>
        <v>0</v>
      </c>
      <c r="H436" s="31" t="n">
        <f aca="false">SUMIFS(Trades!$X$2:$X$1146,Trades!$D$2:$D$1146,$A436,Trades!$X$2:$X$1146,"&lt;0")</f>
        <v>-1.6</v>
      </c>
      <c r="I436" s="32" t="n">
        <f aca="false">IFERROR(G436/-H436,"no loss")</f>
        <v>0</v>
      </c>
      <c r="J436" s="31" t="n">
        <f aca="false">_xlfn.MAXIFS(Trades!$X$2:$X$1146,Trades!$D$2:$D$1146,$A436)</f>
        <v>-1.6</v>
      </c>
      <c r="K436" s="31" t="n">
        <f aca="false">_xlfn.MINIFS(Trades!$X$2:$X$1146,Trades!$D$2:$D$1146,$A436)</f>
        <v>-1.6</v>
      </c>
      <c r="L436" s="33" t="n">
        <f aca="false">SUMIFS(Trades!$Y$2:$Y$1146,Trades!$D$2:$D$1146,$A436)</f>
        <v>-0.0936768149882808</v>
      </c>
      <c r="M436" s="31" t="n">
        <f aca="false">P435</f>
        <v>15646.48</v>
      </c>
      <c r="N436" s="30" t="n">
        <f aca="false">IFERROR(F436/M436,0)</f>
        <v>-0.000102259421927488</v>
      </c>
      <c r="O436" s="29" t="str">
        <f aca="false">IF(-N436&gt;=Summary!$C$7,"BREACH","")</f>
        <v/>
      </c>
      <c r="P436" s="31" t="n">
        <f aca="false">M436+F436</f>
        <v>15644.88</v>
      </c>
      <c r="Q436" s="31" t="n">
        <f aca="false">P436-Summary!$C$5</f>
        <v>5644.87999999999</v>
      </c>
      <c r="R436" s="2" t="str">
        <f aca="false">TEXT(A436,"ddd")</f>
        <v>Fri</v>
      </c>
    </row>
    <row r="437" customFormat="false" ht="15" hidden="false" customHeight="false" outlineLevel="0" collapsed="false">
      <c r="A437" s="43" t="n">
        <v>45355</v>
      </c>
      <c r="B437" s="29" t="n">
        <f aca="false">COUNTIFS(Trades!$D$2:$D$1146,$A437)</f>
        <v>1</v>
      </c>
      <c r="C437" s="29" t="n">
        <f aca="false">COUNTIFS(Trades!$D$2:$D$1146,$A437,Trades!$Z$2:$Z$1146,"Win")</f>
        <v>0</v>
      </c>
      <c r="D437" s="29" t="n">
        <f aca="false">COUNTIFS(Trades!$D$2:$D$1146,$A437,Trades!$Z$2:$Z$1146,"Loss")</f>
        <v>1</v>
      </c>
      <c r="E437" s="30" t="n">
        <f aca="false">IFERROR(C437/B437,0)</f>
        <v>0</v>
      </c>
      <c r="F437" s="31" t="n">
        <f aca="false">SUMIFS(Trades!$X$2:$X$1146,Trades!$D$2:$D$1146,$A437)</f>
        <v>-28.24</v>
      </c>
      <c r="G437" s="31" t="n">
        <f aca="false">SUMIFS(Trades!$X$2:$X$1146,Trades!$D$2:$D$1146,$A437,Trades!$X$2:$X$1146,"&gt;0")</f>
        <v>0</v>
      </c>
      <c r="H437" s="31" t="n">
        <f aca="false">SUMIFS(Trades!$X$2:$X$1146,Trades!$D$2:$D$1146,$A437,Trades!$X$2:$X$1146,"&lt;0")</f>
        <v>-28.24</v>
      </c>
      <c r="I437" s="32" t="n">
        <f aca="false">IFERROR(G437/-H437,"no loss")</f>
        <v>0</v>
      </c>
      <c r="J437" s="31" t="n">
        <f aca="false">_xlfn.MAXIFS(Trades!$X$2:$X$1146,Trades!$D$2:$D$1146,$A437)</f>
        <v>-28.24</v>
      </c>
      <c r="K437" s="31" t="n">
        <f aca="false">_xlfn.MINIFS(Trades!$X$2:$X$1146,Trades!$D$2:$D$1146,$A437)</f>
        <v>-28.24</v>
      </c>
      <c r="L437" s="33" t="n">
        <f aca="false">SUMIFS(Trades!$Y$2:$Y$1146,Trades!$D$2:$D$1146,$A437)</f>
        <v>-1.2172413793105</v>
      </c>
      <c r="M437" s="31" t="n">
        <f aca="false">P436</f>
        <v>15644.88</v>
      </c>
      <c r="N437" s="30" t="n">
        <f aca="false">IFERROR(F437/M437,0)</f>
        <v>-0.00180506338175812</v>
      </c>
      <c r="O437" s="29" t="str">
        <f aca="false">IF(-N437&gt;=Summary!$C$7,"BREACH","")</f>
        <v/>
      </c>
      <c r="P437" s="31" t="n">
        <f aca="false">M437+F437</f>
        <v>15616.64</v>
      </c>
      <c r="Q437" s="31" t="n">
        <f aca="false">P437-Summary!$C$5</f>
        <v>5616.63999999999</v>
      </c>
      <c r="R437" s="2" t="str">
        <f aca="false">TEXT(A437,"ddd")</f>
        <v>Mon</v>
      </c>
    </row>
    <row r="438" customFormat="false" ht="15" hidden="false" customHeight="false" outlineLevel="0" collapsed="false">
      <c r="A438" s="43" t="n">
        <v>45356</v>
      </c>
      <c r="B438" s="29" t="n">
        <f aca="false">COUNTIFS(Trades!$D$2:$D$1146,$A438)</f>
        <v>1</v>
      </c>
      <c r="C438" s="29" t="n">
        <f aca="false">COUNTIFS(Trades!$D$2:$D$1146,$A438,Trades!$Z$2:$Z$1146,"Win")</f>
        <v>0</v>
      </c>
      <c r="D438" s="29" t="n">
        <f aca="false">COUNTIFS(Trades!$D$2:$D$1146,$A438,Trades!$Z$2:$Z$1146,"Loss")</f>
        <v>1</v>
      </c>
      <c r="E438" s="30" t="n">
        <f aca="false">IFERROR(C438/B438,0)</f>
        <v>0</v>
      </c>
      <c r="F438" s="31" t="n">
        <f aca="false">SUMIFS(Trades!$X$2:$X$1146,Trades!$D$2:$D$1146,$A438)</f>
        <v>-19.12</v>
      </c>
      <c r="G438" s="31" t="n">
        <f aca="false">SUMIFS(Trades!$X$2:$X$1146,Trades!$D$2:$D$1146,$A438,Trades!$X$2:$X$1146,"&gt;0")</f>
        <v>0</v>
      </c>
      <c r="H438" s="31" t="n">
        <f aca="false">SUMIFS(Trades!$X$2:$X$1146,Trades!$D$2:$D$1146,$A438,Trades!$X$2:$X$1146,"&lt;0")</f>
        <v>-19.12</v>
      </c>
      <c r="I438" s="32" t="n">
        <f aca="false">IFERROR(G438/-H438,"no loss")</f>
        <v>0</v>
      </c>
      <c r="J438" s="31" t="n">
        <f aca="false">_xlfn.MAXIFS(Trades!$X$2:$X$1146,Trades!$D$2:$D$1146,$A438)</f>
        <v>-19.12</v>
      </c>
      <c r="K438" s="31" t="n">
        <f aca="false">_xlfn.MINIFS(Trades!$X$2:$X$1146,Trades!$D$2:$D$1146,$A438)</f>
        <v>-19.12</v>
      </c>
      <c r="L438" s="33" t="n">
        <f aca="false">SUMIFS(Trades!$Y$2:$Y$1146,Trades!$D$2:$D$1146,$A438)</f>
        <v>-1.02136752136825</v>
      </c>
      <c r="M438" s="31" t="n">
        <f aca="false">P437</f>
        <v>15616.64</v>
      </c>
      <c r="N438" s="30" t="n">
        <f aca="false">IFERROR(F438/M438,0)</f>
        <v>-0.00122433506823491</v>
      </c>
      <c r="O438" s="29" t="str">
        <f aca="false">IF(-N438&gt;=Summary!$C$7,"BREACH","")</f>
        <v/>
      </c>
      <c r="P438" s="31" t="n">
        <f aca="false">M438+F438</f>
        <v>15597.52</v>
      </c>
      <c r="Q438" s="31" t="n">
        <f aca="false">P438-Summary!$C$5</f>
        <v>5597.51999999999</v>
      </c>
      <c r="R438" s="2" t="str">
        <f aca="false">TEXT(A438,"ddd")</f>
        <v>Tue</v>
      </c>
    </row>
    <row r="439" customFormat="false" ht="15" hidden="false" customHeight="false" outlineLevel="0" collapsed="false">
      <c r="A439" s="43" t="n">
        <v>45358</v>
      </c>
      <c r="B439" s="29" t="n">
        <f aca="false">COUNTIFS(Trades!$D$2:$D$1146,$A439)</f>
        <v>2</v>
      </c>
      <c r="C439" s="29" t="n">
        <f aca="false">COUNTIFS(Trades!$D$2:$D$1146,$A439,Trades!$Z$2:$Z$1146,"Win")</f>
        <v>0</v>
      </c>
      <c r="D439" s="29" t="n">
        <f aca="false">COUNTIFS(Trades!$D$2:$D$1146,$A439,Trades!$Z$2:$Z$1146,"Loss")</f>
        <v>2</v>
      </c>
      <c r="E439" s="30" t="n">
        <f aca="false">IFERROR(C439/B439,0)</f>
        <v>0</v>
      </c>
      <c r="F439" s="31" t="n">
        <f aca="false">SUMIFS(Trades!$X$2:$X$1146,Trades!$D$2:$D$1146,$A439)</f>
        <v>-35.88</v>
      </c>
      <c r="G439" s="31" t="n">
        <f aca="false">SUMIFS(Trades!$X$2:$X$1146,Trades!$D$2:$D$1146,$A439,Trades!$X$2:$X$1146,"&gt;0")</f>
        <v>0</v>
      </c>
      <c r="H439" s="31" t="n">
        <f aca="false">SUMIFS(Trades!$X$2:$X$1146,Trades!$D$2:$D$1146,$A439,Trades!$X$2:$X$1146,"&lt;0")</f>
        <v>-35.88</v>
      </c>
      <c r="I439" s="32" t="n">
        <f aca="false">IFERROR(G439/-H439,"no loss")</f>
        <v>0</v>
      </c>
      <c r="J439" s="31" t="n">
        <f aca="false">_xlfn.MAXIFS(Trades!$X$2:$X$1146,Trades!$D$2:$D$1146,$A439)</f>
        <v>-3.72</v>
      </c>
      <c r="K439" s="31" t="n">
        <f aca="false">_xlfn.MINIFS(Trades!$X$2:$X$1146,Trades!$D$2:$D$1146,$A439)</f>
        <v>-32.16</v>
      </c>
      <c r="L439" s="33" t="n">
        <f aca="false">SUMIFS(Trades!$Y$2:$Y$1146,Trades!$D$2:$D$1146,$A439)</f>
        <v>-1.14023022432153</v>
      </c>
      <c r="M439" s="31" t="n">
        <f aca="false">P438</f>
        <v>15597.52</v>
      </c>
      <c r="N439" s="30" t="n">
        <f aca="false">IFERROR(F439/M439,0)</f>
        <v>-0.00230036569916243</v>
      </c>
      <c r="O439" s="29" t="str">
        <f aca="false">IF(-N439&gt;=Summary!$C$7,"BREACH","")</f>
        <v/>
      </c>
      <c r="P439" s="31" t="n">
        <f aca="false">M439+F439</f>
        <v>15561.64</v>
      </c>
      <c r="Q439" s="31" t="n">
        <f aca="false">P439-Summary!$C$5</f>
        <v>5561.63999999999</v>
      </c>
      <c r="R439" s="2" t="str">
        <f aca="false">TEXT(A439,"ddd")</f>
        <v>Thu</v>
      </c>
    </row>
    <row r="440" customFormat="false" ht="15" hidden="false" customHeight="false" outlineLevel="0" collapsed="false">
      <c r="A440" s="43" t="n">
        <v>45359</v>
      </c>
      <c r="B440" s="29" t="n">
        <f aca="false">COUNTIFS(Trades!$D$2:$D$1146,$A440)</f>
        <v>1</v>
      </c>
      <c r="C440" s="29" t="n">
        <f aca="false">COUNTIFS(Trades!$D$2:$D$1146,$A440,Trades!$Z$2:$Z$1146,"Win")</f>
        <v>0</v>
      </c>
      <c r="D440" s="29" t="n">
        <f aca="false">COUNTIFS(Trades!$D$2:$D$1146,$A440,Trades!$Z$2:$Z$1146,"Loss")</f>
        <v>1</v>
      </c>
      <c r="E440" s="30" t="n">
        <f aca="false">IFERROR(C440/B440,0)</f>
        <v>0</v>
      </c>
      <c r="F440" s="31" t="n">
        <f aca="false">SUMIFS(Trades!$X$2:$X$1146,Trades!$D$2:$D$1146,$A440)</f>
        <v>-157.64</v>
      </c>
      <c r="G440" s="31" t="n">
        <f aca="false">SUMIFS(Trades!$X$2:$X$1146,Trades!$D$2:$D$1146,$A440,Trades!$X$2:$X$1146,"&gt;0")</f>
        <v>0</v>
      </c>
      <c r="H440" s="31" t="n">
        <f aca="false">SUMIFS(Trades!$X$2:$X$1146,Trades!$D$2:$D$1146,$A440,Trades!$X$2:$X$1146,"&lt;0")</f>
        <v>-157.64</v>
      </c>
      <c r="I440" s="32" t="n">
        <f aca="false">IFERROR(G440/-H440,"no loss")</f>
        <v>0</v>
      </c>
      <c r="J440" s="31" t="n">
        <f aca="false">_xlfn.MAXIFS(Trades!$X$2:$X$1146,Trades!$D$2:$D$1146,$A440)</f>
        <v>-157.64</v>
      </c>
      <c r="K440" s="31" t="n">
        <f aca="false">_xlfn.MINIFS(Trades!$X$2:$X$1146,Trades!$D$2:$D$1146,$A440)</f>
        <v>-157.64</v>
      </c>
      <c r="L440" s="33" t="n">
        <f aca="false">SUMIFS(Trades!$Y$2:$Y$1146,Trades!$D$2:$D$1146,$A440)</f>
        <v>-1.05827067669179</v>
      </c>
      <c r="M440" s="31" t="n">
        <f aca="false">P439</f>
        <v>15561.64</v>
      </c>
      <c r="N440" s="30" t="n">
        <f aca="false">IFERROR(F440/M440,0)</f>
        <v>-0.0101300377081079</v>
      </c>
      <c r="O440" s="29" t="str">
        <f aca="false">IF(-N440&gt;=Summary!$C$7,"BREACH","")</f>
        <v/>
      </c>
      <c r="P440" s="31" t="n">
        <f aca="false">M440+F440</f>
        <v>15404</v>
      </c>
      <c r="Q440" s="31" t="n">
        <f aca="false">P440-Summary!$C$5</f>
        <v>5403.99999999999</v>
      </c>
      <c r="R440" s="2" t="str">
        <f aca="false">TEXT(A440,"ddd")</f>
        <v>Fri</v>
      </c>
    </row>
    <row r="441" customFormat="false" ht="15" hidden="false" customHeight="false" outlineLevel="0" collapsed="false">
      <c r="A441" s="43" t="n">
        <v>45362</v>
      </c>
      <c r="B441" s="29" t="n">
        <f aca="false">COUNTIFS(Trades!$D$2:$D$1146,$A441)</f>
        <v>1</v>
      </c>
      <c r="C441" s="29" t="n">
        <f aca="false">COUNTIFS(Trades!$D$2:$D$1146,$A441,Trades!$Z$2:$Z$1146,"Win")</f>
        <v>0</v>
      </c>
      <c r="D441" s="29" t="n">
        <f aca="false">COUNTIFS(Trades!$D$2:$D$1146,$A441,Trades!$Z$2:$Z$1146,"Loss")</f>
        <v>1</v>
      </c>
      <c r="E441" s="30" t="n">
        <f aca="false">IFERROR(C441/B441,0)</f>
        <v>0</v>
      </c>
      <c r="F441" s="31" t="n">
        <f aca="false">SUMIFS(Trades!$X$2:$X$1146,Trades!$D$2:$D$1146,$A441)</f>
        <v>-71.64</v>
      </c>
      <c r="G441" s="31" t="n">
        <f aca="false">SUMIFS(Trades!$X$2:$X$1146,Trades!$D$2:$D$1146,$A441,Trades!$X$2:$X$1146,"&gt;0")</f>
        <v>0</v>
      </c>
      <c r="H441" s="31" t="n">
        <f aca="false">SUMIFS(Trades!$X$2:$X$1146,Trades!$D$2:$D$1146,$A441,Trades!$X$2:$X$1146,"&lt;0")</f>
        <v>-71.64</v>
      </c>
      <c r="I441" s="32" t="n">
        <f aca="false">IFERROR(G441/-H441,"no loss")</f>
        <v>0</v>
      </c>
      <c r="J441" s="31" t="n">
        <f aca="false">_xlfn.MAXIFS(Trades!$X$2:$X$1146,Trades!$D$2:$D$1146,$A441)</f>
        <v>-71.64</v>
      </c>
      <c r="K441" s="31" t="n">
        <f aca="false">_xlfn.MINIFS(Trades!$X$2:$X$1146,Trades!$D$2:$D$1146,$A441)</f>
        <v>-71.64</v>
      </c>
      <c r="L441" s="33" t="n">
        <f aca="false">SUMIFS(Trades!$Y$2:$Y$1146,Trades!$D$2:$D$1146,$A441)</f>
        <v>-1.07696933253174</v>
      </c>
      <c r="M441" s="31" t="n">
        <f aca="false">P440</f>
        <v>15404</v>
      </c>
      <c r="N441" s="30" t="n">
        <f aca="false">IFERROR(F441/M441,0)</f>
        <v>-0.00465074006751494</v>
      </c>
      <c r="O441" s="29" t="str">
        <f aca="false">IF(-N441&gt;=Summary!$C$7,"BREACH","")</f>
        <v/>
      </c>
      <c r="P441" s="31" t="n">
        <f aca="false">M441+F441</f>
        <v>15332.36</v>
      </c>
      <c r="Q441" s="31" t="n">
        <f aca="false">P441-Summary!$C$5</f>
        <v>5332.35999999999</v>
      </c>
      <c r="R441" s="2" t="str">
        <f aca="false">TEXT(A441,"ddd")</f>
        <v>Mon</v>
      </c>
    </row>
    <row r="442" customFormat="false" ht="15" hidden="false" customHeight="false" outlineLevel="0" collapsed="false">
      <c r="A442" s="43" t="n">
        <v>45363</v>
      </c>
      <c r="B442" s="29" t="n">
        <f aca="false">COUNTIFS(Trades!$D$2:$D$1146,$A442)</f>
        <v>1</v>
      </c>
      <c r="C442" s="29" t="n">
        <f aca="false">COUNTIFS(Trades!$D$2:$D$1146,$A442,Trades!$Z$2:$Z$1146,"Win")</f>
        <v>0</v>
      </c>
      <c r="D442" s="29" t="n">
        <f aca="false">COUNTIFS(Trades!$D$2:$D$1146,$A442,Trades!$Z$2:$Z$1146,"Loss")</f>
        <v>1</v>
      </c>
      <c r="E442" s="30" t="n">
        <f aca="false">IFERROR(C442/B442,0)</f>
        <v>0</v>
      </c>
      <c r="F442" s="31" t="n">
        <f aca="false">SUMIFS(Trades!$X$2:$X$1146,Trades!$D$2:$D$1146,$A442)</f>
        <v>-0.04</v>
      </c>
      <c r="G442" s="31" t="n">
        <f aca="false">SUMIFS(Trades!$X$2:$X$1146,Trades!$D$2:$D$1146,$A442,Trades!$X$2:$X$1146,"&gt;0")</f>
        <v>0</v>
      </c>
      <c r="H442" s="31" t="n">
        <f aca="false">SUMIFS(Trades!$X$2:$X$1146,Trades!$D$2:$D$1146,$A442,Trades!$X$2:$X$1146,"&lt;0")</f>
        <v>-0.04</v>
      </c>
      <c r="I442" s="32" t="n">
        <f aca="false">IFERROR(G442/-H442,"no loss")</f>
        <v>0</v>
      </c>
      <c r="J442" s="31" t="n">
        <f aca="false">_xlfn.MAXIFS(Trades!$X$2:$X$1146,Trades!$D$2:$D$1146,$A442)</f>
        <v>-0.04</v>
      </c>
      <c r="K442" s="31" t="n">
        <f aca="false">_xlfn.MINIFS(Trades!$X$2:$X$1146,Trades!$D$2:$D$1146,$A442)</f>
        <v>-0.04</v>
      </c>
      <c r="L442" s="33" t="n">
        <f aca="false">SUMIFS(Trades!$Y$2:$Y$1146,Trades!$D$2:$D$1146,$A442)</f>
        <v>-0.00306748466257819</v>
      </c>
      <c r="M442" s="31" t="n">
        <f aca="false">P441</f>
        <v>15332.36</v>
      </c>
      <c r="N442" s="30" t="n">
        <f aca="false">IFERROR(F442/M442,0)</f>
        <v>-2.60886125814943E-006</v>
      </c>
      <c r="O442" s="29" t="str">
        <f aca="false">IF(-N442&gt;=Summary!$C$7,"BREACH","")</f>
        <v/>
      </c>
      <c r="P442" s="31" t="n">
        <f aca="false">M442+F442</f>
        <v>15332.32</v>
      </c>
      <c r="Q442" s="31" t="n">
        <f aca="false">P442-Summary!$C$5</f>
        <v>5332.31999999999</v>
      </c>
      <c r="R442" s="2" t="str">
        <f aca="false">TEXT(A442,"ddd")</f>
        <v>Tue</v>
      </c>
    </row>
    <row r="443" customFormat="false" ht="15" hidden="false" customHeight="false" outlineLevel="0" collapsed="false">
      <c r="A443" s="43" t="n">
        <v>45364</v>
      </c>
      <c r="B443" s="29" t="n">
        <f aca="false">COUNTIFS(Trades!$D$2:$D$1146,$A443)</f>
        <v>1</v>
      </c>
      <c r="C443" s="29" t="n">
        <f aca="false">COUNTIFS(Trades!$D$2:$D$1146,$A443,Trades!$Z$2:$Z$1146,"Win")</f>
        <v>0</v>
      </c>
      <c r="D443" s="29" t="n">
        <f aca="false">COUNTIFS(Trades!$D$2:$D$1146,$A443,Trades!$Z$2:$Z$1146,"Loss")</f>
        <v>1</v>
      </c>
      <c r="E443" s="30" t="n">
        <f aca="false">IFERROR(C443/B443,0)</f>
        <v>0</v>
      </c>
      <c r="F443" s="31" t="n">
        <f aca="false">SUMIFS(Trades!$X$2:$X$1146,Trades!$D$2:$D$1146,$A443)</f>
        <v>-24.48</v>
      </c>
      <c r="G443" s="31" t="n">
        <f aca="false">SUMIFS(Trades!$X$2:$X$1146,Trades!$D$2:$D$1146,$A443,Trades!$X$2:$X$1146,"&gt;0")</f>
        <v>0</v>
      </c>
      <c r="H443" s="31" t="n">
        <f aca="false">SUMIFS(Trades!$X$2:$X$1146,Trades!$D$2:$D$1146,$A443,Trades!$X$2:$X$1146,"&lt;0")</f>
        <v>-24.48</v>
      </c>
      <c r="I443" s="32" t="n">
        <f aca="false">IFERROR(G443/-H443,"no loss")</f>
        <v>0</v>
      </c>
      <c r="J443" s="31" t="n">
        <f aca="false">_xlfn.MAXIFS(Trades!$X$2:$X$1146,Trades!$D$2:$D$1146,$A443)</f>
        <v>-24.48</v>
      </c>
      <c r="K443" s="31" t="n">
        <f aca="false">_xlfn.MINIFS(Trades!$X$2:$X$1146,Trades!$D$2:$D$1146,$A443)</f>
        <v>-24.48</v>
      </c>
      <c r="L443" s="33" t="n">
        <f aca="false">SUMIFS(Trades!$Y$2:$Y$1146,Trades!$D$2:$D$1146,$A443)</f>
        <v>-1.02857142857193</v>
      </c>
      <c r="M443" s="31" t="n">
        <f aca="false">P442</f>
        <v>15332.32</v>
      </c>
      <c r="N443" s="30" t="n">
        <f aca="false">IFERROR(F443/M443,0)</f>
        <v>-0.00159662725536644</v>
      </c>
      <c r="O443" s="29" t="str">
        <f aca="false">IF(-N443&gt;=Summary!$C$7,"BREACH","")</f>
        <v/>
      </c>
      <c r="P443" s="31" t="n">
        <f aca="false">M443+F443</f>
        <v>15307.84</v>
      </c>
      <c r="Q443" s="31" t="n">
        <f aca="false">P443-Summary!$C$5</f>
        <v>5307.83999999999</v>
      </c>
      <c r="R443" s="2" t="str">
        <f aca="false">TEXT(A443,"ddd")</f>
        <v>Wed</v>
      </c>
    </row>
    <row r="444" customFormat="false" ht="15" hidden="false" customHeight="false" outlineLevel="0" collapsed="false">
      <c r="A444" s="43" t="n">
        <v>45365</v>
      </c>
      <c r="B444" s="29" t="n">
        <f aca="false">COUNTIFS(Trades!$D$2:$D$1146,$A444)</f>
        <v>1</v>
      </c>
      <c r="C444" s="29" t="n">
        <f aca="false">COUNTIFS(Trades!$D$2:$D$1146,$A444,Trades!$Z$2:$Z$1146,"Win")</f>
        <v>1</v>
      </c>
      <c r="D444" s="29" t="n">
        <f aca="false">COUNTIFS(Trades!$D$2:$D$1146,$A444,Trades!$Z$2:$Z$1146,"Loss")</f>
        <v>0</v>
      </c>
      <c r="E444" s="30" t="n">
        <f aca="false">IFERROR(C444/B444,0)</f>
        <v>1</v>
      </c>
      <c r="F444" s="31" t="n">
        <f aca="false">SUMIFS(Trades!$X$2:$X$1146,Trades!$D$2:$D$1146,$A444)</f>
        <v>258.44</v>
      </c>
      <c r="G444" s="31" t="n">
        <f aca="false">SUMIFS(Trades!$X$2:$X$1146,Trades!$D$2:$D$1146,$A444,Trades!$X$2:$X$1146,"&gt;0")</f>
        <v>258.44</v>
      </c>
      <c r="H444" s="31" t="n">
        <f aca="false">SUMIFS(Trades!$X$2:$X$1146,Trades!$D$2:$D$1146,$A444,Trades!$X$2:$X$1146,"&lt;0")</f>
        <v>0</v>
      </c>
      <c r="I444" s="32" t="str">
        <f aca="false">IFERROR(G444/-H444,"no loss")</f>
        <v>no loss</v>
      </c>
      <c r="J444" s="31" t="n">
        <f aca="false">_xlfn.MAXIFS(Trades!$X$2:$X$1146,Trades!$D$2:$D$1146,$A444)</f>
        <v>258.44</v>
      </c>
      <c r="K444" s="31" t="n">
        <f aca="false">_xlfn.MINIFS(Trades!$X$2:$X$1146,Trades!$D$2:$D$1146,$A444)</f>
        <v>258.44</v>
      </c>
      <c r="L444" s="33" t="n">
        <f aca="false">SUMIFS(Trades!$Y$2:$Y$1146,Trades!$D$2:$D$1146,$A444)</f>
        <v>2.47074569789661</v>
      </c>
      <c r="M444" s="31" t="n">
        <f aca="false">P443</f>
        <v>15307.84</v>
      </c>
      <c r="N444" s="30" t="n">
        <f aca="false">IFERROR(F444/M444,0)</f>
        <v>0.0168828521855468</v>
      </c>
      <c r="O444" s="29" t="str">
        <f aca="false">IF(-N444&gt;=Summary!$C$7,"BREACH","")</f>
        <v/>
      </c>
      <c r="P444" s="31" t="n">
        <f aca="false">M444+F444</f>
        <v>15566.28</v>
      </c>
      <c r="Q444" s="31" t="n">
        <f aca="false">P444-Summary!$C$5</f>
        <v>5566.27999999999</v>
      </c>
      <c r="R444" s="2" t="str">
        <f aca="false">TEXT(A444,"ddd")</f>
        <v>Thu</v>
      </c>
    </row>
    <row r="445" customFormat="false" ht="15" hidden="false" customHeight="false" outlineLevel="0" collapsed="false">
      <c r="A445" s="43" t="n">
        <v>45366</v>
      </c>
      <c r="B445" s="29" t="n">
        <f aca="false">COUNTIFS(Trades!$D$2:$D$1146,$A445)</f>
        <v>1</v>
      </c>
      <c r="C445" s="29" t="n">
        <f aca="false">COUNTIFS(Trades!$D$2:$D$1146,$A445,Trades!$Z$2:$Z$1146,"Win")</f>
        <v>0</v>
      </c>
      <c r="D445" s="29" t="n">
        <f aca="false">COUNTIFS(Trades!$D$2:$D$1146,$A445,Trades!$Z$2:$Z$1146,"Loss")</f>
        <v>1</v>
      </c>
      <c r="E445" s="30" t="n">
        <f aca="false">IFERROR(C445/B445,0)</f>
        <v>0</v>
      </c>
      <c r="F445" s="31" t="n">
        <f aca="false">SUMIFS(Trades!$X$2:$X$1146,Trades!$D$2:$D$1146,$A445)</f>
        <v>-81.8</v>
      </c>
      <c r="G445" s="31" t="n">
        <f aca="false">SUMIFS(Trades!$X$2:$X$1146,Trades!$D$2:$D$1146,$A445,Trades!$X$2:$X$1146,"&gt;0")</f>
        <v>0</v>
      </c>
      <c r="H445" s="31" t="n">
        <f aca="false">SUMIFS(Trades!$X$2:$X$1146,Trades!$D$2:$D$1146,$A445,Trades!$X$2:$X$1146,"&lt;0")</f>
        <v>-81.8</v>
      </c>
      <c r="I445" s="32" t="n">
        <f aca="false">IFERROR(G445/-H445,"no loss")</f>
        <v>0</v>
      </c>
      <c r="J445" s="31" t="n">
        <f aca="false">_xlfn.MAXIFS(Trades!$X$2:$X$1146,Trades!$D$2:$D$1146,$A445)</f>
        <v>-81.8</v>
      </c>
      <c r="K445" s="31" t="n">
        <f aca="false">_xlfn.MINIFS(Trades!$X$2:$X$1146,Trades!$D$2:$D$1146,$A445)</f>
        <v>-81.8</v>
      </c>
      <c r="L445" s="33" t="n">
        <f aca="false">SUMIFS(Trades!$Y$2:$Y$1146,Trades!$D$2:$D$1146,$A445)</f>
        <v>-1.01337958374627</v>
      </c>
      <c r="M445" s="31" t="n">
        <f aca="false">P444</f>
        <v>15566.28</v>
      </c>
      <c r="N445" s="30" t="n">
        <f aca="false">IFERROR(F445/M445,0)</f>
        <v>-0.00525494851692248</v>
      </c>
      <c r="O445" s="29" t="str">
        <f aca="false">IF(-N445&gt;=Summary!$C$7,"BREACH","")</f>
        <v/>
      </c>
      <c r="P445" s="31" t="n">
        <f aca="false">M445+F445</f>
        <v>15484.48</v>
      </c>
      <c r="Q445" s="31" t="n">
        <f aca="false">P445-Summary!$C$5</f>
        <v>5484.47999999999</v>
      </c>
      <c r="R445" s="2" t="str">
        <f aca="false">TEXT(A445,"ddd")</f>
        <v>Fri</v>
      </c>
    </row>
    <row r="446" customFormat="false" ht="15" hidden="false" customHeight="false" outlineLevel="0" collapsed="false">
      <c r="A446" s="43" t="n">
        <v>45369</v>
      </c>
      <c r="B446" s="29" t="n">
        <f aca="false">COUNTIFS(Trades!$D$2:$D$1146,$A446)</f>
        <v>1</v>
      </c>
      <c r="C446" s="29" t="n">
        <f aca="false">COUNTIFS(Trades!$D$2:$D$1146,$A446,Trades!$Z$2:$Z$1146,"Win")</f>
        <v>0</v>
      </c>
      <c r="D446" s="29" t="n">
        <f aca="false">COUNTIFS(Trades!$D$2:$D$1146,$A446,Trades!$Z$2:$Z$1146,"Loss")</f>
        <v>1</v>
      </c>
      <c r="E446" s="30" t="n">
        <f aca="false">IFERROR(C446/B446,0)</f>
        <v>0</v>
      </c>
      <c r="F446" s="31" t="n">
        <f aca="false">SUMIFS(Trades!$X$2:$X$1146,Trades!$D$2:$D$1146,$A446)</f>
        <v>-0.28</v>
      </c>
      <c r="G446" s="31" t="n">
        <f aca="false">SUMIFS(Trades!$X$2:$X$1146,Trades!$D$2:$D$1146,$A446,Trades!$X$2:$X$1146,"&gt;0")</f>
        <v>0</v>
      </c>
      <c r="H446" s="31" t="n">
        <f aca="false">SUMIFS(Trades!$X$2:$X$1146,Trades!$D$2:$D$1146,$A446,Trades!$X$2:$X$1146,"&lt;0")</f>
        <v>-0.28</v>
      </c>
      <c r="I446" s="32" t="n">
        <f aca="false">IFERROR(G446/-H446,"no loss")</f>
        <v>0</v>
      </c>
      <c r="J446" s="31" t="n">
        <f aca="false">_xlfn.MAXIFS(Trades!$X$2:$X$1146,Trades!$D$2:$D$1146,$A446)</f>
        <v>-0.28</v>
      </c>
      <c r="K446" s="31" t="n">
        <f aca="false">_xlfn.MINIFS(Trades!$X$2:$X$1146,Trades!$D$2:$D$1146,$A446)</f>
        <v>-0.28</v>
      </c>
      <c r="L446" s="33" t="n">
        <f aca="false">SUMIFS(Trades!$Y$2:$Y$1146,Trades!$D$2:$D$1146,$A446)</f>
        <v>-0.00346191889218576</v>
      </c>
      <c r="M446" s="31" t="n">
        <f aca="false">P445</f>
        <v>15484.48</v>
      </c>
      <c r="N446" s="30" t="n">
        <f aca="false">IFERROR(F446/M446,0)</f>
        <v>-1.80826220835314E-005</v>
      </c>
      <c r="O446" s="29" t="str">
        <f aca="false">IF(-N446&gt;=Summary!$C$7,"BREACH","")</f>
        <v/>
      </c>
      <c r="P446" s="31" t="n">
        <f aca="false">M446+F446</f>
        <v>15484.2</v>
      </c>
      <c r="Q446" s="31" t="n">
        <f aca="false">P446-Summary!$C$5</f>
        <v>5484.19999999999</v>
      </c>
      <c r="R446" s="2" t="str">
        <f aca="false">TEXT(A446,"ddd")</f>
        <v>Mon</v>
      </c>
    </row>
    <row r="447" customFormat="false" ht="15" hidden="false" customHeight="false" outlineLevel="0" collapsed="false">
      <c r="A447" s="43" t="n">
        <v>45370</v>
      </c>
      <c r="B447" s="29" t="n">
        <f aca="false">COUNTIFS(Trades!$D$2:$D$1146,$A447)</f>
        <v>1</v>
      </c>
      <c r="C447" s="29" t="n">
        <f aca="false">COUNTIFS(Trades!$D$2:$D$1146,$A447,Trades!$Z$2:$Z$1146,"Win")</f>
        <v>0</v>
      </c>
      <c r="D447" s="29" t="n">
        <f aca="false">COUNTIFS(Trades!$D$2:$D$1146,$A447,Trades!$Z$2:$Z$1146,"Loss")</f>
        <v>1</v>
      </c>
      <c r="E447" s="30" t="n">
        <f aca="false">IFERROR(C447/B447,0)</f>
        <v>0</v>
      </c>
      <c r="F447" s="31" t="n">
        <f aca="false">SUMIFS(Trades!$X$2:$X$1146,Trades!$D$2:$D$1146,$A447)</f>
        <v>-55.76</v>
      </c>
      <c r="G447" s="31" t="n">
        <f aca="false">SUMIFS(Trades!$X$2:$X$1146,Trades!$D$2:$D$1146,$A447,Trades!$X$2:$X$1146,"&gt;0")</f>
        <v>0</v>
      </c>
      <c r="H447" s="31" t="n">
        <f aca="false">SUMIFS(Trades!$X$2:$X$1146,Trades!$D$2:$D$1146,$A447,Trades!$X$2:$X$1146,"&lt;0")</f>
        <v>-55.76</v>
      </c>
      <c r="I447" s="32" t="n">
        <f aca="false">IFERROR(G447/-H447,"no loss")</f>
        <v>0</v>
      </c>
      <c r="J447" s="31" t="n">
        <f aca="false">_xlfn.MAXIFS(Trades!$X$2:$X$1146,Trades!$D$2:$D$1146,$A447)</f>
        <v>-55.76</v>
      </c>
      <c r="K447" s="31" t="n">
        <f aca="false">_xlfn.MINIFS(Trades!$X$2:$X$1146,Trades!$D$2:$D$1146,$A447)</f>
        <v>-55.76</v>
      </c>
      <c r="L447" s="33" t="n">
        <f aca="false">SUMIFS(Trades!$Y$2:$Y$1146,Trades!$D$2:$D$1146,$A447)</f>
        <v>-1.00795372378874</v>
      </c>
      <c r="M447" s="31" t="n">
        <f aca="false">P446</f>
        <v>15484.2</v>
      </c>
      <c r="N447" s="30" t="n">
        <f aca="false">IFERROR(F447/M447,0)</f>
        <v>-0.00360109014350112</v>
      </c>
      <c r="O447" s="29" t="str">
        <f aca="false">IF(-N447&gt;=Summary!$C$7,"BREACH","")</f>
        <v/>
      </c>
      <c r="P447" s="31" t="n">
        <f aca="false">M447+F447</f>
        <v>15428.44</v>
      </c>
      <c r="Q447" s="31" t="n">
        <f aca="false">P447-Summary!$C$5</f>
        <v>5428.43999999999</v>
      </c>
      <c r="R447" s="2" t="str">
        <f aca="false">TEXT(A447,"ddd")</f>
        <v>Tue</v>
      </c>
    </row>
    <row r="448" customFormat="false" ht="15" hidden="false" customHeight="false" outlineLevel="0" collapsed="false">
      <c r="A448" s="43" t="n">
        <v>45371</v>
      </c>
      <c r="B448" s="29" t="n">
        <f aca="false">COUNTIFS(Trades!$D$2:$D$1146,$A448)</f>
        <v>1</v>
      </c>
      <c r="C448" s="29" t="n">
        <f aca="false">COUNTIFS(Trades!$D$2:$D$1146,$A448,Trades!$Z$2:$Z$1146,"Win")</f>
        <v>0</v>
      </c>
      <c r="D448" s="29" t="n">
        <f aca="false">COUNTIFS(Trades!$D$2:$D$1146,$A448,Trades!$Z$2:$Z$1146,"Loss")</f>
        <v>1</v>
      </c>
      <c r="E448" s="30" t="n">
        <f aca="false">IFERROR(C448/B448,0)</f>
        <v>0</v>
      </c>
      <c r="F448" s="31" t="n">
        <f aca="false">SUMIFS(Trades!$X$2:$X$1146,Trades!$D$2:$D$1146,$A448)</f>
        <v>-15.68</v>
      </c>
      <c r="G448" s="31" t="n">
        <f aca="false">SUMIFS(Trades!$X$2:$X$1146,Trades!$D$2:$D$1146,$A448,Trades!$X$2:$X$1146,"&gt;0")</f>
        <v>0</v>
      </c>
      <c r="H448" s="31" t="n">
        <f aca="false">SUMIFS(Trades!$X$2:$X$1146,Trades!$D$2:$D$1146,$A448,Trades!$X$2:$X$1146,"&lt;0")</f>
        <v>-15.68</v>
      </c>
      <c r="I448" s="32" t="n">
        <f aca="false">IFERROR(G448/-H448,"no loss")</f>
        <v>0</v>
      </c>
      <c r="J448" s="31" t="n">
        <f aca="false">_xlfn.MAXIFS(Trades!$X$2:$X$1146,Trades!$D$2:$D$1146,$A448)</f>
        <v>-15.68</v>
      </c>
      <c r="K448" s="31" t="n">
        <f aca="false">_xlfn.MINIFS(Trades!$X$2:$X$1146,Trades!$D$2:$D$1146,$A448)</f>
        <v>-15.68</v>
      </c>
      <c r="L448" s="33" t="n">
        <f aca="false">SUMIFS(Trades!$Y$2:$Y$1146,Trades!$D$2:$D$1146,$A448)</f>
        <v>-1.02617801047128</v>
      </c>
      <c r="M448" s="31" t="n">
        <f aca="false">P447</f>
        <v>15428.44</v>
      </c>
      <c r="N448" s="30" t="n">
        <f aca="false">IFERROR(F448/M448,0)</f>
        <v>-0.00101630495370887</v>
      </c>
      <c r="O448" s="29" t="str">
        <f aca="false">IF(-N448&gt;=Summary!$C$7,"BREACH","")</f>
        <v/>
      </c>
      <c r="P448" s="31" t="n">
        <f aca="false">M448+F448</f>
        <v>15412.76</v>
      </c>
      <c r="Q448" s="31" t="n">
        <f aca="false">P448-Summary!$C$5</f>
        <v>5412.75999999999</v>
      </c>
      <c r="R448" s="2" t="str">
        <f aca="false">TEXT(A448,"ddd")</f>
        <v>Wed</v>
      </c>
    </row>
    <row r="449" customFormat="false" ht="15" hidden="false" customHeight="false" outlineLevel="0" collapsed="false">
      <c r="A449" s="43" t="n">
        <v>45372</v>
      </c>
      <c r="B449" s="29" t="n">
        <f aca="false">COUNTIFS(Trades!$D$2:$D$1146,$A449)</f>
        <v>1</v>
      </c>
      <c r="C449" s="29" t="n">
        <f aca="false">COUNTIFS(Trades!$D$2:$D$1146,$A449,Trades!$Z$2:$Z$1146,"Win")</f>
        <v>0</v>
      </c>
      <c r="D449" s="29" t="n">
        <f aca="false">COUNTIFS(Trades!$D$2:$D$1146,$A449,Trades!$Z$2:$Z$1146,"Loss")</f>
        <v>1</v>
      </c>
      <c r="E449" s="30" t="n">
        <f aca="false">IFERROR(C449/B449,0)</f>
        <v>0</v>
      </c>
      <c r="F449" s="31" t="n">
        <f aca="false">SUMIFS(Trades!$X$2:$X$1146,Trades!$D$2:$D$1146,$A449)</f>
        <v>-27.96</v>
      </c>
      <c r="G449" s="31" t="n">
        <f aca="false">SUMIFS(Trades!$X$2:$X$1146,Trades!$D$2:$D$1146,$A449,Trades!$X$2:$X$1146,"&gt;0")</f>
        <v>0</v>
      </c>
      <c r="H449" s="31" t="n">
        <f aca="false">SUMIFS(Trades!$X$2:$X$1146,Trades!$D$2:$D$1146,$A449,Trades!$X$2:$X$1146,"&lt;0")</f>
        <v>-27.96</v>
      </c>
      <c r="I449" s="32" t="n">
        <f aca="false">IFERROR(G449/-H449,"no loss")</f>
        <v>0</v>
      </c>
      <c r="J449" s="31" t="n">
        <f aca="false">_xlfn.MAXIFS(Trades!$X$2:$X$1146,Trades!$D$2:$D$1146,$A449)</f>
        <v>-27.96</v>
      </c>
      <c r="K449" s="31" t="n">
        <f aca="false">_xlfn.MINIFS(Trades!$X$2:$X$1146,Trades!$D$2:$D$1146,$A449)</f>
        <v>-27.96</v>
      </c>
      <c r="L449" s="33" t="n">
        <f aca="false">SUMIFS(Trades!$Y$2:$Y$1146,Trades!$D$2:$D$1146,$A449)</f>
        <v>-1.02643171806148</v>
      </c>
      <c r="M449" s="31" t="n">
        <f aca="false">P448</f>
        <v>15412.76</v>
      </c>
      <c r="N449" s="30" t="n">
        <f aca="false">IFERROR(F449/M449,0)</f>
        <v>-0.00181408131963386</v>
      </c>
      <c r="O449" s="29" t="str">
        <f aca="false">IF(-N449&gt;=Summary!$C$7,"BREACH","")</f>
        <v/>
      </c>
      <c r="P449" s="31" t="n">
        <f aca="false">M449+F449</f>
        <v>15384.8</v>
      </c>
      <c r="Q449" s="31" t="n">
        <f aca="false">P449-Summary!$C$5</f>
        <v>5384.79999999999</v>
      </c>
      <c r="R449" s="2" t="str">
        <f aca="false">TEXT(A449,"ddd")</f>
        <v>Thu</v>
      </c>
    </row>
    <row r="450" customFormat="false" ht="15" hidden="false" customHeight="false" outlineLevel="0" collapsed="false">
      <c r="A450" s="43" t="n">
        <v>45373</v>
      </c>
      <c r="B450" s="29" t="n">
        <f aca="false">COUNTIFS(Trades!$D$2:$D$1146,$A450)</f>
        <v>1</v>
      </c>
      <c r="C450" s="29" t="n">
        <f aca="false">COUNTIFS(Trades!$D$2:$D$1146,$A450,Trades!$Z$2:$Z$1146,"Win")</f>
        <v>1</v>
      </c>
      <c r="D450" s="29" t="n">
        <f aca="false">COUNTIFS(Trades!$D$2:$D$1146,$A450,Trades!$Z$2:$Z$1146,"Loss")</f>
        <v>0</v>
      </c>
      <c r="E450" s="30" t="n">
        <f aca="false">IFERROR(C450/B450,0)</f>
        <v>1</v>
      </c>
      <c r="F450" s="31" t="n">
        <f aca="false">SUMIFS(Trades!$X$2:$X$1146,Trades!$D$2:$D$1146,$A450)</f>
        <v>68.76</v>
      </c>
      <c r="G450" s="31" t="n">
        <f aca="false">SUMIFS(Trades!$X$2:$X$1146,Trades!$D$2:$D$1146,$A450,Trades!$X$2:$X$1146,"&gt;0")</f>
        <v>68.76</v>
      </c>
      <c r="H450" s="31" t="n">
        <f aca="false">SUMIFS(Trades!$X$2:$X$1146,Trades!$D$2:$D$1146,$A450,Trades!$X$2:$X$1146,"&lt;0")</f>
        <v>0</v>
      </c>
      <c r="I450" s="32" t="str">
        <f aca="false">IFERROR(G450/-H450,"no loss")</f>
        <v>no loss</v>
      </c>
      <c r="J450" s="31" t="n">
        <f aca="false">_xlfn.MAXIFS(Trades!$X$2:$X$1146,Trades!$D$2:$D$1146,$A450)</f>
        <v>68.76</v>
      </c>
      <c r="K450" s="31" t="n">
        <f aca="false">_xlfn.MINIFS(Trades!$X$2:$X$1146,Trades!$D$2:$D$1146,$A450)</f>
        <v>68.76</v>
      </c>
      <c r="L450" s="33" t="n">
        <f aca="false">SUMIFS(Trades!$Y$2:$Y$1146,Trades!$D$2:$D$1146,$A450)</f>
        <v>2.47338129496377</v>
      </c>
      <c r="M450" s="31" t="n">
        <f aca="false">P449</f>
        <v>15384.8</v>
      </c>
      <c r="N450" s="30" t="n">
        <f aca="false">IFERROR(F450/M450,0)</f>
        <v>0.00446934636784359</v>
      </c>
      <c r="O450" s="29" t="str">
        <f aca="false">IF(-N450&gt;=Summary!$C$7,"BREACH","")</f>
        <v/>
      </c>
      <c r="P450" s="31" t="n">
        <f aca="false">M450+F450</f>
        <v>15453.56</v>
      </c>
      <c r="Q450" s="31" t="n">
        <f aca="false">P450-Summary!$C$5</f>
        <v>5453.55999999999</v>
      </c>
      <c r="R450" s="2" t="str">
        <f aca="false">TEXT(A450,"ddd")</f>
        <v>Fri</v>
      </c>
    </row>
    <row r="451" customFormat="false" ht="15" hidden="false" customHeight="false" outlineLevel="0" collapsed="false">
      <c r="A451" s="43" t="n">
        <v>45376</v>
      </c>
      <c r="B451" s="29" t="n">
        <f aca="false">COUNTIFS(Trades!$D$2:$D$1146,$A451)</f>
        <v>1</v>
      </c>
      <c r="C451" s="29" t="n">
        <f aca="false">COUNTIFS(Trades!$D$2:$D$1146,$A451,Trades!$Z$2:$Z$1146,"Win")</f>
        <v>0</v>
      </c>
      <c r="D451" s="29" t="n">
        <f aca="false">COUNTIFS(Trades!$D$2:$D$1146,$A451,Trades!$Z$2:$Z$1146,"Loss")</f>
        <v>1</v>
      </c>
      <c r="E451" s="30" t="n">
        <f aca="false">IFERROR(C451/B451,0)</f>
        <v>0</v>
      </c>
      <c r="F451" s="31" t="n">
        <f aca="false">SUMIFS(Trades!$X$2:$X$1146,Trades!$D$2:$D$1146,$A451)</f>
        <v>-23.28</v>
      </c>
      <c r="G451" s="31" t="n">
        <f aca="false">SUMIFS(Trades!$X$2:$X$1146,Trades!$D$2:$D$1146,$A451,Trades!$X$2:$X$1146,"&gt;0")</f>
        <v>0</v>
      </c>
      <c r="H451" s="31" t="n">
        <f aca="false">SUMIFS(Trades!$X$2:$X$1146,Trades!$D$2:$D$1146,$A451,Trades!$X$2:$X$1146,"&lt;0")</f>
        <v>-23.28</v>
      </c>
      <c r="I451" s="32" t="n">
        <f aca="false">IFERROR(G451/-H451,"no loss")</f>
        <v>0</v>
      </c>
      <c r="J451" s="31" t="n">
        <f aca="false">_xlfn.MAXIFS(Trades!$X$2:$X$1146,Trades!$D$2:$D$1146,$A451)</f>
        <v>-23.28</v>
      </c>
      <c r="K451" s="31" t="n">
        <f aca="false">_xlfn.MINIFS(Trades!$X$2:$X$1146,Trades!$D$2:$D$1146,$A451)</f>
        <v>-23.28</v>
      </c>
      <c r="L451" s="33" t="n">
        <f aca="false">SUMIFS(Trades!$Y$2:$Y$1146,Trades!$D$2:$D$1146,$A451)</f>
        <v>-1.0157068062828</v>
      </c>
      <c r="M451" s="31" t="n">
        <f aca="false">P450</f>
        <v>15453.56</v>
      </c>
      <c r="N451" s="30" t="n">
        <f aca="false">IFERROR(F451/M451,0)</f>
        <v>-0.00150644899945385</v>
      </c>
      <c r="O451" s="29" t="str">
        <f aca="false">IF(-N451&gt;=Summary!$C$7,"BREACH","")</f>
        <v/>
      </c>
      <c r="P451" s="31" t="n">
        <f aca="false">M451+F451</f>
        <v>15430.28</v>
      </c>
      <c r="Q451" s="31" t="n">
        <f aca="false">P451-Summary!$C$5</f>
        <v>5430.27999999999</v>
      </c>
      <c r="R451" s="2" t="str">
        <f aca="false">TEXT(A451,"ddd")</f>
        <v>Mon</v>
      </c>
    </row>
    <row r="452" customFormat="false" ht="15" hidden="false" customHeight="false" outlineLevel="0" collapsed="false">
      <c r="A452" s="43" t="n">
        <v>45377</v>
      </c>
      <c r="B452" s="29" t="n">
        <f aca="false">COUNTIFS(Trades!$D$2:$D$1146,$A452)</f>
        <v>1</v>
      </c>
      <c r="C452" s="29" t="n">
        <f aca="false">COUNTIFS(Trades!$D$2:$D$1146,$A452,Trades!$Z$2:$Z$1146,"Win")</f>
        <v>0</v>
      </c>
      <c r="D452" s="29" t="n">
        <f aca="false">COUNTIFS(Trades!$D$2:$D$1146,$A452,Trades!$Z$2:$Z$1146,"Loss")</f>
        <v>1</v>
      </c>
      <c r="E452" s="30" t="n">
        <f aca="false">IFERROR(C452/B452,0)</f>
        <v>0</v>
      </c>
      <c r="F452" s="31" t="n">
        <f aca="false">SUMIFS(Trades!$X$2:$X$1146,Trades!$D$2:$D$1146,$A452)</f>
        <v>-0.56</v>
      </c>
      <c r="G452" s="31" t="n">
        <f aca="false">SUMIFS(Trades!$X$2:$X$1146,Trades!$D$2:$D$1146,$A452,Trades!$X$2:$X$1146,"&gt;0")</f>
        <v>0</v>
      </c>
      <c r="H452" s="31" t="n">
        <f aca="false">SUMIFS(Trades!$X$2:$X$1146,Trades!$D$2:$D$1146,$A452,Trades!$X$2:$X$1146,"&lt;0")</f>
        <v>-0.56</v>
      </c>
      <c r="I452" s="32" t="n">
        <f aca="false">IFERROR(G452/-H452,"no loss")</f>
        <v>0</v>
      </c>
      <c r="J452" s="31" t="n">
        <f aca="false">_xlfn.MAXIFS(Trades!$X$2:$X$1146,Trades!$D$2:$D$1146,$A452)</f>
        <v>-0.56</v>
      </c>
      <c r="K452" s="31" t="n">
        <f aca="false">_xlfn.MINIFS(Trades!$X$2:$X$1146,Trades!$D$2:$D$1146,$A452)</f>
        <v>-0.56</v>
      </c>
      <c r="L452" s="33" t="n">
        <f aca="false">SUMIFS(Trades!$Y$2:$Y$1146,Trades!$D$2:$D$1146,$A452)</f>
        <v>-0.0189701897018944</v>
      </c>
      <c r="M452" s="31" t="n">
        <f aca="false">P451</f>
        <v>15430.28</v>
      </c>
      <c r="N452" s="30" t="n">
        <f aca="false">IFERROR(F452/M452,0)</f>
        <v>-3.62922772626291E-005</v>
      </c>
      <c r="O452" s="29" t="str">
        <f aca="false">IF(-N452&gt;=Summary!$C$7,"BREACH","")</f>
        <v/>
      </c>
      <c r="P452" s="31" t="n">
        <f aca="false">M452+F452</f>
        <v>15429.72</v>
      </c>
      <c r="Q452" s="31" t="n">
        <f aca="false">P452-Summary!$C$5</f>
        <v>5429.71999999999</v>
      </c>
      <c r="R452" s="2" t="str">
        <f aca="false">TEXT(A452,"ddd")</f>
        <v>Tue</v>
      </c>
    </row>
    <row r="453" customFormat="false" ht="15" hidden="false" customHeight="false" outlineLevel="0" collapsed="false">
      <c r="A453" s="43" t="n">
        <v>45378</v>
      </c>
      <c r="B453" s="29" t="n">
        <f aca="false">COUNTIFS(Trades!$D$2:$D$1146,$A453)</f>
        <v>1</v>
      </c>
      <c r="C453" s="29" t="n">
        <f aca="false">COUNTIFS(Trades!$D$2:$D$1146,$A453,Trades!$Z$2:$Z$1146,"Win")</f>
        <v>1</v>
      </c>
      <c r="D453" s="29" t="n">
        <f aca="false">COUNTIFS(Trades!$D$2:$D$1146,$A453,Trades!$Z$2:$Z$1146,"Loss")</f>
        <v>0</v>
      </c>
      <c r="E453" s="30" t="n">
        <f aca="false">IFERROR(C453/B453,0)</f>
        <v>1</v>
      </c>
      <c r="F453" s="31" t="n">
        <f aca="false">SUMIFS(Trades!$X$2:$X$1146,Trades!$D$2:$D$1146,$A453)</f>
        <v>164.92</v>
      </c>
      <c r="G453" s="31" t="n">
        <f aca="false">SUMIFS(Trades!$X$2:$X$1146,Trades!$D$2:$D$1146,$A453,Trades!$X$2:$X$1146,"&gt;0")</f>
        <v>164.92</v>
      </c>
      <c r="H453" s="31" t="n">
        <f aca="false">SUMIFS(Trades!$X$2:$X$1146,Trades!$D$2:$D$1146,$A453,Trades!$X$2:$X$1146,"&lt;0")</f>
        <v>0</v>
      </c>
      <c r="I453" s="32" t="str">
        <f aca="false">IFERROR(G453/-H453,"no loss")</f>
        <v>no loss</v>
      </c>
      <c r="J453" s="31" t="n">
        <f aca="false">_xlfn.MAXIFS(Trades!$X$2:$X$1146,Trades!$D$2:$D$1146,$A453)</f>
        <v>164.92</v>
      </c>
      <c r="K453" s="31" t="n">
        <f aca="false">_xlfn.MINIFS(Trades!$X$2:$X$1146,Trades!$D$2:$D$1146,$A453)</f>
        <v>164.92</v>
      </c>
      <c r="L453" s="33" t="n">
        <f aca="false">SUMIFS(Trades!$Y$2:$Y$1146,Trades!$D$2:$D$1146,$A453)</f>
        <v>2.47925435959095</v>
      </c>
      <c r="M453" s="31" t="n">
        <f aca="false">P452</f>
        <v>15429.72</v>
      </c>
      <c r="N453" s="30" t="n">
        <f aca="false">IFERROR(F453/M453,0)</f>
        <v>0.0106884635625274</v>
      </c>
      <c r="O453" s="29" t="str">
        <f aca="false">IF(-N453&gt;=Summary!$C$7,"BREACH","")</f>
        <v/>
      </c>
      <c r="P453" s="31" t="n">
        <f aca="false">M453+F453</f>
        <v>15594.64</v>
      </c>
      <c r="Q453" s="31" t="n">
        <f aca="false">P453-Summary!$C$5</f>
        <v>5594.63999999999</v>
      </c>
      <c r="R453" s="2" t="str">
        <f aca="false">TEXT(A453,"ddd")</f>
        <v>Wed</v>
      </c>
    </row>
    <row r="454" customFormat="false" ht="15" hidden="false" customHeight="false" outlineLevel="0" collapsed="false">
      <c r="A454" s="43" t="n">
        <v>45383</v>
      </c>
      <c r="B454" s="29" t="n">
        <f aca="false">COUNTIFS(Trades!$D$2:$D$1146,$A454)</f>
        <v>2</v>
      </c>
      <c r="C454" s="29" t="n">
        <f aca="false">COUNTIFS(Trades!$D$2:$D$1146,$A454,Trades!$Z$2:$Z$1146,"Win")</f>
        <v>1</v>
      </c>
      <c r="D454" s="29" t="n">
        <f aca="false">COUNTIFS(Trades!$D$2:$D$1146,$A454,Trades!$Z$2:$Z$1146,"Loss")</f>
        <v>1</v>
      </c>
      <c r="E454" s="30" t="n">
        <f aca="false">IFERROR(C454/B454,0)</f>
        <v>0.5</v>
      </c>
      <c r="F454" s="31" t="n">
        <f aca="false">SUMIFS(Trades!$X$2:$X$1146,Trades!$D$2:$D$1146,$A454)</f>
        <v>111.2</v>
      </c>
      <c r="G454" s="31" t="n">
        <f aca="false">SUMIFS(Trades!$X$2:$X$1146,Trades!$D$2:$D$1146,$A454,Trades!$X$2:$X$1146,"&gt;0")</f>
        <v>162</v>
      </c>
      <c r="H454" s="31" t="n">
        <f aca="false">SUMIFS(Trades!$X$2:$X$1146,Trades!$D$2:$D$1146,$A454,Trades!$X$2:$X$1146,"&lt;0")</f>
        <v>-50.8</v>
      </c>
      <c r="I454" s="32" t="n">
        <f aca="false">IFERROR(G454/-H454,"no loss")</f>
        <v>3.18897637795276</v>
      </c>
      <c r="J454" s="31" t="n">
        <f aca="false">_xlfn.MAXIFS(Trades!$X$2:$X$1146,Trades!$D$2:$D$1146,$A454)</f>
        <v>162</v>
      </c>
      <c r="K454" s="31" t="n">
        <f aca="false">_xlfn.MINIFS(Trades!$X$2:$X$1146,Trades!$D$2:$D$1146,$A454)</f>
        <v>-50.8</v>
      </c>
      <c r="L454" s="33" t="n">
        <f aca="false">SUMIFS(Trades!$Y$2:$Y$1146,Trades!$D$2:$D$1146,$A454)</f>
        <v>1.4363167796809</v>
      </c>
      <c r="M454" s="31" t="n">
        <f aca="false">P453</f>
        <v>15594.64</v>
      </c>
      <c r="N454" s="30" t="n">
        <f aca="false">IFERROR(F454/M454,0)</f>
        <v>0.00713065514817912</v>
      </c>
      <c r="O454" s="29" t="str">
        <f aca="false">IF(-N454&gt;=Summary!$C$7,"BREACH","")</f>
        <v/>
      </c>
      <c r="P454" s="31" t="n">
        <f aca="false">M454+F454</f>
        <v>15705.84</v>
      </c>
      <c r="Q454" s="31" t="n">
        <f aca="false">P454-Summary!$C$5</f>
        <v>5705.83999999999</v>
      </c>
      <c r="R454" s="2" t="str">
        <f aca="false">TEXT(A454,"ddd")</f>
        <v>Mon</v>
      </c>
    </row>
    <row r="455" customFormat="false" ht="15" hidden="false" customHeight="false" outlineLevel="0" collapsed="false">
      <c r="A455" s="43" t="n">
        <v>45384</v>
      </c>
      <c r="B455" s="29" t="n">
        <f aca="false">COUNTIFS(Trades!$D$2:$D$1146,$A455)</f>
        <v>1</v>
      </c>
      <c r="C455" s="29" t="n">
        <f aca="false">COUNTIFS(Trades!$D$2:$D$1146,$A455,Trades!$Z$2:$Z$1146,"Win")</f>
        <v>0</v>
      </c>
      <c r="D455" s="29" t="n">
        <f aca="false">COUNTIFS(Trades!$D$2:$D$1146,$A455,Trades!$Z$2:$Z$1146,"Loss")</f>
        <v>1</v>
      </c>
      <c r="E455" s="30" t="n">
        <f aca="false">IFERROR(C455/B455,0)</f>
        <v>0</v>
      </c>
      <c r="F455" s="31" t="n">
        <f aca="false">SUMIFS(Trades!$X$2:$X$1146,Trades!$D$2:$D$1146,$A455)</f>
        <v>-32.04</v>
      </c>
      <c r="G455" s="31" t="n">
        <f aca="false">SUMIFS(Trades!$X$2:$X$1146,Trades!$D$2:$D$1146,$A455,Trades!$X$2:$X$1146,"&gt;0")</f>
        <v>0</v>
      </c>
      <c r="H455" s="31" t="n">
        <f aca="false">SUMIFS(Trades!$X$2:$X$1146,Trades!$D$2:$D$1146,$A455,Trades!$X$2:$X$1146,"&lt;0")</f>
        <v>-32.04</v>
      </c>
      <c r="I455" s="32" t="n">
        <f aca="false">IFERROR(G455/-H455,"no loss")</f>
        <v>0</v>
      </c>
      <c r="J455" s="31" t="n">
        <f aca="false">_xlfn.MAXIFS(Trades!$X$2:$X$1146,Trades!$D$2:$D$1146,$A455)</f>
        <v>-32.04</v>
      </c>
      <c r="K455" s="31" t="n">
        <f aca="false">_xlfn.MINIFS(Trades!$X$2:$X$1146,Trades!$D$2:$D$1146,$A455)</f>
        <v>-32.04</v>
      </c>
      <c r="L455" s="33" t="n">
        <f aca="false">SUMIFS(Trades!$Y$2:$Y$1146,Trades!$D$2:$D$1146,$A455)</f>
        <v>-1.02038216560481</v>
      </c>
      <c r="M455" s="31" t="n">
        <f aca="false">P454</f>
        <v>15705.84</v>
      </c>
      <c r="N455" s="30" t="n">
        <f aca="false">IFERROR(F455/M455,0)</f>
        <v>-0.00204000550113843</v>
      </c>
      <c r="O455" s="29" t="str">
        <f aca="false">IF(-N455&gt;=Summary!$C$7,"BREACH","")</f>
        <v/>
      </c>
      <c r="P455" s="31" t="n">
        <f aca="false">M455+F455</f>
        <v>15673.8</v>
      </c>
      <c r="Q455" s="31" t="n">
        <f aca="false">P455-Summary!$C$5</f>
        <v>5673.79999999999</v>
      </c>
      <c r="R455" s="2" t="str">
        <f aca="false">TEXT(A455,"ddd")</f>
        <v>Tue</v>
      </c>
    </row>
    <row r="456" customFormat="false" ht="15" hidden="false" customHeight="false" outlineLevel="0" collapsed="false">
      <c r="A456" s="43" t="n">
        <v>45386</v>
      </c>
      <c r="B456" s="29" t="n">
        <f aca="false">COUNTIFS(Trades!$D$2:$D$1146,$A456)</f>
        <v>2</v>
      </c>
      <c r="C456" s="29" t="n">
        <f aca="false">COUNTIFS(Trades!$D$2:$D$1146,$A456,Trades!$Z$2:$Z$1146,"Win")</f>
        <v>0</v>
      </c>
      <c r="D456" s="29" t="n">
        <f aca="false">COUNTIFS(Trades!$D$2:$D$1146,$A456,Trades!$Z$2:$Z$1146,"Loss")</f>
        <v>2</v>
      </c>
      <c r="E456" s="30" t="n">
        <f aca="false">IFERROR(C456/B456,0)</f>
        <v>0</v>
      </c>
      <c r="F456" s="31" t="n">
        <f aca="false">SUMIFS(Trades!$X$2:$X$1146,Trades!$D$2:$D$1146,$A456)</f>
        <v>-150.52</v>
      </c>
      <c r="G456" s="31" t="n">
        <f aca="false">SUMIFS(Trades!$X$2:$X$1146,Trades!$D$2:$D$1146,$A456,Trades!$X$2:$X$1146,"&gt;0")</f>
        <v>0</v>
      </c>
      <c r="H456" s="31" t="n">
        <f aca="false">SUMIFS(Trades!$X$2:$X$1146,Trades!$D$2:$D$1146,$A456,Trades!$X$2:$X$1146,"&lt;0")</f>
        <v>-150.52</v>
      </c>
      <c r="I456" s="32" t="n">
        <f aca="false">IFERROR(G456/-H456,"no loss")</f>
        <v>0</v>
      </c>
      <c r="J456" s="31" t="n">
        <f aca="false">_xlfn.MAXIFS(Trades!$X$2:$X$1146,Trades!$D$2:$D$1146,$A456)</f>
        <v>-66.76</v>
      </c>
      <c r="K456" s="31" t="n">
        <f aca="false">_xlfn.MINIFS(Trades!$X$2:$X$1146,Trades!$D$2:$D$1146,$A456)</f>
        <v>-83.76</v>
      </c>
      <c r="L456" s="33" t="n">
        <f aca="false">SUMIFS(Trades!$Y$2:$Y$1146,Trades!$D$2:$D$1146,$A456)</f>
        <v>-2.015791125903</v>
      </c>
      <c r="M456" s="31" t="n">
        <f aca="false">P455</f>
        <v>15673.8</v>
      </c>
      <c r="N456" s="30" t="n">
        <f aca="false">IFERROR(F456/M456,0)</f>
        <v>-0.00960328701399789</v>
      </c>
      <c r="O456" s="29" t="str">
        <f aca="false">IF(-N456&gt;=Summary!$C$7,"BREACH","")</f>
        <v/>
      </c>
      <c r="P456" s="31" t="n">
        <f aca="false">M456+F456</f>
        <v>15523.28</v>
      </c>
      <c r="Q456" s="31" t="n">
        <f aca="false">P456-Summary!$C$5</f>
        <v>5523.27999999999</v>
      </c>
      <c r="R456" s="2" t="str">
        <f aca="false">TEXT(A456,"ddd")</f>
        <v>Thu</v>
      </c>
    </row>
    <row r="457" customFormat="false" ht="15" hidden="false" customHeight="false" outlineLevel="0" collapsed="false">
      <c r="A457" s="43" t="n">
        <v>45387</v>
      </c>
      <c r="B457" s="29" t="n">
        <f aca="false">COUNTIFS(Trades!$D$2:$D$1146,$A457)</f>
        <v>1</v>
      </c>
      <c r="C457" s="29" t="n">
        <f aca="false">COUNTIFS(Trades!$D$2:$D$1146,$A457,Trades!$Z$2:$Z$1146,"Win")</f>
        <v>0</v>
      </c>
      <c r="D457" s="29" t="n">
        <f aca="false">COUNTIFS(Trades!$D$2:$D$1146,$A457,Trades!$Z$2:$Z$1146,"Loss")</f>
        <v>1</v>
      </c>
      <c r="E457" s="30" t="n">
        <f aca="false">IFERROR(C457/B457,0)</f>
        <v>0</v>
      </c>
      <c r="F457" s="31" t="n">
        <f aca="false">SUMIFS(Trades!$X$2:$X$1146,Trades!$D$2:$D$1146,$A457)</f>
        <v>-39.12</v>
      </c>
      <c r="G457" s="31" t="n">
        <f aca="false">SUMIFS(Trades!$X$2:$X$1146,Trades!$D$2:$D$1146,$A457,Trades!$X$2:$X$1146,"&gt;0")</f>
        <v>0</v>
      </c>
      <c r="H457" s="31" t="n">
        <f aca="false">SUMIFS(Trades!$X$2:$X$1146,Trades!$D$2:$D$1146,$A457,Trades!$X$2:$X$1146,"&lt;0")</f>
        <v>-39.12</v>
      </c>
      <c r="I457" s="32" t="n">
        <f aca="false">IFERROR(G457/-H457,"no loss")</f>
        <v>0</v>
      </c>
      <c r="J457" s="31" t="n">
        <f aca="false">_xlfn.MAXIFS(Trades!$X$2:$X$1146,Trades!$D$2:$D$1146,$A457)</f>
        <v>-39.12</v>
      </c>
      <c r="K457" s="31" t="n">
        <f aca="false">_xlfn.MINIFS(Trades!$X$2:$X$1146,Trades!$D$2:$D$1146,$A457)</f>
        <v>-39.12</v>
      </c>
      <c r="L457" s="33" t="n">
        <f aca="false">SUMIFS(Trades!$Y$2:$Y$1146,Trades!$D$2:$D$1146,$A457)</f>
        <v>-1.00307692307692</v>
      </c>
      <c r="M457" s="31" t="n">
        <f aca="false">P456</f>
        <v>15523.28</v>
      </c>
      <c r="N457" s="30" t="n">
        <f aca="false">IFERROR(F457/M457,0)</f>
        <v>-0.00252008596121438</v>
      </c>
      <c r="O457" s="29" t="str">
        <f aca="false">IF(-N457&gt;=Summary!$C$7,"BREACH","")</f>
        <v/>
      </c>
      <c r="P457" s="31" t="n">
        <f aca="false">M457+F457</f>
        <v>15484.16</v>
      </c>
      <c r="Q457" s="31" t="n">
        <f aca="false">P457-Summary!$C$5</f>
        <v>5484.15999999999</v>
      </c>
      <c r="R457" s="2" t="str">
        <f aca="false">TEXT(A457,"ddd")</f>
        <v>Fri</v>
      </c>
    </row>
    <row r="458" customFormat="false" ht="15" hidden="false" customHeight="false" outlineLevel="0" collapsed="false">
      <c r="A458" s="43" t="n">
        <v>45391</v>
      </c>
      <c r="B458" s="29" t="n">
        <f aca="false">COUNTIFS(Trades!$D$2:$D$1146,$A458)</f>
        <v>2</v>
      </c>
      <c r="C458" s="29" t="n">
        <f aca="false">COUNTIFS(Trades!$D$2:$D$1146,$A458,Trades!$Z$2:$Z$1146,"Win")</f>
        <v>0</v>
      </c>
      <c r="D458" s="29" t="n">
        <f aca="false">COUNTIFS(Trades!$D$2:$D$1146,$A458,Trades!$Z$2:$Z$1146,"Loss")</f>
        <v>2</v>
      </c>
      <c r="E458" s="30" t="n">
        <f aca="false">IFERROR(C458/B458,0)</f>
        <v>0</v>
      </c>
      <c r="F458" s="31" t="n">
        <f aca="false">SUMIFS(Trades!$X$2:$X$1146,Trades!$D$2:$D$1146,$A458)</f>
        <v>-78.48</v>
      </c>
      <c r="G458" s="31" t="n">
        <f aca="false">SUMIFS(Trades!$X$2:$X$1146,Trades!$D$2:$D$1146,$A458,Trades!$X$2:$X$1146,"&gt;0")</f>
        <v>0</v>
      </c>
      <c r="H458" s="31" t="n">
        <f aca="false">SUMIFS(Trades!$X$2:$X$1146,Trades!$D$2:$D$1146,$A458,Trades!$X$2:$X$1146,"&lt;0")</f>
        <v>-78.48</v>
      </c>
      <c r="I458" s="32" t="n">
        <f aca="false">IFERROR(G458/-H458,"no loss")</f>
        <v>0</v>
      </c>
      <c r="J458" s="31" t="n">
        <f aca="false">_xlfn.MAXIFS(Trades!$X$2:$X$1146,Trades!$D$2:$D$1146,$A458)</f>
        <v>-0.72</v>
      </c>
      <c r="K458" s="31" t="n">
        <f aca="false">_xlfn.MINIFS(Trades!$X$2:$X$1146,Trades!$D$2:$D$1146,$A458)</f>
        <v>-77.76</v>
      </c>
      <c r="L458" s="33" t="n">
        <f aca="false">SUMIFS(Trades!$Y$2:$Y$1146,Trades!$D$2:$D$1146,$A458)</f>
        <v>-1.03350350058358</v>
      </c>
      <c r="M458" s="31" t="n">
        <f aca="false">P457</f>
        <v>15484.16</v>
      </c>
      <c r="N458" s="30" t="n">
        <f aca="false">IFERROR(F458/M458,0)</f>
        <v>-0.00506840538976606</v>
      </c>
      <c r="O458" s="29" t="str">
        <f aca="false">IF(-N458&gt;=Summary!$C$7,"BREACH","")</f>
        <v/>
      </c>
      <c r="P458" s="31" t="n">
        <f aca="false">M458+F458</f>
        <v>15405.68</v>
      </c>
      <c r="Q458" s="31" t="n">
        <f aca="false">P458-Summary!$C$5</f>
        <v>5405.67999999999</v>
      </c>
      <c r="R458" s="2" t="str">
        <f aca="false">TEXT(A458,"ddd")</f>
        <v>Tue</v>
      </c>
    </row>
    <row r="459" customFormat="false" ht="15" hidden="false" customHeight="false" outlineLevel="0" collapsed="false">
      <c r="A459" s="43" t="n">
        <v>45392</v>
      </c>
      <c r="B459" s="29" t="n">
        <f aca="false">COUNTIFS(Trades!$D$2:$D$1146,$A459)</f>
        <v>2</v>
      </c>
      <c r="C459" s="29" t="n">
        <f aca="false">COUNTIFS(Trades!$D$2:$D$1146,$A459,Trades!$Z$2:$Z$1146,"Win")</f>
        <v>0</v>
      </c>
      <c r="D459" s="29" t="n">
        <f aca="false">COUNTIFS(Trades!$D$2:$D$1146,$A459,Trades!$Z$2:$Z$1146,"Loss")</f>
        <v>2</v>
      </c>
      <c r="E459" s="30" t="n">
        <f aca="false">IFERROR(C459/B459,0)</f>
        <v>0</v>
      </c>
      <c r="F459" s="31" t="n">
        <f aca="false">SUMIFS(Trades!$X$2:$X$1146,Trades!$D$2:$D$1146,$A459)</f>
        <v>-351.56</v>
      </c>
      <c r="G459" s="31" t="n">
        <f aca="false">SUMIFS(Trades!$X$2:$X$1146,Trades!$D$2:$D$1146,$A459,Trades!$X$2:$X$1146,"&gt;0")</f>
        <v>0</v>
      </c>
      <c r="H459" s="31" t="n">
        <f aca="false">SUMIFS(Trades!$X$2:$X$1146,Trades!$D$2:$D$1146,$A459,Trades!$X$2:$X$1146,"&lt;0")</f>
        <v>-351.56</v>
      </c>
      <c r="I459" s="32" t="n">
        <f aca="false">IFERROR(G459/-H459,"no loss")</f>
        <v>0</v>
      </c>
      <c r="J459" s="31" t="n">
        <f aca="false">_xlfn.MAXIFS(Trades!$X$2:$X$1146,Trades!$D$2:$D$1146,$A459)</f>
        <v>-16.8</v>
      </c>
      <c r="K459" s="31" t="n">
        <f aca="false">_xlfn.MINIFS(Trades!$X$2:$X$1146,Trades!$D$2:$D$1146,$A459)</f>
        <v>-334.76</v>
      </c>
      <c r="L459" s="33" t="n">
        <f aca="false">SUMIFS(Trades!$Y$2:$Y$1146,Trades!$D$2:$D$1146,$A459)</f>
        <v>-2.03507567322432</v>
      </c>
      <c r="M459" s="31" t="n">
        <f aca="false">P458</f>
        <v>15405.68</v>
      </c>
      <c r="N459" s="30" t="n">
        <f aca="false">IFERROR(F459/M459,0)</f>
        <v>-0.0228201546442611</v>
      </c>
      <c r="O459" s="29" t="str">
        <f aca="false">IF(-N459&gt;=Summary!$C$7,"BREACH","")</f>
        <v/>
      </c>
      <c r="P459" s="31" t="n">
        <f aca="false">M459+F459</f>
        <v>15054.12</v>
      </c>
      <c r="Q459" s="31" t="n">
        <f aca="false">P459-Summary!$C$5</f>
        <v>5054.11999999999</v>
      </c>
      <c r="R459" s="2" t="str">
        <f aca="false">TEXT(A459,"ddd")</f>
        <v>Wed</v>
      </c>
    </row>
    <row r="460" customFormat="false" ht="15" hidden="false" customHeight="false" outlineLevel="0" collapsed="false">
      <c r="A460" s="43" t="n">
        <v>45393</v>
      </c>
      <c r="B460" s="29" t="n">
        <f aca="false">COUNTIFS(Trades!$D$2:$D$1146,$A460)</f>
        <v>1</v>
      </c>
      <c r="C460" s="29" t="n">
        <f aca="false">COUNTIFS(Trades!$D$2:$D$1146,$A460,Trades!$Z$2:$Z$1146,"Win")</f>
        <v>1</v>
      </c>
      <c r="D460" s="29" t="n">
        <f aca="false">COUNTIFS(Trades!$D$2:$D$1146,$A460,Trades!$Z$2:$Z$1146,"Loss")</f>
        <v>0</v>
      </c>
      <c r="E460" s="30" t="n">
        <f aca="false">IFERROR(C460/B460,0)</f>
        <v>1</v>
      </c>
      <c r="F460" s="31" t="n">
        <f aca="false">SUMIFS(Trades!$X$2:$X$1146,Trades!$D$2:$D$1146,$A460)</f>
        <v>94.96</v>
      </c>
      <c r="G460" s="31" t="n">
        <f aca="false">SUMIFS(Trades!$X$2:$X$1146,Trades!$D$2:$D$1146,$A460,Trades!$X$2:$X$1146,"&gt;0")</f>
        <v>94.96</v>
      </c>
      <c r="H460" s="31" t="n">
        <f aca="false">SUMIFS(Trades!$X$2:$X$1146,Trades!$D$2:$D$1146,$A460,Trades!$X$2:$X$1146,"&lt;0")</f>
        <v>0</v>
      </c>
      <c r="I460" s="32" t="str">
        <f aca="false">IFERROR(G460/-H460,"no loss")</f>
        <v>no loss</v>
      </c>
      <c r="J460" s="31" t="n">
        <f aca="false">_xlfn.MAXIFS(Trades!$X$2:$X$1146,Trades!$D$2:$D$1146,$A460)</f>
        <v>94.96</v>
      </c>
      <c r="K460" s="31" t="n">
        <f aca="false">_xlfn.MINIFS(Trades!$X$2:$X$1146,Trades!$D$2:$D$1146,$A460)</f>
        <v>94.96</v>
      </c>
      <c r="L460" s="33" t="n">
        <f aca="false">SUMIFS(Trades!$Y$2:$Y$1146,Trades!$D$2:$D$1146,$A460)</f>
        <v>2.46521287642757</v>
      </c>
      <c r="M460" s="31" t="n">
        <f aca="false">P459</f>
        <v>15054.12</v>
      </c>
      <c r="N460" s="30" t="n">
        <f aca="false">IFERROR(F460/M460,0)</f>
        <v>0.00630790773555678</v>
      </c>
      <c r="O460" s="29" t="str">
        <f aca="false">IF(-N460&gt;=Summary!$C$7,"BREACH","")</f>
        <v/>
      </c>
      <c r="P460" s="31" t="n">
        <f aca="false">M460+F460</f>
        <v>15149.08</v>
      </c>
      <c r="Q460" s="31" t="n">
        <f aca="false">P460-Summary!$C$5</f>
        <v>5149.07999999999</v>
      </c>
      <c r="R460" s="2" t="str">
        <f aca="false">TEXT(A460,"ddd")</f>
        <v>Thu</v>
      </c>
    </row>
    <row r="461" customFormat="false" ht="15" hidden="false" customHeight="false" outlineLevel="0" collapsed="false">
      <c r="A461" s="43" t="n">
        <v>45397</v>
      </c>
      <c r="B461" s="29" t="n">
        <f aca="false">COUNTIFS(Trades!$D$2:$D$1146,$A461)</f>
        <v>1</v>
      </c>
      <c r="C461" s="29" t="n">
        <f aca="false">COUNTIFS(Trades!$D$2:$D$1146,$A461,Trades!$Z$2:$Z$1146,"Win")</f>
        <v>0</v>
      </c>
      <c r="D461" s="29" t="n">
        <f aca="false">COUNTIFS(Trades!$D$2:$D$1146,$A461,Trades!$Z$2:$Z$1146,"Loss")</f>
        <v>1</v>
      </c>
      <c r="E461" s="30" t="n">
        <f aca="false">IFERROR(C461/B461,0)</f>
        <v>0</v>
      </c>
      <c r="F461" s="31" t="n">
        <f aca="false">SUMIFS(Trades!$X$2:$X$1146,Trades!$D$2:$D$1146,$A461)</f>
        <v>-0.4</v>
      </c>
      <c r="G461" s="31" t="n">
        <f aca="false">SUMIFS(Trades!$X$2:$X$1146,Trades!$D$2:$D$1146,$A461,Trades!$X$2:$X$1146,"&gt;0")</f>
        <v>0</v>
      </c>
      <c r="H461" s="31" t="n">
        <f aca="false">SUMIFS(Trades!$X$2:$X$1146,Trades!$D$2:$D$1146,$A461,Trades!$X$2:$X$1146,"&lt;0")</f>
        <v>-0.4</v>
      </c>
      <c r="I461" s="32" t="n">
        <f aca="false">IFERROR(G461/-H461,"no loss")</f>
        <v>0</v>
      </c>
      <c r="J461" s="31" t="n">
        <f aca="false">_xlfn.MAXIFS(Trades!$X$2:$X$1146,Trades!$D$2:$D$1146,$A461)</f>
        <v>-0.4</v>
      </c>
      <c r="K461" s="31" t="n">
        <f aca="false">_xlfn.MINIFS(Trades!$X$2:$X$1146,Trades!$D$2:$D$1146,$A461)</f>
        <v>-0.4</v>
      </c>
      <c r="L461" s="33" t="n">
        <f aca="false">SUMIFS(Trades!$Y$2:$Y$1146,Trades!$D$2:$D$1146,$A461)</f>
        <v>-0.007418397626113</v>
      </c>
      <c r="M461" s="31" t="n">
        <f aca="false">P460</f>
        <v>15149.08</v>
      </c>
      <c r="N461" s="30" t="n">
        <f aca="false">IFERROR(F461/M461,0)</f>
        <v>-2.64042436900459E-005</v>
      </c>
      <c r="O461" s="29" t="str">
        <f aca="false">IF(-N461&gt;=Summary!$C$7,"BREACH","")</f>
        <v/>
      </c>
      <c r="P461" s="31" t="n">
        <f aca="false">M461+F461</f>
        <v>15148.68</v>
      </c>
      <c r="Q461" s="31" t="n">
        <f aca="false">P461-Summary!$C$5</f>
        <v>5148.67999999999</v>
      </c>
      <c r="R461" s="2" t="str">
        <f aca="false">TEXT(A461,"ddd")</f>
        <v>Mon</v>
      </c>
    </row>
    <row r="462" customFormat="false" ht="15" hidden="false" customHeight="false" outlineLevel="0" collapsed="false">
      <c r="A462" s="43" t="n">
        <v>45398</v>
      </c>
      <c r="B462" s="29" t="n">
        <f aca="false">COUNTIFS(Trades!$D$2:$D$1146,$A462)</f>
        <v>1</v>
      </c>
      <c r="C462" s="29" t="n">
        <f aca="false">COUNTIFS(Trades!$D$2:$D$1146,$A462,Trades!$Z$2:$Z$1146,"Win")</f>
        <v>0</v>
      </c>
      <c r="D462" s="29" t="n">
        <f aca="false">COUNTIFS(Trades!$D$2:$D$1146,$A462,Trades!$Z$2:$Z$1146,"Loss")</f>
        <v>1</v>
      </c>
      <c r="E462" s="30" t="n">
        <f aca="false">IFERROR(C462/B462,0)</f>
        <v>0</v>
      </c>
      <c r="F462" s="31" t="n">
        <f aca="false">SUMIFS(Trades!$X$2:$X$1146,Trades!$D$2:$D$1146,$A462)</f>
        <v>-59.04</v>
      </c>
      <c r="G462" s="31" t="n">
        <f aca="false">SUMIFS(Trades!$X$2:$X$1146,Trades!$D$2:$D$1146,$A462,Trades!$X$2:$X$1146,"&gt;0")</f>
        <v>0</v>
      </c>
      <c r="H462" s="31" t="n">
        <f aca="false">SUMIFS(Trades!$X$2:$X$1146,Trades!$D$2:$D$1146,$A462,Trades!$X$2:$X$1146,"&lt;0")</f>
        <v>-59.04</v>
      </c>
      <c r="I462" s="32" t="n">
        <f aca="false">IFERROR(G462/-H462,"no loss")</f>
        <v>0</v>
      </c>
      <c r="J462" s="31" t="n">
        <f aca="false">_xlfn.MAXIFS(Trades!$X$2:$X$1146,Trades!$D$2:$D$1146,$A462)</f>
        <v>-59.04</v>
      </c>
      <c r="K462" s="31" t="n">
        <f aca="false">_xlfn.MINIFS(Trades!$X$2:$X$1146,Trades!$D$2:$D$1146,$A462)</f>
        <v>-59.04</v>
      </c>
      <c r="L462" s="33" t="n">
        <f aca="false">SUMIFS(Trades!$Y$2:$Y$1146,Trades!$D$2:$D$1146,$A462)</f>
        <v>-1.01863354037256</v>
      </c>
      <c r="M462" s="31" t="n">
        <f aca="false">P461</f>
        <v>15148.68</v>
      </c>
      <c r="N462" s="30" t="n">
        <f aca="false">IFERROR(F462/M462,0)</f>
        <v>-0.00389736927573888</v>
      </c>
      <c r="O462" s="29" t="str">
        <f aca="false">IF(-N462&gt;=Summary!$C$7,"BREACH","")</f>
        <v/>
      </c>
      <c r="P462" s="31" t="n">
        <f aca="false">M462+F462</f>
        <v>15089.64</v>
      </c>
      <c r="Q462" s="31" t="n">
        <f aca="false">P462-Summary!$C$5</f>
        <v>5089.63999999999</v>
      </c>
      <c r="R462" s="2" t="str">
        <f aca="false">TEXT(A462,"ddd")</f>
        <v>Tue</v>
      </c>
    </row>
    <row r="463" customFormat="false" ht="15" hidden="false" customHeight="false" outlineLevel="0" collapsed="false">
      <c r="A463" s="43" t="n">
        <v>45399</v>
      </c>
      <c r="B463" s="29" t="n">
        <f aca="false">COUNTIFS(Trades!$D$2:$D$1146,$A463)</f>
        <v>1</v>
      </c>
      <c r="C463" s="29" t="n">
        <f aca="false">COUNTIFS(Trades!$D$2:$D$1146,$A463,Trades!$Z$2:$Z$1146,"Win")</f>
        <v>0</v>
      </c>
      <c r="D463" s="29" t="n">
        <f aca="false">COUNTIFS(Trades!$D$2:$D$1146,$A463,Trades!$Z$2:$Z$1146,"Loss")</f>
        <v>1</v>
      </c>
      <c r="E463" s="30" t="n">
        <f aca="false">IFERROR(C463/B463,0)</f>
        <v>0</v>
      </c>
      <c r="F463" s="31" t="n">
        <f aca="false">SUMIFS(Trades!$X$2:$X$1146,Trades!$D$2:$D$1146,$A463)</f>
        <v>-87.12</v>
      </c>
      <c r="G463" s="31" t="n">
        <f aca="false">SUMIFS(Trades!$X$2:$X$1146,Trades!$D$2:$D$1146,$A463,Trades!$X$2:$X$1146,"&gt;0")</f>
        <v>0</v>
      </c>
      <c r="H463" s="31" t="n">
        <f aca="false">SUMIFS(Trades!$X$2:$X$1146,Trades!$D$2:$D$1146,$A463,Trades!$X$2:$X$1146,"&lt;0")</f>
        <v>-87.12</v>
      </c>
      <c r="I463" s="32" t="n">
        <f aca="false">IFERROR(G463/-H463,"no loss")</f>
        <v>0</v>
      </c>
      <c r="J463" s="31" t="n">
        <f aca="false">_xlfn.MAXIFS(Trades!$X$2:$X$1146,Trades!$D$2:$D$1146,$A463)</f>
        <v>-87.12</v>
      </c>
      <c r="K463" s="31" t="n">
        <f aca="false">_xlfn.MINIFS(Trades!$X$2:$X$1146,Trades!$D$2:$D$1146,$A463)</f>
        <v>-87.12</v>
      </c>
      <c r="L463" s="33" t="n">
        <f aca="false">SUMIFS(Trades!$Y$2:$Y$1146,Trades!$D$2:$D$1146,$A463)</f>
        <v>-1.01161170459829</v>
      </c>
      <c r="M463" s="31" t="n">
        <f aca="false">P462</f>
        <v>15089.64</v>
      </c>
      <c r="N463" s="30" t="n">
        <f aca="false">IFERROR(F463/M463,0)</f>
        <v>-0.00577349757847106</v>
      </c>
      <c r="O463" s="29" t="str">
        <f aca="false">IF(-N463&gt;=Summary!$C$7,"BREACH","")</f>
        <v/>
      </c>
      <c r="P463" s="31" t="n">
        <f aca="false">M463+F463</f>
        <v>15002.52</v>
      </c>
      <c r="Q463" s="31" t="n">
        <f aca="false">P463-Summary!$C$5</f>
        <v>5002.51999999999</v>
      </c>
      <c r="R463" s="2" t="str">
        <f aca="false">TEXT(A463,"ddd")</f>
        <v>Wed</v>
      </c>
    </row>
    <row r="464" customFormat="false" ht="15" hidden="false" customHeight="false" outlineLevel="0" collapsed="false">
      <c r="A464" s="43" t="n">
        <v>45400</v>
      </c>
      <c r="B464" s="29" t="n">
        <f aca="false">COUNTIFS(Trades!$D$2:$D$1146,$A464)</f>
        <v>1</v>
      </c>
      <c r="C464" s="29" t="n">
        <f aca="false">COUNTIFS(Trades!$D$2:$D$1146,$A464,Trades!$Z$2:$Z$1146,"Win")</f>
        <v>1</v>
      </c>
      <c r="D464" s="29" t="n">
        <f aca="false">COUNTIFS(Trades!$D$2:$D$1146,$A464,Trades!$Z$2:$Z$1146,"Loss")</f>
        <v>0</v>
      </c>
      <c r="E464" s="30" t="n">
        <f aca="false">IFERROR(C464/B464,0)</f>
        <v>1</v>
      </c>
      <c r="F464" s="31" t="n">
        <f aca="false">SUMIFS(Trades!$X$2:$X$1146,Trades!$D$2:$D$1146,$A464)</f>
        <v>220.72</v>
      </c>
      <c r="G464" s="31" t="n">
        <f aca="false">SUMIFS(Trades!$X$2:$X$1146,Trades!$D$2:$D$1146,$A464,Trades!$X$2:$X$1146,"&gt;0")</f>
        <v>220.72</v>
      </c>
      <c r="H464" s="31" t="n">
        <f aca="false">SUMIFS(Trades!$X$2:$X$1146,Trades!$D$2:$D$1146,$A464,Trades!$X$2:$X$1146,"&lt;0")</f>
        <v>0</v>
      </c>
      <c r="I464" s="32" t="str">
        <f aca="false">IFERROR(G464/-H464,"no loss")</f>
        <v>no loss</v>
      </c>
      <c r="J464" s="31" t="n">
        <f aca="false">_xlfn.MAXIFS(Trades!$X$2:$X$1146,Trades!$D$2:$D$1146,$A464)</f>
        <v>220.72</v>
      </c>
      <c r="K464" s="31" t="n">
        <f aca="false">_xlfn.MINIFS(Trades!$X$2:$X$1146,Trades!$D$2:$D$1146,$A464)</f>
        <v>220.72</v>
      </c>
      <c r="L464" s="33" t="n">
        <f aca="false">SUMIFS(Trades!$Y$2:$Y$1146,Trades!$D$2:$D$1146,$A464)</f>
        <v>2.47777278850467</v>
      </c>
      <c r="M464" s="31" t="n">
        <f aca="false">P463</f>
        <v>15002.52</v>
      </c>
      <c r="N464" s="30" t="n">
        <f aca="false">IFERROR(F464/M464,0)</f>
        <v>0.0147121950179037</v>
      </c>
      <c r="O464" s="29" t="str">
        <f aca="false">IF(-N464&gt;=Summary!$C$7,"BREACH","")</f>
        <v/>
      </c>
      <c r="P464" s="31" t="n">
        <f aca="false">M464+F464</f>
        <v>15223.24</v>
      </c>
      <c r="Q464" s="31" t="n">
        <f aca="false">P464-Summary!$C$5</f>
        <v>5223.23999999999</v>
      </c>
      <c r="R464" s="2" t="str">
        <f aca="false">TEXT(A464,"ddd")</f>
        <v>Thu</v>
      </c>
    </row>
    <row r="465" customFormat="false" ht="15" hidden="false" customHeight="false" outlineLevel="0" collapsed="false">
      <c r="A465" s="43" t="n">
        <v>45401</v>
      </c>
      <c r="B465" s="29" t="n">
        <f aca="false">COUNTIFS(Trades!$D$2:$D$1146,$A465)</f>
        <v>1</v>
      </c>
      <c r="C465" s="29" t="n">
        <f aca="false">COUNTIFS(Trades!$D$2:$D$1146,$A465,Trades!$Z$2:$Z$1146,"Win")</f>
        <v>1</v>
      </c>
      <c r="D465" s="29" t="n">
        <f aca="false">COUNTIFS(Trades!$D$2:$D$1146,$A465,Trades!$Z$2:$Z$1146,"Loss")</f>
        <v>0</v>
      </c>
      <c r="E465" s="30" t="n">
        <f aca="false">IFERROR(C465/B465,0)</f>
        <v>1</v>
      </c>
      <c r="F465" s="31" t="n">
        <f aca="false">SUMIFS(Trades!$X$2:$X$1146,Trades!$D$2:$D$1146,$A465)</f>
        <v>59.28</v>
      </c>
      <c r="G465" s="31" t="n">
        <f aca="false">SUMIFS(Trades!$X$2:$X$1146,Trades!$D$2:$D$1146,$A465,Trades!$X$2:$X$1146,"&gt;0")</f>
        <v>59.28</v>
      </c>
      <c r="H465" s="31" t="n">
        <f aca="false">SUMIFS(Trades!$X$2:$X$1146,Trades!$D$2:$D$1146,$A465,Trades!$X$2:$X$1146,"&lt;0")</f>
        <v>0</v>
      </c>
      <c r="I465" s="32" t="str">
        <f aca="false">IFERROR(G465/-H465,"no loss")</f>
        <v>no loss</v>
      </c>
      <c r="J465" s="31" t="n">
        <f aca="false">_xlfn.MAXIFS(Trades!$X$2:$X$1146,Trades!$D$2:$D$1146,$A465)</f>
        <v>59.28</v>
      </c>
      <c r="K465" s="31" t="n">
        <f aca="false">_xlfn.MINIFS(Trades!$X$2:$X$1146,Trades!$D$2:$D$1146,$A465)</f>
        <v>59.28</v>
      </c>
      <c r="L465" s="33" t="n">
        <f aca="false">SUMIFS(Trades!$Y$2:$Y$1146,Trades!$D$2:$D$1146,$A465)</f>
        <v>2.64171122994796</v>
      </c>
      <c r="M465" s="31" t="n">
        <f aca="false">P464</f>
        <v>15223.24</v>
      </c>
      <c r="N465" s="30" t="n">
        <f aca="false">IFERROR(F465/M465,0)</f>
        <v>0.00389404620829732</v>
      </c>
      <c r="O465" s="29" t="str">
        <f aca="false">IF(-N465&gt;=Summary!$C$7,"BREACH","")</f>
        <v/>
      </c>
      <c r="P465" s="31" t="n">
        <f aca="false">M465+F465</f>
        <v>15282.52</v>
      </c>
      <c r="Q465" s="31" t="n">
        <f aca="false">P465-Summary!$C$5</f>
        <v>5282.51999999999</v>
      </c>
      <c r="R465" s="2" t="str">
        <f aca="false">TEXT(A465,"ddd")</f>
        <v>Fri</v>
      </c>
    </row>
    <row r="466" customFormat="false" ht="15" hidden="false" customHeight="false" outlineLevel="0" collapsed="false">
      <c r="A466" s="43" t="n">
        <v>45405</v>
      </c>
      <c r="B466" s="29" t="n">
        <f aca="false">COUNTIFS(Trades!$D$2:$D$1146,$A466)</f>
        <v>1</v>
      </c>
      <c r="C466" s="29" t="n">
        <f aca="false">COUNTIFS(Trades!$D$2:$D$1146,$A466,Trades!$Z$2:$Z$1146,"Win")</f>
        <v>0</v>
      </c>
      <c r="D466" s="29" t="n">
        <f aca="false">COUNTIFS(Trades!$D$2:$D$1146,$A466,Trades!$Z$2:$Z$1146,"Loss")</f>
        <v>1</v>
      </c>
      <c r="E466" s="30" t="n">
        <f aca="false">IFERROR(C466/B466,0)</f>
        <v>0</v>
      </c>
      <c r="F466" s="31" t="n">
        <f aca="false">SUMIFS(Trades!$X$2:$X$1146,Trades!$D$2:$D$1146,$A466)</f>
        <v>-69.88</v>
      </c>
      <c r="G466" s="31" t="n">
        <f aca="false">SUMIFS(Trades!$X$2:$X$1146,Trades!$D$2:$D$1146,$A466,Trades!$X$2:$X$1146,"&gt;0")</f>
        <v>0</v>
      </c>
      <c r="H466" s="31" t="n">
        <f aca="false">SUMIFS(Trades!$X$2:$X$1146,Trades!$D$2:$D$1146,$A466,Trades!$X$2:$X$1146,"&lt;0")</f>
        <v>-69.88</v>
      </c>
      <c r="I466" s="32" t="n">
        <f aca="false">IFERROR(G466/-H466,"no loss")</f>
        <v>0</v>
      </c>
      <c r="J466" s="31" t="n">
        <f aca="false">_xlfn.MAXIFS(Trades!$X$2:$X$1146,Trades!$D$2:$D$1146,$A466)</f>
        <v>-69.88</v>
      </c>
      <c r="K466" s="31" t="n">
        <f aca="false">_xlfn.MINIFS(Trades!$X$2:$X$1146,Trades!$D$2:$D$1146,$A466)</f>
        <v>-69.88</v>
      </c>
      <c r="L466" s="33" t="n">
        <f aca="false">SUMIFS(Trades!$Y$2:$Y$1146,Trades!$D$2:$D$1146,$A466)</f>
        <v>-1.00460034502591</v>
      </c>
      <c r="M466" s="31" t="n">
        <f aca="false">P465</f>
        <v>15282.52</v>
      </c>
      <c r="N466" s="30" t="n">
        <f aca="false">IFERROR(F466/M466,0)</f>
        <v>-0.00457254431860715</v>
      </c>
      <c r="O466" s="29" t="str">
        <f aca="false">IF(-N466&gt;=Summary!$C$7,"BREACH","")</f>
        <v/>
      </c>
      <c r="P466" s="31" t="n">
        <f aca="false">M466+F466</f>
        <v>15212.64</v>
      </c>
      <c r="Q466" s="31" t="n">
        <f aca="false">P466-Summary!$C$5</f>
        <v>5212.63999999999</v>
      </c>
      <c r="R466" s="2" t="str">
        <f aca="false">TEXT(A466,"ddd")</f>
        <v>Tue</v>
      </c>
    </row>
    <row r="467" customFormat="false" ht="15" hidden="false" customHeight="false" outlineLevel="0" collapsed="false">
      <c r="A467" s="43" t="n">
        <v>45406</v>
      </c>
      <c r="B467" s="29" t="n">
        <f aca="false">COUNTIFS(Trades!$D$2:$D$1146,$A467)</f>
        <v>1</v>
      </c>
      <c r="C467" s="29" t="n">
        <f aca="false">COUNTIFS(Trades!$D$2:$D$1146,$A467,Trades!$Z$2:$Z$1146,"Win")</f>
        <v>1</v>
      </c>
      <c r="D467" s="29" t="n">
        <f aca="false">COUNTIFS(Trades!$D$2:$D$1146,$A467,Trades!$Z$2:$Z$1146,"Loss")</f>
        <v>0</v>
      </c>
      <c r="E467" s="30" t="n">
        <f aca="false">IFERROR(C467/B467,0)</f>
        <v>1</v>
      </c>
      <c r="F467" s="31" t="n">
        <f aca="false">SUMIFS(Trades!$X$2:$X$1146,Trades!$D$2:$D$1146,$A467)</f>
        <v>125.32</v>
      </c>
      <c r="G467" s="31" t="n">
        <f aca="false">SUMIFS(Trades!$X$2:$X$1146,Trades!$D$2:$D$1146,$A467,Trades!$X$2:$X$1146,"&gt;0")</f>
        <v>125.32</v>
      </c>
      <c r="H467" s="31" t="n">
        <f aca="false">SUMIFS(Trades!$X$2:$X$1146,Trades!$D$2:$D$1146,$A467,Trades!$X$2:$X$1146,"&lt;0")</f>
        <v>0</v>
      </c>
      <c r="I467" s="32" t="str">
        <f aca="false">IFERROR(G467/-H467,"no loss")</f>
        <v>no loss</v>
      </c>
      <c r="J467" s="31" t="n">
        <f aca="false">_xlfn.MAXIFS(Trades!$X$2:$X$1146,Trades!$D$2:$D$1146,$A467)</f>
        <v>125.32</v>
      </c>
      <c r="K467" s="31" t="n">
        <f aca="false">_xlfn.MINIFS(Trades!$X$2:$X$1146,Trades!$D$2:$D$1146,$A467)</f>
        <v>125.32</v>
      </c>
      <c r="L467" s="33" t="n">
        <f aca="false">SUMIFS(Trades!$Y$2:$Y$1146,Trades!$D$2:$D$1146,$A467)</f>
        <v>2.45918367346908</v>
      </c>
      <c r="M467" s="31" t="n">
        <f aca="false">P466</f>
        <v>15212.64</v>
      </c>
      <c r="N467" s="30" t="n">
        <f aca="false">IFERROR(F467/M467,0)</f>
        <v>0.00823788638921319</v>
      </c>
      <c r="O467" s="29" t="str">
        <f aca="false">IF(-N467&gt;=Summary!$C$7,"BREACH","")</f>
        <v/>
      </c>
      <c r="P467" s="31" t="n">
        <f aca="false">M467+F467</f>
        <v>15337.96</v>
      </c>
      <c r="Q467" s="31" t="n">
        <f aca="false">P467-Summary!$C$5</f>
        <v>5337.95999999999</v>
      </c>
      <c r="R467" s="2" t="str">
        <f aca="false">TEXT(A467,"ddd")</f>
        <v>Wed</v>
      </c>
    </row>
    <row r="468" customFormat="false" ht="15" hidden="false" customHeight="false" outlineLevel="0" collapsed="false">
      <c r="A468" s="43" t="n">
        <v>45407</v>
      </c>
      <c r="B468" s="29" t="n">
        <f aca="false">COUNTIFS(Trades!$D$2:$D$1146,$A468)</f>
        <v>1</v>
      </c>
      <c r="C468" s="29" t="n">
        <f aca="false">COUNTIFS(Trades!$D$2:$D$1146,$A468,Trades!$Z$2:$Z$1146,"Win")</f>
        <v>0</v>
      </c>
      <c r="D468" s="29" t="n">
        <f aca="false">COUNTIFS(Trades!$D$2:$D$1146,$A468,Trades!$Z$2:$Z$1146,"Loss")</f>
        <v>1</v>
      </c>
      <c r="E468" s="30" t="n">
        <f aca="false">IFERROR(C468/B468,0)</f>
        <v>0</v>
      </c>
      <c r="F468" s="31" t="n">
        <f aca="false">SUMIFS(Trades!$X$2:$X$1146,Trades!$D$2:$D$1146,$A468)</f>
        <v>-0.88</v>
      </c>
      <c r="G468" s="31" t="n">
        <f aca="false">SUMIFS(Trades!$X$2:$X$1146,Trades!$D$2:$D$1146,$A468,Trades!$X$2:$X$1146,"&gt;0")</f>
        <v>0</v>
      </c>
      <c r="H468" s="31" t="n">
        <f aca="false">SUMIFS(Trades!$X$2:$X$1146,Trades!$D$2:$D$1146,$A468,Trades!$X$2:$X$1146,"&lt;0")</f>
        <v>-0.88</v>
      </c>
      <c r="I468" s="32" t="n">
        <f aca="false">IFERROR(G468/-H468,"no loss")</f>
        <v>0</v>
      </c>
      <c r="J468" s="31" t="n">
        <f aca="false">_xlfn.MAXIFS(Trades!$X$2:$X$1146,Trades!$D$2:$D$1146,$A468)</f>
        <v>-0.88</v>
      </c>
      <c r="K468" s="31" t="n">
        <f aca="false">_xlfn.MINIFS(Trades!$X$2:$X$1146,Trades!$D$2:$D$1146,$A468)</f>
        <v>-0.88</v>
      </c>
      <c r="L468" s="33" t="n">
        <f aca="false">SUMIFS(Trades!$Y$2:$Y$1146,Trades!$D$2:$D$1146,$A468)</f>
        <v>-0.00950734658599851</v>
      </c>
      <c r="M468" s="31" t="n">
        <f aca="false">P467</f>
        <v>15337.96</v>
      </c>
      <c r="N468" s="30" t="n">
        <f aca="false">IFERROR(F468/M468,0)</f>
        <v>-5.73739923692591E-005</v>
      </c>
      <c r="O468" s="29" t="str">
        <f aca="false">IF(-N468&gt;=Summary!$C$7,"BREACH","")</f>
        <v/>
      </c>
      <c r="P468" s="31" t="n">
        <f aca="false">M468+F468</f>
        <v>15337.08</v>
      </c>
      <c r="Q468" s="31" t="n">
        <f aca="false">P468-Summary!$C$5</f>
        <v>5337.07999999999</v>
      </c>
      <c r="R468" s="2" t="str">
        <f aca="false">TEXT(A468,"ddd")</f>
        <v>Thu</v>
      </c>
    </row>
    <row r="469" customFormat="false" ht="15" hidden="false" customHeight="false" outlineLevel="0" collapsed="false">
      <c r="A469" s="43" t="n">
        <v>45408</v>
      </c>
      <c r="B469" s="29" t="n">
        <f aca="false">COUNTIFS(Trades!$D$2:$D$1146,$A469)</f>
        <v>2</v>
      </c>
      <c r="C469" s="29" t="n">
        <f aca="false">COUNTIFS(Trades!$D$2:$D$1146,$A469,Trades!$Z$2:$Z$1146,"Win")</f>
        <v>0</v>
      </c>
      <c r="D469" s="29" t="n">
        <f aca="false">COUNTIFS(Trades!$D$2:$D$1146,$A469,Trades!$Z$2:$Z$1146,"Loss")</f>
        <v>2</v>
      </c>
      <c r="E469" s="30" t="n">
        <f aca="false">IFERROR(C469/B469,0)</f>
        <v>0</v>
      </c>
      <c r="F469" s="31" t="n">
        <f aca="false">SUMIFS(Trades!$X$2:$X$1146,Trades!$D$2:$D$1146,$A469)</f>
        <v>-212.8</v>
      </c>
      <c r="G469" s="31" t="n">
        <f aca="false">SUMIFS(Trades!$X$2:$X$1146,Trades!$D$2:$D$1146,$A469,Trades!$X$2:$X$1146,"&gt;0")</f>
        <v>0</v>
      </c>
      <c r="H469" s="31" t="n">
        <f aca="false">SUMIFS(Trades!$X$2:$X$1146,Trades!$D$2:$D$1146,$A469,Trades!$X$2:$X$1146,"&lt;0")</f>
        <v>-212.8</v>
      </c>
      <c r="I469" s="32" t="n">
        <f aca="false">IFERROR(G469/-H469,"no loss")</f>
        <v>0</v>
      </c>
      <c r="J469" s="31" t="n">
        <f aca="false">_xlfn.MAXIFS(Trades!$X$2:$X$1146,Trades!$D$2:$D$1146,$A469)</f>
        <v>-3.12</v>
      </c>
      <c r="K469" s="31" t="n">
        <f aca="false">_xlfn.MINIFS(Trades!$X$2:$X$1146,Trades!$D$2:$D$1146,$A469)</f>
        <v>-209.68</v>
      </c>
      <c r="L469" s="33" t="n">
        <f aca="false">SUMIFS(Trades!$Y$2:$Y$1146,Trades!$D$2:$D$1146,$A469)</f>
        <v>-1.05900513972358</v>
      </c>
      <c r="M469" s="31" t="n">
        <f aca="false">P468</f>
        <v>15337.08</v>
      </c>
      <c r="N469" s="30" t="n">
        <f aca="false">IFERROR(F469/M469,0)</f>
        <v>-0.013874870575103</v>
      </c>
      <c r="O469" s="29" t="str">
        <f aca="false">IF(-N469&gt;=Summary!$C$7,"BREACH","")</f>
        <v/>
      </c>
      <c r="P469" s="31" t="n">
        <f aca="false">M469+F469</f>
        <v>15124.28</v>
      </c>
      <c r="Q469" s="31" t="n">
        <f aca="false">P469-Summary!$C$5</f>
        <v>5124.27999999999</v>
      </c>
      <c r="R469" s="2" t="str">
        <f aca="false">TEXT(A469,"ddd")</f>
        <v>Fri</v>
      </c>
    </row>
    <row r="470" customFormat="false" ht="15" hidden="false" customHeight="false" outlineLevel="0" collapsed="false">
      <c r="A470" s="43" t="n">
        <v>45411</v>
      </c>
      <c r="B470" s="29" t="n">
        <f aca="false">COUNTIFS(Trades!$D$2:$D$1146,$A470)</f>
        <v>1</v>
      </c>
      <c r="C470" s="29" t="n">
        <f aca="false">COUNTIFS(Trades!$D$2:$D$1146,$A470,Trades!$Z$2:$Z$1146,"Win")</f>
        <v>0</v>
      </c>
      <c r="D470" s="29" t="n">
        <f aca="false">COUNTIFS(Trades!$D$2:$D$1146,$A470,Trades!$Z$2:$Z$1146,"Loss")</f>
        <v>1</v>
      </c>
      <c r="E470" s="30" t="n">
        <f aca="false">IFERROR(C470/B470,0)</f>
        <v>0</v>
      </c>
      <c r="F470" s="31" t="n">
        <f aca="false">SUMIFS(Trades!$X$2:$X$1146,Trades!$D$2:$D$1146,$A470)</f>
        <v>-22.08</v>
      </c>
      <c r="G470" s="31" t="n">
        <f aca="false">SUMIFS(Trades!$X$2:$X$1146,Trades!$D$2:$D$1146,$A470,Trades!$X$2:$X$1146,"&gt;0")</f>
        <v>0</v>
      </c>
      <c r="H470" s="31" t="n">
        <f aca="false">SUMIFS(Trades!$X$2:$X$1146,Trades!$D$2:$D$1146,$A470,Trades!$X$2:$X$1146,"&lt;0")</f>
        <v>-22.08</v>
      </c>
      <c r="I470" s="32" t="n">
        <f aca="false">IFERROR(G470/-H470,"no loss")</f>
        <v>0</v>
      </c>
      <c r="J470" s="31" t="n">
        <f aca="false">_xlfn.MAXIFS(Trades!$X$2:$X$1146,Trades!$D$2:$D$1146,$A470)</f>
        <v>-22.08</v>
      </c>
      <c r="K470" s="31" t="n">
        <f aca="false">_xlfn.MINIFS(Trades!$X$2:$X$1146,Trades!$D$2:$D$1146,$A470)</f>
        <v>-22.08</v>
      </c>
      <c r="L470" s="33" t="n">
        <f aca="false">SUMIFS(Trades!$Y$2:$Y$1146,Trades!$D$2:$D$1146,$A470)</f>
        <v>-1.09523809523791</v>
      </c>
      <c r="M470" s="31" t="n">
        <f aca="false">P469</f>
        <v>15124.28</v>
      </c>
      <c r="N470" s="30" t="n">
        <f aca="false">IFERROR(F470/M470,0)</f>
        <v>-0.00145990420701019</v>
      </c>
      <c r="O470" s="29" t="str">
        <f aca="false">IF(-N470&gt;=Summary!$C$7,"BREACH","")</f>
        <v/>
      </c>
      <c r="P470" s="31" t="n">
        <f aca="false">M470+F470</f>
        <v>15102.2</v>
      </c>
      <c r="Q470" s="31" t="n">
        <f aca="false">P470-Summary!$C$5</f>
        <v>5102.19999999999</v>
      </c>
      <c r="R470" s="2" t="str">
        <f aca="false">TEXT(A470,"ddd")</f>
        <v>Mon</v>
      </c>
    </row>
    <row r="471" customFormat="false" ht="15" hidden="false" customHeight="false" outlineLevel="0" collapsed="false">
      <c r="A471" s="43" t="n">
        <v>45412</v>
      </c>
      <c r="B471" s="29" t="n">
        <f aca="false">COUNTIFS(Trades!$D$2:$D$1146,$A471)</f>
        <v>1</v>
      </c>
      <c r="C471" s="29" t="n">
        <f aca="false">COUNTIFS(Trades!$D$2:$D$1146,$A471,Trades!$Z$2:$Z$1146,"Win")</f>
        <v>0</v>
      </c>
      <c r="D471" s="29" t="n">
        <f aca="false">COUNTIFS(Trades!$D$2:$D$1146,$A471,Trades!$Z$2:$Z$1146,"Loss")</f>
        <v>1</v>
      </c>
      <c r="E471" s="30" t="n">
        <f aca="false">IFERROR(C471/B471,0)</f>
        <v>0</v>
      </c>
      <c r="F471" s="31" t="n">
        <f aca="false">SUMIFS(Trades!$X$2:$X$1146,Trades!$D$2:$D$1146,$A471)</f>
        <v>-1.36</v>
      </c>
      <c r="G471" s="31" t="n">
        <f aca="false">SUMIFS(Trades!$X$2:$X$1146,Trades!$D$2:$D$1146,$A471,Trades!$X$2:$X$1146,"&gt;0")</f>
        <v>0</v>
      </c>
      <c r="H471" s="31" t="n">
        <f aca="false">SUMIFS(Trades!$X$2:$X$1146,Trades!$D$2:$D$1146,$A471,Trades!$X$2:$X$1146,"&lt;0")</f>
        <v>-1.36</v>
      </c>
      <c r="I471" s="32" t="n">
        <f aca="false">IFERROR(G471/-H471,"no loss")</f>
        <v>0</v>
      </c>
      <c r="J471" s="31" t="n">
        <f aca="false">_xlfn.MAXIFS(Trades!$X$2:$X$1146,Trades!$D$2:$D$1146,$A471)</f>
        <v>-1.36</v>
      </c>
      <c r="K471" s="31" t="n">
        <f aca="false">_xlfn.MINIFS(Trades!$X$2:$X$1146,Trades!$D$2:$D$1146,$A471)</f>
        <v>-1.36</v>
      </c>
      <c r="L471" s="33" t="n">
        <f aca="false">SUMIFS(Trades!$Y$2:$Y$1146,Trades!$D$2:$D$1146,$A471)</f>
        <v>-0.022207707380795</v>
      </c>
      <c r="M471" s="31" t="n">
        <f aca="false">P470</f>
        <v>15102.2</v>
      </c>
      <c r="N471" s="30" t="n">
        <f aca="false">IFERROR(F471/M471,0)</f>
        <v>-9.00531048456517E-005</v>
      </c>
      <c r="O471" s="29" t="str">
        <f aca="false">IF(-N471&gt;=Summary!$C$7,"BREACH","")</f>
        <v/>
      </c>
      <c r="P471" s="31" t="n">
        <f aca="false">M471+F471</f>
        <v>15100.84</v>
      </c>
      <c r="Q471" s="31" t="n">
        <f aca="false">P471-Summary!$C$5</f>
        <v>5100.83999999999</v>
      </c>
      <c r="R471" s="2" t="str">
        <f aca="false">TEXT(A471,"ddd")</f>
        <v>Tue</v>
      </c>
    </row>
    <row r="472" customFormat="false" ht="15" hidden="false" customHeight="false" outlineLevel="0" collapsed="false">
      <c r="A472" s="43" t="n">
        <v>45413</v>
      </c>
      <c r="B472" s="29" t="n">
        <f aca="false">COUNTIFS(Trades!$D$2:$D$1146,$A472)</f>
        <v>1</v>
      </c>
      <c r="C472" s="29" t="n">
        <f aca="false">COUNTIFS(Trades!$D$2:$D$1146,$A472,Trades!$Z$2:$Z$1146,"Win")</f>
        <v>0</v>
      </c>
      <c r="D472" s="29" t="n">
        <f aca="false">COUNTIFS(Trades!$D$2:$D$1146,$A472,Trades!$Z$2:$Z$1146,"Loss")</f>
        <v>1</v>
      </c>
      <c r="E472" s="30" t="n">
        <f aca="false">IFERROR(C472/B472,0)</f>
        <v>0</v>
      </c>
      <c r="F472" s="31" t="n">
        <f aca="false">SUMIFS(Trades!$X$2:$X$1146,Trades!$D$2:$D$1146,$A472)</f>
        <v>-126.04</v>
      </c>
      <c r="G472" s="31" t="n">
        <f aca="false">SUMIFS(Trades!$X$2:$X$1146,Trades!$D$2:$D$1146,$A472,Trades!$X$2:$X$1146,"&gt;0")</f>
        <v>0</v>
      </c>
      <c r="H472" s="31" t="n">
        <f aca="false">SUMIFS(Trades!$X$2:$X$1146,Trades!$D$2:$D$1146,$A472,Trades!$X$2:$X$1146,"&lt;0")</f>
        <v>-126.04</v>
      </c>
      <c r="I472" s="32" t="n">
        <f aca="false">IFERROR(G472/-H472,"no loss")</f>
        <v>0</v>
      </c>
      <c r="J472" s="31" t="n">
        <f aca="false">_xlfn.MAXIFS(Trades!$X$2:$X$1146,Trades!$D$2:$D$1146,$A472)</f>
        <v>-126.04</v>
      </c>
      <c r="K472" s="31" t="n">
        <f aca="false">_xlfn.MINIFS(Trades!$X$2:$X$1146,Trades!$D$2:$D$1146,$A472)</f>
        <v>-126.04</v>
      </c>
      <c r="L472" s="33" t="n">
        <f aca="false">SUMIFS(Trades!$Y$2:$Y$1146,Trades!$D$2:$D$1146,$A472)</f>
        <v>-1.0157962604771</v>
      </c>
      <c r="M472" s="31" t="n">
        <f aca="false">P471</f>
        <v>15100.84</v>
      </c>
      <c r="N472" s="30" t="n">
        <f aca="false">IFERROR(F472/M472,0)</f>
        <v>-0.00834655555584988</v>
      </c>
      <c r="O472" s="29" t="str">
        <f aca="false">IF(-N472&gt;=Summary!$C$7,"BREACH","")</f>
        <v/>
      </c>
      <c r="P472" s="31" t="n">
        <f aca="false">M472+F472</f>
        <v>14974.8</v>
      </c>
      <c r="Q472" s="31" t="n">
        <f aca="false">P472-Summary!$C$5</f>
        <v>4974.79999999999</v>
      </c>
      <c r="R472" s="2" t="str">
        <f aca="false">TEXT(A472,"ddd")</f>
        <v>Wed</v>
      </c>
    </row>
    <row r="473" customFormat="false" ht="15" hidden="false" customHeight="false" outlineLevel="0" collapsed="false">
      <c r="A473" s="43" t="n">
        <v>45415</v>
      </c>
      <c r="B473" s="29" t="n">
        <f aca="false">COUNTIFS(Trades!$D$2:$D$1146,$A473)</f>
        <v>1</v>
      </c>
      <c r="C473" s="29" t="n">
        <f aca="false">COUNTIFS(Trades!$D$2:$D$1146,$A473,Trades!$Z$2:$Z$1146,"Win")</f>
        <v>1</v>
      </c>
      <c r="D473" s="29" t="n">
        <f aca="false">COUNTIFS(Trades!$D$2:$D$1146,$A473,Trades!$Z$2:$Z$1146,"Loss")</f>
        <v>0</v>
      </c>
      <c r="E473" s="30" t="n">
        <f aca="false">IFERROR(C473/B473,0)</f>
        <v>1</v>
      </c>
      <c r="F473" s="31" t="n">
        <f aca="false">SUMIFS(Trades!$X$2:$X$1146,Trades!$D$2:$D$1146,$A473)</f>
        <v>187.56</v>
      </c>
      <c r="G473" s="31" t="n">
        <f aca="false">SUMIFS(Trades!$X$2:$X$1146,Trades!$D$2:$D$1146,$A473,Trades!$X$2:$X$1146,"&gt;0")</f>
        <v>187.56</v>
      </c>
      <c r="H473" s="31" t="n">
        <f aca="false">SUMIFS(Trades!$X$2:$X$1146,Trades!$D$2:$D$1146,$A473,Trades!$X$2:$X$1146,"&lt;0")</f>
        <v>0</v>
      </c>
      <c r="I473" s="32" t="str">
        <f aca="false">IFERROR(G473/-H473,"no loss")</f>
        <v>no loss</v>
      </c>
      <c r="J473" s="31" t="n">
        <f aca="false">_xlfn.MAXIFS(Trades!$X$2:$X$1146,Trades!$D$2:$D$1146,$A473)</f>
        <v>187.56</v>
      </c>
      <c r="K473" s="31" t="n">
        <f aca="false">_xlfn.MINIFS(Trades!$X$2:$X$1146,Trades!$D$2:$D$1146,$A473)</f>
        <v>187.56</v>
      </c>
      <c r="L473" s="33" t="n">
        <f aca="false">SUMIFS(Trades!$Y$2:$Y$1146,Trades!$D$2:$D$1146,$A473)</f>
        <v>2.4627100840335</v>
      </c>
      <c r="M473" s="31" t="n">
        <f aca="false">P472</f>
        <v>14974.8</v>
      </c>
      <c r="N473" s="30" t="n">
        <f aca="false">IFERROR(F473/M473,0)</f>
        <v>0.0125250420706788</v>
      </c>
      <c r="O473" s="29" t="str">
        <f aca="false">IF(-N473&gt;=Summary!$C$7,"BREACH","")</f>
        <v/>
      </c>
      <c r="P473" s="31" t="n">
        <f aca="false">M473+F473</f>
        <v>15162.36</v>
      </c>
      <c r="Q473" s="31" t="n">
        <f aca="false">P473-Summary!$C$5</f>
        <v>5162.35999999999</v>
      </c>
      <c r="R473" s="2" t="str">
        <f aca="false">TEXT(A473,"ddd")</f>
        <v>Fri</v>
      </c>
    </row>
    <row r="474" customFormat="false" ht="15" hidden="false" customHeight="false" outlineLevel="0" collapsed="false">
      <c r="A474" s="43" t="n">
        <v>45418</v>
      </c>
      <c r="B474" s="29" t="n">
        <f aca="false">COUNTIFS(Trades!$D$2:$D$1146,$A474)</f>
        <v>1</v>
      </c>
      <c r="C474" s="29" t="n">
        <f aca="false">COUNTIFS(Trades!$D$2:$D$1146,$A474,Trades!$Z$2:$Z$1146,"Win")</f>
        <v>0</v>
      </c>
      <c r="D474" s="29" t="n">
        <f aca="false">COUNTIFS(Trades!$D$2:$D$1146,$A474,Trades!$Z$2:$Z$1146,"Loss")</f>
        <v>1</v>
      </c>
      <c r="E474" s="30" t="n">
        <f aca="false">IFERROR(C474/B474,0)</f>
        <v>0</v>
      </c>
      <c r="F474" s="31" t="n">
        <f aca="false">SUMIFS(Trades!$X$2:$X$1146,Trades!$D$2:$D$1146,$A474)</f>
        <v>-0.2</v>
      </c>
      <c r="G474" s="31" t="n">
        <f aca="false">SUMIFS(Trades!$X$2:$X$1146,Trades!$D$2:$D$1146,$A474,Trades!$X$2:$X$1146,"&gt;0")</f>
        <v>0</v>
      </c>
      <c r="H474" s="31" t="n">
        <f aca="false">SUMIFS(Trades!$X$2:$X$1146,Trades!$D$2:$D$1146,$A474,Trades!$X$2:$X$1146,"&lt;0")</f>
        <v>-0.2</v>
      </c>
      <c r="I474" s="32" t="n">
        <f aca="false">IFERROR(G474/-H474,"no loss")</f>
        <v>0</v>
      </c>
      <c r="J474" s="31" t="n">
        <f aca="false">_xlfn.MAXIFS(Trades!$X$2:$X$1146,Trades!$D$2:$D$1146,$A474)</f>
        <v>-0.2</v>
      </c>
      <c r="K474" s="31" t="n">
        <f aca="false">_xlfn.MINIFS(Trades!$X$2:$X$1146,Trades!$D$2:$D$1146,$A474)</f>
        <v>-0.2</v>
      </c>
      <c r="L474" s="33" t="n">
        <f aca="false">SUMIFS(Trades!$Y$2:$Y$1146,Trades!$D$2:$D$1146,$A474)</f>
        <v>-0.0161290322580721</v>
      </c>
      <c r="M474" s="31" t="n">
        <f aca="false">P473</f>
        <v>15162.36</v>
      </c>
      <c r="N474" s="30" t="n">
        <f aca="false">IFERROR(F474/M474,0)</f>
        <v>-1.31905587256865E-005</v>
      </c>
      <c r="O474" s="29" t="str">
        <f aca="false">IF(-N474&gt;=Summary!$C$7,"BREACH","")</f>
        <v/>
      </c>
      <c r="P474" s="31" t="n">
        <f aca="false">M474+F474</f>
        <v>15162.16</v>
      </c>
      <c r="Q474" s="31" t="n">
        <f aca="false">P474-Summary!$C$5</f>
        <v>5162.15999999999</v>
      </c>
      <c r="R474" s="2" t="str">
        <f aca="false">TEXT(A474,"ddd")</f>
        <v>Mon</v>
      </c>
    </row>
    <row r="475" customFormat="false" ht="15" hidden="false" customHeight="false" outlineLevel="0" collapsed="false">
      <c r="A475" s="43" t="n">
        <v>45419</v>
      </c>
      <c r="B475" s="29" t="n">
        <f aca="false">COUNTIFS(Trades!$D$2:$D$1146,$A475)</f>
        <v>1</v>
      </c>
      <c r="C475" s="29" t="n">
        <f aca="false">COUNTIFS(Trades!$D$2:$D$1146,$A475,Trades!$Z$2:$Z$1146,"Win")</f>
        <v>0</v>
      </c>
      <c r="D475" s="29" t="n">
        <f aca="false">COUNTIFS(Trades!$D$2:$D$1146,$A475,Trades!$Z$2:$Z$1146,"Loss")</f>
        <v>1</v>
      </c>
      <c r="E475" s="30" t="n">
        <f aca="false">IFERROR(C475/B475,0)</f>
        <v>0</v>
      </c>
      <c r="F475" s="31" t="n">
        <f aca="false">SUMIFS(Trades!$X$2:$X$1146,Trades!$D$2:$D$1146,$A475)</f>
        <v>-25.32</v>
      </c>
      <c r="G475" s="31" t="n">
        <f aca="false">SUMIFS(Trades!$X$2:$X$1146,Trades!$D$2:$D$1146,$A475,Trades!$X$2:$X$1146,"&gt;0")</f>
        <v>0</v>
      </c>
      <c r="H475" s="31" t="n">
        <f aca="false">SUMIFS(Trades!$X$2:$X$1146,Trades!$D$2:$D$1146,$A475,Trades!$X$2:$X$1146,"&lt;0")</f>
        <v>-25.32</v>
      </c>
      <c r="I475" s="32" t="n">
        <f aca="false">IFERROR(G475/-H475,"no loss")</f>
        <v>0</v>
      </c>
      <c r="J475" s="31" t="n">
        <f aca="false">_xlfn.MAXIFS(Trades!$X$2:$X$1146,Trades!$D$2:$D$1146,$A475)</f>
        <v>-25.32</v>
      </c>
      <c r="K475" s="31" t="n">
        <f aca="false">_xlfn.MINIFS(Trades!$X$2:$X$1146,Trades!$D$2:$D$1146,$A475)</f>
        <v>-25.32</v>
      </c>
      <c r="L475" s="33" t="n">
        <f aca="false">SUMIFS(Trades!$Y$2:$Y$1146,Trades!$D$2:$D$1146,$A475)</f>
        <v>-1.01932367149773</v>
      </c>
      <c r="M475" s="31" t="n">
        <f aca="false">P474</f>
        <v>15162.16</v>
      </c>
      <c r="N475" s="30" t="n">
        <f aca="false">IFERROR(F475/M475,0)</f>
        <v>-0.00166994676220275</v>
      </c>
      <c r="O475" s="29" t="str">
        <f aca="false">IF(-N475&gt;=Summary!$C$7,"BREACH","")</f>
        <v/>
      </c>
      <c r="P475" s="31" t="n">
        <f aca="false">M475+F475</f>
        <v>15136.84</v>
      </c>
      <c r="Q475" s="31" t="n">
        <f aca="false">P475-Summary!$C$5</f>
        <v>5136.83999999999</v>
      </c>
      <c r="R475" s="2" t="str">
        <f aca="false">TEXT(A475,"ddd")</f>
        <v>Tue</v>
      </c>
    </row>
    <row r="476" customFormat="false" ht="15" hidden="false" customHeight="false" outlineLevel="0" collapsed="false">
      <c r="A476" s="43" t="n">
        <v>45420</v>
      </c>
      <c r="B476" s="29" t="n">
        <f aca="false">COUNTIFS(Trades!$D$2:$D$1146,$A476)</f>
        <v>1</v>
      </c>
      <c r="C476" s="29" t="n">
        <f aca="false">COUNTIFS(Trades!$D$2:$D$1146,$A476,Trades!$Z$2:$Z$1146,"Win")</f>
        <v>0</v>
      </c>
      <c r="D476" s="29" t="n">
        <f aca="false">COUNTIFS(Trades!$D$2:$D$1146,$A476,Trades!$Z$2:$Z$1146,"Loss")</f>
        <v>1</v>
      </c>
      <c r="E476" s="30" t="n">
        <f aca="false">IFERROR(C476/B476,0)</f>
        <v>0</v>
      </c>
      <c r="F476" s="31" t="n">
        <f aca="false">SUMIFS(Trades!$X$2:$X$1146,Trades!$D$2:$D$1146,$A476)</f>
        <v>-20.32</v>
      </c>
      <c r="G476" s="31" t="n">
        <f aca="false">SUMIFS(Trades!$X$2:$X$1146,Trades!$D$2:$D$1146,$A476,Trades!$X$2:$X$1146,"&gt;0")</f>
        <v>0</v>
      </c>
      <c r="H476" s="31" t="n">
        <f aca="false">SUMIFS(Trades!$X$2:$X$1146,Trades!$D$2:$D$1146,$A476,Trades!$X$2:$X$1146,"&lt;0")</f>
        <v>-20.32</v>
      </c>
      <c r="I476" s="32" t="n">
        <f aca="false">IFERROR(G476/-H476,"no loss")</f>
        <v>0</v>
      </c>
      <c r="J476" s="31" t="n">
        <f aca="false">_xlfn.MAXIFS(Trades!$X$2:$X$1146,Trades!$D$2:$D$1146,$A476)</f>
        <v>-20.32</v>
      </c>
      <c r="K476" s="31" t="n">
        <f aca="false">_xlfn.MINIFS(Trades!$X$2:$X$1146,Trades!$D$2:$D$1146,$A476)</f>
        <v>-20.32</v>
      </c>
      <c r="L476" s="33" t="n">
        <f aca="false">SUMIFS(Trades!$Y$2:$Y$1146,Trades!$D$2:$D$1146,$A476)</f>
        <v>-1.18691588785079</v>
      </c>
      <c r="M476" s="31" t="n">
        <f aca="false">P475</f>
        <v>15136.84</v>
      </c>
      <c r="N476" s="30" t="n">
        <f aca="false">IFERROR(F476/M476,0)</f>
        <v>-0.00134242021452298</v>
      </c>
      <c r="O476" s="29" t="str">
        <f aca="false">IF(-N476&gt;=Summary!$C$7,"BREACH","")</f>
        <v/>
      </c>
      <c r="P476" s="31" t="n">
        <f aca="false">M476+F476</f>
        <v>15116.52</v>
      </c>
      <c r="Q476" s="31" t="n">
        <f aca="false">P476-Summary!$C$5</f>
        <v>5116.51999999999</v>
      </c>
      <c r="R476" s="2" t="str">
        <f aca="false">TEXT(A476,"ddd")</f>
        <v>Wed</v>
      </c>
    </row>
    <row r="477" customFormat="false" ht="15" hidden="false" customHeight="false" outlineLevel="0" collapsed="false">
      <c r="A477" s="43" t="n">
        <v>45422</v>
      </c>
      <c r="B477" s="29" t="n">
        <f aca="false">COUNTIFS(Trades!$D$2:$D$1146,$A477)</f>
        <v>1</v>
      </c>
      <c r="C477" s="29" t="n">
        <f aca="false">COUNTIFS(Trades!$D$2:$D$1146,$A477,Trades!$Z$2:$Z$1146,"Win")</f>
        <v>1</v>
      </c>
      <c r="D477" s="29" t="n">
        <f aca="false">COUNTIFS(Trades!$D$2:$D$1146,$A477,Trades!$Z$2:$Z$1146,"Loss")</f>
        <v>0</v>
      </c>
      <c r="E477" s="30" t="n">
        <f aca="false">IFERROR(C477/B477,0)</f>
        <v>1</v>
      </c>
      <c r="F477" s="31" t="n">
        <f aca="false">SUMIFS(Trades!$X$2:$X$1146,Trades!$D$2:$D$1146,$A477)</f>
        <v>17.4</v>
      </c>
      <c r="G477" s="31" t="n">
        <f aca="false">SUMIFS(Trades!$X$2:$X$1146,Trades!$D$2:$D$1146,$A477,Trades!$X$2:$X$1146,"&gt;0")</f>
        <v>17.4</v>
      </c>
      <c r="H477" s="31" t="n">
        <f aca="false">SUMIFS(Trades!$X$2:$X$1146,Trades!$D$2:$D$1146,$A477,Trades!$X$2:$X$1146,"&lt;0")</f>
        <v>0</v>
      </c>
      <c r="I477" s="32" t="str">
        <f aca="false">IFERROR(G477/-H477,"no loss")</f>
        <v>no loss</v>
      </c>
      <c r="J477" s="31" t="n">
        <f aca="false">_xlfn.MAXIFS(Trades!$X$2:$X$1146,Trades!$D$2:$D$1146,$A477)</f>
        <v>17.4</v>
      </c>
      <c r="K477" s="31" t="n">
        <f aca="false">_xlfn.MINIFS(Trades!$X$2:$X$1146,Trades!$D$2:$D$1146,$A477)</f>
        <v>17.4</v>
      </c>
      <c r="L477" s="33" t="n">
        <f aca="false">SUMIFS(Trades!$Y$2:$Y$1146,Trades!$D$2:$D$1146,$A477)</f>
        <v>2.48571428571429</v>
      </c>
      <c r="M477" s="31" t="n">
        <f aca="false">P476</f>
        <v>15116.52</v>
      </c>
      <c r="N477" s="30" t="n">
        <f aca="false">IFERROR(F477/M477,0)</f>
        <v>0.00115105857697407</v>
      </c>
      <c r="O477" s="29" t="str">
        <f aca="false">IF(-N477&gt;=Summary!$C$7,"BREACH","")</f>
        <v/>
      </c>
      <c r="P477" s="31" t="n">
        <f aca="false">M477+F477</f>
        <v>15133.92</v>
      </c>
      <c r="Q477" s="31" t="n">
        <f aca="false">P477-Summary!$C$5</f>
        <v>5133.91999999999</v>
      </c>
      <c r="R477" s="2" t="str">
        <f aca="false">TEXT(A477,"ddd")</f>
        <v>Fri</v>
      </c>
    </row>
    <row r="478" customFormat="false" ht="15" hidden="false" customHeight="false" outlineLevel="0" collapsed="false">
      <c r="A478" s="43" t="n">
        <v>45426</v>
      </c>
      <c r="B478" s="29" t="n">
        <f aca="false">COUNTIFS(Trades!$D$2:$D$1146,$A478)</f>
        <v>2</v>
      </c>
      <c r="C478" s="29" t="n">
        <f aca="false">COUNTIFS(Trades!$D$2:$D$1146,$A478,Trades!$Z$2:$Z$1146,"Win")</f>
        <v>0</v>
      </c>
      <c r="D478" s="29" t="n">
        <f aca="false">COUNTIFS(Trades!$D$2:$D$1146,$A478,Trades!$Z$2:$Z$1146,"Loss")</f>
        <v>2</v>
      </c>
      <c r="E478" s="30" t="n">
        <f aca="false">IFERROR(C478/B478,0)</f>
        <v>0</v>
      </c>
      <c r="F478" s="31" t="n">
        <f aca="false">SUMIFS(Trades!$X$2:$X$1146,Trades!$D$2:$D$1146,$A478)</f>
        <v>-120.64</v>
      </c>
      <c r="G478" s="31" t="n">
        <f aca="false">SUMIFS(Trades!$X$2:$X$1146,Trades!$D$2:$D$1146,$A478,Trades!$X$2:$X$1146,"&gt;0")</f>
        <v>0</v>
      </c>
      <c r="H478" s="31" t="n">
        <f aca="false">SUMIFS(Trades!$X$2:$X$1146,Trades!$D$2:$D$1146,$A478,Trades!$X$2:$X$1146,"&lt;0")</f>
        <v>-120.64</v>
      </c>
      <c r="I478" s="32" t="n">
        <f aca="false">IFERROR(G478/-H478,"no loss")</f>
        <v>0</v>
      </c>
      <c r="J478" s="31" t="n">
        <f aca="false">_xlfn.MAXIFS(Trades!$X$2:$X$1146,Trades!$D$2:$D$1146,$A478)</f>
        <v>-1.84</v>
      </c>
      <c r="K478" s="31" t="n">
        <f aca="false">_xlfn.MINIFS(Trades!$X$2:$X$1146,Trades!$D$2:$D$1146,$A478)</f>
        <v>-118.8</v>
      </c>
      <c r="L478" s="33" t="n">
        <f aca="false">SUMIFS(Trades!$Y$2:$Y$1146,Trades!$D$2:$D$1146,$A478)</f>
        <v>-1.04925957093796</v>
      </c>
      <c r="M478" s="31" t="n">
        <f aca="false">P477</f>
        <v>15133.92</v>
      </c>
      <c r="N478" s="30" t="n">
        <f aca="false">IFERROR(F478/M478,0)</f>
        <v>-0.00797149714019898</v>
      </c>
      <c r="O478" s="29" t="str">
        <f aca="false">IF(-N478&gt;=Summary!$C$7,"BREACH","")</f>
        <v/>
      </c>
      <c r="P478" s="31" t="n">
        <f aca="false">M478+F478</f>
        <v>15013.28</v>
      </c>
      <c r="Q478" s="31" t="n">
        <f aca="false">P478-Summary!$C$5</f>
        <v>5013.27999999999</v>
      </c>
      <c r="R478" s="2" t="str">
        <f aca="false">TEXT(A478,"ddd")</f>
        <v>Tue</v>
      </c>
    </row>
    <row r="479" customFormat="false" ht="15" hidden="false" customHeight="false" outlineLevel="0" collapsed="false">
      <c r="A479" s="43" t="n">
        <v>45427</v>
      </c>
      <c r="B479" s="29" t="n">
        <f aca="false">COUNTIFS(Trades!$D$2:$D$1146,$A479)</f>
        <v>1</v>
      </c>
      <c r="C479" s="29" t="n">
        <f aca="false">COUNTIFS(Trades!$D$2:$D$1146,$A479,Trades!$Z$2:$Z$1146,"Win")</f>
        <v>0</v>
      </c>
      <c r="D479" s="29" t="n">
        <f aca="false">COUNTIFS(Trades!$D$2:$D$1146,$A479,Trades!$Z$2:$Z$1146,"Loss")</f>
        <v>1</v>
      </c>
      <c r="E479" s="30" t="n">
        <f aca="false">IFERROR(C479/B479,0)</f>
        <v>0</v>
      </c>
      <c r="F479" s="31" t="n">
        <f aca="false">SUMIFS(Trades!$X$2:$X$1146,Trades!$D$2:$D$1146,$A479)</f>
        <v>-19.6</v>
      </c>
      <c r="G479" s="31" t="n">
        <f aca="false">SUMIFS(Trades!$X$2:$X$1146,Trades!$D$2:$D$1146,$A479,Trades!$X$2:$X$1146,"&gt;0")</f>
        <v>0</v>
      </c>
      <c r="H479" s="31" t="n">
        <f aca="false">SUMIFS(Trades!$X$2:$X$1146,Trades!$D$2:$D$1146,$A479,Trades!$X$2:$X$1146,"&lt;0")</f>
        <v>-19.6</v>
      </c>
      <c r="I479" s="32" t="n">
        <f aca="false">IFERROR(G479/-H479,"no loss")</f>
        <v>0</v>
      </c>
      <c r="J479" s="31" t="n">
        <f aca="false">_xlfn.MAXIFS(Trades!$X$2:$X$1146,Trades!$D$2:$D$1146,$A479)</f>
        <v>-19.6</v>
      </c>
      <c r="K479" s="31" t="n">
        <f aca="false">_xlfn.MINIFS(Trades!$X$2:$X$1146,Trades!$D$2:$D$1146,$A479)</f>
        <v>-19.6</v>
      </c>
      <c r="L479" s="33" t="n">
        <f aca="false">SUMIFS(Trades!$Y$2:$Y$1146,Trades!$D$2:$D$1146,$A479)</f>
        <v>-1.12643678160863</v>
      </c>
      <c r="M479" s="31" t="n">
        <f aca="false">P478</f>
        <v>15013.28</v>
      </c>
      <c r="N479" s="30" t="n">
        <f aca="false">IFERROR(F479/M479,0)</f>
        <v>-0.00130551085439025</v>
      </c>
      <c r="O479" s="29" t="str">
        <f aca="false">IF(-N479&gt;=Summary!$C$7,"BREACH","")</f>
        <v/>
      </c>
      <c r="P479" s="31" t="n">
        <f aca="false">M479+F479</f>
        <v>14993.68</v>
      </c>
      <c r="Q479" s="31" t="n">
        <f aca="false">P479-Summary!$C$5</f>
        <v>4993.67999999999</v>
      </c>
      <c r="R479" s="2" t="str">
        <f aca="false">TEXT(A479,"ddd")</f>
        <v>Wed</v>
      </c>
    </row>
    <row r="480" customFormat="false" ht="15" hidden="false" customHeight="false" outlineLevel="0" collapsed="false">
      <c r="A480" s="43" t="n">
        <v>45428</v>
      </c>
      <c r="B480" s="29" t="n">
        <f aca="false">COUNTIFS(Trades!$D$2:$D$1146,$A480)</f>
        <v>1</v>
      </c>
      <c r="C480" s="29" t="n">
        <f aca="false">COUNTIFS(Trades!$D$2:$D$1146,$A480,Trades!$Z$2:$Z$1146,"Win")</f>
        <v>0</v>
      </c>
      <c r="D480" s="29" t="n">
        <f aca="false">COUNTIFS(Trades!$D$2:$D$1146,$A480,Trades!$Z$2:$Z$1146,"Loss")</f>
        <v>1</v>
      </c>
      <c r="E480" s="30" t="n">
        <f aca="false">IFERROR(C480/B480,0)</f>
        <v>0</v>
      </c>
      <c r="F480" s="31" t="n">
        <f aca="false">SUMIFS(Trades!$X$2:$X$1146,Trades!$D$2:$D$1146,$A480)</f>
        <v>-6.88</v>
      </c>
      <c r="G480" s="31" t="n">
        <f aca="false">SUMIFS(Trades!$X$2:$X$1146,Trades!$D$2:$D$1146,$A480,Trades!$X$2:$X$1146,"&gt;0")</f>
        <v>0</v>
      </c>
      <c r="H480" s="31" t="n">
        <f aca="false">SUMIFS(Trades!$X$2:$X$1146,Trades!$D$2:$D$1146,$A480,Trades!$X$2:$X$1146,"&lt;0")</f>
        <v>-6.88</v>
      </c>
      <c r="I480" s="32" t="n">
        <f aca="false">IFERROR(G480/-H480,"no loss")</f>
        <v>0</v>
      </c>
      <c r="J480" s="31" t="n">
        <f aca="false">_xlfn.MAXIFS(Trades!$X$2:$X$1146,Trades!$D$2:$D$1146,$A480)</f>
        <v>-6.88</v>
      </c>
      <c r="K480" s="31" t="n">
        <f aca="false">_xlfn.MINIFS(Trades!$X$2:$X$1146,Trades!$D$2:$D$1146,$A480)</f>
        <v>-6.88</v>
      </c>
      <c r="L480" s="33" t="n">
        <f aca="false">SUMIFS(Trades!$Y$2:$Y$1146,Trades!$D$2:$D$1146,$A480)</f>
        <v>-1.00584795321689</v>
      </c>
      <c r="M480" s="31" t="n">
        <f aca="false">P479</f>
        <v>14993.68</v>
      </c>
      <c r="N480" s="30" t="n">
        <f aca="false">IFERROR(F480/M480,0)</f>
        <v>-0.000458859999679866</v>
      </c>
      <c r="O480" s="29" t="str">
        <f aca="false">IF(-N480&gt;=Summary!$C$7,"BREACH","")</f>
        <v/>
      </c>
      <c r="P480" s="31" t="n">
        <f aca="false">M480+F480</f>
        <v>14986.8</v>
      </c>
      <c r="Q480" s="31" t="n">
        <f aca="false">P480-Summary!$C$5</f>
        <v>4986.79999999999</v>
      </c>
      <c r="R480" s="2" t="str">
        <f aca="false">TEXT(A480,"ddd")</f>
        <v>Thu</v>
      </c>
    </row>
    <row r="481" customFormat="false" ht="15" hidden="false" customHeight="false" outlineLevel="0" collapsed="false">
      <c r="A481" s="43" t="n">
        <v>45429</v>
      </c>
      <c r="B481" s="29" t="n">
        <f aca="false">COUNTIFS(Trades!$D$2:$D$1146,$A481)</f>
        <v>1</v>
      </c>
      <c r="C481" s="29" t="n">
        <f aca="false">COUNTIFS(Trades!$D$2:$D$1146,$A481,Trades!$Z$2:$Z$1146,"Win")</f>
        <v>0</v>
      </c>
      <c r="D481" s="29" t="n">
        <f aca="false">COUNTIFS(Trades!$D$2:$D$1146,$A481,Trades!$Z$2:$Z$1146,"Loss")</f>
        <v>1</v>
      </c>
      <c r="E481" s="30" t="n">
        <f aca="false">IFERROR(C481/B481,0)</f>
        <v>0</v>
      </c>
      <c r="F481" s="31" t="n">
        <f aca="false">SUMIFS(Trades!$X$2:$X$1146,Trades!$D$2:$D$1146,$A481)</f>
        <v>-19.16</v>
      </c>
      <c r="G481" s="31" t="n">
        <f aca="false">SUMIFS(Trades!$X$2:$X$1146,Trades!$D$2:$D$1146,$A481,Trades!$X$2:$X$1146,"&gt;0")</f>
        <v>0</v>
      </c>
      <c r="H481" s="31" t="n">
        <f aca="false">SUMIFS(Trades!$X$2:$X$1146,Trades!$D$2:$D$1146,$A481,Trades!$X$2:$X$1146,"&lt;0")</f>
        <v>-19.16</v>
      </c>
      <c r="I481" s="32" t="n">
        <f aca="false">IFERROR(G481/-H481,"no loss")</f>
        <v>0</v>
      </c>
      <c r="J481" s="31" t="n">
        <f aca="false">_xlfn.MAXIFS(Trades!$X$2:$X$1146,Trades!$D$2:$D$1146,$A481)</f>
        <v>-19.16</v>
      </c>
      <c r="K481" s="31" t="n">
        <f aca="false">_xlfn.MINIFS(Trades!$X$2:$X$1146,Trades!$D$2:$D$1146,$A481)</f>
        <v>-19.16</v>
      </c>
      <c r="L481" s="33" t="n">
        <f aca="false">SUMIFS(Trades!$Y$2:$Y$1146,Trades!$D$2:$D$1146,$A481)</f>
        <v>-1.00842105263158</v>
      </c>
      <c r="M481" s="31" t="n">
        <f aca="false">P480</f>
        <v>14986.8</v>
      </c>
      <c r="N481" s="30" t="n">
        <f aca="false">IFERROR(F481/M481,0)</f>
        <v>-0.00127845837670483</v>
      </c>
      <c r="O481" s="29" t="str">
        <f aca="false">IF(-N481&gt;=Summary!$C$7,"BREACH","")</f>
        <v/>
      </c>
      <c r="P481" s="31" t="n">
        <f aca="false">M481+F481</f>
        <v>14967.64</v>
      </c>
      <c r="Q481" s="31" t="n">
        <f aca="false">P481-Summary!$C$5</f>
        <v>4967.63999999999</v>
      </c>
      <c r="R481" s="2" t="str">
        <f aca="false">TEXT(A481,"ddd")</f>
        <v>Fri</v>
      </c>
    </row>
    <row r="482" customFormat="false" ht="15" hidden="false" customHeight="false" outlineLevel="0" collapsed="false">
      <c r="A482" s="43" t="n">
        <v>45432</v>
      </c>
      <c r="B482" s="29" t="n">
        <f aca="false">COUNTIFS(Trades!$D$2:$D$1146,$A482)</f>
        <v>1</v>
      </c>
      <c r="C482" s="29" t="n">
        <f aca="false">COUNTIFS(Trades!$D$2:$D$1146,$A482,Trades!$Z$2:$Z$1146,"Win")</f>
        <v>0</v>
      </c>
      <c r="D482" s="29" t="n">
        <f aca="false">COUNTIFS(Trades!$D$2:$D$1146,$A482,Trades!$Z$2:$Z$1146,"Loss")</f>
        <v>1</v>
      </c>
      <c r="E482" s="30" t="n">
        <f aca="false">IFERROR(C482/B482,0)</f>
        <v>0</v>
      </c>
      <c r="F482" s="31" t="n">
        <f aca="false">SUMIFS(Trades!$X$2:$X$1146,Trades!$D$2:$D$1146,$A482)</f>
        <v>-11.52</v>
      </c>
      <c r="G482" s="31" t="n">
        <f aca="false">SUMIFS(Trades!$X$2:$X$1146,Trades!$D$2:$D$1146,$A482,Trades!$X$2:$X$1146,"&gt;0")</f>
        <v>0</v>
      </c>
      <c r="H482" s="31" t="n">
        <f aca="false">SUMIFS(Trades!$X$2:$X$1146,Trades!$D$2:$D$1146,$A482,Trades!$X$2:$X$1146,"&lt;0")</f>
        <v>-11.52</v>
      </c>
      <c r="I482" s="32" t="n">
        <f aca="false">IFERROR(G482/-H482,"no loss")</f>
        <v>0</v>
      </c>
      <c r="J482" s="31" t="n">
        <f aca="false">_xlfn.MAXIFS(Trades!$X$2:$X$1146,Trades!$D$2:$D$1146,$A482)</f>
        <v>-11.52</v>
      </c>
      <c r="K482" s="31" t="n">
        <f aca="false">_xlfn.MINIFS(Trades!$X$2:$X$1146,Trades!$D$2:$D$1146,$A482)</f>
        <v>-11.52</v>
      </c>
      <c r="L482" s="33" t="n">
        <f aca="false">SUMIFS(Trades!$Y$2:$Y$1146,Trades!$D$2:$D$1146,$A482)</f>
        <v>-1.0434782608688</v>
      </c>
      <c r="M482" s="31" t="n">
        <f aca="false">P481</f>
        <v>14967.64</v>
      </c>
      <c r="N482" s="30" t="n">
        <f aca="false">IFERROR(F482/M482,0)</f>
        <v>-0.000769660414066614</v>
      </c>
      <c r="O482" s="29" t="str">
        <f aca="false">IF(-N482&gt;=Summary!$C$7,"BREACH","")</f>
        <v/>
      </c>
      <c r="P482" s="31" t="n">
        <f aca="false">M482+F482</f>
        <v>14956.12</v>
      </c>
      <c r="Q482" s="31" t="n">
        <f aca="false">P482-Summary!$C$5</f>
        <v>4956.11999999999</v>
      </c>
      <c r="R482" s="2" t="str">
        <f aca="false">TEXT(A482,"ddd")</f>
        <v>Mon</v>
      </c>
    </row>
    <row r="483" customFormat="false" ht="15" hidden="false" customHeight="false" outlineLevel="0" collapsed="false">
      <c r="A483" s="43" t="n">
        <v>45433</v>
      </c>
      <c r="B483" s="29" t="n">
        <f aca="false">COUNTIFS(Trades!$D$2:$D$1146,$A483)</f>
        <v>1</v>
      </c>
      <c r="C483" s="29" t="n">
        <f aca="false">COUNTIFS(Trades!$D$2:$D$1146,$A483,Trades!$Z$2:$Z$1146,"Win")</f>
        <v>0</v>
      </c>
      <c r="D483" s="29" t="n">
        <f aca="false">COUNTIFS(Trades!$D$2:$D$1146,$A483,Trades!$Z$2:$Z$1146,"Loss")</f>
        <v>1</v>
      </c>
      <c r="E483" s="30" t="n">
        <f aca="false">IFERROR(C483/B483,0)</f>
        <v>0</v>
      </c>
      <c r="F483" s="31" t="n">
        <f aca="false">SUMIFS(Trades!$X$2:$X$1146,Trades!$D$2:$D$1146,$A483)</f>
        <v>-0.51</v>
      </c>
      <c r="G483" s="31" t="n">
        <f aca="false">SUMIFS(Trades!$X$2:$X$1146,Trades!$D$2:$D$1146,$A483,Trades!$X$2:$X$1146,"&gt;0")</f>
        <v>0</v>
      </c>
      <c r="H483" s="31" t="n">
        <f aca="false">SUMIFS(Trades!$X$2:$X$1146,Trades!$D$2:$D$1146,$A483,Trades!$X$2:$X$1146,"&lt;0")</f>
        <v>-0.51</v>
      </c>
      <c r="I483" s="32" t="n">
        <f aca="false">IFERROR(G483/-H483,"no loss")</f>
        <v>0</v>
      </c>
      <c r="J483" s="31" t="n">
        <f aca="false">_xlfn.MAXIFS(Trades!$X$2:$X$1146,Trades!$D$2:$D$1146,$A483)</f>
        <v>-0.51</v>
      </c>
      <c r="K483" s="31" t="n">
        <f aca="false">_xlfn.MINIFS(Trades!$X$2:$X$1146,Trades!$D$2:$D$1146,$A483)</f>
        <v>-0.51</v>
      </c>
      <c r="L483" s="33" t="n">
        <f aca="false">SUMIFS(Trades!$Y$2:$Y$1146,Trades!$D$2:$D$1146,$A483)</f>
        <v>-0.0317757009345665</v>
      </c>
      <c r="M483" s="31" t="n">
        <f aca="false">P482</f>
        <v>14956.12</v>
      </c>
      <c r="N483" s="30" t="n">
        <f aca="false">IFERROR(F483/M483,0)</f>
        <v>-3.40997531445322E-005</v>
      </c>
      <c r="O483" s="29" t="str">
        <f aca="false">IF(-N483&gt;=Summary!$C$7,"BREACH","")</f>
        <v/>
      </c>
      <c r="P483" s="31" t="n">
        <f aca="false">M483+F483</f>
        <v>14955.61</v>
      </c>
      <c r="Q483" s="31" t="n">
        <f aca="false">P483-Summary!$C$5</f>
        <v>4955.60999999999</v>
      </c>
      <c r="R483" s="2" t="str">
        <f aca="false">TEXT(A483,"ddd")</f>
        <v>Tue</v>
      </c>
    </row>
    <row r="484" customFormat="false" ht="15" hidden="false" customHeight="false" outlineLevel="0" collapsed="false">
      <c r="A484" s="43" t="n">
        <v>45434</v>
      </c>
      <c r="B484" s="29" t="n">
        <f aca="false">COUNTIFS(Trades!$D$2:$D$1146,$A484)</f>
        <v>1</v>
      </c>
      <c r="C484" s="29" t="n">
        <f aca="false">COUNTIFS(Trades!$D$2:$D$1146,$A484,Trades!$Z$2:$Z$1146,"Win")</f>
        <v>0</v>
      </c>
      <c r="D484" s="29" t="n">
        <f aca="false">COUNTIFS(Trades!$D$2:$D$1146,$A484,Trades!$Z$2:$Z$1146,"Loss")</f>
        <v>1</v>
      </c>
      <c r="E484" s="30" t="n">
        <f aca="false">IFERROR(C484/B484,0)</f>
        <v>0</v>
      </c>
      <c r="F484" s="31" t="n">
        <f aca="false">SUMIFS(Trades!$X$2:$X$1146,Trades!$D$2:$D$1146,$A484)</f>
        <v>-5.97</v>
      </c>
      <c r="G484" s="31" t="n">
        <f aca="false">SUMIFS(Trades!$X$2:$X$1146,Trades!$D$2:$D$1146,$A484,Trades!$X$2:$X$1146,"&gt;0")</f>
        <v>0</v>
      </c>
      <c r="H484" s="31" t="n">
        <f aca="false">SUMIFS(Trades!$X$2:$X$1146,Trades!$D$2:$D$1146,$A484,Trades!$X$2:$X$1146,"&lt;0")</f>
        <v>-5.97</v>
      </c>
      <c r="I484" s="32" t="n">
        <f aca="false">IFERROR(G484/-H484,"no loss")</f>
        <v>0</v>
      </c>
      <c r="J484" s="31" t="n">
        <f aca="false">_xlfn.MAXIFS(Trades!$X$2:$X$1146,Trades!$D$2:$D$1146,$A484)</f>
        <v>-5.97</v>
      </c>
      <c r="K484" s="31" t="n">
        <f aca="false">_xlfn.MINIFS(Trades!$X$2:$X$1146,Trades!$D$2:$D$1146,$A484)</f>
        <v>-5.97</v>
      </c>
      <c r="L484" s="33" t="n">
        <f aca="false">SUMIFS(Trades!$Y$2:$Y$1146,Trades!$D$2:$D$1146,$A484)</f>
        <v>-1.00505050504888</v>
      </c>
      <c r="M484" s="31" t="n">
        <f aca="false">P483</f>
        <v>14955.61</v>
      </c>
      <c r="N484" s="30" t="n">
        <f aca="false">IFERROR(F484/M484,0)</f>
        <v>-0.000399181310558379</v>
      </c>
      <c r="O484" s="29" t="str">
        <f aca="false">IF(-N484&gt;=Summary!$C$7,"BREACH","")</f>
        <v/>
      </c>
      <c r="P484" s="31" t="n">
        <f aca="false">M484+F484</f>
        <v>14949.64</v>
      </c>
      <c r="Q484" s="31" t="n">
        <f aca="false">P484-Summary!$C$5</f>
        <v>4949.63999999999</v>
      </c>
      <c r="R484" s="2" t="str">
        <f aca="false">TEXT(A484,"ddd")</f>
        <v>Wed</v>
      </c>
    </row>
    <row r="485" customFormat="false" ht="15" hidden="false" customHeight="false" outlineLevel="0" collapsed="false">
      <c r="A485" s="43" t="n">
        <v>45435</v>
      </c>
      <c r="B485" s="29" t="n">
        <f aca="false">COUNTIFS(Trades!$D$2:$D$1146,$A485)</f>
        <v>2</v>
      </c>
      <c r="C485" s="29" t="n">
        <f aca="false">COUNTIFS(Trades!$D$2:$D$1146,$A485,Trades!$Z$2:$Z$1146,"Win")</f>
        <v>1</v>
      </c>
      <c r="D485" s="29" t="n">
        <f aca="false">COUNTIFS(Trades!$D$2:$D$1146,$A485,Trades!$Z$2:$Z$1146,"Loss")</f>
        <v>1</v>
      </c>
      <c r="E485" s="30" t="n">
        <f aca="false">IFERROR(C485/B485,0)</f>
        <v>0.5</v>
      </c>
      <c r="F485" s="31" t="n">
        <f aca="false">SUMIFS(Trades!$X$2:$X$1146,Trades!$D$2:$D$1146,$A485)</f>
        <v>86.17</v>
      </c>
      <c r="G485" s="31" t="n">
        <f aca="false">SUMIFS(Trades!$X$2:$X$1146,Trades!$D$2:$D$1146,$A485,Trades!$X$2:$X$1146,"&gt;0")</f>
        <v>159.09</v>
      </c>
      <c r="H485" s="31" t="n">
        <f aca="false">SUMIFS(Trades!$X$2:$X$1146,Trades!$D$2:$D$1146,$A485,Trades!$X$2:$X$1146,"&lt;0")</f>
        <v>-72.92</v>
      </c>
      <c r="I485" s="32" t="n">
        <f aca="false">IFERROR(G485/-H485,"no loss")</f>
        <v>2.18170597915524</v>
      </c>
      <c r="J485" s="31" t="n">
        <f aca="false">_xlfn.MAXIFS(Trades!$X$2:$X$1146,Trades!$D$2:$D$1146,$A485)</f>
        <v>159.09</v>
      </c>
      <c r="K485" s="31" t="n">
        <f aca="false">_xlfn.MINIFS(Trades!$X$2:$X$1146,Trades!$D$2:$D$1146,$A485)</f>
        <v>-72.92</v>
      </c>
      <c r="L485" s="33" t="n">
        <f aca="false">SUMIFS(Trades!$Y$2:$Y$1146,Trades!$D$2:$D$1146,$A485)</f>
        <v>1.64422656054449</v>
      </c>
      <c r="M485" s="31" t="n">
        <f aca="false">P484</f>
        <v>14949.64</v>
      </c>
      <c r="N485" s="30" t="n">
        <f aca="false">IFERROR(F485/M485,0)</f>
        <v>0.00576401839776744</v>
      </c>
      <c r="O485" s="29" t="str">
        <f aca="false">IF(-N485&gt;=Summary!$C$7,"BREACH","")</f>
        <v/>
      </c>
      <c r="P485" s="31" t="n">
        <f aca="false">M485+F485</f>
        <v>15035.81</v>
      </c>
      <c r="Q485" s="31" t="n">
        <f aca="false">P485-Summary!$C$5</f>
        <v>5035.80999999999</v>
      </c>
      <c r="R485" s="2" t="str">
        <f aca="false">TEXT(A485,"ddd")</f>
        <v>Thu</v>
      </c>
    </row>
    <row r="486" customFormat="false" ht="15" hidden="false" customHeight="false" outlineLevel="0" collapsed="false">
      <c r="A486" s="43" t="n">
        <v>45439</v>
      </c>
      <c r="B486" s="29" t="n">
        <f aca="false">COUNTIFS(Trades!$D$2:$D$1146,$A486)</f>
        <v>1</v>
      </c>
      <c r="C486" s="29" t="n">
        <f aca="false">COUNTIFS(Trades!$D$2:$D$1146,$A486,Trades!$Z$2:$Z$1146,"Win")</f>
        <v>0</v>
      </c>
      <c r="D486" s="29" t="n">
        <f aca="false">COUNTIFS(Trades!$D$2:$D$1146,$A486,Trades!$Z$2:$Z$1146,"Loss")</f>
        <v>1</v>
      </c>
      <c r="E486" s="30" t="n">
        <f aca="false">IFERROR(C486/B486,0)</f>
        <v>0</v>
      </c>
      <c r="F486" s="31" t="n">
        <f aca="false">SUMIFS(Trades!$X$2:$X$1146,Trades!$D$2:$D$1146,$A486)</f>
        <v>-0.06</v>
      </c>
      <c r="G486" s="31" t="n">
        <f aca="false">SUMIFS(Trades!$X$2:$X$1146,Trades!$D$2:$D$1146,$A486,Trades!$X$2:$X$1146,"&gt;0")</f>
        <v>0</v>
      </c>
      <c r="H486" s="31" t="n">
        <f aca="false">SUMIFS(Trades!$X$2:$X$1146,Trades!$D$2:$D$1146,$A486,Trades!$X$2:$X$1146,"&lt;0")</f>
        <v>-0.06</v>
      </c>
      <c r="I486" s="32" t="n">
        <f aca="false">IFERROR(G486/-H486,"no loss")</f>
        <v>0</v>
      </c>
      <c r="J486" s="31" t="n">
        <f aca="false">_xlfn.MAXIFS(Trades!$X$2:$X$1146,Trades!$D$2:$D$1146,$A486)</f>
        <v>-0.06</v>
      </c>
      <c r="K486" s="31" t="n">
        <f aca="false">_xlfn.MINIFS(Trades!$X$2:$X$1146,Trades!$D$2:$D$1146,$A486)</f>
        <v>-0.06</v>
      </c>
      <c r="L486" s="33" t="n">
        <f aca="false">SUMIFS(Trades!$Y$2:$Y$1146,Trades!$D$2:$D$1146,$A486)</f>
        <v>-0.00724637681159841</v>
      </c>
      <c r="M486" s="31" t="n">
        <f aca="false">P485</f>
        <v>15035.81</v>
      </c>
      <c r="N486" s="30" t="n">
        <f aca="false">IFERROR(F486/M486,0)</f>
        <v>-3.99047340981298E-006</v>
      </c>
      <c r="O486" s="29" t="str">
        <f aca="false">IF(-N486&gt;=Summary!$C$7,"BREACH","")</f>
        <v/>
      </c>
      <c r="P486" s="31" t="n">
        <f aca="false">M486+F486</f>
        <v>15035.75</v>
      </c>
      <c r="Q486" s="31" t="n">
        <f aca="false">P486-Summary!$C$5</f>
        <v>5035.74999999999</v>
      </c>
      <c r="R486" s="2" t="str">
        <f aca="false">TEXT(A486,"ddd")</f>
        <v>Mon</v>
      </c>
    </row>
    <row r="487" customFormat="false" ht="15" hidden="false" customHeight="false" outlineLevel="0" collapsed="false">
      <c r="A487" s="43" t="n">
        <v>45440</v>
      </c>
      <c r="B487" s="29" t="n">
        <f aca="false">COUNTIFS(Trades!$D$2:$D$1146,$A487)</f>
        <v>2</v>
      </c>
      <c r="C487" s="29" t="n">
        <f aca="false">COUNTIFS(Trades!$D$2:$D$1146,$A487,Trades!$Z$2:$Z$1146,"Win")</f>
        <v>0</v>
      </c>
      <c r="D487" s="29" t="n">
        <f aca="false">COUNTIFS(Trades!$D$2:$D$1146,$A487,Trades!$Z$2:$Z$1146,"Loss")</f>
        <v>2</v>
      </c>
      <c r="E487" s="30" t="n">
        <f aca="false">IFERROR(C487/B487,0)</f>
        <v>0</v>
      </c>
      <c r="F487" s="31" t="n">
        <f aca="false">SUMIFS(Trades!$X$2:$X$1146,Trades!$D$2:$D$1146,$A487)</f>
        <v>-50.75</v>
      </c>
      <c r="G487" s="31" t="n">
        <f aca="false">SUMIFS(Trades!$X$2:$X$1146,Trades!$D$2:$D$1146,$A487,Trades!$X$2:$X$1146,"&gt;0")</f>
        <v>0</v>
      </c>
      <c r="H487" s="31" t="n">
        <f aca="false">SUMIFS(Trades!$X$2:$X$1146,Trades!$D$2:$D$1146,$A487,Trades!$X$2:$X$1146,"&lt;0")</f>
        <v>-50.75</v>
      </c>
      <c r="I487" s="32" t="n">
        <f aca="false">IFERROR(G487/-H487,"no loss")</f>
        <v>0</v>
      </c>
      <c r="J487" s="31" t="n">
        <f aca="false">_xlfn.MAXIFS(Trades!$X$2:$X$1146,Trades!$D$2:$D$1146,$A487)</f>
        <v>-0.39</v>
      </c>
      <c r="K487" s="31" t="n">
        <f aca="false">_xlfn.MINIFS(Trades!$X$2:$X$1146,Trades!$D$2:$D$1146,$A487)</f>
        <v>-50.36</v>
      </c>
      <c r="L487" s="33" t="n">
        <f aca="false">SUMIFS(Trades!$Y$2:$Y$1146,Trades!$D$2:$D$1146,$A487)</f>
        <v>-1.06966987456668</v>
      </c>
      <c r="M487" s="31" t="n">
        <f aca="false">P486</f>
        <v>15035.75</v>
      </c>
      <c r="N487" s="30" t="n">
        <f aca="false">IFERROR(F487/M487,0)</f>
        <v>-0.00337528889480073</v>
      </c>
      <c r="O487" s="29" t="str">
        <f aca="false">IF(-N487&gt;=Summary!$C$7,"BREACH","")</f>
        <v/>
      </c>
      <c r="P487" s="31" t="n">
        <f aca="false">M487+F487</f>
        <v>14985</v>
      </c>
      <c r="Q487" s="31" t="n">
        <f aca="false">P487-Summary!$C$5</f>
        <v>4984.99999999999</v>
      </c>
      <c r="R487" s="2" t="str">
        <f aca="false">TEXT(A487,"ddd")</f>
        <v>Tue</v>
      </c>
    </row>
    <row r="488" customFormat="false" ht="15" hidden="false" customHeight="false" outlineLevel="0" collapsed="false">
      <c r="A488" s="43" t="n">
        <v>45441</v>
      </c>
      <c r="B488" s="29" t="n">
        <f aca="false">COUNTIFS(Trades!$D$2:$D$1146,$A488)</f>
        <v>1</v>
      </c>
      <c r="C488" s="29" t="n">
        <f aca="false">COUNTIFS(Trades!$D$2:$D$1146,$A488,Trades!$Z$2:$Z$1146,"Win")</f>
        <v>0</v>
      </c>
      <c r="D488" s="29" t="n">
        <f aca="false">COUNTIFS(Trades!$D$2:$D$1146,$A488,Trades!$Z$2:$Z$1146,"Loss")</f>
        <v>1</v>
      </c>
      <c r="E488" s="30" t="n">
        <f aca="false">IFERROR(C488/B488,0)</f>
        <v>0</v>
      </c>
      <c r="F488" s="31" t="n">
        <f aca="false">SUMIFS(Trades!$X$2:$X$1146,Trades!$D$2:$D$1146,$A488)</f>
        <v>-19.23</v>
      </c>
      <c r="G488" s="31" t="n">
        <f aca="false">SUMIFS(Trades!$X$2:$X$1146,Trades!$D$2:$D$1146,$A488,Trades!$X$2:$X$1146,"&gt;0")</f>
        <v>0</v>
      </c>
      <c r="H488" s="31" t="n">
        <f aca="false">SUMIFS(Trades!$X$2:$X$1146,Trades!$D$2:$D$1146,$A488,Trades!$X$2:$X$1146,"&lt;0")</f>
        <v>-19.23</v>
      </c>
      <c r="I488" s="32" t="n">
        <f aca="false">IFERROR(G488/-H488,"no loss")</f>
        <v>0</v>
      </c>
      <c r="J488" s="31" t="n">
        <f aca="false">_xlfn.MAXIFS(Trades!$X$2:$X$1146,Trades!$D$2:$D$1146,$A488)</f>
        <v>-19.23</v>
      </c>
      <c r="K488" s="31" t="n">
        <f aca="false">_xlfn.MINIFS(Trades!$X$2:$X$1146,Trades!$D$2:$D$1146,$A488)</f>
        <v>-19.23</v>
      </c>
      <c r="L488" s="33" t="n">
        <f aca="false">SUMIFS(Trades!$Y$2:$Y$1146,Trades!$D$2:$D$1146,$A488)</f>
        <v>-1.11867364746954</v>
      </c>
      <c r="M488" s="31" t="n">
        <f aca="false">P487</f>
        <v>14985</v>
      </c>
      <c r="N488" s="30" t="n">
        <f aca="false">IFERROR(F488/M488,0)</f>
        <v>-0.00128328328328328</v>
      </c>
      <c r="O488" s="29" t="str">
        <f aca="false">IF(-N488&gt;=Summary!$C$7,"BREACH","")</f>
        <v/>
      </c>
      <c r="P488" s="31" t="n">
        <f aca="false">M488+F488</f>
        <v>14965.77</v>
      </c>
      <c r="Q488" s="31" t="n">
        <f aca="false">P488-Summary!$C$5</f>
        <v>4965.76999999999</v>
      </c>
      <c r="R488" s="2" t="str">
        <f aca="false">TEXT(A488,"ddd")</f>
        <v>Wed</v>
      </c>
    </row>
    <row r="489" customFormat="false" ht="15" hidden="false" customHeight="false" outlineLevel="0" collapsed="false">
      <c r="A489" s="43" t="n">
        <v>45442</v>
      </c>
      <c r="B489" s="29" t="n">
        <f aca="false">COUNTIFS(Trades!$D$2:$D$1146,$A489)</f>
        <v>1</v>
      </c>
      <c r="C489" s="29" t="n">
        <f aca="false">COUNTIFS(Trades!$D$2:$D$1146,$A489,Trades!$Z$2:$Z$1146,"Win")</f>
        <v>1</v>
      </c>
      <c r="D489" s="29" t="n">
        <f aca="false">COUNTIFS(Trades!$D$2:$D$1146,$A489,Trades!$Z$2:$Z$1146,"Loss")</f>
        <v>0</v>
      </c>
      <c r="E489" s="30" t="n">
        <f aca="false">IFERROR(C489/B489,0)</f>
        <v>1</v>
      </c>
      <c r="F489" s="31" t="n">
        <f aca="false">SUMIFS(Trades!$X$2:$X$1146,Trades!$D$2:$D$1146,$A489)</f>
        <v>136.32</v>
      </c>
      <c r="G489" s="31" t="n">
        <f aca="false">SUMIFS(Trades!$X$2:$X$1146,Trades!$D$2:$D$1146,$A489,Trades!$X$2:$X$1146,"&gt;0")</f>
        <v>136.32</v>
      </c>
      <c r="H489" s="31" t="n">
        <f aca="false">SUMIFS(Trades!$X$2:$X$1146,Trades!$D$2:$D$1146,$A489,Trades!$X$2:$X$1146,"&lt;0")</f>
        <v>0</v>
      </c>
      <c r="I489" s="32" t="str">
        <f aca="false">IFERROR(G489/-H489,"no loss")</f>
        <v>no loss</v>
      </c>
      <c r="J489" s="31" t="n">
        <f aca="false">_xlfn.MAXIFS(Trades!$X$2:$X$1146,Trades!$D$2:$D$1146,$A489)</f>
        <v>136.32</v>
      </c>
      <c r="K489" s="31" t="n">
        <f aca="false">_xlfn.MINIFS(Trades!$X$2:$X$1146,Trades!$D$2:$D$1146,$A489)</f>
        <v>136.32</v>
      </c>
      <c r="L489" s="33" t="n">
        <f aca="false">SUMIFS(Trades!$Y$2:$Y$1146,Trades!$D$2:$D$1146,$A489)</f>
        <v>2.45179856115082</v>
      </c>
      <c r="M489" s="31" t="n">
        <f aca="false">P488</f>
        <v>14965.77</v>
      </c>
      <c r="N489" s="30" t="n">
        <f aca="false">IFERROR(F489/M489,0)</f>
        <v>0.00910878625022302</v>
      </c>
      <c r="O489" s="29" t="str">
        <f aca="false">IF(-N489&gt;=Summary!$C$7,"BREACH","")</f>
        <v/>
      </c>
      <c r="P489" s="31" t="n">
        <f aca="false">M489+F489</f>
        <v>15102.09</v>
      </c>
      <c r="Q489" s="31" t="n">
        <f aca="false">P489-Summary!$C$5</f>
        <v>5102.08999999999</v>
      </c>
      <c r="R489" s="2" t="str">
        <f aca="false">TEXT(A489,"ddd")</f>
        <v>Thu</v>
      </c>
    </row>
    <row r="490" customFormat="false" ht="15" hidden="false" customHeight="false" outlineLevel="0" collapsed="false">
      <c r="A490" s="43" t="n">
        <v>45443</v>
      </c>
      <c r="B490" s="29" t="n">
        <f aca="false">COUNTIFS(Trades!$D$2:$D$1146,$A490)</f>
        <v>1</v>
      </c>
      <c r="C490" s="29" t="n">
        <f aca="false">COUNTIFS(Trades!$D$2:$D$1146,$A490,Trades!$Z$2:$Z$1146,"Win")</f>
        <v>1</v>
      </c>
      <c r="D490" s="29" t="n">
        <f aca="false">COUNTIFS(Trades!$D$2:$D$1146,$A490,Trades!$Z$2:$Z$1146,"Loss")</f>
        <v>0</v>
      </c>
      <c r="E490" s="30" t="n">
        <f aca="false">IFERROR(C490/B490,0)</f>
        <v>1</v>
      </c>
      <c r="F490" s="31" t="n">
        <f aca="false">SUMIFS(Trades!$X$2:$X$1146,Trades!$D$2:$D$1146,$A490)</f>
        <v>73.16</v>
      </c>
      <c r="G490" s="31" t="n">
        <f aca="false">SUMIFS(Trades!$X$2:$X$1146,Trades!$D$2:$D$1146,$A490,Trades!$X$2:$X$1146,"&gt;0")</f>
        <v>73.16</v>
      </c>
      <c r="H490" s="31" t="n">
        <f aca="false">SUMIFS(Trades!$X$2:$X$1146,Trades!$D$2:$D$1146,$A490,Trades!$X$2:$X$1146,"&lt;0")</f>
        <v>0</v>
      </c>
      <c r="I490" s="32" t="str">
        <f aca="false">IFERROR(G490/-H490,"no loss")</f>
        <v>no loss</v>
      </c>
      <c r="J490" s="31" t="n">
        <f aca="false">_xlfn.MAXIFS(Trades!$X$2:$X$1146,Trades!$D$2:$D$1146,$A490)</f>
        <v>73.16</v>
      </c>
      <c r="K490" s="31" t="n">
        <f aca="false">_xlfn.MINIFS(Trades!$X$2:$X$1146,Trades!$D$2:$D$1146,$A490)</f>
        <v>73.16</v>
      </c>
      <c r="L490" s="33" t="n">
        <f aca="false">SUMIFS(Trades!$Y$2:$Y$1146,Trades!$D$2:$D$1146,$A490)</f>
        <v>2.49863387978152</v>
      </c>
      <c r="M490" s="31" t="n">
        <f aca="false">P489</f>
        <v>15102.09</v>
      </c>
      <c r="N490" s="30" t="n">
        <f aca="false">IFERROR(F490/M490,0)</f>
        <v>0.00484436260146775</v>
      </c>
      <c r="O490" s="29" t="str">
        <f aca="false">IF(-N490&gt;=Summary!$C$7,"BREACH","")</f>
        <v/>
      </c>
      <c r="P490" s="31" t="n">
        <f aca="false">M490+F490</f>
        <v>15175.25</v>
      </c>
      <c r="Q490" s="31" t="n">
        <f aca="false">P490-Summary!$C$5</f>
        <v>5175.24999999999</v>
      </c>
      <c r="R490" s="2" t="str">
        <f aca="false">TEXT(A490,"ddd")</f>
        <v>Fri</v>
      </c>
    </row>
    <row r="491" customFormat="false" ht="15" hidden="false" customHeight="false" outlineLevel="0" collapsed="false">
      <c r="A491" s="43" t="n">
        <v>45446</v>
      </c>
      <c r="B491" s="29" t="n">
        <f aca="false">COUNTIFS(Trades!$D$2:$D$1146,$A491)</f>
        <v>1</v>
      </c>
      <c r="C491" s="29" t="n">
        <f aca="false">COUNTIFS(Trades!$D$2:$D$1146,$A491,Trades!$Z$2:$Z$1146,"Win")</f>
        <v>1</v>
      </c>
      <c r="D491" s="29" t="n">
        <f aca="false">COUNTIFS(Trades!$D$2:$D$1146,$A491,Trades!$Z$2:$Z$1146,"Loss")</f>
        <v>0</v>
      </c>
      <c r="E491" s="30" t="n">
        <f aca="false">IFERROR(C491/B491,0)</f>
        <v>1</v>
      </c>
      <c r="F491" s="31" t="n">
        <f aca="false">SUMIFS(Trades!$X$2:$X$1146,Trades!$D$2:$D$1146,$A491)</f>
        <v>35.32</v>
      </c>
      <c r="G491" s="31" t="n">
        <f aca="false">SUMIFS(Trades!$X$2:$X$1146,Trades!$D$2:$D$1146,$A491,Trades!$X$2:$X$1146,"&gt;0")</f>
        <v>35.32</v>
      </c>
      <c r="H491" s="31" t="n">
        <f aca="false">SUMIFS(Trades!$X$2:$X$1146,Trades!$D$2:$D$1146,$A491,Trades!$X$2:$X$1146,"&lt;0")</f>
        <v>0</v>
      </c>
      <c r="I491" s="32" t="str">
        <f aca="false">IFERROR(G491/-H491,"no loss")</f>
        <v>no loss</v>
      </c>
      <c r="J491" s="31" t="n">
        <f aca="false">_xlfn.MAXIFS(Trades!$X$2:$X$1146,Trades!$D$2:$D$1146,$A491)</f>
        <v>35.32</v>
      </c>
      <c r="K491" s="31" t="n">
        <f aca="false">_xlfn.MINIFS(Trades!$X$2:$X$1146,Trades!$D$2:$D$1146,$A491)</f>
        <v>35.32</v>
      </c>
      <c r="L491" s="33" t="n">
        <f aca="false">SUMIFS(Trades!$Y$2:$Y$1146,Trades!$D$2:$D$1146,$A491)</f>
        <v>2.51566951566806</v>
      </c>
      <c r="M491" s="31" t="n">
        <f aca="false">P490</f>
        <v>15175.25</v>
      </c>
      <c r="N491" s="30" t="n">
        <f aca="false">IFERROR(F491/M491,0)</f>
        <v>0.00232747401196027</v>
      </c>
      <c r="O491" s="29" t="str">
        <f aca="false">IF(-N491&gt;=Summary!$C$7,"BREACH","")</f>
        <v/>
      </c>
      <c r="P491" s="31" t="n">
        <f aca="false">M491+F491</f>
        <v>15210.57</v>
      </c>
      <c r="Q491" s="31" t="n">
        <f aca="false">P491-Summary!$C$5</f>
        <v>5210.56999999999</v>
      </c>
      <c r="R491" s="2" t="str">
        <f aca="false">TEXT(A491,"ddd")</f>
        <v>Mon</v>
      </c>
    </row>
    <row r="492" customFormat="false" ht="15" hidden="false" customHeight="false" outlineLevel="0" collapsed="false">
      <c r="A492" s="43" t="n">
        <v>45448</v>
      </c>
      <c r="B492" s="29" t="n">
        <f aca="false">COUNTIFS(Trades!$D$2:$D$1146,$A492)</f>
        <v>1</v>
      </c>
      <c r="C492" s="29" t="n">
        <f aca="false">COUNTIFS(Trades!$D$2:$D$1146,$A492,Trades!$Z$2:$Z$1146,"Win")</f>
        <v>0</v>
      </c>
      <c r="D492" s="29" t="n">
        <f aca="false">COUNTIFS(Trades!$D$2:$D$1146,$A492,Trades!$Z$2:$Z$1146,"Loss")</f>
        <v>1</v>
      </c>
      <c r="E492" s="30" t="n">
        <f aca="false">IFERROR(C492/B492,0)</f>
        <v>0</v>
      </c>
      <c r="F492" s="31" t="n">
        <f aca="false">SUMIFS(Trades!$X$2:$X$1146,Trades!$D$2:$D$1146,$A492)</f>
        <v>-18.08</v>
      </c>
      <c r="G492" s="31" t="n">
        <f aca="false">SUMIFS(Trades!$X$2:$X$1146,Trades!$D$2:$D$1146,$A492,Trades!$X$2:$X$1146,"&gt;0")</f>
        <v>0</v>
      </c>
      <c r="H492" s="31" t="n">
        <f aca="false">SUMIFS(Trades!$X$2:$X$1146,Trades!$D$2:$D$1146,$A492,Trades!$X$2:$X$1146,"&lt;0")</f>
        <v>-18.08</v>
      </c>
      <c r="I492" s="32" t="n">
        <f aca="false">IFERROR(G492/-H492,"no loss")</f>
        <v>0</v>
      </c>
      <c r="J492" s="31" t="n">
        <f aca="false">_xlfn.MAXIFS(Trades!$X$2:$X$1146,Trades!$D$2:$D$1146,$A492)</f>
        <v>-18.08</v>
      </c>
      <c r="K492" s="31" t="n">
        <f aca="false">_xlfn.MINIFS(Trades!$X$2:$X$1146,Trades!$D$2:$D$1146,$A492)</f>
        <v>-18.08</v>
      </c>
      <c r="L492" s="33" t="n">
        <f aca="false">SUMIFS(Trades!$Y$2:$Y$1146,Trades!$D$2:$D$1146,$A492)</f>
        <v>-1.00000000000071</v>
      </c>
      <c r="M492" s="31" t="n">
        <f aca="false">P491</f>
        <v>15210.57</v>
      </c>
      <c r="N492" s="30" t="n">
        <f aca="false">IFERROR(F492/M492,0)</f>
        <v>-0.00118864710526956</v>
      </c>
      <c r="O492" s="29" t="str">
        <f aca="false">IF(-N492&gt;=Summary!$C$7,"BREACH","")</f>
        <v/>
      </c>
      <c r="P492" s="31" t="n">
        <f aca="false">M492+F492</f>
        <v>15192.49</v>
      </c>
      <c r="Q492" s="31" t="n">
        <f aca="false">P492-Summary!$C$5</f>
        <v>5192.48999999999</v>
      </c>
      <c r="R492" s="2" t="str">
        <f aca="false">TEXT(A492,"ddd")</f>
        <v>Wed</v>
      </c>
    </row>
    <row r="493" customFormat="false" ht="15" hidden="false" customHeight="false" outlineLevel="0" collapsed="false">
      <c r="A493" s="43" t="n">
        <v>45449</v>
      </c>
      <c r="B493" s="29" t="n">
        <f aca="false">COUNTIFS(Trades!$D$2:$D$1146,$A493)</f>
        <v>1</v>
      </c>
      <c r="C493" s="29" t="n">
        <f aca="false">COUNTIFS(Trades!$D$2:$D$1146,$A493,Trades!$Z$2:$Z$1146,"Win")</f>
        <v>0</v>
      </c>
      <c r="D493" s="29" t="n">
        <f aca="false">COUNTIFS(Trades!$D$2:$D$1146,$A493,Trades!$Z$2:$Z$1146,"Loss")</f>
        <v>1</v>
      </c>
      <c r="E493" s="30" t="n">
        <f aca="false">IFERROR(C493/B493,0)</f>
        <v>0</v>
      </c>
      <c r="F493" s="31" t="n">
        <f aca="false">SUMIFS(Trades!$X$2:$X$1146,Trades!$D$2:$D$1146,$A493)</f>
        <v>-18.93</v>
      </c>
      <c r="G493" s="31" t="n">
        <f aca="false">SUMIFS(Trades!$X$2:$X$1146,Trades!$D$2:$D$1146,$A493,Trades!$X$2:$X$1146,"&gt;0")</f>
        <v>0</v>
      </c>
      <c r="H493" s="31" t="n">
        <f aca="false">SUMIFS(Trades!$X$2:$X$1146,Trades!$D$2:$D$1146,$A493,Trades!$X$2:$X$1146,"&lt;0")</f>
        <v>-18.93</v>
      </c>
      <c r="I493" s="32" t="n">
        <f aca="false">IFERROR(G493/-H493,"no loss")</f>
        <v>0</v>
      </c>
      <c r="J493" s="31" t="n">
        <f aca="false">_xlfn.MAXIFS(Trades!$X$2:$X$1146,Trades!$D$2:$D$1146,$A493)</f>
        <v>-18.93</v>
      </c>
      <c r="K493" s="31" t="n">
        <f aca="false">_xlfn.MINIFS(Trades!$X$2:$X$1146,Trades!$D$2:$D$1146,$A493)</f>
        <v>-18.93</v>
      </c>
      <c r="L493" s="33" t="n">
        <f aca="false">SUMIFS(Trades!$Y$2:$Y$1146,Trades!$D$2:$D$1146,$A493)</f>
        <v>-1.00317965023833</v>
      </c>
      <c r="M493" s="31" t="n">
        <f aca="false">P492</f>
        <v>15192.49</v>
      </c>
      <c r="N493" s="30" t="n">
        <f aca="false">IFERROR(F493/M493,0)</f>
        <v>-0.00124601036433133</v>
      </c>
      <c r="O493" s="29" t="str">
        <f aca="false">IF(-N493&gt;=Summary!$C$7,"BREACH","")</f>
        <v/>
      </c>
      <c r="P493" s="31" t="n">
        <f aca="false">M493+F493</f>
        <v>15173.56</v>
      </c>
      <c r="Q493" s="31" t="n">
        <f aca="false">P493-Summary!$C$5</f>
        <v>5173.55999999999</v>
      </c>
      <c r="R493" s="2" t="str">
        <f aca="false">TEXT(A493,"ddd")</f>
        <v>Thu</v>
      </c>
    </row>
    <row r="494" customFormat="false" ht="15" hidden="false" customHeight="false" outlineLevel="0" collapsed="false">
      <c r="A494" s="43" t="n">
        <v>45450</v>
      </c>
      <c r="B494" s="29" t="n">
        <f aca="false">COUNTIFS(Trades!$D$2:$D$1146,$A494)</f>
        <v>2</v>
      </c>
      <c r="C494" s="29" t="n">
        <f aca="false">COUNTIFS(Trades!$D$2:$D$1146,$A494,Trades!$Z$2:$Z$1146,"Win")</f>
        <v>0</v>
      </c>
      <c r="D494" s="29" t="n">
        <f aca="false">COUNTIFS(Trades!$D$2:$D$1146,$A494,Trades!$Z$2:$Z$1146,"Loss")</f>
        <v>2</v>
      </c>
      <c r="E494" s="30" t="n">
        <f aca="false">IFERROR(C494/B494,0)</f>
        <v>0</v>
      </c>
      <c r="F494" s="31" t="n">
        <f aca="false">SUMIFS(Trades!$X$2:$X$1146,Trades!$D$2:$D$1146,$A494)</f>
        <v>-122.52</v>
      </c>
      <c r="G494" s="31" t="n">
        <f aca="false">SUMIFS(Trades!$X$2:$X$1146,Trades!$D$2:$D$1146,$A494,Trades!$X$2:$X$1146,"&gt;0")</f>
        <v>0</v>
      </c>
      <c r="H494" s="31" t="n">
        <f aca="false">SUMIFS(Trades!$X$2:$X$1146,Trades!$D$2:$D$1146,$A494,Trades!$X$2:$X$1146,"&lt;0")</f>
        <v>-122.52</v>
      </c>
      <c r="I494" s="32" t="n">
        <f aca="false">IFERROR(G494/-H494,"no loss")</f>
        <v>0</v>
      </c>
      <c r="J494" s="31" t="n">
        <f aca="false">_xlfn.MAXIFS(Trades!$X$2:$X$1146,Trades!$D$2:$D$1146,$A494)</f>
        <v>-25.71</v>
      </c>
      <c r="K494" s="31" t="n">
        <f aca="false">_xlfn.MINIFS(Trades!$X$2:$X$1146,Trades!$D$2:$D$1146,$A494)</f>
        <v>-96.81</v>
      </c>
      <c r="L494" s="33" t="n">
        <f aca="false">SUMIFS(Trades!$Y$2:$Y$1146,Trades!$D$2:$D$1146,$A494)</f>
        <v>-2.04872302903443</v>
      </c>
      <c r="M494" s="31" t="n">
        <f aca="false">P493</f>
        <v>15173.56</v>
      </c>
      <c r="N494" s="30" t="n">
        <f aca="false">IFERROR(F494/M494,0)</f>
        <v>-0.00807457182098335</v>
      </c>
      <c r="O494" s="29" t="str">
        <f aca="false">IF(-N494&gt;=Summary!$C$7,"BREACH","")</f>
        <v/>
      </c>
      <c r="P494" s="31" t="n">
        <f aca="false">M494+F494</f>
        <v>15051.04</v>
      </c>
      <c r="Q494" s="31" t="n">
        <f aca="false">P494-Summary!$C$5</f>
        <v>5051.03999999999</v>
      </c>
      <c r="R494" s="2" t="str">
        <f aca="false">TEXT(A494,"ddd")</f>
        <v>Fri</v>
      </c>
    </row>
    <row r="495" customFormat="false" ht="15" hidden="false" customHeight="false" outlineLevel="0" collapsed="false">
      <c r="A495" s="43" t="n">
        <v>45454</v>
      </c>
      <c r="B495" s="29" t="n">
        <f aca="false">COUNTIFS(Trades!$D$2:$D$1146,$A495)</f>
        <v>1</v>
      </c>
      <c r="C495" s="29" t="n">
        <f aca="false">COUNTIFS(Trades!$D$2:$D$1146,$A495,Trades!$Z$2:$Z$1146,"Win")</f>
        <v>0</v>
      </c>
      <c r="D495" s="29" t="n">
        <f aca="false">COUNTIFS(Trades!$D$2:$D$1146,$A495,Trades!$Z$2:$Z$1146,"Loss")</f>
        <v>1</v>
      </c>
      <c r="E495" s="30" t="n">
        <f aca="false">IFERROR(C495/B495,0)</f>
        <v>0</v>
      </c>
      <c r="F495" s="31" t="n">
        <f aca="false">SUMIFS(Trades!$X$2:$X$1146,Trades!$D$2:$D$1146,$A495)</f>
        <v>-0.3</v>
      </c>
      <c r="G495" s="31" t="n">
        <f aca="false">SUMIFS(Trades!$X$2:$X$1146,Trades!$D$2:$D$1146,$A495,Trades!$X$2:$X$1146,"&gt;0")</f>
        <v>0</v>
      </c>
      <c r="H495" s="31" t="n">
        <f aca="false">SUMIFS(Trades!$X$2:$X$1146,Trades!$D$2:$D$1146,$A495,Trades!$X$2:$X$1146,"&lt;0")</f>
        <v>-0.3</v>
      </c>
      <c r="I495" s="32" t="n">
        <f aca="false">IFERROR(G495/-H495,"no loss")</f>
        <v>0</v>
      </c>
      <c r="J495" s="31" t="n">
        <f aca="false">_xlfn.MAXIFS(Trades!$X$2:$X$1146,Trades!$D$2:$D$1146,$A495)</f>
        <v>-0.3</v>
      </c>
      <c r="K495" s="31" t="n">
        <f aca="false">_xlfn.MINIFS(Trades!$X$2:$X$1146,Trades!$D$2:$D$1146,$A495)</f>
        <v>-0.3</v>
      </c>
      <c r="L495" s="33" t="n">
        <f aca="false">SUMIFS(Trades!$Y$2:$Y$1146,Trades!$D$2:$D$1146,$A495)</f>
        <v>-0.0120336943441618</v>
      </c>
      <c r="M495" s="31" t="n">
        <f aca="false">P494</f>
        <v>15051.04</v>
      </c>
      <c r="N495" s="30" t="n">
        <f aca="false">IFERROR(F495/M495,0)</f>
        <v>-1.99321774442165E-005</v>
      </c>
      <c r="O495" s="29" t="str">
        <f aca="false">IF(-N495&gt;=Summary!$C$7,"BREACH","")</f>
        <v/>
      </c>
      <c r="P495" s="31" t="n">
        <f aca="false">M495+F495</f>
        <v>15050.74</v>
      </c>
      <c r="Q495" s="31" t="n">
        <f aca="false">P495-Summary!$C$5</f>
        <v>5050.73999999999</v>
      </c>
      <c r="R495" s="2" t="str">
        <f aca="false">TEXT(A495,"ddd")</f>
        <v>Tue</v>
      </c>
    </row>
    <row r="496" customFormat="false" ht="15" hidden="false" customHeight="false" outlineLevel="0" collapsed="false">
      <c r="A496" s="43" t="n">
        <v>45455</v>
      </c>
      <c r="B496" s="29" t="n">
        <f aca="false">COUNTIFS(Trades!$D$2:$D$1146,$A496)</f>
        <v>1</v>
      </c>
      <c r="C496" s="29" t="n">
        <f aca="false">COUNTIFS(Trades!$D$2:$D$1146,$A496,Trades!$Z$2:$Z$1146,"Win")</f>
        <v>0</v>
      </c>
      <c r="D496" s="29" t="n">
        <f aca="false">COUNTIFS(Trades!$D$2:$D$1146,$A496,Trades!$Z$2:$Z$1146,"Loss")</f>
        <v>1</v>
      </c>
      <c r="E496" s="30" t="n">
        <f aca="false">IFERROR(C496/B496,0)</f>
        <v>0</v>
      </c>
      <c r="F496" s="31" t="n">
        <f aca="false">SUMIFS(Trades!$X$2:$X$1146,Trades!$D$2:$D$1146,$A496)</f>
        <v>-6.63</v>
      </c>
      <c r="G496" s="31" t="n">
        <f aca="false">SUMIFS(Trades!$X$2:$X$1146,Trades!$D$2:$D$1146,$A496,Trades!$X$2:$X$1146,"&gt;0")</f>
        <v>0</v>
      </c>
      <c r="H496" s="31" t="n">
        <f aca="false">SUMIFS(Trades!$X$2:$X$1146,Trades!$D$2:$D$1146,$A496,Trades!$X$2:$X$1146,"&lt;0")</f>
        <v>-6.63</v>
      </c>
      <c r="I496" s="32" t="n">
        <f aca="false">IFERROR(G496/-H496,"no loss")</f>
        <v>0</v>
      </c>
      <c r="J496" s="31" t="n">
        <f aca="false">_xlfn.MAXIFS(Trades!$X$2:$X$1146,Trades!$D$2:$D$1146,$A496)</f>
        <v>-6.63</v>
      </c>
      <c r="K496" s="31" t="n">
        <f aca="false">_xlfn.MINIFS(Trades!$X$2:$X$1146,Trades!$D$2:$D$1146,$A496)</f>
        <v>-6.63</v>
      </c>
      <c r="L496" s="33" t="n">
        <f aca="false">SUMIFS(Trades!$Y$2:$Y$1146,Trades!$D$2:$D$1146,$A496)</f>
        <v>-1.0833333333348</v>
      </c>
      <c r="M496" s="31" t="n">
        <f aca="false">P495</f>
        <v>15050.74</v>
      </c>
      <c r="N496" s="30" t="n">
        <f aca="false">IFERROR(F496/M496,0)</f>
        <v>-0.000440509901838714</v>
      </c>
      <c r="O496" s="29" t="str">
        <f aca="false">IF(-N496&gt;=Summary!$C$7,"BREACH","")</f>
        <v/>
      </c>
      <c r="P496" s="31" t="n">
        <f aca="false">M496+F496</f>
        <v>15044.11</v>
      </c>
      <c r="Q496" s="31" t="n">
        <f aca="false">P496-Summary!$C$5</f>
        <v>5044.10999999999</v>
      </c>
      <c r="R496" s="2" t="str">
        <f aca="false">TEXT(A496,"ddd")</f>
        <v>Wed</v>
      </c>
    </row>
    <row r="497" customFormat="false" ht="15" hidden="false" customHeight="false" outlineLevel="0" collapsed="false">
      <c r="A497" s="43" t="n">
        <v>45456</v>
      </c>
      <c r="B497" s="29" t="n">
        <f aca="false">COUNTIFS(Trades!$D$2:$D$1146,$A497)</f>
        <v>1</v>
      </c>
      <c r="C497" s="29" t="n">
        <f aca="false">COUNTIFS(Trades!$D$2:$D$1146,$A497,Trades!$Z$2:$Z$1146,"Win")</f>
        <v>1</v>
      </c>
      <c r="D497" s="29" t="n">
        <f aca="false">COUNTIFS(Trades!$D$2:$D$1146,$A497,Trades!$Z$2:$Z$1146,"Loss")</f>
        <v>0</v>
      </c>
      <c r="E497" s="30" t="n">
        <f aca="false">IFERROR(C497/B497,0)</f>
        <v>1</v>
      </c>
      <c r="F497" s="31" t="n">
        <f aca="false">SUMIFS(Trades!$X$2:$X$1146,Trades!$D$2:$D$1146,$A497)</f>
        <v>204.84</v>
      </c>
      <c r="G497" s="31" t="n">
        <f aca="false">SUMIFS(Trades!$X$2:$X$1146,Trades!$D$2:$D$1146,$A497,Trades!$X$2:$X$1146,"&gt;0")</f>
        <v>204.84</v>
      </c>
      <c r="H497" s="31" t="n">
        <f aca="false">SUMIFS(Trades!$X$2:$X$1146,Trades!$D$2:$D$1146,$A497,Trades!$X$2:$X$1146,"&lt;0")</f>
        <v>0</v>
      </c>
      <c r="I497" s="32" t="str">
        <f aca="false">IFERROR(G497/-H497,"no loss")</f>
        <v>no loss</v>
      </c>
      <c r="J497" s="31" t="n">
        <f aca="false">_xlfn.MAXIFS(Trades!$X$2:$X$1146,Trades!$D$2:$D$1146,$A497)</f>
        <v>204.84</v>
      </c>
      <c r="K497" s="31" t="n">
        <f aca="false">_xlfn.MINIFS(Trades!$X$2:$X$1146,Trades!$D$2:$D$1146,$A497)</f>
        <v>204.84</v>
      </c>
      <c r="L497" s="33" t="n">
        <f aca="false">SUMIFS(Trades!$Y$2:$Y$1146,Trades!$D$2:$D$1146,$A497)</f>
        <v>2.45258620689654</v>
      </c>
      <c r="M497" s="31" t="n">
        <f aca="false">P496</f>
        <v>15044.11</v>
      </c>
      <c r="N497" s="30" t="n">
        <f aca="false">IFERROR(F497/M497,0)</f>
        <v>0.0136159600002925</v>
      </c>
      <c r="O497" s="29" t="str">
        <f aca="false">IF(-N497&gt;=Summary!$C$7,"BREACH","")</f>
        <v/>
      </c>
      <c r="P497" s="31" t="n">
        <f aca="false">M497+F497</f>
        <v>15248.95</v>
      </c>
      <c r="Q497" s="31" t="n">
        <f aca="false">P497-Summary!$C$5</f>
        <v>5248.94999999999</v>
      </c>
      <c r="R497" s="2" t="str">
        <f aca="false">TEXT(A497,"ddd")</f>
        <v>Thu</v>
      </c>
    </row>
    <row r="498" customFormat="false" ht="15" hidden="false" customHeight="false" outlineLevel="0" collapsed="false">
      <c r="A498" s="43" t="n">
        <v>45460</v>
      </c>
      <c r="B498" s="29" t="n">
        <f aca="false">COUNTIFS(Trades!$D$2:$D$1146,$A498)</f>
        <v>1</v>
      </c>
      <c r="C498" s="29" t="n">
        <f aca="false">COUNTIFS(Trades!$D$2:$D$1146,$A498,Trades!$Z$2:$Z$1146,"Win")</f>
        <v>1</v>
      </c>
      <c r="D498" s="29" t="n">
        <f aca="false">COUNTIFS(Trades!$D$2:$D$1146,$A498,Trades!$Z$2:$Z$1146,"Loss")</f>
        <v>0</v>
      </c>
      <c r="E498" s="30" t="n">
        <f aca="false">IFERROR(C498/B498,0)</f>
        <v>1</v>
      </c>
      <c r="F498" s="31" t="n">
        <f aca="false">SUMIFS(Trades!$X$2:$X$1146,Trades!$D$2:$D$1146,$A498)</f>
        <v>73.32</v>
      </c>
      <c r="G498" s="31" t="n">
        <f aca="false">SUMIFS(Trades!$X$2:$X$1146,Trades!$D$2:$D$1146,$A498,Trades!$X$2:$X$1146,"&gt;0")</f>
        <v>73.32</v>
      </c>
      <c r="H498" s="31" t="n">
        <f aca="false">SUMIFS(Trades!$X$2:$X$1146,Trades!$D$2:$D$1146,$A498,Trades!$X$2:$X$1146,"&lt;0")</f>
        <v>0</v>
      </c>
      <c r="I498" s="32" t="str">
        <f aca="false">IFERROR(G498/-H498,"no loss")</f>
        <v>no loss</v>
      </c>
      <c r="J498" s="31" t="n">
        <f aca="false">_xlfn.MAXIFS(Trades!$X$2:$X$1146,Trades!$D$2:$D$1146,$A498)</f>
        <v>73.32</v>
      </c>
      <c r="K498" s="31" t="n">
        <f aca="false">_xlfn.MINIFS(Trades!$X$2:$X$1146,Trades!$D$2:$D$1146,$A498)</f>
        <v>73.32</v>
      </c>
      <c r="L498" s="33" t="n">
        <f aca="false">SUMIFS(Trades!$Y$2:$Y$1146,Trades!$D$2:$D$1146,$A498)</f>
        <v>2.45135406218627</v>
      </c>
      <c r="M498" s="31" t="n">
        <f aca="false">P497</f>
        <v>15248.95</v>
      </c>
      <c r="N498" s="30" t="n">
        <f aca="false">IFERROR(F498/M498,0)</f>
        <v>0.00480819990884619</v>
      </c>
      <c r="O498" s="29" t="str">
        <f aca="false">IF(-N498&gt;=Summary!$C$7,"BREACH","")</f>
        <v/>
      </c>
      <c r="P498" s="31" t="n">
        <f aca="false">M498+F498</f>
        <v>15322.27</v>
      </c>
      <c r="Q498" s="31" t="n">
        <f aca="false">P498-Summary!$C$5</f>
        <v>5322.26999999999</v>
      </c>
      <c r="R498" s="2" t="str">
        <f aca="false">TEXT(A498,"ddd")</f>
        <v>Mon</v>
      </c>
    </row>
    <row r="499" customFormat="false" ht="15" hidden="false" customHeight="false" outlineLevel="0" collapsed="false">
      <c r="A499" s="43" t="n">
        <v>45463</v>
      </c>
      <c r="B499" s="29" t="n">
        <f aca="false">COUNTIFS(Trades!$D$2:$D$1146,$A499)</f>
        <v>2</v>
      </c>
      <c r="C499" s="29" t="n">
        <f aca="false">COUNTIFS(Trades!$D$2:$D$1146,$A499,Trades!$Z$2:$Z$1146,"Win")</f>
        <v>0</v>
      </c>
      <c r="D499" s="29" t="n">
        <f aca="false">COUNTIFS(Trades!$D$2:$D$1146,$A499,Trades!$Z$2:$Z$1146,"Loss")</f>
        <v>2</v>
      </c>
      <c r="E499" s="30" t="n">
        <f aca="false">IFERROR(C499/B499,0)</f>
        <v>0</v>
      </c>
      <c r="F499" s="31" t="n">
        <f aca="false">SUMIFS(Trades!$X$2:$X$1146,Trades!$D$2:$D$1146,$A499)</f>
        <v>-57.12</v>
      </c>
      <c r="G499" s="31" t="n">
        <f aca="false">SUMIFS(Trades!$X$2:$X$1146,Trades!$D$2:$D$1146,$A499,Trades!$X$2:$X$1146,"&gt;0")</f>
        <v>0</v>
      </c>
      <c r="H499" s="31" t="n">
        <f aca="false">SUMIFS(Trades!$X$2:$X$1146,Trades!$D$2:$D$1146,$A499,Trades!$X$2:$X$1146,"&lt;0")</f>
        <v>-57.12</v>
      </c>
      <c r="I499" s="32" t="n">
        <f aca="false">IFERROR(G499/-H499,"no loss")</f>
        <v>0</v>
      </c>
      <c r="J499" s="31" t="n">
        <f aca="false">_xlfn.MAXIFS(Trades!$X$2:$X$1146,Trades!$D$2:$D$1146,$A499)</f>
        <v>-0.3</v>
      </c>
      <c r="K499" s="31" t="n">
        <f aca="false">_xlfn.MINIFS(Trades!$X$2:$X$1146,Trades!$D$2:$D$1146,$A499)</f>
        <v>-56.82</v>
      </c>
      <c r="L499" s="33" t="n">
        <f aca="false">SUMIFS(Trades!$Y$2:$Y$1146,Trades!$D$2:$D$1146,$A499)</f>
        <v>-1.09345008019786</v>
      </c>
      <c r="M499" s="31" t="n">
        <f aca="false">P498</f>
        <v>15322.27</v>
      </c>
      <c r="N499" s="30" t="n">
        <f aca="false">IFERROR(F499/M499,0)</f>
        <v>-0.00372790715735985</v>
      </c>
      <c r="O499" s="29" t="str">
        <f aca="false">IF(-N499&gt;=Summary!$C$7,"BREACH","")</f>
        <v/>
      </c>
      <c r="P499" s="31" t="n">
        <f aca="false">M499+F499</f>
        <v>15265.15</v>
      </c>
      <c r="Q499" s="31" t="n">
        <f aca="false">P499-Summary!$C$5</f>
        <v>5265.14999999999</v>
      </c>
      <c r="R499" s="2" t="str">
        <f aca="false">TEXT(A499,"ddd")</f>
        <v>Thu</v>
      </c>
    </row>
    <row r="500" customFormat="false" ht="15" hidden="false" customHeight="false" outlineLevel="0" collapsed="false">
      <c r="A500" s="43" t="n">
        <v>45464</v>
      </c>
      <c r="B500" s="29" t="n">
        <f aca="false">COUNTIFS(Trades!$D$2:$D$1146,$A500)</f>
        <v>1</v>
      </c>
      <c r="C500" s="29" t="n">
        <f aca="false">COUNTIFS(Trades!$D$2:$D$1146,$A500,Trades!$Z$2:$Z$1146,"Win")</f>
        <v>0</v>
      </c>
      <c r="D500" s="29" t="n">
        <f aca="false">COUNTIFS(Trades!$D$2:$D$1146,$A500,Trades!$Z$2:$Z$1146,"Loss")</f>
        <v>1</v>
      </c>
      <c r="E500" s="30" t="n">
        <f aca="false">IFERROR(C500/B500,0)</f>
        <v>0</v>
      </c>
      <c r="F500" s="31" t="n">
        <f aca="false">SUMIFS(Trades!$X$2:$X$1146,Trades!$D$2:$D$1146,$A500)</f>
        <v>-24.45</v>
      </c>
      <c r="G500" s="31" t="n">
        <f aca="false">SUMIFS(Trades!$X$2:$X$1146,Trades!$D$2:$D$1146,$A500,Trades!$X$2:$X$1146,"&gt;0")</f>
        <v>0</v>
      </c>
      <c r="H500" s="31" t="n">
        <f aca="false">SUMIFS(Trades!$X$2:$X$1146,Trades!$D$2:$D$1146,$A500,Trades!$X$2:$X$1146,"&lt;0")</f>
        <v>-24.45</v>
      </c>
      <c r="I500" s="32" t="n">
        <f aca="false">IFERROR(G500/-H500,"no loss")</f>
        <v>0</v>
      </c>
      <c r="J500" s="31" t="n">
        <f aca="false">_xlfn.MAXIFS(Trades!$X$2:$X$1146,Trades!$D$2:$D$1146,$A500)</f>
        <v>-24.45</v>
      </c>
      <c r="K500" s="31" t="n">
        <f aca="false">_xlfn.MINIFS(Trades!$X$2:$X$1146,Trades!$D$2:$D$1146,$A500)</f>
        <v>-24.45</v>
      </c>
      <c r="L500" s="33" t="n">
        <f aca="false">SUMIFS(Trades!$Y$2:$Y$1146,Trades!$D$2:$D$1146,$A500)</f>
        <v>-1.00866336633642</v>
      </c>
      <c r="M500" s="31" t="n">
        <f aca="false">P499</f>
        <v>15265.15</v>
      </c>
      <c r="N500" s="30" t="n">
        <f aca="false">IFERROR(F500/M500,0)</f>
        <v>-0.00160168750388958</v>
      </c>
      <c r="O500" s="29" t="str">
        <f aca="false">IF(-N500&gt;=Summary!$C$7,"BREACH","")</f>
        <v/>
      </c>
      <c r="P500" s="31" t="n">
        <f aca="false">M500+F500</f>
        <v>15240.7</v>
      </c>
      <c r="Q500" s="31" t="n">
        <f aca="false">P500-Summary!$C$5</f>
        <v>5240.69999999999</v>
      </c>
      <c r="R500" s="2" t="str">
        <f aca="false">TEXT(A500,"ddd")</f>
        <v>Fri</v>
      </c>
    </row>
    <row r="501" customFormat="false" ht="15" hidden="false" customHeight="false" outlineLevel="0" collapsed="false">
      <c r="A501" s="43" t="n">
        <v>45467</v>
      </c>
      <c r="B501" s="29" t="n">
        <f aca="false">COUNTIFS(Trades!$D$2:$D$1146,$A501)</f>
        <v>1</v>
      </c>
      <c r="C501" s="29" t="n">
        <f aca="false">COUNTIFS(Trades!$D$2:$D$1146,$A501,Trades!$Z$2:$Z$1146,"Win")</f>
        <v>0</v>
      </c>
      <c r="D501" s="29" t="n">
        <f aca="false">COUNTIFS(Trades!$D$2:$D$1146,$A501,Trades!$Z$2:$Z$1146,"Loss")</f>
        <v>1</v>
      </c>
      <c r="E501" s="30" t="n">
        <f aca="false">IFERROR(C501/B501,0)</f>
        <v>0</v>
      </c>
      <c r="F501" s="31" t="n">
        <f aca="false">SUMIFS(Trades!$X$2:$X$1146,Trades!$D$2:$D$1146,$A501)</f>
        <v>-0.33</v>
      </c>
      <c r="G501" s="31" t="n">
        <f aca="false">SUMIFS(Trades!$X$2:$X$1146,Trades!$D$2:$D$1146,$A501,Trades!$X$2:$X$1146,"&gt;0")</f>
        <v>0</v>
      </c>
      <c r="H501" s="31" t="n">
        <f aca="false">SUMIFS(Trades!$X$2:$X$1146,Trades!$D$2:$D$1146,$A501,Trades!$X$2:$X$1146,"&lt;0")</f>
        <v>-0.33</v>
      </c>
      <c r="I501" s="32" t="n">
        <f aca="false">IFERROR(G501/-H501,"no loss")</f>
        <v>0</v>
      </c>
      <c r="J501" s="31" t="n">
        <f aca="false">_xlfn.MAXIFS(Trades!$X$2:$X$1146,Trades!$D$2:$D$1146,$A501)</f>
        <v>-0.33</v>
      </c>
      <c r="K501" s="31" t="n">
        <f aca="false">_xlfn.MINIFS(Trades!$X$2:$X$1146,Trades!$D$2:$D$1146,$A501)</f>
        <v>-0.33</v>
      </c>
      <c r="L501" s="33" t="n">
        <f aca="false">SUMIFS(Trades!$Y$2:$Y$1146,Trades!$D$2:$D$1146,$A501)</f>
        <v>-0.0163690476190448</v>
      </c>
      <c r="M501" s="31" t="n">
        <f aca="false">P500</f>
        <v>15240.7</v>
      </c>
      <c r="N501" s="30" t="n">
        <f aca="false">IFERROR(F501/M501,0)</f>
        <v>-2.16525487674451E-005</v>
      </c>
      <c r="O501" s="29" t="str">
        <f aca="false">IF(-N501&gt;=Summary!$C$7,"BREACH","")</f>
        <v/>
      </c>
      <c r="P501" s="31" t="n">
        <f aca="false">M501+F501</f>
        <v>15240.37</v>
      </c>
      <c r="Q501" s="31" t="n">
        <f aca="false">P501-Summary!$C$5</f>
        <v>5240.36999999999</v>
      </c>
      <c r="R501" s="2" t="str">
        <f aca="false">TEXT(A501,"ddd")</f>
        <v>Mon</v>
      </c>
    </row>
    <row r="502" customFormat="false" ht="15" hidden="false" customHeight="false" outlineLevel="0" collapsed="false">
      <c r="A502" s="43" t="n">
        <v>45469</v>
      </c>
      <c r="B502" s="29" t="n">
        <f aca="false">COUNTIFS(Trades!$D$2:$D$1146,$A502)</f>
        <v>1</v>
      </c>
      <c r="C502" s="29" t="n">
        <f aca="false">COUNTIFS(Trades!$D$2:$D$1146,$A502,Trades!$Z$2:$Z$1146,"Win")</f>
        <v>0</v>
      </c>
      <c r="D502" s="29" t="n">
        <f aca="false">COUNTIFS(Trades!$D$2:$D$1146,$A502,Trades!$Z$2:$Z$1146,"Loss")</f>
        <v>1</v>
      </c>
      <c r="E502" s="30" t="n">
        <f aca="false">IFERROR(C502/B502,0)</f>
        <v>0</v>
      </c>
      <c r="F502" s="31" t="n">
        <f aca="false">SUMIFS(Trades!$X$2:$X$1146,Trades!$D$2:$D$1146,$A502)</f>
        <v>-1.35</v>
      </c>
      <c r="G502" s="31" t="n">
        <f aca="false">SUMIFS(Trades!$X$2:$X$1146,Trades!$D$2:$D$1146,$A502,Trades!$X$2:$X$1146,"&gt;0")</f>
        <v>0</v>
      </c>
      <c r="H502" s="31" t="n">
        <f aca="false">SUMIFS(Trades!$X$2:$X$1146,Trades!$D$2:$D$1146,$A502,Trades!$X$2:$X$1146,"&lt;0")</f>
        <v>-1.35</v>
      </c>
      <c r="I502" s="32" t="n">
        <f aca="false">IFERROR(G502/-H502,"no loss")</f>
        <v>0</v>
      </c>
      <c r="J502" s="31" t="n">
        <f aca="false">_xlfn.MAXIFS(Trades!$X$2:$X$1146,Trades!$D$2:$D$1146,$A502)</f>
        <v>-1.35</v>
      </c>
      <c r="K502" s="31" t="n">
        <f aca="false">_xlfn.MINIFS(Trades!$X$2:$X$1146,Trades!$D$2:$D$1146,$A502)</f>
        <v>-1.35</v>
      </c>
      <c r="L502" s="33" t="n">
        <f aca="false">SUMIFS(Trades!$Y$2:$Y$1146,Trades!$D$2:$D$1146,$A502)</f>
        <v>-0.0678733031674476</v>
      </c>
      <c r="M502" s="31" t="n">
        <f aca="false">P501</f>
        <v>15240.37</v>
      </c>
      <c r="N502" s="30" t="n">
        <f aca="false">IFERROR(F502/M502,0)</f>
        <v>-8.85805265882653E-005</v>
      </c>
      <c r="O502" s="29" t="str">
        <f aca="false">IF(-N502&gt;=Summary!$C$7,"BREACH","")</f>
        <v/>
      </c>
      <c r="P502" s="31" t="n">
        <f aca="false">M502+F502</f>
        <v>15239.02</v>
      </c>
      <c r="Q502" s="31" t="n">
        <f aca="false">P502-Summary!$C$5</f>
        <v>5239.01999999999</v>
      </c>
      <c r="R502" s="2" t="str">
        <f aca="false">TEXT(A502,"ddd")</f>
        <v>Wed</v>
      </c>
    </row>
    <row r="503" customFormat="false" ht="15" hidden="false" customHeight="false" outlineLevel="0" collapsed="false">
      <c r="A503" s="43" t="n">
        <v>45470</v>
      </c>
      <c r="B503" s="29" t="n">
        <f aca="false">COUNTIFS(Trades!$D$2:$D$1146,$A503)</f>
        <v>2</v>
      </c>
      <c r="C503" s="29" t="n">
        <f aca="false">COUNTIFS(Trades!$D$2:$D$1146,$A503,Trades!$Z$2:$Z$1146,"Win")</f>
        <v>0</v>
      </c>
      <c r="D503" s="29" t="n">
        <f aca="false">COUNTIFS(Trades!$D$2:$D$1146,$A503,Trades!$Z$2:$Z$1146,"Loss")</f>
        <v>2</v>
      </c>
      <c r="E503" s="30" t="n">
        <f aca="false">IFERROR(C503/B503,0)</f>
        <v>0</v>
      </c>
      <c r="F503" s="31" t="n">
        <f aca="false">SUMIFS(Trades!$X$2:$X$1146,Trades!$D$2:$D$1146,$A503)</f>
        <v>-3.45</v>
      </c>
      <c r="G503" s="31" t="n">
        <f aca="false">SUMIFS(Trades!$X$2:$X$1146,Trades!$D$2:$D$1146,$A503,Trades!$X$2:$X$1146,"&gt;0")</f>
        <v>0</v>
      </c>
      <c r="H503" s="31" t="n">
        <f aca="false">SUMIFS(Trades!$X$2:$X$1146,Trades!$D$2:$D$1146,$A503,Trades!$X$2:$X$1146,"&lt;0")</f>
        <v>-3.45</v>
      </c>
      <c r="I503" s="32" t="n">
        <f aca="false">IFERROR(G503/-H503,"no loss")</f>
        <v>0</v>
      </c>
      <c r="J503" s="31" t="n">
        <f aca="false">_xlfn.MAXIFS(Trades!$X$2:$X$1146,Trades!$D$2:$D$1146,$A503)</f>
        <v>-0.72</v>
      </c>
      <c r="K503" s="31" t="n">
        <f aca="false">_xlfn.MINIFS(Trades!$X$2:$X$1146,Trades!$D$2:$D$1146,$A503)</f>
        <v>-2.73</v>
      </c>
      <c r="L503" s="33" t="n">
        <f aca="false">SUMIFS(Trades!$Y$2:$Y$1146,Trades!$D$2:$D$1146,$A503)</f>
        <v>-0.0798682833870272</v>
      </c>
      <c r="M503" s="31" t="n">
        <f aca="false">P502</f>
        <v>15239.02</v>
      </c>
      <c r="N503" s="30" t="n">
        <f aca="false">IFERROR(F503/M503,0)</f>
        <v>-0.000226392510804501</v>
      </c>
      <c r="O503" s="29" t="str">
        <f aca="false">IF(-N503&gt;=Summary!$C$7,"BREACH","")</f>
        <v/>
      </c>
      <c r="P503" s="31" t="n">
        <f aca="false">M503+F503</f>
        <v>15235.57</v>
      </c>
      <c r="Q503" s="31" t="n">
        <f aca="false">P503-Summary!$C$5</f>
        <v>5235.56999999999</v>
      </c>
      <c r="R503" s="2" t="str">
        <f aca="false">TEXT(A503,"ddd")</f>
        <v>Thu</v>
      </c>
    </row>
    <row r="504" customFormat="false" ht="15" hidden="false" customHeight="false" outlineLevel="0" collapsed="false">
      <c r="A504" s="43" t="n">
        <v>45471</v>
      </c>
      <c r="B504" s="29" t="n">
        <f aca="false">COUNTIFS(Trades!$D$2:$D$1146,$A504)</f>
        <v>1</v>
      </c>
      <c r="C504" s="29" t="n">
        <f aca="false">COUNTIFS(Trades!$D$2:$D$1146,$A504,Trades!$Z$2:$Z$1146,"Win")</f>
        <v>1</v>
      </c>
      <c r="D504" s="29" t="n">
        <f aca="false">COUNTIFS(Trades!$D$2:$D$1146,$A504,Trades!$Z$2:$Z$1146,"Loss")</f>
        <v>0</v>
      </c>
      <c r="E504" s="30" t="n">
        <f aca="false">IFERROR(C504/B504,0)</f>
        <v>1</v>
      </c>
      <c r="F504" s="31" t="n">
        <f aca="false">SUMIFS(Trades!$X$2:$X$1146,Trades!$D$2:$D$1146,$A504)</f>
        <v>31.65</v>
      </c>
      <c r="G504" s="31" t="n">
        <f aca="false">SUMIFS(Trades!$X$2:$X$1146,Trades!$D$2:$D$1146,$A504,Trades!$X$2:$X$1146,"&gt;0")</f>
        <v>31.65</v>
      </c>
      <c r="H504" s="31" t="n">
        <f aca="false">SUMIFS(Trades!$X$2:$X$1146,Trades!$D$2:$D$1146,$A504,Trades!$X$2:$X$1146,"&lt;0")</f>
        <v>0</v>
      </c>
      <c r="I504" s="32" t="str">
        <f aca="false">IFERROR(G504/-H504,"no loss")</f>
        <v>no loss</v>
      </c>
      <c r="J504" s="31" t="n">
        <f aca="false">_xlfn.MAXIFS(Trades!$X$2:$X$1146,Trades!$D$2:$D$1146,$A504)</f>
        <v>31.65</v>
      </c>
      <c r="K504" s="31" t="n">
        <f aca="false">_xlfn.MINIFS(Trades!$X$2:$X$1146,Trades!$D$2:$D$1146,$A504)</f>
        <v>31.65</v>
      </c>
      <c r="L504" s="33" t="n">
        <f aca="false">SUMIFS(Trades!$Y$2:$Y$1146,Trades!$D$2:$D$1146,$A504)</f>
        <v>2.65743073047781</v>
      </c>
      <c r="M504" s="31" t="n">
        <f aca="false">P503</f>
        <v>15235.57</v>
      </c>
      <c r="N504" s="30" t="n">
        <f aca="false">IFERROR(F504/M504,0)</f>
        <v>0.00207737551007281</v>
      </c>
      <c r="O504" s="29" t="str">
        <f aca="false">IF(-N504&gt;=Summary!$C$7,"BREACH","")</f>
        <v/>
      </c>
      <c r="P504" s="31" t="n">
        <f aca="false">M504+F504</f>
        <v>15267.22</v>
      </c>
      <c r="Q504" s="31" t="n">
        <f aca="false">P504-Summary!$C$5</f>
        <v>5267.21999999999</v>
      </c>
      <c r="R504" s="2" t="str">
        <f aca="false">TEXT(A504,"ddd")</f>
        <v>Fri</v>
      </c>
    </row>
    <row r="505" customFormat="false" ht="15" hidden="false" customHeight="false" outlineLevel="0" collapsed="false">
      <c r="A505" s="43" t="n">
        <v>45474</v>
      </c>
      <c r="B505" s="29" t="n">
        <f aca="false">COUNTIFS(Trades!$D$2:$D$1146,$A505)</f>
        <v>1</v>
      </c>
      <c r="C505" s="29" t="n">
        <f aca="false">COUNTIFS(Trades!$D$2:$D$1146,$A505,Trades!$Z$2:$Z$1146,"Win")</f>
        <v>0</v>
      </c>
      <c r="D505" s="29" t="n">
        <f aca="false">COUNTIFS(Trades!$D$2:$D$1146,$A505,Trades!$Z$2:$Z$1146,"Loss")</f>
        <v>0</v>
      </c>
      <c r="E505" s="30" t="n">
        <f aca="false">IFERROR(C505/B505,0)</f>
        <v>0</v>
      </c>
      <c r="F505" s="31" t="n">
        <f aca="false">SUMIFS(Trades!$X$2:$X$1146,Trades!$D$2:$D$1146,$A505)</f>
        <v>0</v>
      </c>
      <c r="G505" s="31" t="n">
        <f aca="false">SUMIFS(Trades!$X$2:$X$1146,Trades!$D$2:$D$1146,$A505,Trades!$X$2:$X$1146,"&gt;0")</f>
        <v>0</v>
      </c>
      <c r="H505" s="31" t="n">
        <f aca="false">SUMIFS(Trades!$X$2:$X$1146,Trades!$D$2:$D$1146,$A505,Trades!$X$2:$X$1146,"&lt;0")</f>
        <v>0</v>
      </c>
      <c r="I505" s="32" t="str">
        <f aca="false">IFERROR(G505/-H505,"no loss")</f>
        <v>no loss</v>
      </c>
      <c r="J505" s="31" t="n">
        <f aca="false">_xlfn.MAXIFS(Trades!$X$2:$X$1146,Trades!$D$2:$D$1146,$A505)</f>
        <v>0</v>
      </c>
      <c r="K505" s="31" t="n">
        <f aca="false">_xlfn.MINIFS(Trades!$X$2:$X$1146,Trades!$D$2:$D$1146,$A505)</f>
        <v>0</v>
      </c>
      <c r="L505" s="33" t="n">
        <f aca="false">SUMIFS(Trades!$Y$2:$Y$1146,Trades!$D$2:$D$1146,$A505)</f>
        <v>0</v>
      </c>
      <c r="M505" s="31" t="n">
        <f aca="false">P504</f>
        <v>15267.22</v>
      </c>
      <c r="N505" s="30" t="n">
        <f aca="false">IFERROR(F505/M505,0)</f>
        <v>0</v>
      </c>
      <c r="O505" s="29" t="str">
        <f aca="false">IF(-N505&gt;=Summary!$C$7,"BREACH","")</f>
        <v/>
      </c>
      <c r="P505" s="31" t="n">
        <f aca="false">M505+F505</f>
        <v>15267.22</v>
      </c>
      <c r="Q505" s="31" t="n">
        <f aca="false">P505-Summary!$C$5</f>
        <v>5267.21999999999</v>
      </c>
      <c r="R505" s="2" t="str">
        <f aca="false">TEXT(A505,"ddd")</f>
        <v>Mon</v>
      </c>
    </row>
    <row r="506" customFormat="false" ht="15" hidden="false" customHeight="false" outlineLevel="0" collapsed="false">
      <c r="A506" s="43" t="n">
        <v>45475</v>
      </c>
      <c r="B506" s="29" t="n">
        <f aca="false">COUNTIFS(Trades!$D$2:$D$1146,$A506)</f>
        <v>1</v>
      </c>
      <c r="C506" s="29" t="n">
        <f aca="false">COUNTIFS(Trades!$D$2:$D$1146,$A506,Trades!$Z$2:$Z$1146,"Win")</f>
        <v>0</v>
      </c>
      <c r="D506" s="29" t="n">
        <f aca="false">COUNTIFS(Trades!$D$2:$D$1146,$A506,Trades!$Z$2:$Z$1146,"Loss")</f>
        <v>1</v>
      </c>
      <c r="E506" s="30" t="n">
        <f aca="false">IFERROR(C506/B506,0)</f>
        <v>0</v>
      </c>
      <c r="F506" s="31" t="n">
        <f aca="false">SUMIFS(Trades!$X$2:$X$1146,Trades!$D$2:$D$1146,$A506)</f>
        <v>-68.67</v>
      </c>
      <c r="G506" s="31" t="n">
        <f aca="false">SUMIFS(Trades!$X$2:$X$1146,Trades!$D$2:$D$1146,$A506,Trades!$X$2:$X$1146,"&gt;0")</f>
        <v>0</v>
      </c>
      <c r="H506" s="31" t="n">
        <f aca="false">SUMIFS(Trades!$X$2:$X$1146,Trades!$D$2:$D$1146,$A506,Trades!$X$2:$X$1146,"&lt;0")</f>
        <v>-68.67</v>
      </c>
      <c r="I506" s="32" t="n">
        <f aca="false">IFERROR(G506/-H506,"no loss")</f>
        <v>0</v>
      </c>
      <c r="J506" s="31" t="n">
        <f aca="false">_xlfn.MAXIFS(Trades!$X$2:$X$1146,Trades!$D$2:$D$1146,$A506)</f>
        <v>-68.67</v>
      </c>
      <c r="K506" s="31" t="n">
        <f aca="false">_xlfn.MINIFS(Trades!$X$2:$X$1146,Trades!$D$2:$D$1146,$A506)</f>
        <v>-68.67</v>
      </c>
      <c r="L506" s="33" t="n">
        <f aca="false">SUMIFS(Trades!$Y$2:$Y$1146,Trades!$D$2:$D$1146,$A506)</f>
        <v>-1.01914514692791</v>
      </c>
      <c r="M506" s="31" t="n">
        <f aca="false">P505</f>
        <v>15267.22</v>
      </c>
      <c r="N506" s="30" t="n">
        <f aca="false">IFERROR(F506/M506,0)</f>
        <v>-0.00449787191119274</v>
      </c>
      <c r="O506" s="29" t="str">
        <f aca="false">IF(-N506&gt;=Summary!$C$7,"BREACH","")</f>
        <v/>
      </c>
      <c r="P506" s="31" t="n">
        <f aca="false">M506+F506</f>
        <v>15198.55</v>
      </c>
      <c r="Q506" s="31" t="n">
        <f aca="false">P506-Summary!$C$5</f>
        <v>5198.54999999999</v>
      </c>
      <c r="R506" s="2" t="str">
        <f aca="false">TEXT(A506,"ddd")</f>
        <v>Tue</v>
      </c>
    </row>
    <row r="507" customFormat="false" ht="15" hidden="false" customHeight="false" outlineLevel="0" collapsed="false">
      <c r="A507" s="43" t="n">
        <v>45476</v>
      </c>
      <c r="B507" s="29" t="n">
        <f aca="false">COUNTIFS(Trades!$D$2:$D$1146,$A507)</f>
        <v>1</v>
      </c>
      <c r="C507" s="29" t="n">
        <f aca="false">COUNTIFS(Trades!$D$2:$D$1146,$A507,Trades!$Z$2:$Z$1146,"Win")</f>
        <v>0</v>
      </c>
      <c r="D507" s="29" t="n">
        <f aca="false">COUNTIFS(Trades!$D$2:$D$1146,$A507,Trades!$Z$2:$Z$1146,"Loss")</f>
        <v>1</v>
      </c>
      <c r="E507" s="30" t="n">
        <f aca="false">IFERROR(C507/B507,0)</f>
        <v>0</v>
      </c>
      <c r="F507" s="31" t="n">
        <f aca="false">SUMIFS(Trades!$X$2:$X$1146,Trades!$D$2:$D$1146,$A507)</f>
        <v>-12.63</v>
      </c>
      <c r="G507" s="31" t="n">
        <f aca="false">SUMIFS(Trades!$X$2:$X$1146,Trades!$D$2:$D$1146,$A507,Trades!$X$2:$X$1146,"&gt;0")</f>
        <v>0</v>
      </c>
      <c r="H507" s="31" t="n">
        <f aca="false">SUMIFS(Trades!$X$2:$X$1146,Trades!$D$2:$D$1146,$A507,Trades!$X$2:$X$1146,"&lt;0")</f>
        <v>-12.63</v>
      </c>
      <c r="I507" s="32" t="n">
        <f aca="false">IFERROR(G507/-H507,"no loss")</f>
        <v>0</v>
      </c>
      <c r="J507" s="31" t="n">
        <f aca="false">_xlfn.MAXIFS(Trades!$X$2:$X$1146,Trades!$D$2:$D$1146,$A507)</f>
        <v>-12.63</v>
      </c>
      <c r="K507" s="31" t="n">
        <f aca="false">_xlfn.MINIFS(Trades!$X$2:$X$1146,Trades!$D$2:$D$1146,$A507)</f>
        <v>-12.63</v>
      </c>
      <c r="L507" s="33" t="n">
        <f aca="false">SUMIFS(Trades!$Y$2:$Y$1146,Trades!$D$2:$D$1146,$A507)</f>
        <v>-1.10498687664004</v>
      </c>
      <c r="M507" s="31" t="n">
        <f aca="false">P506</f>
        <v>15198.55</v>
      </c>
      <c r="N507" s="30" t="n">
        <f aca="false">IFERROR(F507/M507,0)</f>
        <v>-0.000831000325688965</v>
      </c>
      <c r="O507" s="29" t="str">
        <f aca="false">IF(-N507&gt;=Summary!$C$7,"BREACH","")</f>
        <v/>
      </c>
      <c r="P507" s="31" t="n">
        <f aca="false">M507+F507</f>
        <v>15185.92</v>
      </c>
      <c r="Q507" s="31" t="n">
        <f aca="false">P507-Summary!$C$5</f>
        <v>5185.91999999999</v>
      </c>
      <c r="R507" s="2" t="str">
        <f aca="false">TEXT(A507,"ddd")</f>
        <v>Wed</v>
      </c>
    </row>
    <row r="508" customFormat="false" ht="15" hidden="false" customHeight="false" outlineLevel="0" collapsed="false">
      <c r="A508" s="43" t="n">
        <v>45478</v>
      </c>
      <c r="B508" s="29" t="n">
        <f aca="false">COUNTIFS(Trades!$D$2:$D$1146,$A508)</f>
        <v>1</v>
      </c>
      <c r="C508" s="29" t="n">
        <f aca="false">COUNTIFS(Trades!$D$2:$D$1146,$A508,Trades!$Z$2:$Z$1146,"Win")</f>
        <v>0</v>
      </c>
      <c r="D508" s="29" t="n">
        <f aca="false">COUNTIFS(Trades!$D$2:$D$1146,$A508,Trades!$Z$2:$Z$1146,"Loss")</f>
        <v>1</v>
      </c>
      <c r="E508" s="30" t="n">
        <f aca="false">IFERROR(C508/B508,0)</f>
        <v>0</v>
      </c>
      <c r="F508" s="31" t="n">
        <f aca="false">SUMIFS(Trades!$X$2:$X$1146,Trades!$D$2:$D$1146,$A508)</f>
        <v>-0.09</v>
      </c>
      <c r="G508" s="31" t="n">
        <f aca="false">SUMIFS(Trades!$X$2:$X$1146,Trades!$D$2:$D$1146,$A508,Trades!$X$2:$X$1146,"&gt;0")</f>
        <v>0</v>
      </c>
      <c r="H508" s="31" t="n">
        <f aca="false">SUMIFS(Trades!$X$2:$X$1146,Trades!$D$2:$D$1146,$A508,Trades!$X$2:$X$1146,"&lt;0")</f>
        <v>-0.09</v>
      </c>
      <c r="I508" s="32" t="n">
        <f aca="false">IFERROR(G508/-H508,"no loss")</f>
        <v>0</v>
      </c>
      <c r="J508" s="31" t="n">
        <f aca="false">_xlfn.MAXIFS(Trades!$X$2:$X$1146,Trades!$D$2:$D$1146,$A508)</f>
        <v>-0.09</v>
      </c>
      <c r="K508" s="31" t="n">
        <f aca="false">_xlfn.MINIFS(Trades!$X$2:$X$1146,Trades!$D$2:$D$1146,$A508)</f>
        <v>-0.09</v>
      </c>
      <c r="L508" s="33" t="n">
        <f aca="false">SUMIFS(Trades!$Y$2:$Y$1146,Trades!$D$2:$D$1146,$A508)</f>
        <v>-0.0263157894736976</v>
      </c>
      <c r="M508" s="31" t="n">
        <f aca="false">P507</f>
        <v>15185.92</v>
      </c>
      <c r="N508" s="30" t="n">
        <f aca="false">IFERROR(F508/M508,0)</f>
        <v>-5.92654248145651E-006</v>
      </c>
      <c r="O508" s="29" t="str">
        <f aca="false">IF(-N508&gt;=Summary!$C$7,"BREACH","")</f>
        <v/>
      </c>
      <c r="P508" s="31" t="n">
        <f aca="false">M508+F508</f>
        <v>15185.83</v>
      </c>
      <c r="Q508" s="31" t="n">
        <f aca="false">P508-Summary!$C$5</f>
        <v>5185.82999999999</v>
      </c>
      <c r="R508" s="2" t="str">
        <f aca="false">TEXT(A508,"ddd")</f>
        <v>Fri</v>
      </c>
    </row>
    <row r="509" customFormat="false" ht="15" hidden="false" customHeight="false" outlineLevel="0" collapsed="false">
      <c r="A509" s="43" t="n">
        <v>45481</v>
      </c>
      <c r="B509" s="29" t="n">
        <f aca="false">COUNTIFS(Trades!$D$2:$D$1146,$A509)</f>
        <v>1</v>
      </c>
      <c r="C509" s="29" t="n">
        <f aca="false">COUNTIFS(Trades!$D$2:$D$1146,$A509,Trades!$Z$2:$Z$1146,"Win")</f>
        <v>0</v>
      </c>
      <c r="D509" s="29" t="n">
        <f aca="false">COUNTIFS(Trades!$D$2:$D$1146,$A509,Trades!$Z$2:$Z$1146,"Loss")</f>
        <v>1</v>
      </c>
      <c r="E509" s="30" t="n">
        <f aca="false">IFERROR(C509/B509,0)</f>
        <v>0</v>
      </c>
      <c r="F509" s="31" t="n">
        <f aca="false">SUMIFS(Trades!$X$2:$X$1146,Trades!$D$2:$D$1146,$A509)</f>
        <v>-8.37</v>
      </c>
      <c r="G509" s="31" t="n">
        <f aca="false">SUMIFS(Trades!$X$2:$X$1146,Trades!$D$2:$D$1146,$A509,Trades!$X$2:$X$1146,"&gt;0")</f>
        <v>0</v>
      </c>
      <c r="H509" s="31" t="n">
        <f aca="false">SUMIFS(Trades!$X$2:$X$1146,Trades!$D$2:$D$1146,$A509,Trades!$X$2:$X$1146,"&lt;0")</f>
        <v>-8.37</v>
      </c>
      <c r="I509" s="32" t="n">
        <f aca="false">IFERROR(G509/-H509,"no loss")</f>
        <v>0</v>
      </c>
      <c r="J509" s="31" t="n">
        <f aca="false">_xlfn.MAXIFS(Trades!$X$2:$X$1146,Trades!$D$2:$D$1146,$A509)</f>
        <v>-8.37</v>
      </c>
      <c r="K509" s="31" t="n">
        <f aca="false">_xlfn.MINIFS(Trades!$X$2:$X$1146,Trades!$D$2:$D$1146,$A509)</f>
        <v>-8.37</v>
      </c>
      <c r="L509" s="33" t="n">
        <f aca="false">SUMIFS(Trades!$Y$2:$Y$1146,Trades!$D$2:$D$1146,$A509)</f>
        <v>-1.02573529411858</v>
      </c>
      <c r="M509" s="31" t="n">
        <f aca="false">P508</f>
        <v>15185.83</v>
      </c>
      <c r="N509" s="30" t="n">
        <f aca="false">IFERROR(F509/M509,0)</f>
        <v>-0.000551171717318053</v>
      </c>
      <c r="O509" s="29" t="str">
        <f aca="false">IF(-N509&gt;=Summary!$C$7,"BREACH","")</f>
        <v/>
      </c>
      <c r="P509" s="31" t="n">
        <f aca="false">M509+F509</f>
        <v>15177.46</v>
      </c>
      <c r="Q509" s="31" t="n">
        <f aca="false">P509-Summary!$C$5</f>
        <v>5177.45999999999</v>
      </c>
      <c r="R509" s="2" t="str">
        <f aca="false">TEXT(A509,"ddd")</f>
        <v>Mon</v>
      </c>
    </row>
    <row r="510" customFormat="false" ht="15" hidden="false" customHeight="false" outlineLevel="0" collapsed="false">
      <c r="A510" s="43" t="n">
        <v>45482</v>
      </c>
      <c r="B510" s="29" t="n">
        <f aca="false">COUNTIFS(Trades!$D$2:$D$1146,$A510)</f>
        <v>1</v>
      </c>
      <c r="C510" s="29" t="n">
        <f aca="false">COUNTIFS(Trades!$D$2:$D$1146,$A510,Trades!$Z$2:$Z$1146,"Win")</f>
        <v>1</v>
      </c>
      <c r="D510" s="29" t="n">
        <f aca="false">COUNTIFS(Trades!$D$2:$D$1146,$A510,Trades!$Z$2:$Z$1146,"Loss")</f>
        <v>0</v>
      </c>
      <c r="E510" s="30" t="n">
        <f aca="false">IFERROR(C510/B510,0)</f>
        <v>1</v>
      </c>
      <c r="F510" s="31" t="n">
        <f aca="false">SUMIFS(Trades!$X$2:$X$1146,Trades!$D$2:$D$1146,$A510)</f>
        <v>20.52</v>
      </c>
      <c r="G510" s="31" t="n">
        <f aca="false">SUMIFS(Trades!$X$2:$X$1146,Trades!$D$2:$D$1146,$A510,Trades!$X$2:$X$1146,"&gt;0")</f>
        <v>20.52</v>
      </c>
      <c r="H510" s="31" t="n">
        <f aca="false">SUMIFS(Trades!$X$2:$X$1146,Trades!$D$2:$D$1146,$A510,Trades!$X$2:$X$1146,"&lt;0")</f>
        <v>0</v>
      </c>
      <c r="I510" s="32" t="str">
        <f aca="false">IFERROR(G510/-H510,"no loss")</f>
        <v>no loss</v>
      </c>
      <c r="J510" s="31" t="n">
        <f aca="false">_xlfn.MAXIFS(Trades!$X$2:$X$1146,Trades!$D$2:$D$1146,$A510)</f>
        <v>20.52</v>
      </c>
      <c r="K510" s="31" t="n">
        <f aca="false">_xlfn.MINIFS(Trades!$X$2:$X$1146,Trades!$D$2:$D$1146,$A510)</f>
        <v>20.52</v>
      </c>
      <c r="L510" s="33" t="n">
        <f aca="false">SUMIFS(Trades!$Y$2:$Y$1146,Trades!$D$2:$D$1146,$A510)</f>
        <v>2.46931407942199</v>
      </c>
      <c r="M510" s="31" t="n">
        <f aca="false">P509</f>
        <v>15177.46</v>
      </c>
      <c r="N510" s="30" t="n">
        <f aca="false">IFERROR(F510/M510,0)</f>
        <v>0.00135200488092211</v>
      </c>
      <c r="O510" s="29" t="str">
        <f aca="false">IF(-N510&gt;=Summary!$C$7,"BREACH","")</f>
        <v/>
      </c>
      <c r="P510" s="31" t="n">
        <f aca="false">M510+F510</f>
        <v>15197.98</v>
      </c>
      <c r="Q510" s="31" t="n">
        <f aca="false">P510-Summary!$C$5</f>
        <v>5197.97999999999</v>
      </c>
      <c r="R510" s="2" t="str">
        <f aca="false">TEXT(A510,"ddd")</f>
        <v>Tue</v>
      </c>
    </row>
    <row r="511" customFormat="false" ht="15" hidden="false" customHeight="false" outlineLevel="0" collapsed="false">
      <c r="A511" s="43" t="n">
        <v>45483</v>
      </c>
      <c r="B511" s="29" t="n">
        <f aca="false">COUNTIFS(Trades!$D$2:$D$1146,$A511)</f>
        <v>1</v>
      </c>
      <c r="C511" s="29" t="n">
        <f aca="false">COUNTIFS(Trades!$D$2:$D$1146,$A511,Trades!$Z$2:$Z$1146,"Win")</f>
        <v>0</v>
      </c>
      <c r="D511" s="29" t="n">
        <f aca="false">COUNTIFS(Trades!$D$2:$D$1146,$A511,Trades!$Z$2:$Z$1146,"Loss")</f>
        <v>1</v>
      </c>
      <c r="E511" s="30" t="n">
        <f aca="false">IFERROR(C511/B511,0)</f>
        <v>0</v>
      </c>
      <c r="F511" s="31" t="n">
        <f aca="false">SUMIFS(Trades!$X$2:$X$1146,Trades!$D$2:$D$1146,$A511)</f>
        <v>-38.49</v>
      </c>
      <c r="G511" s="31" t="n">
        <f aca="false">SUMIFS(Trades!$X$2:$X$1146,Trades!$D$2:$D$1146,$A511,Trades!$X$2:$X$1146,"&gt;0")</f>
        <v>0</v>
      </c>
      <c r="H511" s="31" t="n">
        <f aca="false">SUMIFS(Trades!$X$2:$X$1146,Trades!$D$2:$D$1146,$A511,Trades!$X$2:$X$1146,"&lt;0")</f>
        <v>-38.49</v>
      </c>
      <c r="I511" s="32" t="n">
        <f aca="false">IFERROR(G511/-H511,"no loss")</f>
        <v>0</v>
      </c>
      <c r="J511" s="31" t="n">
        <f aca="false">_xlfn.MAXIFS(Trades!$X$2:$X$1146,Trades!$D$2:$D$1146,$A511)</f>
        <v>-38.49</v>
      </c>
      <c r="K511" s="31" t="n">
        <f aca="false">_xlfn.MINIFS(Trades!$X$2:$X$1146,Trades!$D$2:$D$1146,$A511)</f>
        <v>-38.49</v>
      </c>
      <c r="L511" s="33" t="n">
        <f aca="false">SUMIFS(Trades!$Y$2:$Y$1146,Trades!$D$2:$D$1146,$A511)</f>
        <v>-1.02231075697187</v>
      </c>
      <c r="M511" s="31" t="n">
        <f aca="false">P510</f>
        <v>15197.98</v>
      </c>
      <c r="N511" s="30" t="n">
        <f aca="false">IFERROR(F511/M511,0)</f>
        <v>-0.00253257340778183</v>
      </c>
      <c r="O511" s="29" t="str">
        <f aca="false">IF(-N511&gt;=Summary!$C$7,"BREACH","")</f>
        <v/>
      </c>
      <c r="P511" s="31" t="n">
        <f aca="false">M511+F511</f>
        <v>15159.49</v>
      </c>
      <c r="Q511" s="31" t="n">
        <f aca="false">P511-Summary!$C$5</f>
        <v>5159.48999999999</v>
      </c>
      <c r="R511" s="2" t="str">
        <f aca="false">TEXT(A511,"ddd")</f>
        <v>Wed</v>
      </c>
    </row>
    <row r="512" customFormat="false" ht="15" hidden="false" customHeight="false" outlineLevel="0" collapsed="false">
      <c r="A512" s="43" t="n">
        <v>45484</v>
      </c>
      <c r="B512" s="29" t="n">
        <f aca="false">COUNTIFS(Trades!$D$2:$D$1146,$A512)</f>
        <v>2</v>
      </c>
      <c r="C512" s="29" t="n">
        <f aca="false">COUNTIFS(Trades!$D$2:$D$1146,$A512,Trades!$Z$2:$Z$1146,"Win")</f>
        <v>0</v>
      </c>
      <c r="D512" s="29" t="n">
        <f aca="false">COUNTIFS(Trades!$D$2:$D$1146,$A512,Trades!$Z$2:$Z$1146,"Loss")</f>
        <v>2</v>
      </c>
      <c r="E512" s="30" t="n">
        <f aca="false">IFERROR(C512/B512,0)</f>
        <v>0</v>
      </c>
      <c r="F512" s="31" t="n">
        <f aca="false">SUMIFS(Trades!$X$2:$X$1146,Trades!$D$2:$D$1146,$A512)</f>
        <v>-7.02</v>
      </c>
      <c r="G512" s="31" t="n">
        <f aca="false">SUMIFS(Trades!$X$2:$X$1146,Trades!$D$2:$D$1146,$A512,Trades!$X$2:$X$1146,"&gt;0")</f>
        <v>0</v>
      </c>
      <c r="H512" s="31" t="n">
        <f aca="false">SUMIFS(Trades!$X$2:$X$1146,Trades!$D$2:$D$1146,$A512,Trades!$X$2:$X$1146,"&lt;0")</f>
        <v>-7.02</v>
      </c>
      <c r="I512" s="32" t="n">
        <f aca="false">IFERROR(G512/-H512,"no loss")</f>
        <v>0</v>
      </c>
      <c r="J512" s="31" t="n">
        <f aca="false">_xlfn.MAXIFS(Trades!$X$2:$X$1146,Trades!$D$2:$D$1146,$A512)</f>
        <v>-2.58</v>
      </c>
      <c r="K512" s="31" t="n">
        <f aca="false">_xlfn.MINIFS(Trades!$X$2:$X$1146,Trades!$D$2:$D$1146,$A512)</f>
        <v>-4.44</v>
      </c>
      <c r="L512" s="33" t="n">
        <f aca="false">SUMIFS(Trades!$Y$2:$Y$1146,Trades!$D$2:$D$1146,$A512)</f>
        <v>-0.112450147616392</v>
      </c>
      <c r="M512" s="31" t="n">
        <f aca="false">P511</f>
        <v>15159.49</v>
      </c>
      <c r="N512" s="30" t="n">
        <f aca="false">IFERROR(F512/M512,0)</f>
        <v>-0.000463076264438976</v>
      </c>
      <c r="O512" s="29" t="str">
        <f aca="false">IF(-N512&gt;=Summary!$C$7,"BREACH","")</f>
        <v/>
      </c>
      <c r="P512" s="31" t="n">
        <f aca="false">M512+F512</f>
        <v>15152.47</v>
      </c>
      <c r="Q512" s="31" t="n">
        <f aca="false">P512-Summary!$C$5</f>
        <v>5152.46999999999</v>
      </c>
      <c r="R512" s="2" t="str">
        <f aca="false">TEXT(A512,"ddd")</f>
        <v>Thu</v>
      </c>
    </row>
    <row r="513" customFormat="false" ht="15" hidden="false" customHeight="false" outlineLevel="0" collapsed="false">
      <c r="A513" s="43" t="n">
        <v>45488</v>
      </c>
      <c r="B513" s="29" t="n">
        <f aca="false">COUNTIFS(Trades!$D$2:$D$1146,$A513)</f>
        <v>1</v>
      </c>
      <c r="C513" s="29" t="n">
        <f aca="false">COUNTIFS(Trades!$D$2:$D$1146,$A513,Trades!$Z$2:$Z$1146,"Win")</f>
        <v>0</v>
      </c>
      <c r="D513" s="29" t="n">
        <f aca="false">COUNTIFS(Trades!$D$2:$D$1146,$A513,Trades!$Z$2:$Z$1146,"Loss")</f>
        <v>1</v>
      </c>
      <c r="E513" s="30" t="n">
        <f aca="false">IFERROR(C513/B513,0)</f>
        <v>0</v>
      </c>
      <c r="F513" s="31" t="n">
        <f aca="false">SUMIFS(Trades!$X$2:$X$1146,Trades!$D$2:$D$1146,$A513)</f>
        <v>-26.43</v>
      </c>
      <c r="G513" s="31" t="n">
        <f aca="false">SUMIFS(Trades!$X$2:$X$1146,Trades!$D$2:$D$1146,$A513,Trades!$X$2:$X$1146,"&gt;0")</f>
        <v>0</v>
      </c>
      <c r="H513" s="31" t="n">
        <f aca="false">SUMIFS(Trades!$X$2:$X$1146,Trades!$D$2:$D$1146,$A513,Trades!$X$2:$X$1146,"&lt;0")</f>
        <v>-26.43</v>
      </c>
      <c r="I513" s="32" t="n">
        <f aca="false">IFERROR(G513/-H513,"no loss")</f>
        <v>0</v>
      </c>
      <c r="J513" s="31" t="n">
        <f aca="false">_xlfn.MAXIFS(Trades!$X$2:$X$1146,Trades!$D$2:$D$1146,$A513)</f>
        <v>-26.43</v>
      </c>
      <c r="K513" s="31" t="n">
        <f aca="false">_xlfn.MINIFS(Trades!$X$2:$X$1146,Trades!$D$2:$D$1146,$A513)</f>
        <v>-26.43</v>
      </c>
      <c r="L513" s="33" t="n">
        <f aca="false">SUMIFS(Trades!$Y$2:$Y$1146,Trades!$D$2:$D$1146,$A513)</f>
        <v>-1.04014167650517</v>
      </c>
      <c r="M513" s="31" t="n">
        <f aca="false">P512</f>
        <v>15152.47</v>
      </c>
      <c r="N513" s="30" t="n">
        <f aca="false">IFERROR(F513/M513,0)</f>
        <v>-0.00174427007609981</v>
      </c>
      <c r="O513" s="29" t="str">
        <f aca="false">IF(-N513&gt;=Summary!$C$7,"BREACH","")</f>
        <v/>
      </c>
      <c r="P513" s="31" t="n">
        <f aca="false">M513+F513</f>
        <v>15126.04</v>
      </c>
      <c r="Q513" s="31" t="n">
        <f aca="false">P513-Summary!$C$5</f>
        <v>5126.03999999998</v>
      </c>
      <c r="R513" s="2" t="str">
        <f aca="false">TEXT(A513,"ddd")</f>
        <v>Mon</v>
      </c>
    </row>
    <row r="514" customFormat="false" ht="15" hidden="false" customHeight="false" outlineLevel="0" collapsed="false">
      <c r="A514" s="43" t="n">
        <v>45489</v>
      </c>
      <c r="B514" s="29" t="n">
        <f aca="false">COUNTIFS(Trades!$D$2:$D$1146,$A514)</f>
        <v>1</v>
      </c>
      <c r="C514" s="29" t="n">
        <f aca="false">COUNTIFS(Trades!$D$2:$D$1146,$A514,Trades!$Z$2:$Z$1146,"Win")</f>
        <v>0</v>
      </c>
      <c r="D514" s="29" t="n">
        <f aca="false">COUNTIFS(Trades!$D$2:$D$1146,$A514,Trades!$Z$2:$Z$1146,"Loss")</f>
        <v>1</v>
      </c>
      <c r="E514" s="30" t="n">
        <f aca="false">IFERROR(C514/B514,0)</f>
        <v>0</v>
      </c>
      <c r="F514" s="31" t="n">
        <f aca="false">SUMIFS(Trades!$X$2:$X$1146,Trades!$D$2:$D$1146,$A514)</f>
        <v>-55.38</v>
      </c>
      <c r="G514" s="31" t="n">
        <f aca="false">SUMIFS(Trades!$X$2:$X$1146,Trades!$D$2:$D$1146,$A514,Trades!$X$2:$X$1146,"&gt;0")</f>
        <v>0</v>
      </c>
      <c r="H514" s="31" t="n">
        <f aca="false">SUMIFS(Trades!$X$2:$X$1146,Trades!$D$2:$D$1146,$A514,Trades!$X$2:$X$1146,"&lt;0")</f>
        <v>-55.38</v>
      </c>
      <c r="I514" s="32" t="n">
        <f aca="false">IFERROR(G514/-H514,"no loss")</f>
        <v>0</v>
      </c>
      <c r="J514" s="31" t="n">
        <f aca="false">_xlfn.MAXIFS(Trades!$X$2:$X$1146,Trades!$D$2:$D$1146,$A514)</f>
        <v>-55.38</v>
      </c>
      <c r="K514" s="31" t="n">
        <f aca="false">_xlfn.MINIFS(Trades!$X$2:$X$1146,Trades!$D$2:$D$1146,$A514)</f>
        <v>-55.38</v>
      </c>
      <c r="L514" s="33" t="n">
        <f aca="false">SUMIFS(Trades!$Y$2:$Y$1146,Trades!$D$2:$D$1146,$A514)</f>
        <v>-1.01261656609986</v>
      </c>
      <c r="M514" s="31" t="n">
        <f aca="false">P513</f>
        <v>15126.04</v>
      </c>
      <c r="N514" s="30" t="n">
        <f aca="false">IFERROR(F514/M514,0)</f>
        <v>-0.00366123585551804</v>
      </c>
      <c r="O514" s="29" t="str">
        <f aca="false">IF(-N514&gt;=Summary!$C$7,"BREACH","")</f>
        <v/>
      </c>
      <c r="P514" s="31" t="n">
        <f aca="false">M514+F514</f>
        <v>15070.66</v>
      </c>
      <c r="Q514" s="31" t="n">
        <f aca="false">P514-Summary!$C$5</f>
        <v>5070.65999999999</v>
      </c>
      <c r="R514" s="2" t="str">
        <f aca="false">TEXT(A514,"ddd")</f>
        <v>Tue</v>
      </c>
    </row>
    <row r="515" customFormat="false" ht="15" hidden="false" customHeight="false" outlineLevel="0" collapsed="false">
      <c r="A515" s="43" t="n">
        <v>45490</v>
      </c>
      <c r="B515" s="29" t="n">
        <f aca="false">COUNTIFS(Trades!$D$2:$D$1146,$A515)</f>
        <v>1</v>
      </c>
      <c r="C515" s="29" t="n">
        <f aca="false">COUNTIFS(Trades!$D$2:$D$1146,$A515,Trades!$Z$2:$Z$1146,"Win")</f>
        <v>1</v>
      </c>
      <c r="D515" s="29" t="n">
        <f aca="false">COUNTIFS(Trades!$D$2:$D$1146,$A515,Trades!$Z$2:$Z$1146,"Loss")</f>
        <v>0</v>
      </c>
      <c r="E515" s="30" t="n">
        <f aca="false">IFERROR(C515/B515,0)</f>
        <v>1</v>
      </c>
      <c r="F515" s="31" t="n">
        <f aca="false">SUMIFS(Trades!$X$2:$X$1146,Trades!$D$2:$D$1146,$A515)</f>
        <v>67.41</v>
      </c>
      <c r="G515" s="31" t="n">
        <f aca="false">SUMIFS(Trades!$X$2:$X$1146,Trades!$D$2:$D$1146,$A515,Trades!$X$2:$X$1146,"&gt;0")</f>
        <v>67.41</v>
      </c>
      <c r="H515" s="31" t="n">
        <f aca="false">SUMIFS(Trades!$X$2:$X$1146,Trades!$D$2:$D$1146,$A515,Trades!$X$2:$X$1146,"&lt;0")</f>
        <v>0</v>
      </c>
      <c r="I515" s="32" t="str">
        <f aca="false">IFERROR(G515/-H515,"no loss")</f>
        <v>no loss</v>
      </c>
      <c r="J515" s="31" t="n">
        <f aca="false">_xlfn.MAXIFS(Trades!$X$2:$X$1146,Trades!$D$2:$D$1146,$A515)</f>
        <v>67.41</v>
      </c>
      <c r="K515" s="31" t="n">
        <f aca="false">_xlfn.MINIFS(Trades!$X$2:$X$1146,Trades!$D$2:$D$1146,$A515)</f>
        <v>67.41</v>
      </c>
      <c r="L515" s="33" t="n">
        <f aca="false">SUMIFS(Trades!$Y$2:$Y$1146,Trades!$D$2:$D$1146,$A515)</f>
        <v>2.51061452513946</v>
      </c>
      <c r="M515" s="31" t="n">
        <f aca="false">P514</f>
        <v>15070.66</v>
      </c>
      <c r="N515" s="30" t="n">
        <f aca="false">IFERROR(F515/M515,0)</f>
        <v>0.00447292952000775</v>
      </c>
      <c r="O515" s="29" t="str">
        <f aca="false">IF(-N515&gt;=Summary!$C$7,"BREACH","")</f>
        <v/>
      </c>
      <c r="P515" s="31" t="n">
        <f aca="false">M515+F515</f>
        <v>15138.07</v>
      </c>
      <c r="Q515" s="31" t="n">
        <f aca="false">P515-Summary!$C$5</f>
        <v>5138.06999999999</v>
      </c>
      <c r="R515" s="2" t="str">
        <f aca="false">TEXT(A515,"ddd")</f>
        <v>Wed</v>
      </c>
    </row>
    <row r="516" customFormat="false" ht="15" hidden="false" customHeight="false" outlineLevel="0" collapsed="false">
      <c r="A516" s="43" t="n">
        <v>45491</v>
      </c>
      <c r="B516" s="29" t="n">
        <f aca="false">COUNTIFS(Trades!$D$2:$D$1146,$A516)</f>
        <v>1</v>
      </c>
      <c r="C516" s="29" t="n">
        <f aca="false">COUNTIFS(Trades!$D$2:$D$1146,$A516,Trades!$Z$2:$Z$1146,"Win")</f>
        <v>0</v>
      </c>
      <c r="D516" s="29" t="n">
        <f aca="false">COUNTIFS(Trades!$D$2:$D$1146,$A516,Trades!$Z$2:$Z$1146,"Loss")</f>
        <v>1</v>
      </c>
      <c r="E516" s="30" t="n">
        <f aca="false">IFERROR(C516/B516,0)</f>
        <v>0</v>
      </c>
      <c r="F516" s="31" t="n">
        <f aca="false">SUMIFS(Trades!$X$2:$X$1146,Trades!$D$2:$D$1146,$A516)</f>
        <v>-1.71</v>
      </c>
      <c r="G516" s="31" t="n">
        <f aca="false">SUMIFS(Trades!$X$2:$X$1146,Trades!$D$2:$D$1146,$A516,Trades!$X$2:$X$1146,"&gt;0")</f>
        <v>0</v>
      </c>
      <c r="H516" s="31" t="n">
        <f aca="false">SUMIFS(Trades!$X$2:$X$1146,Trades!$D$2:$D$1146,$A516,Trades!$X$2:$X$1146,"&lt;0")</f>
        <v>-1.71</v>
      </c>
      <c r="I516" s="32" t="n">
        <f aca="false">IFERROR(G516/-H516,"no loss")</f>
        <v>0</v>
      </c>
      <c r="J516" s="31" t="n">
        <f aca="false">_xlfn.MAXIFS(Trades!$X$2:$X$1146,Trades!$D$2:$D$1146,$A516)</f>
        <v>-1.71</v>
      </c>
      <c r="K516" s="31" t="n">
        <f aca="false">_xlfn.MINIFS(Trades!$X$2:$X$1146,Trades!$D$2:$D$1146,$A516)</f>
        <v>-1.71</v>
      </c>
      <c r="L516" s="33" t="n">
        <f aca="false">SUMIFS(Trades!$Y$2:$Y$1146,Trades!$D$2:$D$1146,$A516)</f>
        <v>-0.0238393977415309</v>
      </c>
      <c r="M516" s="31" t="n">
        <f aca="false">P515</f>
        <v>15138.07</v>
      </c>
      <c r="N516" s="30" t="n">
        <f aca="false">IFERROR(F516/M516,0)</f>
        <v>-0.000112960238656579</v>
      </c>
      <c r="O516" s="29" t="str">
        <f aca="false">IF(-N516&gt;=Summary!$C$7,"BREACH","")</f>
        <v/>
      </c>
      <c r="P516" s="31" t="n">
        <f aca="false">M516+F516</f>
        <v>15136.36</v>
      </c>
      <c r="Q516" s="31" t="n">
        <f aca="false">P516-Summary!$C$5</f>
        <v>5136.35999999999</v>
      </c>
      <c r="R516" s="2" t="str">
        <f aca="false">TEXT(A516,"ddd")</f>
        <v>Thu</v>
      </c>
    </row>
    <row r="517" customFormat="false" ht="15" hidden="false" customHeight="false" outlineLevel="0" collapsed="false">
      <c r="A517" s="43" t="n">
        <v>45492</v>
      </c>
      <c r="B517" s="29" t="n">
        <f aca="false">COUNTIFS(Trades!$D$2:$D$1146,$A517)</f>
        <v>1</v>
      </c>
      <c r="C517" s="29" t="n">
        <f aca="false">COUNTIFS(Trades!$D$2:$D$1146,$A517,Trades!$Z$2:$Z$1146,"Win")</f>
        <v>0</v>
      </c>
      <c r="D517" s="29" t="n">
        <f aca="false">COUNTIFS(Trades!$D$2:$D$1146,$A517,Trades!$Z$2:$Z$1146,"Loss")</f>
        <v>1</v>
      </c>
      <c r="E517" s="30" t="n">
        <f aca="false">IFERROR(C517/B517,0)</f>
        <v>0</v>
      </c>
      <c r="F517" s="31" t="n">
        <f aca="false">SUMIFS(Trades!$X$2:$X$1146,Trades!$D$2:$D$1146,$A517)</f>
        <v>-1.11</v>
      </c>
      <c r="G517" s="31" t="n">
        <f aca="false">SUMIFS(Trades!$X$2:$X$1146,Trades!$D$2:$D$1146,$A517,Trades!$X$2:$X$1146,"&gt;0")</f>
        <v>0</v>
      </c>
      <c r="H517" s="31" t="n">
        <f aca="false">SUMIFS(Trades!$X$2:$X$1146,Trades!$D$2:$D$1146,$A517,Trades!$X$2:$X$1146,"&lt;0")</f>
        <v>-1.11</v>
      </c>
      <c r="I517" s="32" t="n">
        <f aca="false">IFERROR(G517/-H517,"no loss")</f>
        <v>0</v>
      </c>
      <c r="J517" s="31" t="n">
        <f aca="false">_xlfn.MAXIFS(Trades!$X$2:$X$1146,Trades!$D$2:$D$1146,$A517)</f>
        <v>-1.11</v>
      </c>
      <c r="K517" s="31" t="n">
        <f aca="false">_xlfn.MINIFS(Trades!$X$2:$X$1146,Trades!$D$2:$D$1146,$A517)</f>
        <v>-1.11</v>
      </c>
      <c r="L517" s="33" t="n">
        <f aca="false">SUMIFS(Trades!$Y$2:$Y$1146,Trades!$D$2:$D$1146,$A517)</f>
        <v>-0.0209394453876605</v>
      </c>
      <c r="M517" s="31" t="n">
        <f aca="false">P516</f>
        <v>15136.36</v>
      </c>
      <c r="N517" s="30" t="n">
        <f aca="false">IFERROR(F517/M517,0)</f>
        <v>-7.33333509509553E-005</v>
      </c>
      <c r="O517" s="29" t="str">
        <f aca="false">IF(-N517&gt;=Summary!$C$7,"BREACH","")</f>
        <v/>
      </c>
      <c r="P517" s="31" t="n">
        <f aca="false">M517+F517</f>
        <v>15135.25</v>
      </c>
      <c r="Q517" s="31" t="n">
        <f aca="false">P517-Summary!$C$5</f>
        <v>5135.24999999999</v>
      </c>
      <c r="R517" s="2" t="str">
        <f aca="false">TEXT(A517,"ddd")</f>
        <v>Fri</v>
      </c>
    </row>
    <row r="518" customFormat="false" ht="15" hidden="false" customHeight="false" outlineLevel="0" collapsed="false">
      <c r="A518" s="43" t="n">
        <v>45495</v>
      </c>
      <c r="B518" s="29" t="n">
        <f aca="false">COUNTIFS(Trades!$D$2:$D$1146,$A518)</f>
        <v>1</v>
      </c>
      <c r="C518" s="29" t="n">
        <f aca="false">COUNTIFS(Trades!$D$2:$D$1146,$A518,Trades!$Z$2:$Z$1146,"Win")</f>
        <v>0</v>
      </c>
      <c r="D518" s="29" t="n">
        <f aca="false">COUNTIFS(Trades!$D$2:$D$1146,$A518,Trades!$Z$2:$Z$1146,"Loss")</f>
        <v>1</v>
      </c>
      <c r="E518" s="30" t="n">
        <f aca="false">IFERROR(C518/B518,0)</f>
        <v>0</v>
      </c>
      <c r="F518" s="31" t="n">
        <f aca="false">SUMIFS(Trades!$X$2:$X$1146,Trades!$D$2:$D$1146,$A518)</f>
        <v>-76.14</v>
      </c>
      <c r="G518" s="31" t="n">
        <f aca="false">SUMIFS(Trades!$X$2:$X$1146,Trades!$D$2:$D$1146,$A518,Trades!$X$2:$X$1146,"&gt;0")</f>
        <v>0</v>
      </c>
      <c r="H518" s="31" t="n">
        <f aca="false">SUMIFS(Trades!$X$2:$X$1146,Trades!$D$2:$D$1146,$A518,Trades!$X$2:$X$1146,"&lt;0")</f>
        <v>-76.14</v>
      </c>
      <c r="I518" s="32" t="n">
        <f aca="false">IFERROR(G518/-H518,"no loss")</f>
        <v>0</v>
      </c>
      <c r="J518" s="31" t="n">
        <f aca="false">_xlfn.MAXIFS(Trades!$X$2:$X$1146,Trades!$D$2:$D$1146,$A518)</f>
        <v>-76.14</v>
      </c>
      <c r="K518" s="31" t="n">
        <f aca="false">_xlfn.MINIFS(Trades!$X$2:$X$1146,Trades!$D$2:$D$1146,$A518)</f>
        <v>-76.14</v>
      </c>
      <c r="L518" s="33" t="n">
        <f aca="false">SUMIFS(Trades!$Y$2:$Y$1146,Trades!$D$2:$D$1146,$A518)</f>
        <v>-1.0410172272354</v>
      </c>
      <c r="M518" s="31" t="n">
        <f aca="false">P517</f>
        <v>15135.25</v>
      </c>
      <c r="N518" s="30" t="n">
        <f aca="false">IFERROR(F518/M518,0)</f>
        <v>-0.00503064039246131</v>
      </c>
      <c r="O518" s="29" t="str">
        <f aca="false">IF(-N518&gt;=Summary!$C$7,"BREACH","")</f>
        <v/>
      </c>
      <c r="P518" s="31" t="n">
        <f aca="false">M518+F518</f>
        <v>15059.11</v>
      </c>
      <c r="Q518" s="31" t="n">
        <f aca="false">P518-Summary!$C$5</f>
        <v>5059.10999999999</v>
      </c>
      <c r="R518" s="2" t="str">
        <f aca="false">TEXT(A518,"ddd")</f>
        <v>Mon</v>
      </c>
    </row>
    <row r="519" customFormat="false" ht="15" hidden="false" customHeight="false" outlineLevel="0" collapsed="false">
      <c r="A519" s="43" t="n">
        <v>45496</v>
      </c>
      <c r="B519" s="29" t="n">
        <f aca="false">COUNTIFS(Trades!$D$2:$D$1146,$A519)</f>
        <v>1</v>
      </c>
      <c r="C519" s="29" t="n">
        <f aca="false">COUNTIFS(Trades!$D$2:$D$1146,$A519,Trades!$Z$2:$Z$1146,"Win")</f>
        <v>0</v>
      </c>
      <c r="D519" s="29" t="n">
        <f aca="false">COUNTIFS(Trades!$D$2:$D$1146,$A519,Trades!$Z$2:$Z$1146,"Loss")</f>
        <v>1</v>
      </c>
      <c r="E519" s="30" t="n">
        <f aca="false">IFERROR(C519/B519,0)</f>
        <v>0</v>
      </c>
      <c r="F519" s="31" t="n">
        <f aca="false">SUMIFS(Trades!$X$2:$X$1146,Trades!$D$2:$D$1146,$A519)</f>
        <v>-47.31</v>
      </c>
      <c r="G519" s="31" t="n">
        <f aca="false">SUMIFS(Trades!$X$2:$X$1146,Trades!$D$2:$D$1146,$A519,Trades!$X$2:$X$1146,"&gt;0")</f>
        <v>0</v>
      </c>
      <c r="H519" s="31" t="n">
        <f aca="false">SUMIFS(Trades!$X$2:$X$1146,Trades!$D$2:$D$1146,$A519,Trades!$X$2:$X$1146,"&lt;0")</f>
        <v>-47.31</v>
      </c>
      <c r="I519" s="32" t="n">
        <f aca="false">IFERROR(G519/-H519,"no loss")</f>
        <v>0</v>
      </c>
      <c r="J519" s="31" t="n">
        <f aca="false">_xlfn.MAXIFS(Trades!$X$2:$X$1146,Trades!$D$2:$D$1146,$A519)</f>
        <v>-47.31</v>
      </c>
      <c r="K519" s="31" t="n">
        <f aca="false">_xlfn.MINIFS(Trades!$X$2:$X$1146,Trades!$D$2:$D$1146,$A519)</f>
        <v>-47.31</v>
      </c>
      <c r="L519" s="33" t="n">
        <f aca="false">SUMIFS(Trades!$Y$2:$Y$1146,Trades!$D$2:$D$1146,$A519)</f>
        <v>-1.01089743589753</v>
      </c>
      <c r="M519" s="31" t="n">
        <f aca="false">P518</f>
        <v>15059.11</v>
      </c>
      <c r="N519" s="30" t="n">
        <f aca="false">IFERROR(F519/M519,0)</f>
        <v>-0.00314161992308975</v>
      </c>
      <c r="O519" s="29" t="str">
        <f aca="false">IF(-N519&gt;=Summary!$C$7,"BREACH","")</f>
        <v/>
      </c>
      <c r="P519" s="31" t="n">
        <f aca="false">M519+F519</f>
        <v>15011.8</v>
      </c>
      <c r="Q519" s="31" t="n">
        <f aca="false">P519-Summary!$C$5</f>
        <v>5011.79999999999</v>
      </c>
      <c r="R519" s="2" t="str">
        <f aca="false">TEXT(A519,"ddd")</f>
        <v>Tue</v>
      </c>
    </row>
    <row r="520" customFormat="false" ht="15" hidden="false" customHeight="false" outlineLevel="0" collapsed="false">
      <c r="A520" s="43" t="n">
        <v>45497</v>
      </c>
      <c r="B520" s="29" t="n">
        <f aca="false">COUNTIFS(Trades!$D$2:$D$1146,$A520)</f>
        <v>1</v>
      </c>
      <c r="C520" s="29" t="n">
        <f aca="false">COUNTIFS(Trades!$D$2:$D$1146,$A520,Trades!$Z$2:$Z$1146,"Win")</f>
        <v>0</v>
      </c>
      <c r="D520" s="29" t="n">
        <f aca="false">COUNTIFS(Trades!$D$2:$D$1146,$A520,Trades!$Z$2:$Z$1146,"Loss")</f>
        <v>1</v>
      </c>
      <c r="E520" s="30" t="n">
        <f aca="false">IFERROR(C520/B520,0)</f>
        <v>0</v>
      </c>
      <c r="F520" s="31" t="n">
        <f aca="false">SUMIFS(Trades!$X$2:$X$1146,Trades!$D$2:$D$1146,$A520)</f>
        <v>-2.13</v>
      </c>
      <c r="G520" s="31" t="n">
        <f aca="false">SUMIFS(Trades!$X$2:$X$1146,Trades!$D$2:$D$1146,$A520,Trades!$X$2:$X$1146,"&gt;0")</f>
        <v>0</v>
      </c>
      <c r="H520" s="31" t="n">
        <f aca="false">SUMIFS(Trades!$X$2:$X$1146,Trades!$D$2:$D$1146,$A520,Trades!$X$2:$X$1146,"&lt;0")</f>
        <v>-2.13</v>
      </c>
      <c r="I520" s="32" t="n">
        <f aca="false">IFERROR(G520/-H520,"no loss")</f>
        <v>0</v>
      </c>
      <c r="J520" s="31" t="n">
        <f aca="false">_xlfn.MAXIFS(Trades!$X$2:$X$1146,Trades!$D$2:$D$1146,$A520)</f>
        <v>-2.13</v>
      </c>
      <c r="K520" s="31" t="n">
        <f aca="false">_xlfn.MINIFS(Trades!$X$2:$X$1146,Trades!$D$2:$D$1146,$A520)</f>
        <v>-2.13</v>
      </c>
      <c r="L520" s="33" t="n">
        <f aca="false">SUMIFS(Trades!$Y$2:$Y$1146,Trades!$D$2:$D$1146,$A520)</f>
        <v>-0.0225253807106596</v>
      </c>
      <c r="M520" s="31" t="n">
        <f aca="false">P519</f>
        <v>15011.8</v>
      </c>
      <c r="N520" s="30" t="n">
        <f aca="false">IFERROR(F520/M520,0)</f>
        <v>-0.00014188838114017</v>
      </c>
      <c r="O520" s="29" t="str">
        <f aca="false">IF(-N520&gt;=Summary!$C$7,"BREACH","")</f>
        <v/>
      </c>
      <c r="P520" s="31" t="n">
        <f aca="false">M520+F520</f>
        <v>15009.67</v>
      </c>
      <c r="Q520" s="31" t="n">
        <f aca="false">P520-Summary!$C$5</f>
        <v>5009.66999999999</v>
      </c>
      <c r="R520" s="2" t="str">
        <f aca="false">TEXT(A520,"ddd")</f>
        <v>Wed</v>
      </c>
    </row>
    <row r="521" customFormat="false" ht="15" hidden="false" customHeight="false" outlineLevel="0" collapsed="false">
      <c r="A521" s="43" t="n">
        <v>45498</v>
      </c>
      <c r="B521" s="29" t="n">
        <f aca="false">COUNTIFS(Trades!$D$2:$D$1146,$A521)</f>
        <v>1</v>
      </c>
      <c r="C521" s="29" t="n">
        <f aca="false">COUNTIFS(Trades!$D$2:$D$1146,$A521,Trades!$Z$2:$Z$1146,"Win")</f>
        <v>0</v>
      </c>
      <c r="D521" s="29" t="n">
        <f aca="false">COUNTIFS(Trades!$D$2:$D$1146,$A521,Trades!$Z$2:$Z$1146,"Loss")</f>
        <v>1</v>
      </c>
      <c r="E521" s="30" t="n">
        <f aca="false">IFERROR(C521/B521,0)</f>
        <v>0</v>
      </c>
      <c r="F521" s="31" t="n">
        <f aca="false">SUMIFS(Trades!$X$2:$X$1146,Trades!$D$2:$D$1146,$A521)</f>
        <v>-43.35</v>
      </c>
      <c r="G521" s="31" t="n">
        <f aca="false">SUMIFS(Trades!$X$2:$X$1146,Trades!$D$2:$D$1146,$A521,Trades!$X$2:$X$1146,"&gt;0")</f>
        <v>0</v>
      </c>
      <c r="H521" s="31" t="n">
        <f aca="false">SUMIFS(Trades!$X$2:$X$1146,Trades!$D$2:$D$1146,$A521,Trades!$X$2:$X$1146,"&lt;0")</f>
        <v>-43.35</v>
      </c>
      <c r="I521" s="32" t="n">
        <f aca="false">IFERROR(G521/-H521,"no loss")</f>
        <v>0</v>
      </c>
      <c r="J521" s="31" t="n">
        <f aca="false">_xlfn.MAXIFS(Trades!$X$2:$X$1146,Trades!$D$2:$D$1146,$A521)</f>
        <v>-43.35</v>
      </c>
      <c r="K521" s="31" t="n">
        <f aca="false">_xlfn.MINIFS(Trades!$X$2:$X$1146,Trades!$D$2:$D$1146,$A521)</f>
        <v>-43.35</v>
      </c>
      <c r="L521" s="33" t="n">
        <f aca="false">SUMIFS(Trades!$Y$2:$Y$1146,Trades!$D$2:$D$1146,$A521)</f>
        <v>-1.0000000000002</v>
      </c>
      <c r="M521" s="31" t="n">
        <f aca="false">P520</f>
        <v>15009.67</v>
      </c>
      <c r="N521" s="30" t="n">
        <f aca="false">IFERROR(F521/M521,0)</f>
        <v>-0.00288813811362942</v>
      </c>
      <c r="O521" s="29" t="str">
        <f aca="false">IF(-N521&gt;=Summary!$C$7,"BREACH","")</f>
        <v/>
      </c>
      <c r="P521" s="31" t="n">
        <f aca="false">M521+F521</f>
        <v>14966.32</v>
      </c>
      <c r="Q521" s="31" t="n">
        <f aca="false">P521-Summary!$C$5</f>
        <v>4966.31999999999</v>
      </c>
      <c r="R521" s="2" t="str">
        <f aca="false">TEXT(A521,"ddd")</f>
        <v>Thu</v>
      </c>
    </row>
    <row r="522" customFormat="false" ht="15" hidden="false" customHeight="false" outlineLevel="0" collapsed="false">
      <c r="A522" s="43" t="n">
        <v>45502</v>
      </c>
      <c r="B522" s="29" t="n">
        <f aca="false">COUNTIFS(Trades!$D$2:$D$1146,$A522)</f>
        <v>1</v>
      </c>
      <c r="C522" s="29" t="n">
        <f aca="false">COUNTIFS(Trades!$D$2:$D$1146,$A522,Trades!$Z$2:$Z$1146,"Win")</f>
        <v>1</v>
      </c>
      <c r="D522" s="29" t="n">
        <f aca="false">COUNTIFS(Trades!$D$2:$D$1146,$A522,Trades!$Z$2:$Z$1146,"Loss")</f>
        <v>0</v>
      </c>
      <c r="E522" s="30" t="n">
        <f aca="false">IFERROR(C522/B522,0)</f>
        <v>1</v>
      </c>
      <c r="F522" s="31" t="n">
        <f aca="false">SUMIFS(Trades!$X$2:$X$1146,Trades!$D$2:$D$1146,$A522)</f>
        <v>51.9</v>
      </c>
      <c r="G522" s="31" t="n">
        <f aca="false">SUMIFS(Trades!$X$2:$X$1146,Trades!$D$2:$D$1146,$A522,Trades!$X$2:$X$1146,"&gt;0")</f>
        <v>51.9</v>
      </c>
      <c r="H522" s="31" t="n">
        <f aca="false">SUMIFS(Trades!$X$2:$X$1146,Trades!$D$2:$D$1146,$A522,Trades!$X$2:$X$1146,"&lt;0")</f>
        <v>0</v>
      </c>
      <c r="I522" s="32" t="str">
        <f aca="false">IFERROR(G522/-H522,"no loss")</f>
        <v>no loss</v>
      </c>
      <c r="J522" s="31" t="n">
        <f aca="false">_xlfn.MAXIFS(Trades!$X$2:$X$1146,Trades!$D$2:$D$1146,$A522)</f>
        <v>51.9</v>
      </c>
      <c r="K522" s="31" t="n">
        <f aca="false">_xlfn.MINIFS(Trades!$X$2:$X$1146,Trades!$D$2:$D$1146,$A522)</f>
        <v>51.9</v>
      </c>
      <c r="L522" s="33" t="n">
        <f aca="false">SUMIFS(Trades!$Y$2:$Y$1146,Trades!$D$2:$D$1146,$A522)</f>
        <v>2.53665689149571</v>
      </c>
      <c r="M522" s="31" t="n">
        <f aca="false">P521</f>
        <v>14966.32</v>
      </c>
      <c r="N522" s="30" t="n">
        <f aca="false">IFERROR(F522/M522,0)</f>
        <v>0.00346778633625367</v>
      </c>
      <c r="O522" s="29" t="str">
        <f aca="false">IF(-N522&gt;=Summary!$C$7,"BREACH","")</f>
        <v/>
      </c>
      <c r="P522" s="31" t="n">
        <f aca="false">M522+F522</f>
        <v>15018.22</v>
      </c>
      <c r="Q522" s="31" t="n">
        <f aca="false">P522-Summary!$C$5</f>
        <v>5018.21999999999</v>
      </c>
      <c r="R522" s="2" t="str">
        <f aca="false">TEXT(A522,"ddd")</f>
        <v>Mon</v>
      </c>
    </row>
    <row r="523" customFormat="false" ht="15" hidden="false" customHeight="false" outlineLevel="0" collapsed="false">
      <c r="A523" s="43" t="n">
        <v>45503</v>
      </c>
      <c r="B523" s="29" t="n">
        <f aca="false">COUNTIFS(Trades!$D$2:$D$1146,$A523)</f>
        <v>1</v>
      </c>
      <c r="C523" s="29" t="n">
        <f aca="false">COUNTIFS(Trades!$D$2:$D$1146,$A523,Trades!$Z$2:$Z$1146,"Win")</f>
        <v>0</v>
      </c>
      <c r="D523" s="29" t="n">
        <f aca="false">COUNTIFS(Trades!$D$2:$D$1146,$A523,Trades!$Z$2:$Z$1146,"Loss")</f>
        <v>1</v>
      </c>
      <c r="E523" s="30" t="n">
        <f aca="false">IFERROR(C523/B523,0)</f>
        <v>0</v>
      </c>
      <c r="F523" s="31" t="n">
        <f aca="false">SUMIFS(Trades!$X$2:$X$1146,Trades!$D$2:$D$1146,$A523)</f>
        <v>-36.87</v>
      </c>
      <c r="G523" s="31" t="n">
        <f aca="false">SUMIFS(Trades!$X$2:$X$1146,Trades!$D$2:$D$1146,$A523,Trades!$X$2:$X$1146,"&gt;0")</f>
        <v>0</v>
      </c>
      <c r="H523" s="31" t="n">
        <f aca="false">SUMIFS(Trades!$X$2:$X$1146,Trades!$D$2:$D$1146,$A523,Trades!$X$2:$X$1146,"&lt;0")</f>
        <v>-36.87</v>
      </c>
      <c r="I523" s="32" t="n">
        <f aca="false">IFERROR(G523/-H523,"no loss")</f>
        <v>0</v>
      </c>
      <c r="J523" s="31" t="n">
        <f aca="false">_xlfn.MAXIFS(Trades!$X$2:$X$1146,Trades!$D$2:$D$1146,$A523)</f>
        <v>-36.87</v>
      </c>
      <c r="K523" s="31" t="n">
        <f aca="false">_xlfn.MINIFS(Trades!$X$2:$X$1146,Trades!$D$2:$D$1146,$A523)</f>
        <v>-36.87</v>
      </c>
      <c r="L523" s="33" t="n">
        <f aca="false">SUMIFS(Trades!$Y$2:$Y$1146,Trades!$D$2:$D$1146,$A523)</f>
        <v>-1.04418011894644</v>
      </c>
      <c r="M523" s="31" t="n">
        <f aca="false">P522</f>
        <v>15018.22</v>
      </c>
      <c r="N523" s="30" t="n">
        <f aca="false">IFERROR(F523/M523,0)</f>
        <v>-0.00245501797150395</v>
      </c>
      <c r="O523" s="29" t="str">
        <f aca="false">IF(-N523&gt;=Summary!$C$7,"BREACH","")</f>
        <v/>
      </c>
      <c r="P523" s="31" t="n">
        <f aca="false">M523+F523</f>
        <v>14981.35</v>
      </c>
      <c r="Q523" s="31" t="n">
        <f aca="false">P523-Summary!$C$5</f>
        <v>4981.34999999999</v>
      </c>
      <c r="R523" s="2" t="str">
        <f aca="false">TEXT(A523,"ddd")</f>
        <v>Tue</v>
      </c>
    </row>
    <row r="524" customFormat="false" ht="15" hidden="false" customHeight="false" outlineLevel="0" collapsed="false">
      <c r="A524" s="43" t="n">
        <v>45504</v>
      </c>
      <c r="B524" s="29" t="n">
        <f aca="false">COUNTIFS(Trades!$D$2:$D$1146,$A524)</f>
        <v>1</v>
      </c>
      <c r="C524" s="29" t="n">
        <f aca="false">COUNTIFS(Trades!$D$2:$D$1146,$A524,Trades!$Z$2:$Z$1146,"Win")</f>
        <v>0</v>
      </c>
      <c r="D524" s="29" t="n">
        <f aca="false">COUNTIFS(Trades!$D$2:$D$1146,$A524,Trades!$Z$2:$Z$1146,"Loss")</f>
        <v>1</v>
      </c>
      <c r="E524" s="30" t="n">
        <f aca="false">IFERROR(C524/B524,0)</f>
        <v>0</v>
      </c>
      <c r="F524" s="31" t="n">
        <f aca="false">SUMIFS(Trades!$X$2:$X$1146,Trades!$D$2:$D$1146,$A524)</f>
        <v>-45.03</v>
      </c>
      <c r="G524" s="31" t="n">
        <f aca="false">SUMIFS(Trades!$X$2:$X$1146,Trades!$D$2:$D$1146,$A524,Trades!$X$2:$X$1146,"&gt;0")</f>
        <v>0</v>
      </c>
      <c r="H524" s="31" t="n">
        <f aca="false">SUMIFS(Trades!$X$2:$X$1146,Trades!$D$2:$D$1146,$A524,Trades!$X$2:$X$1146,"&lt;0")</f>
        <v>-45.03</v>
      </c>
      <c r="I524" s="32" t="n">
        <f aca="false">IFERROR(G524/-H524,"no loss")</f>
        <v>0</v>
      </c>
      <c r="J524" s="31" t="n">
        <f aca="false">_xlfn.MAXIFS(Trades!$X$2:$X$1146,Trades!$D$2:$D$1146,$A524)</f>
        <v>-45.03</v>
      </c>
      <c r="K524" s="31" t="n">
        <f aca="false">_xlfn.MINIFS(Trades!$X$2:$X$1146,Trades!$D$2:$D$1146,$A524)</f>
        <v>-45.03</v>
      </c>
      <c r="L524" s="33" t="n">
        <f aca="false">SUMIFS(Trades!$Y$2:$Y$1146,Trades!$D$2:$D$1146,$A524)</f>
        <v>-1.00603217158164</v>
      </c>
      <c r="M524" s="31" t="n">
        <f aca="false">P523</f>
        <v>14981.35</v>
      </c>
      <c r="N524" s="30" t="n">
        <f aca="false">IFERROR(F524/M524,0)</f>
        <v>-0.00300573713316891</v>
      </c>
      <c r="O524" s="29" t="str">
        <f aca="false">IF(-N524&gt;=Summary!$C$7,"BREACH","")</f>
        <v/>
      </c>
      <c r="P524" s="31" t="n">
        <f aca="false">M524+F524</f>
        <v>14936.32</v>
      </c>
      <c r="Q524" s="31" t="n">
        <f aca="false">P524-Summary!$C$5</f>
        <v>4936.31999999999</v>
      </c>
      <c r="R524" s="2" t="str">
        <f aca="false">TEXT(A524,"ddd")</f>
        <v>Wed</v>
      </c>
    </row>
    <row r="525" customFormat="false" ht="15" hidden="false" customHeight="false" outlineLevel="0" collapsed="false">
      <c r="A525" s="43" t="n">
        <v>45505</v>
      </c>
      <c r="B525" s="29" t="n">
        <f aca="false">COUNTIFS(Trades!$D$2:$D$1146,$A525)</f>
        <v>1</v>
      </c>
      <c r="C525" s="29" t="n">
        <f aca="false">COUNTIFS(Trades!$D$2:$D$1146,$A525,Trades!$Z$2:$Z$1146,"Win")</f>
        <v>1</v>
      </c>
      <c r="D525" s="29" t="n">
        <f aca="false">COUNTIFS(Trades!$D$2:$D$1146,$A525,Trades!$Z$2:$Z$1146,"Loss")</f>
        <v>0</v>
      </c>
      <c r="E525" s="30" t="n">
        <f aca="false">IFERROR(C525/B525,0)</f>
        <v>1</v>
      </c>
      <c r="F525" s="31" t="n">
        <f aca="false">SUMIFS(Trades!$X$2:$X$1146,Trades!$D$2:$D$1146,$A525)</f>
        <v>46.86</v>
      </c>
      <c r="G525" s="31" t="n">
        <f aca="false">SUMIFS(Trades!$X$2:$X$1146,Trades!$D$2:$D$1146,$A525,Trades!$X$2:$X$1146,"&gt;0")</f>
        <v>46.86</v>
      </c>
      <c r="H525" s="31" t="n">
        <f aca="false">SUMIFS(Trades!$X$2:$X$1146,Trades!$D$2:$D$1146,$A525,Trades!$X$2:$X$1146,"&lt;0")</f>
        <v>0</v>
      </c>
      <c r="I525" s="32" t="str">
        <f aca="false">IFERROR(G525/-H525,"no loss")</f>
        <v>no loss</v>
      </c>
      <c r="J525" s="31" t="n">
        <f aca="false">_xlfn.MAXIFS(Trades!$X$2:$X$1146,Trades!$D$2:$D$1146,$A525)</f>
        <v>46.86</v>
      </c>
      <c r="K525" s="31" t="n">
        <f aca="false">_xlfn.MINIFS(Trades!$X$2:$X$1146,Trades!$D$2:$D$1146,$A525)</f>
        <v>46.86</v>
      </c>
      <c r="L525" s="33" t="n">
        <f aca="false">SUMIFS(Trades!$Y$2:$Y$1146,Trades!$D$2:$D$1146,$A525)</f>
        <v>2.50722311396486</v>
      </c>
      <c r="M525" s="31" t="n">
        <f aca="false">P524</f>
        <v>14936.32</v>
      </c>
      <c r="N525" s="30" t="n">
        <f aca="false">IFERROR(F525/M525,0)</f>
        <v>0.00313731896477848</v>
      </c>
      <c r="O525" s="29" t="str">
        <f aca="false">IF(-N525&gt;=Summary!$C$7,"BREACH","")</f>
        <v/>
      </c>
      <c r="P525" s="31" t="n">
        <f aca="false">M525+F525</f>
        <v>14983.18</v>
      </c>
      <c r="Q525" s="31" t="n">
        <f aca="false">P525-Summary!$C$5</f>
        <v>4983.17999999999</v>
      </c>
      <c r="R525" s="2" t="str">
        <f aca="false">TEXT(A525,"ddd")</f>
        <v>Thu</v>
      </c>
    </row>
    <row r="526" customFormat="false" ht="15" hidden="false" customHeight="false" outlineLevel="0" collapsed="false">
      <c r="A526" s="43" t="n">
        <v>45506</v>
      </c>
      <c r="B526" s="29" t="n">
        <f aca="false">COUNTIFS(Trades!$D$2:$D$1146,$A526)</f>
        <v>1</v>
      </c>
      <c r="C526" s="29" t="n">
        <f aca="false">COUNTIFS(Trades!$D$2:$D$1146,$A526,Trades!$Z$2:$Z$1146,"Win")</f>
        <v>0</v>
      </c>
      <c r="D526" s="29" t="n">
        <f aca="false">COUNTIFS(Trades!$D$2:$D$1146,$A526,Trades!$Z$2:$Z$1146,"Loss")</f>
        <v>1</v>
      </c>
      <c r="E526" s="30" t="n">
        <f aca="false">IFERROR(C526/B526,0)</f>
        <v>0</v>
      </c>
      <c r="F526" s="31" t="n">
        <f aca="false">SUMIFS(Trades!$X$2:$X$1146,Trades!$D$2:$D$1146,$A526)</f>
        <v>-0.84</v>
      </c>
      <c r="G526" s="31" t="n">
        <f aca="false">SUMIFS(Trades!$X$2:$X$1146,Trades!$D$2:$D$1146,$A526,Trades!$X$2:$X$1146,"&gt;0")</f>
        <v>0</v>
      </c>
      <c r="H526" s="31" t="n">
        <f aca="false">SUMIFS(Trades!$X$2:$X$1146,Trades!$D$2:$D$1146,$A526,Trades!$X$2:$X$1146,"&lt;0")</f>
        <v>-0.84</v>
      </c>
      <c r="I526" s="32" t="n">
        <f aca="false">IFERROR(G526/-H526,"no loss")</f>
        <v>0</v>
      </c>
      <c r="J526" s="31" t="n">
        <f aca="false">_xlfn.MAXIFS(Trades!$X$2:$X$1146,Trades!$D$2:$D$1146,$A526)</f>
        <v>-0.84</v>
      </c>
      <c r="K526" s="31" t="n">
        <f aca="false">_xlfn.MINIFS(Trades!$X$2:$X$1146,Trades!$D$2:$D$1146,$A526)</f>
        <v>-0.84</v>
      </c>
      <c r="L526" s="33" t="n">
        <f aca="false">SUMIFS(Trades!$Y$2:$Y$1146,Trades!$D$2:$D$1146,$A526)</f>
        <v>-0.0204379562043839</v>
      </c>
      <c r="M526" s="31" t="n">
        <f aca="false">P525</f>
        <v>14983.18</v>
      </c>
      <c r="N526" s="30" t="n">
        <f aca="false">IFERROR(F526/M526,0)</f>
        <v>-5.60628651594655E-005</v>
      </c>
      <c r="O526" s="29" t="str">
        <f aca="false">IF(-N526&gt;=Summary!$C$7,"BREACH","")</f>
        <v/>
      </c>
      <c r="P526" s="31" t="n">
        <f aca="false">M526+F526</f>
        <v>14982.34</v>
      </c>
      <c r="Q526" s="31" t="n">
        <f aca="false">P526-Summary!$C$5</f>
        <v>4982.33999999999</v>
      </c>
      <c r="R526" s="2" t="str">
        <f aca="false">TEXT(A526,"ddd")</f>
        <v>Fri</v>
      </c>
    </row>
    <row r="527" customFormat="false" ht="15" hidden="false" customHeight="false" outlineLevel="0" collapsed="false">
      <c r="A527" s="43" t="n">
        <v>45509</v>
      </c>
      <c r="B527" s="29" t="n">
        <f aca="false">COUNTIFS(Trades!$D$2:$D$1146,$A527)</f>
        <v>1</v>
      </c>
      <c r="C527" s="29" t="n">
        <f aca="false">COUNTIFS(Trades!$D$2:$D$1146,$A527,Trades!$Z$2:$Z$1146,"Win")</f>
        <v>0</v>
      </c>
      <c r="D527" s="29" t="n">
        <f aca="false">COUNTIFS(Trades!$D$2:$D$1146,$A527,Trades!$Z$2:$Z$1146,"Loss")</f>
        <v>1</v>
      </c>
      <c r="E527" s="30" t="n">
        <f aca="false">IFERROR(C527/B527,0)</f>
        <v>0</v>
      </c>
      <c r="F527" s="31" t="n">
        <f aca="false">SUMIFS(Trades!$X$2:$X$1146,Trades!$D$2:$D$1146,$A527)</f>
        <v>-253.8</v>
      </c>
      <c r="G527" s="31" t="n">
        <f aca="false">SUMIFS(Trades!$X$2:$X$1146,Trades!$D$2:$D$1146,$A527,Trades!$X$2:$X$1146,"&gt;0")</f>
        <v>0</v>
      </c>
      <c r="H527" s="31" t="n">
        <f aca="false">SUMIFS(Trades!$X$2:$X$1146,Trades!$D$2:$D$1146,$A527,Trades!$X$2:$X$1146,"&lt;0")</f>
        <v>-253.8</v>
      </c>
      <c r="I527" s="32" t="n">
        <f aca="false">IFERROR(G527/-H527,"no loss")</f>
        <v>0</v>
      </c>
      <c r="J527" s="31" t="n">
        <f aca="false">_xlfn.MAXIFS(Trades!$X$2:$X$1146,Trades!$D$2:$D$1146,$A527)</f>
        <v>-253.8</v>
      </c>
      <c r="K527" s="31" t="n">
        <f aca="false">_xlfn.MINIFS(Trades!$X$2:$X$1146,Trades!$D$2:$D$1146,$A527)</f>
        <v>-253.8</v>
      </c>
      <c r="L527" s="33" t="n">
        <f aca="false">SUMIFS(Trades!$Y$2:$Y$1146,Trades!$D$2:$D$1146,$A527)</f>
        <v>-1.01601281024819</v>
      </c>
      <c r="M527" s="31" t="n">
        <f aca="false">P526</f>
        <v>14982.34</v>
      </c>
      <c r="N527" s="30" t="n">
        <f aca="false">IFERROR(F527/M527,0)</f>
        <v>-0.0169399439606897</v>
      </c>
      <c r="O527" s="29" t="str">
        <f aca="false">IF(-N527&gt;=Summary!$C$7,"BREACH","")</f>
        <v/>
      </c>
      <c r="P527" s="31" t="n">
        <f aca="false">M527+F527</f>
        <v>14728.54</v>
      </c>
      <c r="Q527" s="31" t="n">
        <f aca="false">P527-Summary!$C$5</f>
        <v>4728.53999999999</v>
      </c>
      <c r="R527" s="2" t="str">
        <f aca="false">TEXT(A527,"ddd")</f>
        <v>Mon</v>
      </c>
    </row>
    <row r="528" customFormat="false" ht="15" hidden="false" customHeight="false" outlineLevel="0" collapsed="false">
      <c r="A528" s="43" t="n">
        <v>45510</v>
      </c>
      <c r="B528" s="29" t="n">
        <f aca="false">COUNTIFS(Trades!$D$2:$D$1146,$A528)</f>
        <v>1</v>
      </c>
      <c r="C528" s="29" t="n">
        <f aca="false">COUNTIFS(Trades!$D$2:$D$1146,$A528,Trades!$Z$2:$Z$1146,"Win")</f>
        <v>0</v>
      </c>
      <c r="D528" s="29" t="n">
        <f aca="false">COUNTIFS(Trades!$D$2:$D$1146,$A528,Trades!$Z$2:$Z$1146,"Loss")</f>
        <v>1</v>
      </c>
      <c r="E528" s="30" t="n">
        <f aca="false">IFERROR(C528/B528,0)</f>
        <v>0</v>
      </c>
      <c r="F528" s="31" t="n">
        <f aca="false">SUMIFS(Trades!$X$2:$X$1146,Trades!$D$2:$D$1146,$A528)</f>
        <v>-61.72</v>
      </c>
      <c r="G528" s="31" t="n">
        <f aca="false">SUMIFS(Trades!$X$2:$X$1146,Trades!$D$2:$D$1146,$A528,Trades!$X$2:$X$1146,"&gt;0")</f>
        <v>0</v>
      </c>
      <c r="H528" s="31" t="n">
        <f aca="false">SUMIFS(Trades!$X$2:$X$1146,Trades!$D$2:$D$1146,$A528,Trades!$X$2:$X$1146,"&lt;0")</f>
        <v>-61.72</v>
      </c>
      <c r="I528" s="32" t="n">
        <f aca="false">IFERROR(G528/-H528,"no loss")</f>
        <v>0</v>
      </c>
      <c r="J528" s="31" t="n">
        <f aca="false">_xlfn.MAXIFS(Trades!$X$2:$X$1146,Trades!$D$2:$D$1146,$A528)</f>
        <v>-61.72</v>
      </c>
      <c r="K528" s="31" t="n">
        <f aca="false">_xlfn.MINIFS(Trades!$X$2:$X$1146,Trades!$D$2:$D$1146,$A528)</f>
        <v>-61.72</v>
      </c>
      <c r="L528" s="33" t="n">
        <f aca="false">SUMIFS(Trades!$Y$2:$Y$1146,Trades!$D$2:$D$1146,$A528)</f>
        <v>-1.19150579150572</v>
      </c>
      <c r="M528" s="31" t="n">
        <f aca="false">P527</f>
        <v>14728.54</v>
      </c>
      <c r="N528" s="30" t="n">
        <f aca="false">IFERROR(F528/M528,0)</f>
        <v>-0.00419050360728219</v>
      </c>
      <c r="O528" s="29" t="str">
        <f aca="false">IF(-N528&gt;=Summary!$C$7,"BREACH","")</f>
        <v/>
      </c>
      <c r="P528" s="31" t="n">
        <f aca="false">M528+F528</f>
        <v>14666.82</v>
      </c>
      <c r="Q528" s="31" t="n">
        <f aca="false">P528-Summary!$C$5</f>
        <v>4666.81999999999</v>
      </c>
      <c r="R528" s="2" t="str">
        <f aca="false">TEXT(A528,"ddd")</f>
        <v>Tue</v>
      </c>
    </row>
    <row r="529" customFormat="false" ht="15" hidden="false" customHeight="false" outlineLevel="0" collapsed="false">
      <c r="A529" s="43" t="n">
        <v>45511</v>
      </c>
      <c r="B529" s="29" t="n">
        <f aca="false">COUNTIFS(Trades!$D$2:$D$1146,$A529)</f>
        <v>1</v>
      </c>
      <c r="C529" s="29" t="n">
        <f aca="false">COUNTIFS(Trades!$D$2:$D$1146,$A529,Trades!$Z$2:$Z$1146,"Win")</f>
        <v>0</v>
      </c>
      <c r="D529" s="29" t="n">
        <f aca="false">COUNTIFS(Trades!$D$2:$D$1146,$A529,Trades!$Z$2:$Z$1146,"Loss")</f>
        <v>1</v>
      </c>
      <c r="E529" s="30" t="n">
        <f aca="false">IFERROR(C529/B529,0)</f>
        <v>0</v>
      </c>
      <c r="F529" s="31" t="n">
        <f aca="false">SUMIFS(Trades!$X$2:$X$1146,Trades!$D$2:$D$1146,$A529)</f>
        <v>-4.08</v>
      </c>
      <c r="G529" s="31" t="n">
        <f aca="false">SUMIFS(Trades!$X$2:$X$1146,Trades!$D$2:$D$1146,$A529,Trades!$X$2:$X$1146,"&gt;0")</f>
        <v>0</v>
      </c>
      <c r="H529" s="31" t="n">
        <f aca="false">SUMIFS(Trades!$X$2:$X$1146,Trades!$D$2:$D$1146,$A529,Trades!$X$2:$X$1146,"&lt;0")</f>
        <v>-4.08</v>
      </c>
      <c r="I529" s="32" t="n">
        <f aca="false">IFERROR(G529/-H529,"no loss")</f>
        <v>0</v>
      </c>
      <c r="J529" s="31" t="n">
        <f aca="false">_xlfn.MAXIFS(Trades!$X$2:$X$1146,Trades!$D$2:$D$1146,$A529)</f>
        <v>-4.08</v>
      </c>
      <c r="K529" s="31" t="n">
        <f aca="false">_xlfn.MINIFS(Trades!$X$2:$X$1146,Trades!$D$2:$D$1146,$A529)</f>
        <v>-4.08</v>
      </c>
      <c r="L529" s="33" t="n">
        <f aca="false">SUMIFS(Trades!$Y$2:$Y$1146,Trades!$D$2:$D$1146,$A529)</f>
        <v>-0.0647310804378917</v>
      </c>
      <c r="M529" s="31" t="n">
        <f aca="false">P528</f>
        <v>14666.82</v>
      </c>
      <c r="N529" s="30" t="n">
        <f aca="false">IFERROR(F529/M529,0)</f>
        <v>-0.00027817890994776</v>
      </c>
      <c r="O529" s="29" t="str">
        <f aca="false">IF(-N529&gt;=Summary!$C$7,"BREACH","")</f>
        <v/>
      </c>
      <c r="P529" s="31" t="n">
        <f aca="false">M529+F529</f>
        <v>14662.74</v>
      </c>
      <c r="Q529" s="31" t="n">
        <f aca="false">P529-Summary!$C$5</f>
        <v>4662.73999999999</v>
      </c>
      <c r="R529" s="2" t="str">
        <f aca="false">TEXT(A529,"ddd")</f>
        <v>Wed</v>
      </c>
    </row>
    <row r="530" customFormat="false" ht="15" hidden="false" customHeight="false" outlineLevel="0" collapsed="false">
      <c r="A530" s="43" t="n">
        <v>45512</v>
      </c>
      <c r="B530" s="29" t="n">
        <f aca="false">COUNTIFS(Trades!$D$2:$D$1146,$A530)</f>
        <v>2</v>
      </c>
      <c r="C530" s="29" t="n">
        <f aca="false">COUNTIFS(Trades!$D$2:$D$1146,$A530,Trades!$Z$2:$Z$1146,"Win")</f>
        <v>0</v>
      </c>
      <c r="D530" s="29" t="n">
        <f aca="false">COUNTIFS(Trades!$D$2:$D$1146,$A530,Trades!$Z$2:$Z$1146,"Loss")</f>
        <v>2</v>
      </c>
      <c r="E530" s="30" t="n">
        <f aca="false">IFERROR(C530/B530,0)</f>
        <v>0</v>
      </c>
      <c r="F530" s="31" t="n">
        <f aca="false">SUMIFS(Trades!$X$2:$X$1146,Trades!$D$2:$D$1146,$A530)</f>
        <v>-203.35</v>
      </c>
      <c r="G530" s="31" t="n">
        <f aca="false">SUMIFS(Trades!$X$2:$X$1146,Trades!$D$2:$D$1146,$A530,Trades!$X$2:$X$1146,"&gt;0")</f>
        <v>0</v>
      </c>
      <c r="H530" s="31" t="n">
        <f aca="false">SUMIFS(Trades!$X$2:$X$1146,Trades!$D$2:$D$1146,$A530,Trades!$X$2:$X$1146,"&lt;0")</f>
        <v>-203.35</v>
      </c>
      <c r="I530" s="32" t="n">
        <f aca="false">IFERROR(G530/-H530,"no loss")</f>
        <v>0</v>
      </c>
      <c r="J530" s="31" t="n">
        <f aca="false">_xlfn.MAXIFS(Trades!$X$2:$X$1146,Trades!$D$2:$D$1146,$A530)</f>
        <v>-90.15</v>
      </c>
      <c r="K530" s="31" t="n">
        <f aca="false">_xlfn.MINIFS(Trades!$X$2:$X$1146,Trades!$D$2:$D$1146,$A530)</f>
        <v>-113.2</v>
      </c>
      <c r="L530" s="33" t="n">
        <f aca="false">SUMIFS(Trades!$Y$2:$Y$1146,Trades!$D$2:$D$1146,$A530)</f>
        <v>-2.04715698364171</v>
      </c>
      <c r="M530" s="31" t="n">
        <f aca="false">P529</f>
        <v>14662.74</v>
      </c>
      <c r="N530" s="30" t="n">
        <f aca="false">IFERROR(F530/M530,0)</f>
        <v>-0.0138684856991258</v>
      </c>
      <c r="O530" s="29" t="str">
        <f aca="false">IF(-N530&gt;=Summary!$C$7,"BREACH","")</f>
        <v/>
      </c>
      <c r="P530" s="31" t="n">
        <f aca="false">M530+F530</f>
        <v>14459.39</v>
      </c>
      <c r="Q530" s="31" t="n">
        <f aca="false">P530-Summary!$C$5</f>
        <v>4459.38999999999</v>
      </c>
      <c r="R530" s="2" t="str">
        <f aca="false">TEXT(A530,"ddd")</f>
        <v>Thu</v>
      </c>
    </row>
    <row r="531" customFormat="false" ht="15" hidden="false" customHeight="false" outlineLevel="0" collapsed="false">
      <c r="A531" s="43" t="n">
        <v>45513</v>
      </c>
      <c r="B531" s="29" t="n">
        <f aca="false">COUNTIFS(Trades!$D$2:$D$1146,$A531)</f>
        <v>1</v>
      </c>
      <c r="C531" s="29" t="n">
        <f aca="false">COUNTIFS(Trades!$D$2:$D$1146,$A531,Trades!$Z$2:$Z$1146,"Win")</f>
        <v>1</v>
      </c>
      <c r="D531" s="29" t="n">
        <f aca="false">COUNTIFS(Trades!$D$2:$D$1146,$A531,Trades!$Z$2:$Z$1146,"Loss")</f>
        <v>0</v>
      </c>
      <c r="E531" s="30" t="n">
        <f aca="false">IFERROR(C531/B531,0)</f>
        <v>1</v>
      </c>
      <c r="F531" s="31" t="n">
        <f aca="false">SUMIFS(Trades!$X$2:$X$1146,Trades!$D$2:$D$1146,$A531)</f>
        <v>62.85</v>
      </c>
      <c r="G531" s="31" t="n">
        <f aca="false">SUMIFS(Trades!$X$2:$X$1146,Trades!$D$2:$D$1146,$A531,Trades!$X$2:$X$1146,"&gt;0")</f>
        <v>62.85</v>
      </c>
      <c r="H531" s="31" t="n">
        <f aca="false">SUMIFS(Trades!$X$2:$X$1146,Trades!$D$2:$D$1146,$A531,Trades!$X$2:$X$1146,"&lt;0")</f>
        <v>0</v>
      </c>
      <c r="I531" s="32" t="str">
        <f aca="false">IFERROR(G531/-H531,"no loss")</f>
        <v>no loss</v>
      </c>
      <c r="J531" s="31" t="n">
        <f aca="false">_xlfn.MAXIFS(Trades!$X$2:$X$1146,Trades!$D$2:$D$1146,$A531)</f>
        <v>62.85</v>
      </c>
      <c r="K531" s="31" t="n">
        <f aca="false">_xlfn.MINIFS(Trades!$X$2:$X$1146,Trades!$D$2:$D$1146,$A531)</f>
        <v>62.85</v>
      </c>
      <c r="L531" s="33" t="n">
        <f aca="false">SUMIFS(Trades!$Y$2:$Y$1146,Trades!$D$2:$D$1146,$A531)</f>
        <v>2.54247572815485</v>
      </c>
      <c r="M531" s="31" t="n">
        <f aca="false">P530</f>
        <v>14459.39</v>
      </c>
      <c r="N531" s="30" t="n">
        <f aca="false">IFERROR(F531/M531,0)</f>
        <v>0.00434665639421857</v>
      </c>
      <c r="O531" s="29" t="str">
        <f aca="false">IF(-N531&gt;=Summary!$C$7,"BREACH","")</f>
        <v/>
      </c>
      <c r="P531" s="31" t="n">
        <f aca="false">M531+F531</f>
        <v>14522.24</v>
      </c>
      <c r="Q531" s="31" t="n">
        <f aca="false">P531-Summary!$C$5</f>
        <v>4522.23999999999</v>
      </c>
      <c r="R531" s="2" t="str">
        <f aca="false">TEXT(A531,"ddd")</f>
        <v>Fri</v>
      </c>
    </row>
    <row r="532" customFormat="false" ht="15" hidden="false" customHeight="false" outlineLevel="0" collapsed="false">
      <c r="A532" s="43" t="n">
        <v>45516</v>
      </c>
      <c r="B532" s="29" t="n">
        <f aca="false">COUNTIFS(Trades!$D$2:$D$1146,$A532)</f>
        <v>1</v>
      </c>
      <c r="C532" s="29" t="n">
        <f aca="false">COUNTIFS(Trades!$D$2:$D$1146,$A532,Trades!$Z$2:$Z$1146,"Win")</f>
        <v>0</v>
      </c>
      <c r="D532" s="29" t="n">
        <f aca="false">COUNTIFS(Trades!$D$2:$D$1146,$A532,Trades!$Z$2:$Z$1146,"Loss")</f>
        <v>1</v>
      </c>
      <c r="E532" s="30" t="n">
        <f aca="false">IFERROR(C532/B532,0)</f>
        <v>0</v>
      </c>
      <c r="F532" s="31" t="n">
        <f aca="false">SUMIFS(Trades!$X$2:$X$1146,Trades!$D$2:$D$1146,$A532)</f>
        <v>-23.01</v>
      </c>
      <c r="G532" s="31" t="n">
        <f aca="false">SUMIFS(Trades!$X$2:$X$1146,Trades!$D$2:$D$1146,$A532,Trades!$X$2:$X$1146,"&gt;0")</f>
        <v>0</v>
      </c>
      <c r="H532" s="31" t="n">
        <f aca="false">SUMIFS(Trades!$X$2:$X$1146,Trades!$D$2:$D$1146,$A532,Trades!$X$2:$X$1146,"&lt;0")</f>
        <v>-23.01</v>
      </c>
      <c r="I532" s="32" t="n">
        <f aca="false">IFERROR(G532/-H532,"no loss")</f>
        <v>0</v>
      </c>
      <c r="J532" s="31" t="n">
        <f aca="false">_xlfn.MAXIFS(Trades!$X$2:$X$1146,Trades!$D$2:$D$1146,$A532)</f>
        <v>-23.01</v>
      </c>
      <c r="K532" s="31" t="n">
        <f aca="false">_xlfn.MINIFS(Trades!$X$2:$X$1146,Trades!$D$2:$D$1146,$A532)</f>
        <v>-23.01</v>
      </c>
      <c r="L532" s="33" t="n">
        <f aca="false">SUMIFS(Trades!$Y$2:$Y$1146,Trades!$D$2:$D$1146,$A532)</f>
        <v>-1.01321003963016</v>
      </c>
      <c r="M532" s="31" t="n">
        <f aca="false">P531</f>
        <v>14522.24</v>
      </c>
      <c r="N532" s="30" t="n">
        <f aca="false">IFERROR(F532/M532,0)</f>
        <v>-0.00158446630822793</v>
      </c>
      <c r="O532" s="29" t="str">
        <f aca="false">IF(-N532&gt;=Summary!$C$7,"BREACH","")</f>
        <v/>
      </c>
      <c r="P532" s="31" t="n">
        <f aca="false">M532+F532</f>
        <v>14499.23</v>
      </c>
      <c r="Q532" s="31" t="n">
        <f aca="false">P532-Summary!$C$5</f>
        <v>4499.22999999999</v>
      </c>
      <c r="R532" s="2" t="str">
        <f aca="false">TEXT(A532,"ddd")</f>
        <v>Mon</v>
      </c>
    </row>
    <row r="533" customFormat="false" ht="15" hidden="false" customHeight="false" outlineLevel="0" collapsed="false">
      <c r="A533" s="43" t="n">
        <v>45517</v>
      </c>
      <c r="B533" s="29" t="n">
        <f aca="false">COUNTIFS(Trades!$D$2:$D$1146,$A533)</f>
        <v>1</v>
      </c>
      <c r="C533" s="29" t="n">
        <f aca="false">COUNTIFS(Trades!$D$2:$D$1146,$A533,Trades!$Z$2:$Z$1146,"Win")</f>
        <v>1</v>
      </c>
      <c r="D533" s="29" t="n">
        <f aca="false">COUNTIFS(Trades!$D$2:$D$1146,$A533,Trades!$Z$2:$Z$1146,"Loss")</f>
        <v>0</v>
      </c>
      <c r="E533" s="30" t="n">
        <f aca="false">IFERROR(C533/B533,0)</f>
        <v>1</v>
      </c>
      <c r="F533" s="31" t="n">
        <f aca="false">SUMIFS(Trades!$X$2:$X$1146,Trades!$D$2:$D$1146,$A533)</f>
        <v>65.28</v>
      </c>
      <c r="G533" s="31" t="n">
        <f aca="false">SUMIFS(Trades!$X$2:$X$1146,Trades!$D$2:$D$1146,$A533,Trades!$X$2:$X$1146,"&gt;0")</f>
        <v>65.28</v>
      </c>
      <c r="H533" s="31" t="n">
        <f aca="false">SUMIFS(Trades!$X$2:$X$1146,Trades!$D$2:$D$1146,$A533,Trades!$X$2:$X$1146,"&lt;0")</f>
        <v>0</v>
      </c>
      <c r="I533" s="32" t="str">
        <f aca="false">IFERROR(G533/-H533,"no loss")</f>
        <v>no loss</v>
      </c>
      <c r="J533" s="31" t="n">
        <f aca="false">_xlfn.MAXIFS(Trades!$X$2:$X$1146,Trades!$D$2:$D$1146,$A533)</f>
        <v>65.28</v>
      </c>
      <c r="K533" s="31" t="n">
        <f aca="false">_xlfn.MINIFS(Trades!$X$2:$X$1146,Trades!$D$2:$D$1146,$A533)</f>
        <v>65.28</v>
      </c>
      <c r="L533" s="33" t="n">
        <f aca="false">SUMIFS(Trades!$Y$2:$Y$1146,Trades!$D$2:$D$1146,$A533)</f>
        <v>2.50980392156808</v>
      </c>
      <c r="M533" s="31" t="n">
        <f aca="false">P532</f>
        <v>14499.23</v>
      </c>
      <c r="N533" s="30" t="n">
        <f aca="false">IFERROR(F533/M533,0)</f>
        <v>0.00450230805360009</v>
      </c>
      <c r="O533" s="29" t="str">
        <f aca="false">IF(-N533&gt;=Summary!$C$7,"BREACH","")</f>
        <v/>
      </c>
      <c r="P533" s="31" t="n">
        <f aca="false">M533+F533</f>
        <v>14564.51</v>
      </c>
      <c r="Q533" s="31" t="n">
        <f aca="false">P533-Summary!$C$5</f>
        <v>4564.50999999999</v>
      </c>
      <c r="R533" s="2" t="str">
        <f aca="false">TEXT(A533,"ddd")</f>
        <v>Tue</v>
      </c>
    </row>
    <row r="534" customFormat="false" ht="15" hidden="false" customHeight="false" outlineLevel="0" collapsed="false">
      <c r="A534" s="43" t="n">
        <v>45518</v>
      </c>
      <c r="B534" s="29" t="n">
        <f aca="false">COUNTIFS(Trades!$D$2:$D$1146,$A534)</f>
        <v>1</v>
      </c>
      <c r="C534" s="29" t="n">
        <f aca="false">COUNTIFS(Trades!$D$2:$D$1146,$A534,Trades!$Z$2:$Z$1146,"Win")</f>
        <v>0</v>
      </c>
      <c r="D534" s="29" t="n">
        <f aca="false">COUNTIFS(Trades!$D$2:$D$1146,$A534,Trades!$Z$2:$Z$1146,"Loss")</f>
        <v>1</v>
      </c>
      <c r="E534" s="30" t="n">
        <f aca="false">IFERROR(C534/B534,0)</f>
        <v>0</v>
      </c>
      <c r="F534" s="31" t="n">
        <f aca="false">SUMIFS(Trades!$X$2:$X$1146,Trades!$D$2:$D$1146,$A534)</f>
        <v>-29.55</v>
      </c>
      <c r="G534" s="31" t="n">
        <f aca="false">SUMIFS(Trades!$X$2:$X$1146,Trades!$D$2:$D$1146,$A534,Trades!$X$2:$X$1146,"&gt;0")</f>
        <v>0</v>
      </c>
      <c r="H534" s="31" t="n">
        <f aca="false">SUMIFS(Trades!$X$2:$X$1146,Trades!$D$2:$D$1146,$A534,Trades!$X$2:$X$1146,"&lt;0")</f>
        <v>-29.55</v>
      </c>
      <c r="I534" s="32" t="n">
        <f aca="false">IFERROR(G534/-H534,"no loss")</f>
        <v>0</v>
      </c>
      <c r="J534" s="31" t="n">
        <f aca="false">_xlfn.MAXIFS(Trades!$X$2:$X$1146,Trades!$D$2:$D$1146,$A534)</f>
        <v>-29.55</v>
      </c>
      <c r="K534" s="31" t="n">
        <f aca="false">_xlfn.MINIFS(Trades!$X$2:$X$1146,Trades!$D$2:$D$1146,$A534)</f>
        <v>-29.55</v>
      </c>
      <c r="L534" s="33" t="n">
        <f aca="false">SUMIFS(Trades!$Y$2:$Y$1146,Trades!$D$2:$D$1146,$A534)</f>
        <v>-1.00000000000015</v>
      </c>
      <c r="M534" s="31" t="n">
        <f aca="false">P533</f>
        <v>14564.51</v>
      </c>
      <c r="N534" s="30" t="n">
        <f aca="false">IFERROR(F534/M534,0)</f>
        <v>-0.00202890450828761</v>
      </c>
      <c r="O534" s="29" t="str">
        <f aca="false">IF(-N534&gt;=Summary!$C$7,"BREACH","")</f>
        <v/>
      </c>
      <c r="P534" s="31" t="n">
        <f aca="false">M534+F534</f>
        <v>14534.96</v>
      </c>
      <c r="Q534" s="31" t="n">
        <f aca="false">P534-Summary!$C$5</f>
        <v>4534.95999999999</v>
      </c>
      <c r="R534" s="2" t="str">
        <f aca="false">TEXT(A534,"ddd")</f>
        <v>Wed</v>
      </c>
    </row>
    <row r="535" customFormat="false" ht="15" hidden="false" customHeight="false" outlineLevel="0" collapsed="false">
      <c r="A535" s="43" t="n">
        <v>45519</v>
      </c>
      <c r="B535" s="29" t="n">
        <f aca="false">COUNTIFS(Trades!$D$2:$D$1146,$A535)</f>
        <v>1</v>
      </c>
      <c r="C535" s="29" t="n">
        <f aca="false">COUNTIFS(Trades!$D$2:$D$1146,$A535,Trades!$Z$2:$Z$1146,"Win")</f>
        <v>0</v>
      </c>
      <c r="D535" s="29" t="n">
        <f aca="false">COUNTIFS(Trades!$D$2:$D$1146,$A535,Trades!$Z$2:$Z$1146,"Loss")</f>
        <v>1</v>
      </c>
      <c r="E535" s="30" t="n">
        <f aca="false">IFERROR(C535/B535,0)</f>
        <v>0</v>
      </c>
      <c r="F535" s="31" t="n">
        <f aca="false">SUMIFS(Trades!$X$2:$X$1146,Trades!$D$2:$D$1146,$A535)</f>
        <v>-20.73</v>
      </c>
      <c r="G535" s="31" t="n">
        <f aca="false">SUMIFS(Trades!$X$2:$X$1146,Trades!$D$2:$D$1146,$A535,Trades!$X$2:$X$1146,"&gt;0")</f>
        <v>0</v>
      </c>
      <c r="H535" s="31" t="n">
        <f aca="false">SUMIFS(Trades!$X$2:$X$1146,Trades!$D$2:$D$1146,$A535,Trades!$X$2:$X$1146,"&lt;0")</f>
        <v>-20.73</v>
      </c>
      <c r="I535" s="32" t="n">
        <f aca="false">IFERROR(G535/-H535,"no loss")</f>
        <v>0</v>
      </c>
      <c r="J535" s="31" t="n">
        <f aca="false">_xlfn.MAXIFS(Trades!$X$2:$X$1146,Trades!$D$2:$D$1146,$A535)</f>
        <v>-20.73</v>
      </c>
      <c r="K535" s="31" t="n">
        <f aca="false">_xlfn.MINIFS(Trades!$X$2:$X$1146,Trades!$D$2:$D$1146,$A535)</f>
        <v>-20.73</v>
      </c>
      <c r="L535" s="33" t="n">
        <f aca="false">SUMIFS(Trades!$Y$2:$Y$1146,Trades!$D$2:$D$1146,$A535)</f>
        <v>-1.01171303074645</v>
      </c>
      <c r="M535" s="31" t="n">
        <f aca="false">P534</f>
        <v>14534.96</v>
      </c>
      <c r="N535" s="30" t="n">
        <f aca="false">IFERROR(F535/M535,0)</f>
        <v>-0.00142621651521573</v>
      </c>
      <c r="O535" s="29" t="str">
        <f aca="false">IF(-N535&gt;=Summary!$C$7,"BREACH","")</f>
        <v/>
      </c>
      <c r="P535" s="31" t="n">
        <f aca="false">M535+F535</f>
        <v>14514.23</v>
      </c>
      <c r="Q535" s="31" t="n">
        <f aca="false">P535-Summary!$C$5</f>
        <v>4514.22999999999</v>
      </c>
      <c r="R535" s="2" t="str">
        <f aca="false">TEXT(A535,"ddd")</f>
        <v>Thu</v>
      </c>
    </row>
    <row r="536" customFormat="false" ht="15" hidden="false" customHeight="false" outlineLevel="0" collapsed="false">
      <c r="A536" s="43" t="n">
        <v>45520</v>
      </c>
      <c r="B536" s="29" t="n">
        <f aca="false">COUNTIFS(Trades!$D$2:$D$1146,$A536)</f>
        <v>1</v>
      </c>
      <c r="C536" s="29" t="n">
        <f aca="false">COUNTIFS(Trades!$D$2:$D$1146,$A536,Trades!$Z$2:$Z$1146,"Win")</f>
        <v>0</v>
      </c>
      <c r="D536" s="29" t="n">
        <f aca="false">COUNTIFS(Trades!$D$2:$D$1146,$A536,Trades!$Z$2:$Z$1146,"Loss")</f>
        <v>1</v>
      </c>
      <c r="E536" s="30" t="n">
        <f aca="false">IFERROR(C536/B536,0)</f>
        <v>0</v>
      </c>
      <c r="F536" s="31" t="n">
        <f aca="false">SUMIFS(Trades!$X$2:$X$1146,Trades!$D$2:$D$1146,$A536)</f>
        <v>-19.05</v>
      </c>
      <c r="G536" s="31" t="n">
        <f aca="false">SUMIFS(Trades!$X$2:$X$1146,Trades!$D$2:$D$1146,$A536,Trades!$X$2:$X$1146,"&gt;0")</f>
        <v>0</v>
      </c>
      <c r="H536" s="31" t="n">
        <f aca="false">SUMIFS(Trades!$X$2:$X$1146,Trades!$D$2:$D$1146,$A536,Trades!$X$2:$X$1146,"&lt;0")</f>
        <v>-19.05</v>
      </c>
      <c r="I536" s="32" t="n">
        <f aca="false">IFERROR(G536/-H536,"no loss")</f>
        <v>0</v>
      </c>
      <c r="J536" s="31" t="n">
        <f aca="false">_xlfn.MAXIFS(Trades!$X$2:$X$1146,Trades!$D$2:$D$1146,$A536)</f>
        <v>-19.05</v>
      </c>
      <c r="K536" s="31" t="n">
        <f aca="false">_xlfn.MINIFS(Trades!$X$2:$X$1146,Trades!$D$2:$D$1146,$A536)</f>
        <v>-19.05</v>
      </c>
      <c r="L536" s="33" t="n">
        <f aca="false">SUMIFS(Trades!$Y$2:$Y$1146,Trades!$D$2:$D$1146,$A536)</f>
        <v>-1.01114649681547</v>
      </c>
      <c r="M536" s="31" t="n">
        <f aca="false">P535</f>
        <v>14514.23</v>
      </c>
      <c r="N536" s="30" t="n">
        <f aca="false">IFERROR(F536/M536,0)</f>
        <v>-0.0013125050381591</v>
      </c>
      <c r="O536" s="29" t="str">
        <f aca="false">IF(-N536&gt;=Summary!$C$7,"BREACH","")</f>
        <v/>
      </c>
      <c r="P536" s="31" t="n">
        <f aca="false">M536+F536</f>
        <v>14495.18</v>
      </c>
      <c r="Q536" s="31" t="n">
        <f aca="false">P536-Summary!$C$5</f>
        <v>4495.17999999999</v>
      </c>
      <c r="R536" s="2" t="str">
        <f aca="false">TEXT(A536,"ddd")</f>
        <v>Fri</v>
      </c>
    </row>
    <row r="537" customFormat="false" ht="15" hidden="false" customHeight="false" outlineLevel="0" collapsed="false">
      <c r="A537" s="43" t="n">
        <v>45523</v>
      </c>
      <c r="B537" s="29" t="n">
        <f aca="false">COUNTIFS(Trades!$D$2:$D$1146,$A537)</f>
        <v>1</v>
      </c>
      <c r="C537" s="29" t="n">
        <f aca="false">COUNTIFS(Trades!$D$2:$D$1146,$A537,Trades!$Z$2:$Z$1146,"Win")</f>
        <v>0</v>
      </c>
      <c r="D537" s="29" t="n">
        <f aca="false">COUNTIFS(Trades!$D$2:$D$1146,$A537,Trades!$Z$2:$Z$1146,"Loss")</f>
        <v>1</v>
      </c>
      <c r="E537" s="30" t="n">
        <f aca="false">IFERROR(C537/B537,0)</f>
        <v>0</v>
      </c>
      <c r="F537" s="31" t="n">
        <f aca="false">SUMIFS(Trades!$X$2:$X$1146,Trades!$D$2:$D$1146,$A537)</f>
        <v>-25.47</v>
      </c>
      <c r="G537" s="31" t="n">
        <f aca="false">SUMIFS(Trades!$X$2:$X$1146,Trades!$D$2:$D$1146,$A537,Trades!$X$2:$X$1146,"&gt;0")</f>
        <v>0</v>
      </c>
      <c r="H537" s="31" t="n">
        <f aca="false">SUMIFS(Trades!$X$2:$X$1146,Trades!$D$2:$D$1146,$A537,Trades!$X$2:$X$1146,"&lt;0")</f>
        <v>-25.47</v>
      </c>
      <c r="I537" s="32" t="n">
        <f aca="false">IFERROR(G537/-H537,"no loss")</f>
        <v>0</v>
      </c>
      <c r="J537" s="31" t="n">
        <f aca="false">_xlfn.MAXIFS(Trades!$X$2:$X$1146,Trades!$D$2:$D$1146,$A537)</f>
        <v>-25.47</v>
      </c>
      <c r="K537" s="31" t="n">
        <f aca="false">_xlfn.MINIFS(Trades!$X$2:$X$1146,Trades!$D$2:$D$1146,$A537)</f>
        <v>-25.47</v>
      </c>
      <c r="L537" s="33" t="n">
        <f aca="false">SUMIFS(Trades!$Y$2:$Y$1146,Trades!$D$2:$D$1146,$A537)</f>
        <v>-1.05334987593035</v>
      </c>
      <c r="M537" s="31" t="n">
        <f aca="false">P536</f>
        <v>14495.18</v>
      </c>
      <c r="N537" s="30" t="n">
        <f aca="false">IFERROR(F537/M537,0)</f>
        <v>-0.00175713582032096</v>
      </c>
      <c r="O537" s="29" t="str">
        <f aca="false">IF(-N537&gt;=Summary!$C$7,"BREACH","")</f>
        <v/>
      </c>
      <c r="P537" s="31" t="n">
        <f aca="false">M537+F537</f>
        <v>14469.71</v>
      </c>
      <c r="Q537" s="31" t="n">
        <f aca="false">P537-Summary!$C$5</f>
        <v>4469.70999999999</v>
      </c>
      <c r="R537" s="2" t="str">
        <f aca="false">TEXT(A537,"ddd")</f>
        <v>Mon</v>
      </c>
    </row>
    <row r="538" customFormat="false" ht="15" hidden="false" customHeight="false" outlineLevel="0" collapsed="false">
      <c r="A538" s="43" t="n">
        <v>45524</v>
      </c>
      <c r="B538" s="29" t="n">
        <f aca="false">COUNTIFS(Trades!$D$2:$D$1146,$A538)</f>
        <v>1</v>
      </c>
      <c r="C538" s="29" t="n">
        <f aca="false">COUNTIFS(Trades!$D$2:$D$1146,$A538,Trades!$Z$2:$Z$1146,"Win")</f>
        <v>0</v>
      </c>
      <c r="D538" s="29" t="n">
        <f aca="false">COUNTIFS(Trades!$D$2:$D$1146,$A538,Trades!$Z$2:$Z$1146,"Loss")</f>
        <v>1</v>
      </c>
      <c r="E538" s="30" t="n">
        <f aca="false">IFERROR(C538/B538,0)</f>
        <v>0</v>
      </c>
      <c r="F538" s="31" t="n">
        <f aca="false">SUMIFS(Trades!$X$2:$X$1146,Trades!$D$2:$D$1146,$A538)</f>
        <v>-22.74</v>
      </c>
      <c r="G538" s="31" t="n">
        <f aca="false">SUMIFS(Trades!$X$2:$X$1146,Trades!$D$2:$D$1146,$A538,Trades!$X$2:$X$1146,"&gt;0")</f>
        <v>0</v>
      </c>
      <c r="H538" s="31" t="n">
        <f aca="false">SUMIFS(Trades!$X$2:$X$1146,Trades!$D$2:$D$1146,$A538,Trades!$X$2:$X$1146,"&lt;0")</f>
        <v>-22.74</v>
      </c>
      <c r="I538" s="32" t="n">
        <f aca="false">IFERROR(G538/-H538,"no loss")</f>
        <v>0</v>
      </c>
      <c r="J538" s="31" t="n">
        <f aca="false">_xlfn.MAXIFS(Trades!$X$2:$X$1146,Trades!$D$2:$D$1146,$A538)</f>
        <v>-22.74</v>
      </c>
      <c r="K538" s="31" t="n">
        <f aca="false">_xlfn.MINIFS(Trades!$X$2:$X$1146,Trades!$D$2:$D$1146,$A538)</f>
        <v>-22.74</v>
      </c>
      <c r="L538" s="33" t="n">
        <f aca="false">SUMIFS(Trades!$Y$2:$Y$1146,Trades!$D$2:$D$1146,$A538)</f>
        <v>-1.09696092619394</v>
      </c>
      <c r="M538" s="31" t="n">
        <f aca="false">P537</f>
        <v>14469.71</v>
      </c>
      <c r="N538" s="30" t="n">
        <f aca="false">IFERROR(F538/M538,0)</f>
        <v>-0.00157155879419836</v>
      </c>
      <c r="O538" s="29" t="str">
        <f aca="false">IF(-N538&gt;=Summary!$C$7,"BREACH","")</f>
        <v/>
      </c>
      <c r="P538" s="31" t="n">
        <f aca="false">M538+F538</f>
        <v>14446.97</v>
      </c>
      <c r="Q538" s="31" t="n">
        <f aca="false">P538-Summary!$C$5</f>
        <v>4446.96999999999</v>
      </c>
      <c r="R538" s="2" t="str">
        <f aca="false">TEXT(A538,"ddd")</f>
        <v>Tue</v>
      </c>
    </row>
    <row r="539" customFormat="false" ht="15" hidden="false" customHeight="false" outlineLevel="0" collapsed="false">
      <c r="A539" s="43" t="n">
        <v>45525</v>
      </c>
      <c r="B539" s="29" t="n">
        <f aca="false">COUNTIFS(Trades!$D$2:$D$1146,$A539)</f>
        <v>1</v>
      </c>
      <c r="C539" s="29" t="n">
        <f aca="false">COUNTIFS(Trades!$D$2:$D$1146,$A539,Trades!$Z$2:$Z$1146,"Win")</f>
        <v>0</v>
      </c>
      <c r="D539" s="29" t="n">
        <f aca="false">COUNTIFS(Trades!$D$2:$D$1146,$A539,Trades!$Z$2:$Z$1146,"Loss")</f>
        <v>1</v>
      </c>
      <c r="E539" s="30" t="n">
        <f aca="false">IFERROR(C539/B539,0)</f>
        <v>0</v>
      </c>
      <c r="F539" s="31" t="n">
        <f aca="false">SUMIFS(Trades!$X$2:$X$1146,Trades!$D$2:$D$1146,$A539)</f>
        <v>-1.5</v>
      </c>
      <c r="G539" s="31" t="n">
        <f aca="false">SUMIFS(Trades!$X$2:$X$1146,Trades!$D$2:$D$1146,$A539,Trades!$X$2:$X$1146,"&gt;0")</f>
        <v>0</v>
      </c>
      <c r="H539" s="31" t="n">
        <f aca="false">SUMIFS(Trades!$X$2:$X$1146,Trades!$D$2:$D$1146,$A539,Trades!$X$2:$X$1146,"&lt;0")</f>
        <v>-1.5</v>
      </c>
      <c r="I539" s="32" t="n">
        <f aca="false">IFERROR(G539/-H539,"no loss")</f>
        <v>0</v>
      </c>
      <c r="J539" s="31" t="n">
        <f aca="false">_xlfn.MAXIFS(Trades!$X$2:$X$1146,Trades!$D$2:$D$1146,$A539)</f>
        <v>-1.5</v>
      </c>
      <c r="K539" s="31" t="n">
        <f aca="false">_xlfn.MINIFS(Trades!$X$2:$X$1146,Trades!$D$2:$D$1146,$A539)</f>
        <v>-1.5</v>
      </c>
      <c r="L539" s="33" t="n">
        <f aca="false">SUMIFS(Trades!$Y$2:$Y$1146,Trades!$D$2:$D$1146,$A539)</f>
        <v>-0.0152905198776772</v>
      </c>
      <c r="M539" s="31" t="n">
        <f aca="false">P538</f>
        <v>14446.97</v>
      </c>
      <c r="N539" s="30" t="n">
        <f aca="false">IFERROR(F539/M539,0)</f>
        <v>-0.000103827999919706</v>
      </c>
      <c r="O539" s="29" t="str">
        <f aca="false">IF(-N539&gt;=Summary!$C$7,"BREACH","")</f>
        <v/>
      </c>
      <c r="P539" s="31" t="n">
        <f aca="false">M539+F539</f>
        <v>14445.47</v>
      </c>
      <c r="Q539" s="31" t="n">
        <f aca="false">P539-Summary!$C$5</f>
        <v>4445.46999999999</v>
      </c>
      <c r="R539" s="2" t="str">
        <f aca="false">TEXT(A539,"ddd")</f>
        <v>Wed</v>
      </c>
    </row>
    <row r="540" customFormat="false" ht="15" hidden="false" customHeight="false" outlineLevel="0" collapsed="false">
      <c r="A540" s="43" t="n">
        <v>45526</v>
      </c>
      <c r="B540" s="29" t="n">
        <f aca="false">COUNTIFS(Trades!$D$2:$D$1146,$A540)</f>
        <v>2</v>
      </c>
      <c r="C540" s="29" t="n">
        <f aca="false">COUNTIFS(Trades!$D$2:$D$1146,$A540,Trades!$Z$2:$Z$1146,"Win")</f>
        <v>1</v>
      </c>
      <c r="D540" s="29" t="n">
        <f aca="false">COUNTIFS(Trades!$D$2:$D$1146,$A540,Trades!$Z$2:$Z$1146,"Loss")</f>
        <v>1</v>
      </c>
      <c r="E540" s="30" t="n">
        <f aca="false">IFERROR(C540/B540,0)</f>
        <v>0.5</v>
      </c>
      <c r="F540" s="31" t="n">
        <f aca="false">SUMIFS(Trades!$X$2:$X$1146,Trades!$D$2:$D$1146,$A540)</f>
        <v>101.16</v>
      </c>
      <c r="G540" s="31" t="n">
        <f aca="false">SUMIFS(Trades!$X$2:$X$1146,Trades!$D$2:$D$1146,$A540,Trades!$X$2:$X$1146,"&gt;0")</f>
        <v>117.66</v>
      </c>
      <c r="H540" s="31" t="n">
        <f aca="false">SUMIFS(Trades!$X$2:$X$1146,Trades!$D$2:$D$1146,$A540,Trades!$X$2:$X$1146,"&lt;0")</f>
        <v>-16.5</v>
      </c>
      <c r="I540" s="32" t="n">
        <f aca="false">IFERROR(G540/-H540,"no loss")</f>
        <v>7.13090909090909</v>
      </c>
      <c r="J540" s="31" t="n">
        <f aca="false">_xlfn.MAXIFS(Trades!$X$2:$X$1146,Trades!$D$2:$D$1146,$A540)</f>
        <v>117.66</v>
      </c>
      <c r="K540" s="31" t="n">
        <f aca="false">_xlfn.MINIFS(Trades!$X$2:$X$1146,Trades!$D$2:$D$1146,$A540)</f>
        <v>-16.5</v>
      </c>
      <c r="L540" s="33" t="n">
        <f aca="false">SUMIFS(Trades!$Y$2:$Y$1146,Trades!$D$2:$D$1146,$A540)</f>
        <v>1.4558547276141</v>
      </c>
      <c r="M540" s="31" t="n">
        <f aca="false">P539</f>
        <v>14445.47</v>
      </c>
      <c r="N540" s="30" t="n">
        <f aca="false">IFERROR(F540/M540,0)</f>
        <v>0.00700288741037848</v>
      </c>
      <c r="O540" s="29" t="str">
        <f aca="false">IF(-N540&gt;=Summary!$C$7,"BREACH","")</f>
        <v/>
      </c>
      <c r="P540" s="31" t="n">
        <f aca="false">M540+F540</f>
        <v>14546.63</v>
      </c>
      <c r="Q540" s="31" t="n">
        <f aca="false">P540-Summary!$C$5</f>
        <v>4546.62999999999</v>
      </c>
      <c r="R540" s="2" t="str">
        <f aca="false">TEXT(A540,"ddd")</f>
        <v>Thu</v>
      </c>
    </row>
    <row r="541" customFormat="false" ht="15" hidden="false" customHeight="false" outlineLevel="0" collapsed="false">
      <c r="A541" s="43" t="n">
        <v>45530</v>
      </c>
      <c r="B541" s="29" t="n">
        <f aca="false">COUNTIFS(Trades!$D$2:$D$1146,$A541)</f>
        <v>1</v>
      </c>
      <c r="C541" s="29" t="n">
        <f aca="false">COUNTIFS(Trades!$D$2:$D$1146,$A541,Trades!$Z$2:$Z$1146,"Win")</f>
        <v>1</v>
      </c>
      <c r="D541" s="29" t="n">
        <f aca="false">COUNTIFS(Trades!$D$2:$D$1146,$A541,Trades!$Z$2:$Z$1146,"Loss")</f>
        <v>0</v>
      </c>
      <c r="E541" s="30" t="n">
        <f aca="false">IFERROR(C541/B541,0)</f>
        <v>1</v>
      </c>
      <c r="F541" s="31" t="n">
        <f aca="false">SUMIFS(Trades!$X$2:$X$1146,Trades!$D$2:$D$1146,$A541)</f>
        <v>145.17</v>
      </c>
      <c r="G541" s="31" t="n">
        <f aca="false">SUMIFS(Trades!$X$2:$X$1146,Trades!$D$2:$D$1146,$A541,Trades!$X$2:$X$1146,"&gt;0")</f>
        <v>145.17</v>
      </c>
      <c r="H541" s="31" t="n">
        <f aca="false">SUMIFS(Trades!$X$2:$X$1146,Trades!$D$2:$D$1146,$A541,Trades!$X$2:$X$1146,"&lt;0")</f>
        <v>0</v>
      </c>
      <c r="I541" s="32" t="str">
        <f aca="false">IFERROR(G541/-H541,"no loss")</f>
        <v>no loss</v>
      </c>
      <c r="J541" s="31" t="n">
        <f aca="false">_xlfn.MAXIFS(Trades!$X$2:$X$1146,Trades!$D$2:$D$1146,$A541)</f>
        <v>145.17</v>
      </c>
      <c r="K541" s="31" t="n">
        <f aca="false">_xlfn.MINIFS(Trades!$X$2:$X$1146,Trades!$D$2:$D$1146,$A541)</f>
        <v>145.17</v>
      </c>
      <c r="L541" s="33" t="n">
        <f aca="false">SUMIFS(Trades!$Y$2:$Y$1146,Trades!$D$2:$D$1146,$A541)</f>
        <v>2.47899590163975</v>
      </c>
      <c r="M541" s="31" t="n">
        <f aca="false">P540</f>
        <v>14546.63</v>
      </c>
      <c r="N541" s="30" t="n">
        <f aca="false">IFERROR(F541/M541,0)</f>
        <v>0.00997963102106812</v>
      </c>
      <c r="O541" s="29" t="str">
        <f aca="false">IF(-N541&gt;=Summary!$C$7,"BREACH","")</f>
        <v/>
      </c>
      <c r="P541" s="31" t="n">
        <f aca="false">M541+F541</f>
        <v>14691.8</v>
      </c>
      <c r="Q541" s="31" t="n">
        <f aca="false">P541-Summary!$C$5</f>
        <v>4691.79999999999</v>
      </c>
      <c r="R541" s="2" t="str">
        <f aca="false">TEXT(A541,"ddd")</f>
        <v>Mon</v>
      </c>
    </row>
    <row r="542" customFormat="false" ht="15" hidden="false" customHeight="false" outlineLevel="0" collapsed="false">
      <c r="A542" s="43" t="n">
        <v>45531</v>
      </c>
      <c r="B542" s="29" t="n">
        <f aca="false">COUNTIFS(Trades!$D$2:$D$1146,$A542)</f>
        <v>1</v>
      </c>
      <c r="C542" s="29" t="n">
        <f aca="false">COUNTIFS(Trades!$D$2:$D$1146,$A542,Trades!$Z$2:$Z$1146,"Win")</f>
        <v>0</v>
      </c>
      <c r="D542" s="29" t="n">
        <f aca="false">COUNTIFS(Trades!$D$2:$D$1146,$A542,Trades!$Z$2:$Z$1146,"Loss")</f>
        <v>1</v>
      </c>
      <c r="E542" s="30" t="n">
        <f aca="false">IFERROR(C542/B542,0)</f>
        <v>0</v>
      </c>
      <c r="F542" s="31" t="n">
        <f aca="false">SUMIFS(Trades!$X$2:$X$1146,Trades!$D$2:$D$1146,$A542)</f>
        <v>-44.07</v>
      </c>
      <c r="G542" s="31" t="n">
        <f aca="false">SUMIFS(Trades!$X$2:$X$1146,Trades!$D$2:$D$1146,$A542,Trades!$X$2:$X$1146,"&gt;0")</f>
        <v>0</v>
      </c>
      <c r="H542" s="31" t="n">
        <f aca="false">SUMIFS(Trades!$X$2:$X$1146,Trades!$D$2:$D$1146,$A542,Trades!$X$2:$X$1146,"&lt;0")</f>
        <v>-44.07</v>
      </c>
      <c r="I542" s="32" t="n">
        <f aca="false">IFERROR(G542/-H542,"no loss")</f>
        <v>0</v>
      </c>
      <c r="J542" s="31" t="n">
        <f aca="false">_xlfn.MAXIFS(Trades!$X$2:$X$1146,Trades!$D$2:$D$1146,$A542)</f>
        <v>-44.07</v>
      </c>
      <c r="K542" s="31" t="n">
        <f aca="false">_xlfn.MINIFS(Trades!$X$2:$X$1146,Trades!$D$2:$D$1146,$A542)</f>
        <v>-44.07</v>
      </c>
      <c r="L542" s="33" t="n">
        <f aca="false">SUMIFS(Trades!$Y$2:$Y$1146,Trades!$D$2:$D$1146,$A542)</f>
        <v>-1.00204638472034</v>
      </c>
      <c r="M542" s="31" t="n">
        <f aca="false">P541</f>
        <v>14691.8</v>
      </c>
      <c r="N542" s="30" t="n">
        <f aca="false">IFERROR(F542/M542,0)</f>
        <v>-0.00299963244803224</v>
      </c>
      <c r="O542" s="29" t="str">
        <f aca="false">IF(-N542&gt;=Summary!$C$7,"BREACH","")</f>
        <v/>
      </c>
      <c r="P542" s="31" t="n">
        <f aca="false">M542+F542</f>
        <v>14647.73</v>
      </c>
      <c r="Q542" s="31" t="n">
        <f aca="false">P542-Summary!$C$5</f>
        <v>4647.72999999999</v>
      </c>
      <c r="R542" s="2" t="str">
        <f aca="false">TEXT(A542,"ddd")</f>
        <v>Tue</v>
      </c>
    </row>
    <row r="543" customFormat="false" ht="15" hidden="false" customHeight="false" outlineLevel="0" collapsed="false">
      <c r="A543" s="43" t="n">
        <v>45532</v>
      </c>
      <c r="B543" s="29" t="n">
        <f aca="false">COUNTIFS(Trades!$D$2:$D$1146,$A543)</f>
        <v>1</v>
      </c>
      <c r="C543" s="29" t="n">
        <f aca="false">COUNTIFS(Trades!$D$2:$D$1146,$A543,Trades!$Z$2:$Z$1146,"Win")</f>
        <v>0</v>
      </c>
      <c r="D543" s="29" t="n">
        <f aca="false">COUNTIFS(Trades!$D$2:$D$1146,$A543,Trades!$Z$2:$Z$1146,"Loss")</f>
        <v>1</v>
      </c>
      <c r="E543" s="30" t="n">
        <f aca="false">IFERROR(C543/B543,0)</f>
        <v>0</v>
      </c>
      <c r="F543" s="31" t="n">
        <f aca="false">SUMIFS(Trades!$X$2:$X$1146,Trades!$D$2:$D$1146,$A543)</f>
        <v>-56.67</v>
      </c>
      <c r="G543" s="31" t="n">
        <f aca="false">SUMIFS(Trades!$X$2:$X$1146,Trades!$D$2:$D$1146,$A543,Trades!$X$2:$X$1146,"&gt;0")</f>
        <v>0</v>
      </c>
      <c r="H543" s="31" t="n">
        <f aca="false">SUMIFS(Trades!$X$2:$X$1146,Trades!$D$2:$D$1146,$A543,Trades!$X$2:$X$1146,"&lt;0")</f>
        <v>-56.67</v>
      </c>
      <c r="I543" s="32" t="n">
        <f aca="false">IFERROR(G543/-H543,"no loss")</f>
        <v>0</v>
      </c>
      <c r="J543" s="31" t="n">
        <f aca="false">_xlfn.MAXIFS(Trades!$X$2:$X$1146,Trades!$D$2:$D$1146,$A543)</f>
        <v>-56.67</v>
      </c>
      <c r="K543" s="31" t="n">
        <f aca="false">_xlfn.MINIFS(Trades!$X$2:$X$1146,Trades!$D$2:$D$1146,$A543)</f>
        <v>-56.67</v>
      </c>
      <c r="L543" s="33" t="n">
        <f aca="false">SUMIFS(Trades!$Y$2:$Y$1146,Trades!$D$2:$D$1146,$A543)</f>
        <v>-1.04769828064344</v>
      </c>
      <c r="M543" s="31" t="n">
        <f aca="false">P542</f>
        <v>14647.73</v>
      </c>
      <c r="N543" s="30" t="n">
        <f aca="false">IFERROR(F543/M543,0)</f>
        <v>-0.0038688588607245</v>
      </c>
      <c r="O543" s="29" t="str">
        <f aca="false">IF(-N543&gt;=Summary!$C$7,"BREACH","")</f>
        <v/>
      </c>
      <c r="P543" s="31" t="n">
        <f aca="false">M543+F543</f>
        <v>14591.06</v>
      </c>
      <c r="Q543" s="31" t="n">
        <f aca="false">P543-Summary!$C$5</f>
        <v>4591.05999999999</v>
      </c>
      <c r="R543" s="2" t="str">
        <f aca="false">TEXT(A543,"ddd")</f>
        <v>Wed</v>
      </c>
    </row>
    <row r="544" customFormat="false" ht="15" hidden="false" customHeight="false" outlineLevel="0" collapsed="false">
      <c r="A544" s="43" t="n">
        <v>45533</v>
      </c>
      <c r="B544" s="29" t="n">
        <f aca="false">COUNTIFS(Trades!$D$2:$D$1146,$A544)</f>
        <v>2</v>
      </c>
      <c r="C544" s="29" t="n">
        <f aca="false">COUNTIFS(Trades!$D$2:$D$1146,$A544,Trades!$Z$2:$Z$1146,"Win")</f>
        <v>0</v>
      </c>
      <c r="D544" s="29" t="n">
        <f aca="false">COUNTIFS(Trades!$D$2:$D$1146,$A544,Trades!$Z$2:$Z$1146,"Loss")</f>
        <v>2</v>
      </c>
      <c r="E544" s="30" t="n">
        <f aca="false">IFERROR(C544/B544,0)</f>
        <v>0</v>
      </c>
      <c r="F544" s="31" t="n">
        <f aca="false">SUMIFS(Trades!$X$2:$X$1146,Trades!$D$2:$D$1146,$A544)</f>
        <v>-32.1</v>
      </c>
      <c r="G544" s="31" t="n">
        <f aca="false">SUMIFS(Trades!$X$2:$X$1146,Trades!$D$2:$D$1146,$A544,Trades!$X$2:$X$1146,"&gt;0")</f>
        <v>0</v>
      </c>
      <c r="H544" s="31" t="n">
        <f aca="false">SUMIFS(Trades!$X$2:$X$1146,Trades!$D$2:$D$1146,$A544,Trades!$X$2:$X$1146,"&lt;0")</f>
        <v>-32.1</v>
      </c>
      <c r="I544" s="32" t="n">
        <f aca="false">IFERROR(G544/-H544,"no loss")</f>
        <v>0</v>
      </c>
      <c r="J544" s="31" t="n">
        <f aca="false">_xlfn.MAXIFS(Trades!$X$2:$X$1146,Trades!$D$2:$D$1146,$A544)</f>
        <v>-1.47</v>
      </c>
      <c r="K544" s="31" t="n">
        <f aca="false">_xlfn.MINIFS(Trades!$X$2:$X$1146,Trades!$D$2:$D$1146,$A544)</f>
        <v>-30.63</v>
      </c>
      <c r="L544" s="33" t="n">
        <f aca="false">SUMIFS(Trades!$Y$2:$Y$1146,Trades!$D$2:$D$1146,$A544)</f>
        <v>-1.06550750710343</v>
      </c>
      <c r="M544" s="31" t="n">
        <f aca="false">P543</f>
        <v>14591.06</v>
      </c>
      <c r="N544" s="30" t="n">
        <f aca="false">IFERROR(F544/M544,0)</f>
        <v>-0.00219997724634125</v>
      </c>
      <c r="O544" s="29" t="str">
        <f aca="false">IF(-N544&gt;=Summary!$C$7,"BREACH","")</f>
        <v/>
      </c>
      <c r="P544" s="31" t="n">
        <f aca="false">M544+F544</f>
        <v>14558.96</v>
      </c>
      <c r="Q544" s="31" t="n">
        <f aca="false">P544-Summary!$C$5</f>
        <v>4558.95999999999</v>
      </c>
      <c r="R544" s="2" t="str">
        <f aca="false">TEXT(A544,"ddd")</f>
        <v>Thu</v>
      </c>
    </row>
    <row r="545" customFormat="false" ht="15" hidden="false" customHeight="false" outlineLevel="0" collapsed="false">
      <c r="A545" s="43" t="n">
        <v>45537</v>
      </c>
      <c r="B545" s="29" t="n">
        <f aca="false">COUNTIFS(Trades!$D$2:$D$1146,$A545)</f>
        <v>1</v>
      </c>
      <c r="C545" s="29" t="n">
        <f aca="false">COUNTIFS(Trades!$D$2:$D$1146,$A545,Trades!$Z$2:$Z$1146,"Win")</f>
        <v>0</v>
      </c>
      <c r="D545" s="29" t="n">
        <f aca="false">COUNTIFS(Trades!$D$2:$D$1146,$A545,Trades!$Z$2:$Z$1146,"Loss")</f>
        <v>1</v>
      </c>
      <c r="E545" s="30" t="n">
        <f aca="false">IFERROR(C545/B545,0)</f>
        <v>0</v>
      </c>
      <c r="F545" s="31" t="n">
        <f aca="false">SUMIFS(Trades!$X$2:$X$1146,Trades!$D$2:$D$1146,$A545)</f>
        <v>-0.63</v>
      </c>
      <c r="G545" s="31" t="n">
        <f aca="false">SUMIFS(Trades!$X$2:$X$1146,Trades!$D$2:$D$1146,$A545,Trades!$X$2:$X$1146,"&gt;0")</f>
        <v>0</v>
      </c>
      <c r="H545" s="31" t="n">
        <f aca="false">SUMIFS(Trades!$X$2:$X$1146,Trades!$D$2:$D$1146,$A545,Trades!$X$2:$X$1146,"&lt;0")</f>
        <v>-0.63</v>
      </c>
      <c r="I545" s="32" t="n">
        <f aca="false">IFERROR(G545/-H545,"no loss")</f>
        <v>0</v>
      </c>
      <c r="J545" s="31" t="n">
        <f aca="false">_xlfn.MAXIFS(Trades!$X$2:$X$1146,Trades!$D$2:$D$1146,$A545)</f>
        <v>-0.63</v>
      </c>
      <c r="K545" s="31" t="n">
        <f aca="false">_xlfn.MINIFS(Trades!$X$2:$X$1146,Trades!$D$2:$D$1146,$A545)</f>
        <v>-0.63</v>
      </c>
      <c r="L545" s="33" t="n">
        <f aca="false">SUMIFS(Trades!$Y$2:$Y$1146,Trades!$D$2:$D$1146,$A545)</f>
        <v>-0.04</v>
      </c>
      <c r="M545" s="31" t="n">
        <f aca="false">P544</f>
        <v>14558.96</v>
      </c>
      <c r="N545" s="30" t="n">
        <f aca="false">IFERROR(F545/M545,0)</f>
        <v>-4.32723216493486E-005</v>
      </c>
      <c r="O545" s="29" t="str">
        <f aca="false">IF(-N545&gt;=Summary!$C$7,"BREACH","")</f>
        <v/>
      </c>
      <c r="P545" s="31" t="n">
        <f aca="false">M545+F545</f>
        <v>14558.33</v>
      </c>
      <c r="Q545" s="31" t="n">
        <f aca="false">P545-Summary!$C$5</f>
        <v>4558.32999999999</v>
      </c>
      <c r="R545" s="2" t="str">
        <f aca="false">TEXT(A545,"ddd")</f>
        <v>Mon</v>
      </c>
    </row>
    <row r="546" customFormat="false" ht="15" hidden="false" customHeight="false" outlineLevel="0" collapsed="false">
      <c r="A546" s="43" t="n">
        <v>45538</v>
      </c>
      <c r="B546" s="29" t="n">
        <f aca="false">COUNTIFS(Trades!$D$2:$D$1146,$A546)</f>
        <v>2</v>
      </c>
      <c r="C546" s="29" t="n">
        <f aca="false">COUNTIFS(Trades!$D$2:$D$1146,$A546,Trades!$Z$2:$Z$1146,"Win")</f>
        <v>0</v>
      </c>
      <c r="D546" s="29" t="n">
        <f aca="false">COUNTIFS(Trades!$D$2:$D$1146,$A546,Trades!$Z$2:$Z$1146,"Loss")</f>
        <v>2</v>
      </c>
      <c r="E546" s="30" t="n">
        <f aca="false">IFERROR(C546/B546,0)</f>
        <v>0</v>
      </c>
      <c r="F546" s="31" t="n">
        <f aca="false">SUMIFS(Trades!$X$2:$X$1146,Trades!$D$2:$D$1146,$A546)</f>
        <v>-73.89</v>
      </c>
      <c r="G546" s="31" t="n">
        <f aca="false">SUMIFS(Trades!$X$2:$X$1146,Trades!$D$2:$D$1146,$A546,Trades!$X$2:$X$1146,"&gt;0")</f>
        <v>0</v>
      </c>
      <c r="H546" s="31" t="n">
        <f aca="false">SUMIFS(Trades!$X$2:$X$1146,Trades!$D$2:$D$1146,$A546,Trades!$X$2:$X$1146,"&lt;0")</f>
        <v>-73.89</v>
      </c>
      <c r="I546" s="32" t="n">
        <f aca="false">IFERROR(G546/-H546,"no loss")</f>
        <v>0</v>
      </c>
      <c r="J546" s="31" t="n">
        <f aca="false">_xlfn.MAXIFS(Trades!$X$2:$X$1146,Trades!$D$2:$D$1146,$A546)</f>
        <v>-35.31</v>
      </c>
      <c r="K546" s="31" t="n">
        <f aca="false">_xlfn.MINIFS(Trades!$X$2:$X$1146,Trades!$D$2:$D$1146,$A546)</f>
        <v>-38.58</v>
      </c>
      <c r="L546" s="33" t="n">
        <f aca="false">SUMIFS(Trades!$Y$2:$Y$1146,Trades!$D$2:$D$1146,$A546)</f>
        <v>-2.04186211455557</v>
      </c>
      <c r="M546" s="31" t="n">
        <f aca="false">P545</f>
        <v>14558.33</v>
      </c>
      <c r="N546" s="30" t="n">
        <f aca="false">IFERROR(F546/M546,0)</f>
        <v>-0.00507544477972405</v>
      </c>
      <c r="O546" s="29" t="str">
        <f aca="false">IF(-N546&gt;=Summary!$C$7,"BREACH","")</f>
        <v/>
      </c>
      <c r="P546" s="31" t="n">
        <f aca="false">M546+F546</f>
        <v>14484.44</v>
      </c>
      <c r="Q546" s="31" t="n">
        <f aca="false">P546-Summary!$C$5</f>
        <v>4484.43999999999</v>
      </c>
      <c r="R546" s="2" t="str">
        <f aca="false">TEXT(A546,"ddd")</f>
        <v>Tue</v>
      </c>
    </row>
    <row r="547" customFormat="false" ht="15" hidden="false" customHeight="false" outlineLevel="0" collapsed="false">
      <c r="A547" s="43" t="n">
        <v>45539</v>
      </c>
      <c r="B547" s="29" t="n">
        <f aca="false">COUNTIFS(Trades!$D$2:$D$1146,$A547)</f>
        <v>1</v>
      </c>
      <c r="C547" s="29" t="n">
        <f aca="false">COUNTIFS(Trades!$D$2:$D$1146,$A547,Trades!$Z$2:$Z$1146,"Win")</f>
        <v>1</v>
      </c>
      <c r="D547" s="29" t="n">
        <f aca="false">COUNTIFS(Trades!$D$2:$D$1146,$A547,Trades!$Z$2:$Z$1146,"Loss")</f>
        <v>0</v>
      </c>
      <c r="E547" s="30" t="n">
        <f aca="false">IFERROR(C547/B547,0)</f>
        <v>1</v>
      </c>
      <c r="F547" s="31" t="n">
        <f aca="false">SUMIFS(Trades!$X$2:$X$1146,Trades!$D$2:$D$1146,$A547)</f>
        <v>119.22</v>
      </c>
      <c r="G547" s="31" t="n">
        <f aca="false">SUMIFS(Trades!$X$2:$X$1146,Trades!$D$2:$D$1146,$A547,Trades!$X$2:$X$1146,"&gt;0")</f>
        <v>119.22</v>
      </c>
      <c r="H547" s="31" t="n">
        <f aca="false">SUMIFS(Trades!$X$2:$X$1146,Trades!$D$2:$D$1146,$A547,Trades!$X$2:$X$1146,"&lt;0")</f>
        <v>0</v>
      </c>
      <c r="I547" s="32" t="str">
        <f aca="false">IFERROR(G547/-H547,"no loss")</f>
        <v>no loss</v>
      </c>
      <c r="J547" s="31" t="n">
        <f aca="false">_xlfn.MAXIFS(Trades!$X$2:$X$1146,Trades!$D$2:$D$1146,$A547)</f>
        <v>119.22</v>
      </c>
      <c r="K547" s="31" t="n">
        <f aca="false">_xlfn.MINIFS(Trades!$X$2:$X$1146,Trades!$D$2:$D$1146,$A547)</f>
        <v>119.22</v>
      </c>
      <c r="L547" s="33" t="n">
        <f aca="false">SUMIFS(Trades!$Y$2:$Y$1146,Trades!$D$2:$D$1146,$A547)</f>
        <v>2.59738562091454</v>
      </c>
      <c r="M547" s="31" t="n">
        <f aca="false">P546</f>
        <v>14484.44</v>
      </c>
      <c r="N547" s="30" t="n">
        <f aca="false">IFERROR(F547/M547,0)</f>
        <v>0.00823090157437913</v>
      </c>
      <c r="O547" s="29" t="str">
        <f aca="false">IF(-N547&gt;=Summary!$C$7,"BREACH","")</f>
        <v/>
      </c>
      <c r="P547" s="31" t="n">
        <f aca="false">M547+F547</f>
        <v>14603.66</v>
      </c>
      <c r="Q547" s="31" t="n">
        <f aca="false">P547-Summary!$C$5</f>
        <v>4603.65999999999</v>
      </c>
      <c r="R547" s="2" t="str">
        <f aca="false">TEXT(A547,"ddd")</f>
        <v>Wed</v>
      </c>
    </row>
    <row r="548" customFormat="false" ht="15" hidden="false" customHeight="false" outlineLevel="0" collapsed="false">
      <c r="A548" s="43" t="n">
        <v>45540</v>
      </c>
      <c r="B548" s="29" t="n">
        <f aca="false">COUNTIFS(Trades!$D$2:$D$1146,$A548)</f>
        <v>1</v>
      </c>
      <c r="C548" s="29" t="n">
        <f aca="false">COUNTIFS(Trades!$D$2:$D$1146,$A548,Trades!$Z$2:$Z$1146,"Win")</f>
        <v>0</v>
      </c>
      <c r="D548" s="29" t="n">
        <f aca="false">COUNTIFS(Trades!$D$2:$D$1146,$A548,Trades!$Z$2:$Z$1146,"Loss")</f>
        <v>1</v>
      </c>
      <c r="E548" s="30" t="n">
        <f aca="false">IFERROR(C548/B548,0)</f>
        <v>0</v>
      </c>
      <c r="F548" s="31" t="n">
        <f aca="false">SUMIFS(Trades!$X$2:$X$1146,Trades!$D$2:$D$1146,$A548)</f>
        <v>-2.07</v>
      </c>
      <c r="G548" s="31" t="n">
        <f aca="false">SUMIFS(Trades!$X$2:$X$1146,Trades!$D$2:$D$1146,$A548,Trades!$X$2:$X$1146,"&gt;0")</f>
        <v>0</v>
      </c>
      <c r="H548" s="31" t="n">
        <f aca="false">SUMIFS(Trades!$X$2:$X$1146,Trades!$D$2:$D$1146,$A548,Trades!$X$2:$X$1146,"&lt;0")</f>
        <v>-2.07</v>
      </c>
      <c r="I548" s="32" t="n">
        <f aca="false">IFERROR(G548/-H548,"no loss")</f>
        <v>0</v>
      </c>
      <c r="J548" s="31" t="n">
        <f aca="false">_xlfn.MAXIFS(Trades!$X$2:$X$1146,Trades!$D$2:$D$1146,$A548)</f>
        <v>-2.07</v>
      </c>
      <c r="K548" s="31" t="n">
        <f aca="false">_xlfn.MINIFS(Trades!$X$2:$X$1146,Trades!$D$2:$D$1146,$A548)</f>
        <v>-2.07</v>
      </c>
      <c r="L548" s="33" t="n">
        <f aca="false">SUMIFS(Trades!$Y$2:$Y$1146,Trades!$D$2:$D$1146,$A548)</f>
        <v>-0.0362966859547637</v>
      </c>
      <c r="M548" s="31" t="n">
        <f aca="false">P547</f>
        <v>14603.66</v>
      </c>
      <c r="N548" s="30" t="n">
        <f aca="false">IFERROR(F548/M548,0)</f>
        <v>-0.000141745288509867</v>
      </c>
      <c r="O548" s="29" t="str">
        <f aca="false">IF(-N548&gt;=Summary!$C$7,"BREACH","")</f>
        <v/>
      </c>
      <c r="P548" s="31" t="n">
        <f aca="false">M548+F548</f>
        <v>14601.59</v>
      </c>
      <c r="Q548" s="31" t="n">
        <f aca="false">P548-Summary!$C$5</f>
        <v>4601.58999999999</v>
      </c>
      <c r="R548" s="2" t="str">
        <f aca="false">TEXT(A548,"ddd")</f>
        <v>Thu</v>
      </c>
    </row>
    <row r="549" customFormat="false" ht="15" hidden="false" customHeight="false" outlineLevel="0" collapsed="false">
      <c r="A549" s="43" t="n">
        <v>45541</v>
      </c>
      <c r="B549" s="29" t="n">
        <f aca="false">COUNTIFS(Trades!$D$2:$D$1146,$A549)</f>
        <v>1</v>
      </c>
      <c r="C549" s="29" t="n">
        <f aca="false">COUNTIFS(Trades!$D$2:$D$1146,$A549,Trades!$Z$2:$Z$1146,"Win")</f>
        <v>0</v>
      </c>
      <c r="D549" s="29" t="n">
        <f aca="false">COUNTIFS(Trades!$D$2:$D$1146,$A549,Trades!$Z$2:$Z$1146,"Loss")</f>
        <v>1</v>
      </c>
      <c r="E549" s="30" t="n">
        <f aca="false">IFERROR(C549/B549,0)</f>
        <v>0</v>
      </c>
      <c r="F549" s="31" t="n">
        <f aca="false">SUMIFS(Trades!$X$2:$X$1146,Trades!$D$2:$D$1146,$A549)</f>
        <v>-0.03</v>
      </c>
      <c r="G549" s="31" t="n">
        <f aca="false">SUMIFS(Trades!$X$2:$X$1146,Trades!$D$2:$D$1146,$A549,Trades!$X$2:$X$1146,"&gt;0")</f>
        <v>0</v>
      </c>
      <c r="H549" s="31" t="n">
        <f aca="false">SUMIFS(Trades!$X$2:$X$1146,Trades!$D$2:$D$1146,$A549,Trades!$X$2:$X$1146,"&lt;0")</f>
        <v>-0.03</v>
      </c>
      <c r="I549" s="32" t="n">
        <f aca="false">IFERROR(G549/-H549,"no loss")</f>
        <v>0</v>
      </c>
      <c r="J549" s="31" t="n">
        <f aca="false">_xlfn.MAXIFS(Trades!$X$2:$X$1146,Trades!$D$2:$D$1146,$A549)</f>
        <v>-0.03</v>
      </c>
      <c r="K549" s="31" t="n">
        <f aca="false">_xlfn.MINIFS(Trades!$X$2:$X$1146,Trades!$D$2:$D$1146,$A549)</f>
        <v>-0.03</v>
      </c>
      <c r="L549" s="33" t="n">
        <f aca="false">SUMIFS(Trades!$Y$2:$Y$1146,Trades!$D$2:$D$1146,$A549)</f>
        <v>-0.000908265213442457</v>
      </c>
      <c r="M549" s="31" t="n">
        <f aca="false">P548</f>
        <v>14601.59</v>
      </c>
      <c r="N549" s="30" t="n">
        <f aca="false">IFERROR(F549/M549,0)</f>
        <v>-2.05457076934772E-006</v>
      </c>
      <c r="O549" s="29" t="str">
        <f aca="false">IF(-N549&gt;=Summary!$C$7,"BREACH","")</f>
        <v/>
      </c>
      <c r="P549" s="31" t="n">
        <f aca="false">M549+F549</f>
        <v>14601.56</v>
      </c>
      <c r="Q549" s="31" t="n">
        <f aca="false">P549-Summary!$C$5</f>
        <v>4601.55999999999</v>
      </c>
      <c r="R549" s="2" t="str">
        <f aca="false">TEXT(A549,"ddd")</f>
        <v>Fri</v>
      </c>
    </row>
    <row r="550" customFormat="false" ht="15" hidden="false" customHeight="false" outlineLevel="0" collapsed="false">
      <c r="A550" s="43" t="n">
        <v>45544</v>
      </c>
      <c r="B550" s="29" t="n">
        <f aca="false">COUNTIFS(Trades!$D$2:$D$1146,$A550)</f>
        <v>1</v>
      </c>
      <c r="C550" s="29" t="n">
        <f aca="false">COUNTIFS(Trades!$D$2:$D$1146,$A550,Trades!$Z$2:$Z$1146,"Win")</f>
        <v>0</v>
      </c>
      <c r="D550" s="29" t="n">
        <f aca="false">COUNTIFS(Trades!$D$2:$D$1146,$A550,Trades!$Z$2:$Z$1146,"Loss")</f>
        <v>1</v>
      </c>
      <c r="E550" s="30" t="n">
        <f aca="false">IFERROR(C550/B550,0)</f>
        <v>0</v>
      </c>
      <c r="F550" s="31" t="n">
        <f aca="false">SUMIFS(Trades!$X$2:$X$1146,Trades!$D$2:$D$1146,$A550)</f>
        <v>-0.72</v>
      </c>
      <c r="G550" s="31" t="n">
        <f aca="false">SUMIFS(Trades!$X$2:$X$1146,Trades!$D$2:$D$1146,$A550,Trades!$X$2:$X$1146,"&gt;0")</f>
        <v>0</v>
      </c>
      <c r="H550" s="31" t="n">
        <f aca="false">SUMIFS(Trades!$X$2:$X$1146,Trades!$D$2:$D$1146,$A550,Trades!$X$2:$X$1146,"&lt;0")</f>
        <v>-0.72</v>
      </c>
      <c r="I550" s="32" t="n">
        <f aca="false">IFERROR(G550/-H550,"no loss")</f>
        <v>0</v>
      </c>
      <c r="J550" s="31" t="n">
        <f aca="false">_xlfn.MAXIFS(Trades!$X$2:$X$1146,Trades!$D$2:$D$1146,$A550)</f>
        <v>-0.72</v>
      </c>
      <c r="K550" s="31" t="n">
        <f aca="false">_xlfn.MINIFS(Trades!$X$2:$X$1146,Trades!$D$2:$D$1146,$A550)</f>
        <v>-0.72</v>
      </c>
      <c r="L550" s="33" t="n">
        <f aca="false">SUMIFS(Trades!$Y$2:$Y$1146,Trades!$D$2:$D$1146,$A550)</f>
        <v>-0.0169611307420521</v>
      </c>
      <c r="M550" s="31" t="n">
        <f aca="false">P549</f>
        <v>14601.56</v>
      </c>
      <c r="N550" s="30" t="n">
        <f aca="false">IFERROR(F550/M550,0)</f>
        <v>-4.93097997748186E-005</v>
      </c>
      <c r="O550" s="29" t="str">
        <f aca="false">IF(-N550&gt;=Summary!$C$7,"BREACH","")</f>
        <v/>
      </c>
      <c r="P550" s="31" t="n">
        <f aca="false">M550+F550</f>
        <v>14600.84</v>
      </c>
      <c r="Q550" s="31" t="n">
        <f aca="false">P550-Summary!$C$5</f>
        <v>4600.83999999999</v>
      </c>
      <c r="R550" s="2" t="str">
        <f aca="false">TEXT(A550,"ddd")</f>
        <v>Mon</v>
      </c>
    </row>
    <row r="551" customFormat="false" ht="15" hidden="false" customHeight="false" outlineLevel="0" collapsed="false">
      <c r="A551" s="43" t="n">
        <v>45545</v>
      </c>
      <c r="B551" s="29" t="n">
        <f aca="false">COUNTIFS(Trades!$D$2:$D$1146,$A551)</f>
        <v>1</v>
      </c>
      <c r="C551" s="29" t="n">
        <f aca="false">COUNTIFS(Trades!$D$2:$D$1146,$A551,Trades!$Z$2:$Z$1146,"Win")</f>
        <v>0</v>
      </c>
      <c r="D551" s="29" t="n">
        <f aca="false">COUNTIFS(Trades!$D$2:$D$1146,$A551,Trades!$Z$2:$Z$1146,"Loss")</f>
        <v>1</v>
      </c>
      <c r="E551" s="30" t="n">
        <f aca="false">IFERROR(C551/B551,0)</f>
        <v>0</v>
      </c>
      <c r="F551" s="31" t="n">
        <f aca="false">SUMIFS(Trades!$X$2:$X$1146,Trades!$D$2:$D$1146,$A551)</f>
        <v>-39.81</v>
      </c>
      <c r="G551" s="31" t="n">
        <f aca="false">SUMIFS(Trades!$X$2:$X$1146,Trades!$D$2:$D$1146,$A551,Trades!$X$2:$X$1146,"&gt;0")</f>
        <v>0</v>
      </c>
      <c r="H551" s="31" t="n">
        <f aca="false">SUMIFS(Trades!$X$2:$X$1146,Trades!$D$2:$D$1146,$A551,Trades!$X$2:$X$1146,"&lt;0")</f>
        <v>-39.81</v>
      </c>
      <c r="I551" s="32" t="n">
        <f aca="false">IFERROR(G551/-H551,"no loss")</f>
        <v>0</v>
      </c>
      <c r="J551" s="31" t="n">
        <f aca="false">_xlfn.MAXIFS(Trades!$X$2:$X$1146,Trades!$D$2:$D$1146,$A551)</f>
        <v>-39.81</v>
      </c>
      <c r="K551" s="31" t="n">
        <f aca="false">_xlfn.MINIFS(Trades!$X$2:$X$1146,Trades!$D$2:$D$1146,$A551)</f>
        <v>-39.81</v>
      </c>
      <c r="L551" s="33" t="n">
        <f aca="false">SUMIFS(Trades!$Y$2:$Y$1146,Trades!$D$2:$D$1146,$A551)</f>
        <v>-1.0359094457457</v>
      </c>
      <c r="M551" s="31" t="n">
        <f aca="false">P550</f>
        <v>14600.84</v>
      </c>
      <c r="N551" s="30" t="n">
        <f aca="false">IFERROR(F551/M551,0)</f>
        <v>-0.00272655545845308</v>
      </c>
      <c r="O551" s="29" t="str">
        <f aca="false">IF(-N551&gt;=Summary!$C$7,"BREACH","")</f>
        <v/>
      </c>
      <c r="P551" s="31" t="n">
        <f aca="false">M551+F551</f>
        <v>14561.03</v>
      </c>
      <c r="Q551" s="31" t="n">
        <f aca="false">P551-Summary!$C$5</f>
        <v>4561.02999999999</v>
      </c>
      <c r="R551" s="2" t="str">
        <f aca="false">TEXT(A551,"ddd")</f>
        <v>Tue</v>
      </c>
    </row>
    <row r="552" customFormat="false" ht="15" hidden="false" customHeight="false" outlineLevel="0" collapsed="false">
      <c r="A552" s="43" t="n">
        <v>45546</v>
      </c>
      <c r="B552" s="29" t="n">
        <f aca="false">COUNTIFS(Trades!$D$2:$D$1146,$A552)</f>
        <v>2</v>
      </c>
      <c r="C552" s="29" t="n">
        <f aca="false">COUNTIFS(Trades!$D$2:$D$1146,$A552,Trades!$Z$2:$Z$1146,"Win")</f>
        <v>0</v>
      </c>
      <c r="D552" s="29" t="n">
        <f aca="false">COUNTIFS(Trades!$D$2:$D$1146,$A552,Trades!$Z$2:$Z$1146,"Loss")</f>
        <v>2</v>
      </c>
      <c r="E552" s="30" t="n">
        <f aca="false">IFERROR(C552/B552,0)</f>
        <v>0</v>
      </c>
      <c r="F552" s="31" t="n">
        <f aca="false">SUMIFS(Trades!$X$2:$X$1146,Trades!$D$2:$D$1146,$A552)</f>
        <v>-72.09</v>
      </c>
      <c r="G552" s="31" t="n">
        <f aca="false">SUMIFS(Trades!$X$2:$X$1146,Trades!$D$2:$D$1146,$A552,Trades!$X$2:$X$1146,"&gt;0")</f>
        <v>0</v>
      </c>
      <c r="H552" s="31" t="n">
        <f aca="false">SUMIFS(Trades!$X$2:$X$1146,Trades!$D$2:$D$1146,$A552,Trades!$X$2:$X$1146,"&lt;0")</f>
        <v>-72.09</v>
      </c>
      <c r="I552" s="32" t="n">
        <f aca="false">IFERROR(G552/-H552,"no loss")</f>
        <v>0</v>
      </c>
      <c r="J552" s="31" t="n">
        <f aca="false">_xlfn.MAXIFS(Trades!$X$2:$X$1146,Trades!$D$2:$D$1146,$A552)</f>
        <v>-1.71</v>
      </c>
      <c r="K552" s="31" t="n">
        <f aca="false">_xlfn.MINIFS(Trades!$X$2:$X$1146,Trades!$D$2:$D$1146,$A552)</f>
        <v>-70.38</v>
      </c>
      <c r="L552" s="33" t="n">
        <f aca="false">SUMIFS(Trades!$Y$2:$Y$1146,Trades!$D$2:$D$1146,$A552)</f>
        <v>-1.06721578924041</v>
      </c>
      <c r="M552" s="31" t="n">
        <f aca="false">P551</f>
        <v>14561.03</v>
      </c>
      <c r="N552" s="30" t="n">
        <f aca="false">IFERROR(F552/M552,0)</f>
        <v>-0.0049508860293537</v>
      </c>
      <c r="O552" s="29" t="str">
        <f aca="false">IF(-N552&gt;=Summary!$C$7,"BREACH","")</f>
        <v/>
      </c>
      <c r="P552" s="31" t="n">
        <f aca="false">M552+F552</f>
        <v>14488.94</v>
      </c>
      <c r="Q552" s="31" t="n">
        <f aca="false">P552-Summary!$C$5</f>
        <v>4488.93999999999</v>
      </c>
      <c r="R552" s="2" t="str">
        <f aca="false">TEXT(A552,"ddd")</f>
        <v>Wed</v>
      </c>
    </row>
    <row r="553" customFormat="false" ht="15" hidden="false" customHeight="false" outlineLevel="0" collapsed="false">
      <c r="A553" s="43" t="n">
        <v>45547</v>
      </c>
      <c r="B553" s="29" t="n">
        <f aca="false">COUNTIFS(Trades!$D$2:$D$1146,$A553)</f>
        <v>1</v>
      </c>
      <c r="C553" s="29" t="n">
        <f aca="false">COUNTIFS(Trades!$D$2:$D$1146,$A553,Trades!$Z$2:$Z$1146,"Win")</f>
        <v>1</v>
      </c>
      <c r="D553" s="29" t="n">
        <f aca="false">COUNTIFS(Trades!$D$2:$D$1146,$A553,Trades!$Z$2:$Z$1146,"Loss")</f>
        <v>0</v>
      </c>
      <c r="E553" s="30" t="n">
        <f aca="false">IFERROR(C553/B553,0)</f>
        <v>1</v>
      </c>
      <c r="F553" s="31" t="n">
        <f aca="false">SUMIFS(Trades!$X$2:$X$1146,Trades!$D$2:$D$1146,$A553)</f>
        <v>28.83</v>
      </c>
      <c r="G553" s="31" t="n">
        <f aca="false">SUMIFS(Trades!$X$2:$X$1146,Trades!$D$2:$D$1146,$A553,Trades!$X$2:$X$1146,"&gt;0")</f>
        <v>28.83</v>
      </c>
      <c r="H553" s="31" t="n">
        <f aca="false">SUMIFS(Trades!$X$2:$X$1146,Trades!$D$2:$D$1146,$A553,Trades!$X$2:$X$1146,"&lt;0")</f>
        <v>0</v>
      </c>
      <c r="I553" s="32" t="str">
        <f aca="false">IFERROR(G553/-H553,"no loss")</f>
        <v>no loss</v>
      </c>
      <c r="J553" s="31" t="n">
        <f aca="false">_xlfn.MAXIFS(Trades!$X$2:$X$1146,Trades!$D$2:$D$1146,$A553)</f>
        <v>28.83</v>
      </c>
      <c r="K553" s="31" t="n">
        <f aca="false">_xlfn.MINIFS(Trades!$X$2:$X$1146,Trades!$D$2:$D$1146,$A553)</f>
        <v>28.83</v>
      </c>
      <c r="L553" s="33" t="n">
        <f aca="false">SUMIFS(Trades!$Y$2:$Y$1146,Trades!$D$2:$D$1146,$A553)</f>
        <v>2.64738292010945</v>
      </c>
      <c r="M553" s="31" t="n">
        <f aca="false">P552</f>
        <v>14488.94</v>
      </c>
      <c r="N553" s="30" t="n">
        <f aca="false">IFERROR(F553/M553,0)</f>
        <v>0.0019897935942864</v>
      </c>
      <c r="O553" s="29" t="str">
        <f aca="false">IF(-N553&gt;=Summary!$C$7,"BREACH","")</f>
        <v/>
      </c>
      <c r="P553" s="31" t="n">
        <f aca="false">M553+F553</f>
        <v>14517.77</v>
      </c>
      <c r="Q553" s="31" t="n">
        <f aca="false">P553-Summary!$C$5</f>
        <v>4517.76999999999</v>
      </c>
      <c r="R553" s="2" t="str">
        <f aca="false">TEXT(A553,"ddd")</f>
        <v>Thu</v>
      </c>
    </row>
    <row r="554" customFormat="false" ht="15" hidden="false" customHeight="false" outlineLevel="0" collapsed="false">
      <c r="A554" s="43" t="n">
        <v>45548</v>
      </c>
      <c r="B554" s="29" t="n">
        <f aca="false">COUNTIFS(Trades!$D$2:$D$1146,$A554)</f>
        <v>1</v>
      </c>
      <c r="C554" s="29" t="n">
        <f aca="false">COUNTIFS(Trades!$D$2:$D$1146,$A554,Trades!$Z$2:$Z$1146,"Win")</f>
        <v>0</v>
      </c>
      <c r="D554" s="29" t="n">
        <f aca="false">COUNTIFS(Trades!$D$2:$D$1146,$A554,Trades!$Z$2:$Z$1146,"Loss")</f>
        <v>1</v>
      </c>
      <c r="E554" s="30" t="n">
        <f aca="false">IFERROR(C554/B554,0)</f>
        <v>0</v>
      </c>
      <c r="F554" s="31" t="n">
        <f aca="false">SUMIFS(Trades!$X$2:$X$1146,Trades!$D$2:$D$1146,$A554)</f>
        <v>-17.58</v>
      </c>
      <c r="G554" s="31" t="n">
        <f aca="false">SUMIFS(Trades!$X$2:$X$1146,Trades!$D$2:$D$1146,$A554,Trades!$X$2:$X$1146,"&gt;0")</f>
        <v>0</v>
      </c>
      <c r="H554" s="31" t="n">
        <f aca="false">SUMIFS(Trades!$X$2:$X$1146,Trades!$D$2:$D$1146,$A554,Trades!$X$2:$X$1146,"&lt;0")</f>
        <v>-17.58</v>
      </c>
      <c r="I554" s="32" t="n">
        <f aca="false">IFERROR(G554/-H554,"no loss")</f>
        <v>0</v>
      </c>
      <c r="J554" s="31" t="n">
        <f aca="false">_xlfn.MAXIFS(Trades!$X$2:$X$1146,Trades!$D$2:$D$1146,$A554)</f>
        <v>-17.58</v>
      </c>
      <c r="K554" s="31" t="n">
        <f aca="false">_xlfn.MINIFS(Trades!$X$2:$X$1146,Trades!$D$2:$D$1146,$A554)</f>
        <v>-17.58</v>
      </c>
      <c r="L554" s="33" t="n">
        <f aca="false">SUMIFS(Trades!$Y$2:$Y$1146,Trades!$D$2:$D$1146,$A554)</f>
        <v>-1.03169014084502</v>
      </c>
      <c r="M554" s="31" t="n">
        <f aca="false">P553</f>
        <v>14517.77</v>
      </c>
      <c r="N554" s="30" t="n">
        <f aca="false">IFERROR(F554/M554,0)</f>
        <v>-0.00121092977778268</v>
      </c>
      <c r="O554" s="29" t="str">
        <f aca="false">IF(-N554&gt;=Summary!$C$7,"BREACH","")</f>
        <v/>
      </c>
      <c r="P554" s="31" t="n">
        <f aca="false">M554+F554</f>
        <v>14500.19</v>
      </c>
      <c r="Q554" s="31" t="n">
        <f aca="false">P554-Summary!$C$5</f>
        <v>4500.18999999999</v>
      </c>
      <c r="R554" s="2" t="str">
        <f aca="false">TEXT(A554,"ddd")</f>
        <v>Fri</v>
      </c>
    </row>
    <row r="555" customFormat="false" ht="15" hidden="false" customHeight="false" outlineLevel="0" collapsed="false">
      <c r="A555" s="43" t="n">
        <v>45551</v>
      </c>
      <c r="B555" s="29" t="n">
        <f aca="false">COUNTIFS(Trades!$D$2:$D$1146,$A555)</f>
        <v>1</v>
      </c>
      <c r="C555" s="29" t="n">
        <f aca="false">COUNTIFS(Trades!$D$2:$D$1146,$A555,Trades!$Z$2:$Z$1146,"Win")</f>
        <v>1</v>
      </c>
      <c r="D555" s="29" t="n">
        <f aca="false">COUNTIFS(Trades!$D$2:$D$1146,$A555,Trades!$Z$2:$Z$1146,"Loss")</f>
        <v>0</v>
      </c>
      <c r="E555" s="30" t="n">
        <f aca="false">IFERROR(C555/B555,0)</f>
        <v>1</v>
      </c>
      <c r="F555" s="31" t="n">
        <f aca="false">SUMIFS(Trades!$X$2:$X$1146,Trades!$D$2:$D$1146,$A555)</f>
        <v>143.07</v>
      </c>
      <c r="G555" s="31" t="n">
        <f aca="false">SUMIFS(Trades!$X$2:$X$1146,Trades!$D$2:$D$1146,$A555,Trades!$X$2:$X$1146,"&gt;0")</f>
        <v>143.07</v>
      </c>
      <c r="H555" s="31" t="n">
        <f aca="false">SUMIFS(Trades!$X$2:$X$1146,Trades!$D$2:$D$1146,$A555,Trades!$X$2:$X$1146,"&lt;0")</f>
        <v>0</v>
      </c>
      <c r="I555" s="32" t="str">
        <f aca="false">IFERROR(G555/-H555,"no loss")</f>
        <v>no loss</v>
      </c>
      <c r="J555" s="31" t="n">
        <f aca="false">_xlfn.MAXIFS(Trades!$X$2:$X$1146,Trades!$D$2:$D$1146,$A555)</f>
        <v>143.07</v>
      </c>
      <c r="K555" s="31" t="n">
        <f aca="false">_xlfn.MINIFS(Trades!$X$2:$X$1146,Trades!$D$2:$D$1146,$A555)</f>
        <v>143.07</v>
      </c>
      <c r="L555" s="33" t="n">
        <f aca="false">SUMIFS(Trades!$Y$2:$Y$1146,Trades!$D$2:$D$1146,$A555)</f>
        <v>2.46587383660805</v>
      </c>
      <c r="M555" s="31" t="n">
        <f aca="false">P554</f>
        <v>14500.19</v>
      </c>
      <c r="N555" s="30" t="n">
        <f aca="false">IFERROR(F555/M555,0)</f>
        <v>0.00986676726304966</v>
      </c>
      <c r="O555" s="29" t="str">
        <f aca="false">IF(-N555&gt;=Summary!$C$7,"BREACH","")</f>
        <v/>
      </c>
      <c r="P555" s="31" t="n">
        <f aca="false">M555+F555</f>
        <v>14643.26</v>
      </c>
      <c r="Q555" s="31" t="n">
        <f aca="false">P555-Summary!$C$5</f>
        <v>4643.25999999999</v>
      </c>
      <c r="R555" s="2" t="str">
        <f aca="false">TEXT(A555,"ddd")</f>
        <v>Mon</v>
      </c>
    </row>
    <row r="556" customFormat="false" ht="15" hidden="false" customHeight="false" outlineLevel="0" collapsed="false">
      <c r="A556" s="43" t="n">
        <v>45552</v>
      </c>
      <c r="B556" s="29" t="n">
        <f aca="false">COUNTIFS(Trades!$D$2:$D$1146,$A556)</f>
        <v>1</v>
      </c>
      <c r="C556" s="29" t="n">
        <f aca="false">COUNTIFS(Trades!$D$2:$D$1146,$A556,Trades!$Z$2:$Z$1146,"Win")</f>
        <v>1</v>
      </c>
      <c r="D556" s="29" t="n">
        <f aca="false">COUNTIFS(Trades!$D$2:$D$1146,$A556,Trades!$Z$2:$Z$1146,"Loss")</f>
        <v>0</v>
      </c>
      <c r="E556" s="30" t="n">
        <f aca="false">IFERROR(C556/B556,0)</f>
        <v>1</v>
      </c>
      <c r="F556" s="31" t="n">
        <f aca="false">SUMIFS(Trades!$X$2:$X$1146,Trades!$D$2:$D$1146,$A556)</f>
        <v>20.64</v>
      </c>
      <c r="G556" s="31" t="n">
        <f aca="false">SUMIFS(Trades!$X$2:$X$1146,Trades!$D$2:$D$1146,$A556,Trades!$X$2:$X$1146,"&gt;0")</f>
        <v>20.64</v>
      </c>
      <c r="H556" s="31" t="n">
        <f aca="false">SUMIFS(Trades!$X$2:$X$1146,Trades!$D$2:$D$1146,$A556,Trades!$X$2:$X$1146,"&lt;0")</f>
        <v>0</v>
      </c>
      <c r="I556" s="32" t="str">
        <f aca="false">IFERROR(G556/-H556,"no loss")</f>
        <v>no loss</v>
      </c>
      <c r="J556" s="31" t="n">
        <f aca="false">_xlfn.MAXIFS(Trades!$X$2:$X$1146,Trades!$D$2:$D$1146,$A556)</f>
        <v>20.64</v>
      </c>
      <c r="K556" s="31" t="n">
        <f aca="false">_xlfn.MINIFS(Trades!$X$2:$X$1146,Trades!$D$2:$D$1146,$A556)</f>
        <v>20.64</v>
      </c>
      <c r="L556" s="33" t="n">
        <f aca="false">SUMIFS(Trades!$Y$2:$Y$1146,Trades!$D$2:$D$1146,$A556)</f>
        <v>2.752</v>
      </c>
      <c r="M556" s="31" t="n">
        <f aca="false">P555</f>
        <v>14643.26</v>
      </c>
      <c r="N556" s="30" t="n">
        <f aca="false">IFERROR(F556/M556,0)</f>
        <v>0.00140952219656006</v>
      </c>
      <c r="O556" s="29" t="str">
        <f aca="false">IF(-N556&gt;=Summary!$C$7,"BREACH","")</f>
        <v/>
      </c>
      <c r="P556" s="31" t="n">
        <f aca="false">M556+F556</f>
        <v>14663.9</v>
      </c>
      <c r="Q556" s="31" t="n">
        <f aca="false">P556-Summary!$C$5</f>
        <v>4663.89999999999</v>
      </c>
      <c r="R556" s="2" t="str">
        <f aca="false">TEXT(A556,"ddd")</f>
        <v>Tue</v>
      </c>
    </row>
    <row r="557" customFormat="false" ht="15" hidden="false" customHeight="false" outlineLevel="0" collapsed="false">
      <c r="A557" s="43" t="n">
        <v>45553</v>
      </c>
      <c r="B557" s="29" t="n">
        <f aca="false">COUNTIFS(Trades!$D$2:$D$1146,$A557)</f>
        <v>1</v>
      </c>
      <c r="C557" s="29" t="n">
        <f aca="false">COUNTIFS(Trades!$D$2:$D$1146,$A557,Trades!$Z$2:$Z$1146,"Win")</f>
        <v>0</v>
      </c>
      <c r="D557" s="29" t="n">
        <f aca="false">COUNTIFS(Trades!$D$2:$D$1146,$A557,Trades!$Z$2:$Z$1146,"Loss")</f>
        <v>1</v>
      </c>
      <c r="E557" s="30" t="n">
        <f aca="false">IFERROR(C557/B557,0)</f>
        <v>0</v>
      </c>
      <c r="F557" s="31" t="n">
        <f aca="false">SUMIFS(Trades!$X$2:$X$1146,Trades!$D$2:$D$1146,$A557)</f>
        <v>-60.27</v>
      </c>
      <c r="G557" s="31" t="n">
        <f aca="false">SUMIFS(Trades!$X$2:$X$1146,Trades!$D$2:$D$1146,$A557,Trades!$X$2:$X$1146,"&gt;0")</f>
        <v>0</v>
      </c>
      <c r="H557" s="31" t="n">
        <f aca="false">SUMIFS(Trades!$X$2:$X$1146,Trades!$D$2:$D$1146,$A557,Trades!$X$2:$X$1146,"&lt;0")</f>
        <v>-60.27</v>
      </c>
      <c r="I557" s="32" t="n">
        <f aca="false">IFERROR(G557/-H557,"no loss")</f>
        <v>0</v>
      </c>
      <c r="J557" s="31" t="n">
        <f aca="false">_xlfn.MAXIFS(Trades!$X$2:$X$1146,Trades!$D$2:$D$1146,$A557)</f>
        <v>-60.27</v>
      </c>
      <c r="K557" s="31" t="n">
        <f aca="false">_xlfn.MINIFS(Trades!$X$2:$X$1146,Trades!$D$2:$D$1146,$A557)</f>
        <v>-60.27</v>
      </c>
      <c r="L557" s="33" t="n">
        <f aca="false">SUMIFS(Trades!$Y$2:$Y$1146,Trades!$D$2:$D$1146,$A557)</f>
        <v>-1.0039980009994</v>
      </c>
      <c r="M557" s="31" t="n">
        <f aca="false">P556</f>
        <v>14663.9</v>
      </c>
      <c r="N557" s="30" t="n">
        <f aca="false">IFERROR(F557/M557,0)</f>
        <v>-0.00411009349490927</v>
      </c>
      <c r="O557" s="29" t="str">
        <f aca="false">IF(-N557&gt;=Summary!$C$7,"BREACH","")</f>
        <v/>
      </c>
      <c r="P557" s="31" t="n">
        <f aca="false">M557+F557</f>
        <v>14603.63</v>
      </c>
      <c r="Q557" s="31" t="n">
        <f aca="false">P557-Summary!$C$5</f>
        <v>4603.62999999999</v>
      </c>
      <c r="R557" s="2" t="str">
        <f aca="false">TEXT(A557,"ddd")</f>
        <v>Wed</v>
      </c>
    </row>
    <row r="558" customFormat="false" ht="15" hidden="false" customHeight="false" outlineLevel="0" collapsed="false">
      <c r="A558" s="43" t="n">
        <v>45554</v>
      </c>
      <c r="B558" s="29" t="n">
        <f aca="false">COUNTIFS(Trades!$D$2:$D$1146,$A558)</f>
        <v>1</v>
      </c>
      <c r="C558" s="29" t="n">
        <f aca="false">COUNTIFS(Trades!$D$2:$D$1146,$A558,Trades!$Z$2:$Z$1146,"Win")</f>
        <v>0</v>
      </c>
      <c r="D558" s="29" t="n">
        <f aca="false">COUNTIFS(Trades!$D$2:$D$1146,$A558,Trades!$Z$2:$Z$1146,"Loss")</f>
        <v>1</v>
      </c>
      <c r="E558" s="30" t="n">
        <f aca="false">IFERROR(C558/B558,0)</f>
        <v>0</v>
      </c>
      <c r="F558" s="31" t="n">
        <f aca="false">SUMIFS(Trades!$X$2:$X$1146,Trades!$D$2:$D$1146,$A558)</f>
        <v>-28.8</v>
      </c>
      <c r="G558" s="31" t="n">
        <f aca="false">SUMIFS(Trades!$X$2:$X$1146,Trades!$D$2:$D$1146,$A558,Trades!$X$2:$X$1146,"&gt;0")</f>
        <v>0</v>
      </c>
      <c r="H558" s="31" t="n">
        <f aca="false">SUMIFS(Trades!$X$2:$X$1146,Trades!$D$2:$D$1146,$A558,Trades!$X$2:$X$1146,"&lt;0")</f>
        <v>-28.8</v>
      </c>
      <c r="I558" s="32" t="n">
        <f aca="false">IFERROR(G558/-H558,"no loss")</f>
        <v>0</v>
      </c>
      <c r="J558" s="31" t="n">
        <f aca="false">_xlfn.MAXIFS(Trades!$X$2:$X$1146,Trades!$D$2:$D$1146,$A558)</f>
        <v>-28.8</v>
      </c>
      <c r="K558" s="31" t="n">
        <f aca="false">_xlfn.MINIFS(Trades!$X$2:$X$1146,Trades!$D$2:$D$1146,$A558)</f>
        <v>-28.8</v>
      </c>
      <c r="L558" s="33" t="n">
        <f aca="false">SUMIFS(Trades!$Y$2:$Y$1146,Trades!$D$2:$D$1146,$A558)</f>
        <v>-1.01159114857728</v>
      </c>
      <c r="M558" s="31" t="n">
        <f aca="false">P557</f>
        <v>14603.63</v>
      </c>
      <c r="N558" s="30" t="n">
        <f aca="false">IFERROR(F558/M558,0)</f>
        <v>-0.0019721124131466</v>
      </c>
      <c r="O558" s="29" t="str">
        <f aca="false">IF(-N558&gt;=Summary!$C$7,"BREACH","")</f>
        <v/>
      </c>
      <c r="P558" s="31" t="n">
        <f aca="false">M558+F558</f>
        <v>14574.83</v>
      </c>
      <c r="Q558" s="31" t="n">
        <f aca="false">P558-Summary!$C$5</f>
        <v>4574.82999999999</v>
      </c>
      <c r="R558" s="2" t="str">
        <f aca="false">TEXT(A558,"ddd")</f>
        <v>Thu</v>
      </c>
    </row>
    <row r="559" customFormat="false" ht="15" hidden="false" customHeight="false" outlineLevel="0" collapsed="false">
      <c r="A559" s="43" t="n">
        <v>45558</v>
      </c>
      <c r="B559" s="29" t="n">
        <f aca="false">COUNTIFS(Trades!$D$2:$D$1146,$A559)</f>
        <v>1</v>
      </c>
      <c r="C559" s="29" t="n">
        <f aca="false">COUNTIFS(Trades!$D$2:$D$1146,$A559,Trades!$Z$2:$Z$1146,"Win")</f>
        <v>1</v>
      </c>
      <c r="D559" s="29" t="n">
        <f aca="false">COUNTIFS(Trades!$D$2:$D$1146,$A559,Trades!$Z$2:$Z$1146,"Loss")</f>
        <v>0</v>
      </c>
      <c r="E559" s="30" t="n">
        <f aca="false">IFERROR(C559/B559,0)</f>
        <v>1</v>
      </c>
      <c r="F559" s="31" t="n">
        <f aca="false">SUMIFS(Trades!$X$2:$X$1146,Trades!$D$2:$D$1146,$A559)</f>
        <v>36.24</v>
      </c>
      <c r="G559" s="31" t="n">
        <f aca="false">SUMIFS(Trades!$X$2:$X$1146,Trades!$D$2:$D$1146,$A559,Trades!$X$2:$X$1146,"&gt;0")</f>
        <v>36.24</v>
      </c>
      <c r="H559" s="31" t="n">
        <f aca="false">SUMIFS(Trades!$X$2:$X$1146,Trades!$D$2:$D$1146,$A559,Trades!$X$2:$X$1146,"&lt;0")</f>
        <v>0</v>
      </c>
      <c r="I559" s="32" t="str">
        <f aca="false">IFERROR(G559/-H559,"no loss")</f>
        <v>no loss</v>
      </c>
      <c r="J559" s="31" t="n">
        <f aca="false">_xlfn.MAXIFS(Trades!$X$2:$X$1146,Trades!$D$2:$D$1146,$A559)</f>
        <v>36.24</v>
      </c>
      <c r="K559" s="31" t="n">
        <f aca="false">_xlfn.MINIFS(Trades!$X$2:$X$1146,Trades!$D$2:$D$1146,$A559)</f>
        <v>36.24</v>
      </c>
      <c r="L559" s="33" t="n">
        <f aca="false">SUMIFS(Trades!$Y$2:$Y$1146,Trades!$D$2:$D$1146,$A559)</f>
        <v>2.62608695652049</v>
      </c>
      <c r="M559" s="31" t="n">
        <f aca="false">P558</f>
        <v>14574.83</v>
      </c>
      <c r="N559" s="30" t="n">
        <f aca="false">IFERROR(F559/M559,0)</f>
        <v>0.00248647840146335</v>
      </c>
      <c r="O559" s="29" t="str">
        <f aca="false">IF(-N559&gt;=Summary!$C$7,"BREACH","")</f>
        <v/>
      </c>
      <c r="P559" s="31" t="n">
        <f aca="false">M559+F559</f>
        <v>14611.07</v>
      </c>
      <c r="Q559" s="31" t="n">
        <f aca="false">P559-Summary!$C$5</f>
        <v>4611.06999999999</v>
      </c>
      <c r="R559" s="2" t="str">
        <f aca="false">TEXT(A559,"ddd")</f>
        <v>Mon</v>
      </c>
    </row>
    <row r="560" customFormat="false" ht="15" hidden="false" customHeight="false" outlineLevel="0" collapsed="false">
      <c r="A560" s="43" t="n">
        <v>45559</v>
      </c>
      <c r="B560" s="29" t="n">
        <f aca="false">COUNTIFS(Trades!$D$2:$D$1146,$A560)</f>
        <v>1</v>
      </c>
      <c r="C560" s="29" t="n">
        <f aca="false">COUNTIFS(Trades!$D$2:$D$1146,$A560,Trades!$Z$2:$Z$1146,"Win")</f>
        <v>0</v>
      </c>
      <c r="D560" s="29" t="n">
        <f aca="false">COUNTIFS(Trades!$D$2:$D$1146,$A560,Trades!$Z$2:$Z$1146,"Loss")</f>
        <v>1</v>
      </c>
      <c r="E560" s="30" t="n">
        <f aca="false">IFERROR(C560/B560,0)</f>
        <v>0</v>
      </c>
      <c r="F560" s="31" t="n">
        <f aca="false">SUMIFS(Trades!$X$2:$X$1146,Trades!$D$2:$D$1146,$A560)</f>
        <v>-0.75</v>
      </c>
      <c r="G560" s="31" t="n">
        <f aca="false">SUMIFS(Trades!$X$2:$X$1146,Trades!$D$2:$D$1146,$A560,Trades!$X$2:$X$1146,"&gt;0")</f>
        <v>0</v>
      </c>
      <c r="H560" s="31" t="n">
        <f aca="false">SUMIFS(Trades!$X$2:$X$1146,Trades!$D$2:$D$1146,$A560,Trades!$X$2:$X$1146,"&lt;0")</f>
        <v>-0.75</v>
      </c>
      <c r="I560" s="32" t="n">
        <f aca="false">IFERROR(G560/-H560,"no loss")</f>
        <v>0</v>
      </c>
      <c r="J560" s="31" t="n">
        <f aca="false">_xlfn.MAXIFS(Trades!$X$2:$X$1146,Trades!$D$2:$D$1146,$A560)</f>
        <v>-0.75</v>
      </c>
      <c r="K560" s="31" t="n">
        <f aca="false">_xlfn.MINIFS(Trades!$X$2:$X$1146,Trades!$D$2:$D$1146,$A560)</f>
        <v>-0.75</v>
      </c>
      <c r="L560" s="33" t="n">
        <f aca="false">SUMIFS(Trades!$Y$2:$Y$1146,Trades!$D$2:$D$1146,$A560)</f>
        <v>-0.0451263537906066</v>
      </c>
      <c r="M560" s="31" t="n">
        <f aca="false">P559</f>
        <v>14611.07</v>
      </c>
      <c r="N560" s="30" t="n">
        <f aca="false">IFERROR(F560/M560,0)</f>
        <v>-5.13309429083565E-005</v>
      </c>
      <c r="O560" s="29" t="str">
        <f aca="false">IF(-N560&gt;=Summary!$C$7,"BREACH","")</f>
        <v/>
      </c>
      <c r="P560" s="31" t="n">
        <f aca="false">M560+F560</f>
        <v>14610.32</v>
      </c>
      <c r="Q560" s="31" t="n">
        <f aca="false">P560-Summary!$C$5</f>
        <v>4610.31999999999</v>
      </c>
      <c r="R560" s="2" t="str">
        <f aca="false">TEXT(A560,"ddd")</f>
        <v>Tue</v>
      </c>
    </row>
    <row r="561" customFormat="false" ht="15" hidden="false" customHeight="false" outlineLevel="0" collapsed="false">
      <c r="A561" s="43" t="n">
        <v>45560</v>
      </c>
      <c r="B561" s="29" t="n">
        <f aca="false">COUNTIFS(Trades!$D$2:$D$1146,$A561)</f>
        <v>1</v>
      </c>
      <c r="C561" s="29" t="n">
        <f aca="false">COUNTIFS(Trades!$D$2:$D$1146,$A561,Trades!$Z$2:$Z$1146,"Win")</f>
        <v>1</v>
      </c>
      <c r="D561" s="29" t="n">
        <f aca="false">COUNTIFS(Trades!$D$2:$D$1146,$A561,Trades!$Z$2:$Z$1146,"Loss")</f>
        <v>0</v>
      </c>
      <c r="E561" s="30" t="n">
        <f aca="false">IFERROR(C561/B561,0)</f>
        <v>1</v>
      </c>
      <c r="F561" s="31" t="n">
        <f aca="false">SUMIFS(Trades!$X$2:$X$1146,Trades!$D$2:$D$1146,$A561)</f>
        <v>98.4</v>
      </c>
      <c r="G561" s="31" t="n">
        <f aca="false">SUMIFS(Trades!$X$2:$X$1146,Trades!$D$2:$D$1146,$A561,Trades!$X$2:$X$1146,"&gt;0")</f>
        <v>98.4</v>
      </c>
      <c r="H561" s="31" t="n">
        <f aca="false">SUMIFS(Trades!$X$2:$X$1146,Trades!$D$2:$D$1146,$A561,Trades!$X$2:$X$1146,"&lt;0")</f>
        <v>0</v>
      </c>
      <c r="I561" s="32" t="str">
        <f aca="false">IFERROR(G561/-H561,"no loss")</f>
        <v>no loss</v>
      </c>
      <c r="J561" s="31" t="n">
        <f aca="false">_xlfn.MAXIFS(Trades!$X$2:$X$1146,Trades!$D$2:$D$1146,$A561)</f>
        <v>98.4</v>
      </c>
      <c r="K561" s="31" t="n">
        <f aca="false">_xlfn.MINIFS(Trades!$X$2:$X$1146,Trades!$D$2:$D$1146,$A561)</f>
        <v>98.4</v>
      </c>
      <c r="L561" s="33" t="n">
        <f aca="false">SUMIFS(Trades!$Y$2:$Y$1146,Trades!$D$2:$D$1146,$A561)</f>
        <v>2.49050873196692</v>
      </c>
      <c r="M561" s="31" t="n">
        <f aca="false">P560</f>
        <v>14610.32</v>
      </c>
      <c r="N561" s="30" t="n">
        <f aca="false">IFERROR(F561/M561,0)</f>
        <v>0.00673496542170193</v>
      </c>
      <c r="O561" s="29" t="str">
        <f aca="false">IF(-N561&gt;=Summary!$C$7,"BREACH","")</f>
        <v/>
      </c>
      <c r="P561" s="31" t="n">
        <f aca="false">M561+F561</f>
        <v>14708.72</v>
      </c>
      <c r="Q561" s="31" t="n">
        <f aca="false">P561-Summary!$C$5</f>
        <v>4708.71999999999</v>
      </c>
      <c r="R561" s="2" t="str">
        <f aca="false">TEXT(A561,"ddd")</f>
        <v>Wed</v>
      </c>
    </row>
    <row r="562" customFormat="false" ht="15" hidden="false" customHeight="false" outlineLevel="0" collapsed="false">
      <c r="A562" s="43" t="n">
        <v>45561</v>
      </c>
      <c r="B562" s="29" t="n">
        <f aca="false">COUNTIFS(Trades!$D$2:$D$1146,$A562)</f>
        <v>1</v>
      </c>
      <c r="C562" s="29" t="n">
        <f aca="false">COUNTIFS(Trades!$D$2:$D$1146,$A562,Trades!$Z$2:$Z$1146,"Win")</f>
        <v>1</v>
      </c>
      <c r="D562" s="29" t="n">
        <f aca="false">COUNTIFS(Trades!$D$2:$D$1146,$A562,Trades!$Z$2:$Z$1146,"Loss")</f>
        <v>0</v>
      </c>
      <c r="E562" s="30" t="n">
        <f aca="false">IFERROR(C562/B562,0)</f>
        <v>1</v>
      </c>
      <c r="F562" s="31" t="n">
        <f aca="false">SUMIFS(Trades!$X$2:$X$1146,Trades!$D$2:$D$1146,$A562)</f>
        <v>52.86</v>
      </c>
      <c r="G562" s="31" t="n">
        <f aca="false">SUMIFS(Trades!$X$2:$X$1146,Trades!$D$2:$D$1146,$A562,Trades!$X$2:$X$1146,"&gt;0")</f>
        <v>52.86</v>
      </c>
      <c r="H562" s="31" t="n">
        <f aca="false">SUMIFS(Trades!$X$2:$X$1146,Trades!$D$2:$D$1146,$A562,Trades!$X$2:$X$1146,"&lt;0")</f>
        <v>0</v>
      </c>
      <c r="I562" s="32" t="str">
        <f aca="false">IFERROR(G562/-H562,"no loss")</f>
        <v>no loss</v>
      </c>
      <c r="J562" s="31" t="n">
        <f aca="false">_xlfn.MAXIFS(Trades!$X$2:$X$1146,Trades!$D$2:$D$1146,$A562)</f>
        <v>52.86</v>
      </c>
      <c r="K562" s="31" t="n">
        <f aca="false">_xlfn.MINIFS(Trades!$X$2:$X$1146,Trades!$D$2:$D$1146,$A562)</f>
        <v>52.86</v>
      </c>
      <c r="L562" s="33" t="n">
        <f aca="false">SUMIFS(Trades!$Y$2:$Y$1146,Trades!$D$2:$D$1146,$A562)</f>
        <v>2.47124824684397</v>
      </c>
      <c r="M562" s="31" t="n">
        <f aca="false">P561</f>
        <v>14708.72</v>
      </c>
      <c r="N562" s="30" t="n">
        <f aca="false">IFERROR(F562/M562,0)</f>
        <v>0.00359378654294868</v>
      </c>
      <c r="O562" s="29" t="str">
        <f aca="false">IF(-N562&gt;=Summary!$C$7,"BREACH","")</f>
        <v/>
      </c>
      <c r="P562" s="31" t="n">
        <f aca="false">M562+F562</f>
        <v>14761.58</v>
      </c>
      <c r="Q562" s="31" t="n">
        <f aca="false">P562-Summary!$C$5</f>
        <v>4761.57999999999</v>
      </c>
      <c r="R562" s="2" t="str">
        <f aca="false">TEXT(A562,"ddd")</f>
        <v>Thu</v>
      </c>
    </row>
    <row r="563" customFormat="false" ht="15" hidden="false" customHeight="false" outlineLevel="0" collapsed="false">
      <c r="A563" s="43" t="n">
        <v>45565</v>
      </c>
      <c r="B563" s="29" t="n">
        <f aca="false">COUNTIFS(Trades!$D$2:$D$1146,$A563)</f>
        <v>1</v>
      </c>
      <c r="C563" s="29" t="n">
        <f aca="false">COUNTIFS(Trades!$D$2:$D$1146,$A563,Trades!$Z$2:$Z$1146,"Win")</f>
        <v>0</v>
      </c>
      <c r="D563" s="29" t="n">
        <f aca="false">COUNTIFS(Trades!$D$2:$D$1146,$A563,Trades!$Z$2:$Z$1146,"Loss")</f>
        <v>1</v>
      </c>
      <c r="E563" s="30" t="n">
        <f aca="false">IFERROR(C563/B563,0)</f>
        <v>0</v>
      </c>
      <c r="F563" s="31" t="n">
        <f aca="false">SUMIFS(Trades!$X$2:$X$1146,Trades!$D$2:$D$1146,$A563)</f>
        <v>-20.4</v>
      </c>
      <c r="G563" s="31" t="n">
        <f aca="false">SUMIFS(Trades!$X$2:$X$1146,Trades!$D$2:$D$1146,$A563,Trades!$X$2:$X$1146,"&gt;0")</f>
        <v>0</v>
      </c>
      <c r="H563" s="31" t="n">
        <f aca="false">SUMIFS(Trades!$X$2:$X$1146,Trades!$D$2:$D$1146,$A563,Trades!$X$2:$X$1146,"&lt;0")</f>
        <v>-20.4</v>
      </c>
      <c r="I563" s="32" t="n">
        <f aca="false">IFERROR(G563/-H563,"no loss")</f>
        <v>0</v>
      </c>
      <c r="J563" s="31" t="n">
        <f aca="false">_xlfn.MAXIFS(Trades!$X$2:$X$1146,Trades!$D$2:$D$1146,$A563)</f>
        <v>-20.4</v>
      </c>
      <c r="K563" s="31" t="n">
        <f aca="false">_xlfn.MINIFS(Trades!$X$2:$X$1146,Trades!$D$2:$D$1146,$A563)</f>
        <v>-20.4</v>
      </c>
      <c r="L563" s="33" t="n">
        <f aca="false">SUMIFS(Trades!$Y$2:$Y$1146,Trades!$D$2:$D$1146,$A563)</f>
        <v>-1.06084243369737</v>
      </c>
      <c r="M563" s="31" t="n">
        <f aca="false">P562</f>
        <v>14761.58</v>
      </c>
      <c r="N563" s="30" t="n">
        <f aca="false">IFERROR(F563/M563,0)</f>
        <v>-0.00138196588712049</v>
      </c>
      <c r="O563" s="29" t="str">
        <f aca="false">IF(-N563&gt;=Summary!$C$7,"BREACH","")</f>
        <v/>
      </c>
      <c r="P563" s="31" t="n">
        <f aca="false">M563+F563</f>
        <v>14741.18</v>
      </c>
      <c r="Q563" s="31" t="n">
        <f aca="false">P563-Summary!$C$5</f>
        <v>4741.17999999999</v>
      </c>
      <c r="R563" s="2" t="str">
        <f aca="false">TEXT(A563,"ddd")</f>
        <v>Mon</v>
      </c>
    </row>
    <row r="564" customFormat="false" ht="15" hidden="false" customHeight="false" outlineLevel="0" collapsed="false">
      <c r="A564" s="43" t="n">
        <v>45566</v>
      </c>
      <c r="B564" s="29" t="n">
        <f aca="false">COUNTIFS(Trades!$D$2:$D$1146,$A564)</f>
        <v>2</v>
      </c>
      <c r="C564" s="29" t="n">
        <f aca="false">COUNTIFS(Trades!$D$2:$D$1146,$A564,Trades!$Z$2:$Z$1146,"Win")</f>
        <v>1</v>
      </c>
      <c r="D564" s="29" t="n">
        <f aca="false">COUNTIFS(Trades!$D$2:$D$1146,$A564,Trades!$Z$2:$Z$1146,"Loss")</f>
        <v>1</v>
      </c>
      <c r="E564" s="30" t="n">
        <f aca="false">IFERROR(C564/B564,0)</f>
        <v>0.5</v>
      </c>
      <c r="F564" s="31" t="n">
        <f aca="false">SUMIFS(Trades!$X$2:$X$1146,Trades!$D$2:$D$1146,$A564)</f>
        <v>41.67</v>
      </c>
      <c r="G564" s="31" t="n">
        <f aca="false">SUMIFS(Trades!$X$2:$X$1146,Trades!$D$2:$D$1146,$A564,Trades!$X$2:$X$1146,"&gt;0")</f>
        <v>41.97</v>
      </c>
      <c r="H564" s="31" t="n">
        <f aca="false">SUMIFS(Trades!$X$2:$X$1146,Trades!$D$2:$D$1146,$A564,Trades!$X$2:$X$1146,"&lt;0")</f>
        <v>-0.3</v>
      </c>
      <c r="I564" s="32" t="n">
        <f aca="false">IFERROR(G564/-H564,"no loss")</f>
        <v>139.9</v>
      </c>
      <c r="J564" s="31" t="n">
        <f aca="false">_xlfn.MAXIFS(Trades!$X$2:$X$1146,Trades!$D$2:$D$1146,$A564)</f>
        <v>41.97</v>
      </c>
      <c r="K564" s="31" t="n">
        <f aca="false">_xlfn.MINIFS(Trades!$X$2:$X$1146,Trades!$D$2:$D$1146,$A564)</f>
        <v>-0.3</v>
      </c>
      <c r="L564" s="33" t="n">
        <f aca="false">SUMIFS(Trades!$Y$2:$Y$1146,Trades!$D$2:$D$1146,$A564)</f>
        <v>2.59213666863276</v>
      </c>
      <c r="M564" s="31" t="n">
        <f aca="false">P563</f>
        <v>14741.18</v>
      </c>
      <c r="N564" s="30" t="n">
        <f aca="false">IFERROR(F564/M564,0)</f>
        <v>0.00282677506142656</v>
      </c>
      <c r="O564" s="29" t="str">
        <f aca="false">IF(-N564&gt;=Summary!$C$7,"BREACH","")</f>
        <v/>
      </c>
      <c r="P564" s="31" t="n">
        <f aca="false">M564+F564</f>
        <v>14782.85</v>
      </c>
      <c r="Q564" s="31" t="n">
        <f aca="false">P564-Summary!$C$5</f>
        <v>4782.84999999999</v>
      </c>
      <c r="R564" s="2" t="str">
        <f aca="false">TEXT(A564,"ddd")</f>
        <v>Tue</v>
      </c>
    </row>
    <row r="565" customFormat="false" ht="15" hidden="false" customHeight="false" outlineLevel="0" collapsed="false">
      <c r="A565" s="43" t="n">
        <v>45568</v>
      </c>
      <c r="B565" s="29" t="n">
        <f aca="false">COUNTIFS(Trades!$D$2:$D$1146,$A565)</f>
        <v>1</v>
      </c>
      <c r="C565" s="29" t="n">
        <f aca="false">COUNTIFS(Trades!$D$2:$D$1146,$A565,Trades!$Z$2:$Z$1146,"Win")</f>
        <v>0</v>
      </c>
      <c r="D565" s="29" t="n">
        <f aca="false">COUNTIFS(Trades!$D$2:$D$1146,$A565,Trades!$Z$2:$Z$1146,"Loss")</f>
        <v>1</v>
      </c>
      <c r="E565" s="30" t="n">
        <f aca="false">IFERROR(C565/B565,0)</f>
        <v>0</v>
      </c>
      <c r="F565" s="31" t="n">
        <f aca="false">SUMIFS(Trades!$X$2:$X$1146,Trades!$D$2:$D$1146,$A565)</f>
        <v>-91.26</v>
      </c>
      <c r="G565" s="31" t="n">
        <f aca="false">SUMIFS(Trades!$X$2:$X$1146,Trades!$D$2:$D$1146,$A565,Trades!$X$2:$X$1146,"&gt;0")</f>
        <v>0</v>
      </c>
      <c r="H565" s="31" t="n">
        <f aca="false">SUMIFS(Trades!$X$2:$X$1146,Trades!$D$2:$D$1146,$A565,Trades!$X$2:$X$1146,"&lt;0")</f>
        <v>-91.26</v>
      </c>
      <c r="I565" s="32" t="n">
        <f aca="false">IFERROR(G565/-H565,"no loss")</f>
        <v>0</v>
      </c>
      <c r="J565" s="31" t="n">
        <f aca="false">_xlfn.MAXIFS(Trades!$X$2:$X$1146,Trades!$D$2:$D$1146,$A565)</f>
        <v>-91.26</v>
      </c>
      <c r="K565" s="31" t="n">
        <f aca="false">_xlfn.MINIFS(Trades!$X$2:$X$1146,Trades!$D$2:$D$1146,$A565)</f>
        <v>-91.26</v>
      </c>
      <c r="L565" s="33" t="n">
        <f aca="false">SUMIFS(Trades!$Y$2:$Y$1146,Trades!$D$2:$D$1146,$A565)</f>
        <v>-1.0242424242424</v>
      </c>
      <c r="M565" s="31" t="n">
        <f aca="false">P564</f>
        <v>14782.85</v>
      </c>
      <c r="N565" s="30" t="n">
        <f aca="false">IFERROR(F565/M565,0)</f>
        <v>-0.00617336981705152</v>
      </c>
      <c r="O565" s="29" t="str">
        <f aca="false">IF(-N565&gt;=Summary!$C$7,"BREACH","")</f>
        <v/>
      </c>
      <c r="P565" s="31" t="n">
        <f aca="false">M565+F565</f>
        <v>14691.59</v>
      </c>
      <c r="Q565" s="31" t="n">
        <f aca="false">P565-Summary!$C$5</f>
        <v>4691.58999999999</v>
      </c>
      <c r="R565" s="2" t="str">
        <f aca="false">TEXT(A565,"ddd")</f>
        <v>Thu</v>
      </c>
    </row>
    <row r="566" customFormat="false" ht="15" hidden="false" customHeight="false" outlineLevel="0" collapsed="false">
      <c r="A566" s="43" t="n">
        <v>45569</v>
      </c>
      <c r="B566" s="29" t="n">
        <f aca="false">COUNTIFS(Trades!$D$2:$D$1146,$A566)</f>
        <v>1</v>
      </c>
      <c r="C566" s="29" t="n">
        <f aca="false">COUNTIFS(Trades!$D$2:$D$1146,$A566,Trades!$Z$2:$Z$1146,"Win")</f>
        <v>0</v>
      </c>
      <c r="D566" s="29" t="n">
        <f aca="false">COUNTIFS(Trades!$D$2:$D$1146,$A566,Trades!$Z$2:$Z$1146,"Loss")</f>
        <v>1</v>
      </c>
      <c r="E566" s="30" t="n">
        <f aca="false">IFERROR(C566/B566,0)</f>
        <v>0</v>
      </c>
      <c r="F566" s="31" t="n">
        <f aca="false">SUMIFS(Trades!$X$2:$X$1146,Trades!$D$2:$D$1146,$A566)</f>
        <v>-77.97</v>
      </c>
      <c r="G566" s="31" t="n">
        <f aca="false">SUMIFS(Trades!$X$2:$X$1146,Trades!$D$2:$D$1146,$A566,Trades!$X$2:$X$1146,"&gt;0")</f>
        <v>0</v>
      </c>
      <c r="H566" s="31" t="n">
        <f aca="false">SUMIFS(Trades!$X$2:$X$1146,Trades!$D$2:$D$1146,$A566,Trades!$X$2:$X$1146,"&lt;0")</f>
        <v>-77.97</v>
      </c>
      <c r="I566" s="32" t="n">
        <f aca="false">IFERROR(G566/-H566,"no loss")</f>
        <v>0</v>
      </c>
      <c r="J566" s="31" t="n">
        <f aca="false">_xlfn.MAXIFS(Trades!$X$2:$X$1146,Trades!$D$2:$D$1146,$A566)</f>
        <v>-77.97</v>
      </c>
      <c r="K566" s="31" t="n">
        <f aca="false">_xlfn.MINIFS(Trades!$X$2:$X$1146,Trades!$D$2:$D$1146,$A566)</f>
        <v>-77.97</v>
      </c>
      <c r="L566" s="33" t="n">
        <f aca="false">SUMIFS(Trades!$Y$2:$Y$1146,Trades!$D$2:$D$1146,$A566)</f>
        <v>-1.10360934182577</v>
      </c>
      <c r="M566" s="31" t="n">
        <f aca="false">P565</f>
        <v>14691.59</v>
      </c>
      <c r="N566" s="30" t="n">
        <f aca="false">IFERROR(F566/M566,0)</f>
        <v>-0.0053071178817269</v>
      </c>
      <c r="O566" s="29" t="str">
        <f aca="false">IF(-N566&gt;=Summary!$C$7,"BREACH","")</f>
        <v/>
      </c>
      <c r="P566" s="31" t="n">
        <f aca="false">M566+F566</f>
        <v>14613.62</v>
      </c>
      <c r="Q566" s="31" t="n">
        <f aca="false">P566-Summary!$C$5</f>
        <v>4613.61999999999</v>
      </c>
      <c r="R566" s="2" t="str">
        <f aca="false">TEXT(A566,"ddd")</f>
        <v>Fri</v>
      </c>
    </row>
    <row r="567" customFormat="false" ht="15" hidden="false" customHeight="false" outlineLevel="0" collapsed="false">
      <c r="A567" s="43" t="n">
        <v>45572</v>
      </c>
      <c r="B567" s="29" t="n">
        <f aca="false">COUNTIFS(Trades!$D$2:$D$1146,$A567)</f>
        <v>1</v>
      </c>
      <c r="C567" s="29" t="n">
        <f aca="false">COUNTIFS(Trades!$D$2:$D$1146,$A567,Trades!$Z$2:$Z$1146,"Win")</f>
        <v>0</v>
      </c>
      <c r="D567" s="29" t="n">
        <f aca="false">COUNTIFS(Trades!$D$2:$D$1146,$A567,Trades!$Z$2:$Z$1146,"Loss")</f>
        <v>1</v>
      </c>
      <c r="E567" s="30" t="n">
        <f aca="false">IFERROR(C567/B567,0)</f>
        <v>0</v>
      </c>
      <c r="F567" s="31" t="n">
        <f aca="false">SUMIFS(Trades!$X$2:$X$1146,Trades!$D$2:$D$1146,$A567)</f>
        <v>-22.35</v>
      </c>
      <c r="G567" s="31" t="n">
        <f aca="false">SUMIFS(Trades!$X$2:$X$1146,Trades!$D$2:$D$1146,$A567,Trades!$X$2:$X$1146,"&gt;0")</f>
        <v>0</v>
      </c>
      <c r="H567" s="31" t="n">
        <f aca="false">SUMIFS(Trades!$X$2:$X$1146,Trades!$D$2:$D$1146,$A567,Trades!$X$2:$X$1146,"&lt;0")</f>
        <v>-22.35</v>
      </c>
      <c r="I567" s="32" t="n">
        <f aca="false">IFERROR(G567/-H567,"no loss")</f>
        <v>0</v>
      </c>
      <c r="J567" s="31" t="n">
        <f aca="false">_xlfn.MAXIFS(Trades!$X$2:$X$1146,Trades!$D$2:$D$1146,$A567)</f>
        <v>-22.35</v>
      </c>
      <c r="K567" s="31" t="n">
        <f aca="false">_xlfn.MINIFS(Trades!$X$2:$X$1146,Trades!$D$2:$D$1146,$A567)</f>
        <v>-22.35</v>
      </c>
      <c r="L567" s="33" t="n">
        <f aca="false">SUMIFS(Trades!$Y$2:$Y$1146,Trades!$D$2:$D$1146,$A567)</f>
        <v>-1.20941558441561</v>
      </c>
      <c r="M567" s="31" t="n">
        <f aca="false">P566</f>
        <v>14613.62</v>
      </c>
      <c r="N567" s="30" t="n">
        <f aca="false">IFERROR(F567/M567,0)</f>
        <v>-0.00152939518066023</v>
      </c>
      <c r="O567" s="29" t="str">
        <f aca="false">IF(-N567&gt;=Summary!$C$7,"BREACH","")</f>
        <v/>
      </c>
      <c r="P567" s="31" t="n">
        <f aca="false">M567+F567</f>
        <v>14591.27</v>
      </c>
      <c r="Q567" s="31" t="n">
        <f aca="false">P567-Summary!$C$5</f>
        <v>4591.26999999999</v>
      </c>
      <c r="R567" s="2" t="str">
        <f aca="false">TEXT(A567,"ddd")</f>
        <v>Mon</v>
      </c>
    </row>
    <row r="568" customFormat="false" ht="15" hidden="false" customHeight="false" outlineLevel="0" collapsed="false">
      <c r="A568" s="43" t="n">
        <v>45573</v>
      </c>
      <c r="B568" s="29" t="n">
        <f aca="false">COUNTIFS(Trades!$D$2:$D$1146,$A568)</f>
        <v>2</v>
      </c>
      <c r="C568" s="29" t="n">
        <f aca="false">COUNTIFS(Trades!$D$2:$D$1146,$A568,Trades!$Z$2:$Z$1146,"Win")</f>
        <v>0</v>
      </c>
      <c r="D568" s="29" t="n">
        <f aca="false">COUNTIFS(Trades!$D$2:$D$1146,$A568,Trades!$Z$2:$Z$1146,"Loss")</f>
        <v>2</v>
      </c>
      <c r="E568" s="30" t="n">
        <f aca="false">IFERROR(C568/B568,0)</f>
        <v>0</v>
      </c>
      <c r="F568" s="31" t="n">
        <f aca="false">SUMIFS(Trades!$X$2:$X$1146,Trades!$D$2:$D$1146,$A568)</f>
        <v>-181.77</v>
      </c>
      <c r="G568" s="31" t="n">
        <f aca="false">SUMIFS(Trades!$X$2:$X$1146,Trades!$D$2:$D$1146,$A568,Trades!$X$2:$X$1146,"&gt;0")</f>
        <v>0</v>
      </c>
      <c r="H568" s="31" t="n">
        <f aca="false">SUMIFS(Trades!$X$2:$X$1146,Trades!$D$2:$D$1146,$A568,Trades!$X$2:$X$1146,"&lt;0")</f>
        <v>-181.77</v>
      </c>
      <c r="I568" s="32" t="n">
        <f aca="false">IFERROR(G568/-H568,"no loss")</f>
        <v>0</v>
      </c>
      <c r="J568" s="31" t="n">
        <f aca="false">_xlfn.MAXIFS(Trades!$X$2:$X$1146,Trades!$D$2:$D$1146,$A568)</f>
        <v>-70.8</v>
      </c>
      <c r="K568" s="31" t="n">
        <f aca="false">_xlfn.MINIFS(Trades!$X$2:$X$1146,Trades!$D$2:$D$1146,$A568)</f>
        <v>-110.97</v>
      </c>
      <c r="L568" s="33" t="n">
        <f aca="false">SUMIFS(Trades!$Y$2:$Y$1146,Trades!$D$2:$D$1146,$A568)</f>
        <v>-2.22120545268336</v>
      </c>
      <c r="M568" s="31" t="n">
        <f aca="false">P567</f>
        <v>14591.27</v>
      </c>
      <c r="N568" s="30" t="n">
        <f aca="false">IFERROR(F568/M568,0)</f>
        <v>-0.0124574488718254</v>
      </c>
      <c r="O568" s="29" t="str">
        <f aca="false">IF(-N568&gt;=Summary!$C$7,"BREACH","")</f>
        <v/>
      </c>
      <c r="P568" s="31" t="n">
        <f aca="false">M568+F568</f>
        <v>14409.5</v>
      </c>
      <c r="Q568" s="31" t="n">
        <f aca="false">P568-Summary!$C$5</f>
        <v>4409.49999999999</v>
      </c>
      <c r="R568" s="2" t="str">
        <f aca="false">TEXT(A568,"ddd")</f>
        <v>Tue</v>
      </c>
    </row>
    <row r="569" customFormat="false" ht="15" hidden="false" customHeight="false" outlineLevel="0" collapsed="false">
      <c r="A569" s="43" t="n">
        <v>45574</v>
      </c>
      <c r="B569" s="29" t="n">
        <f aca="false">COUNTIFS(Trades!$D$2:$D$1146,$A569)</f>
        <v>1</v>
      </c>
      <c r="C569" s="29" t="n">
        <f aca="false">COUNTIFS(Trades!$D$2:$D$1146,$A569,Trades!$Z$2:$Z$1146,"Win")</f>
        <v>0</v>
      </c>
      <c r="D569" s="29" t="n">
        <f aca="false">COUNTIFS(Trades!$D$2:$D$1146,$A569,Trades!$Z$2:$Z$1146,"Loss")</f>
        <v>1</v>
      </c>
      <c r="E569" s="30" t="n">
        <f aca="false">IFERROR(C569/B569,0)</f>
        <v>0</v>
      </c>
      <c r="F569" s="31" t="n">
        <f aca="false">SUMIFS(Trades!$X$2:$X$1146,Trades!$D$2:$D$1146,$A569)</f>
        <v>-0.57</v>
      </c>
      <c r="G569" s="31" t="n">
        <f aca="false">SUMIFS(Trades!$X$2:$X$1146,Trades!$D$2:$D$1146,$A569,Trades!$X$2:$X$1146,"&gt;0")</f>
        <v>0</v>
      </c>
      <c r="H569" s="31" t="n">
        <f aca="false">SUMIFS(Trades!$X$2:$X$1146,Trades!$D$2:$D$1146,$A569,Trades!$X$2:$X$1146,"&lt;0")</f>
        <v>-0.57</v>
      </c>
      <c r="I569" s="32" t="n">
        <f aca="false">IFERROR(G569/-H569,"no loss")</f>
        <v>0</v>
      </c>
      <c r="J569" s="31" t="n">
        <f aca="false">_xlfn.MAXIFS(Trades!$X$2:$X$1146,Trades!$D$2:$D$1146,$A569)</f>
        <v>-0.57</v>
      </c>
      <c r="K569" s="31" t="n">
        <f aca="false">_xlfn.MINIFS(Trades!$X$2:$X$1146,Trades!$D$2:$D$1146,$A569)</f>
        <v>-0.57</v>
      </c>
      <c r="L569" s="33" t="n">
        <f aca="false">SUMIFS(Trades!$Y$2:$Y$1146,Trades!$D$2:$D$1146,$A569)</f>
        <v>-0.0127860026917895</v>
      </c>
      <c r="M569" s="31" t="n">
        <f aca="false">P568</f>
        <v>14409.5</v>
      </c>
      <c r="N569" s="30" t="n">
        <f aca="false">IFERROR(F569/M569,0)</f>
        <v>-3.95572365453347E-005</v>
      </c>
      <c r="O569" s="29" t="str">
        <f aca="false">IF(-N569&gt;=Summary!$C$7,"BREACH","")</f>
        <v/>
      </c>
      <c r="P569" s="31" t="n">
        <f aca="false">M569+F569</f>
        <v>14408.93</v>
      </c>
      <c r="Q569" s="31" t="n">
        <f aca="false">P569-Summary!$C$5</f>
        <v>4408.92999999999</v>
      </c>
      <c r="R569" s="2" t="str">
        <f aca="false">TEXT(A569,"ddd")</f>
        <v>Wed</v>
      </c>
    </row>
    <row r="570" customFormat="false" ht="15" hidden="false" customHeight="false" outlineLevel="0" collapsed="false">
      <c r="A570" s="43" t="n">
        <v>45575</v>
      </c>
      <c r="B570" s="29" t="n">
        <f aca="false">COUNTIFS(Trades!$D$2:$D$1146,$A570)</f>
        <v>1</v>
      </c>
      <c r="C570" s="29" t="n">
        <f aca="false">COUNTIFS(Trades!$D$2:$D$1146,$A570,Trades!$Z$2:$Z$1146,"Win")</f>
        <v>0</v>
      </c>
      <c r="D570" s="29" t="n">
        <f aca="false">COUNTIFS(Trades!$D$2:$D$1146,$A570,Trades!$Z$2:$Z$1146,"Loss")</f>
        <v>1</v>
      </c>
      <c r="E570" s="30" t="n">
        <f aca="false">IFERROR(C570/B570,0)</f>
        <v>0</v>
      </c>
      <c r="F570" s="31" t="n">
        <f aca="false">SUMIFS(Trades!$X$2:$X$1146,Trades!$D$2:$D$1146,$A570)</f>
        <v>-27.06</v>
      </c>
      <c r="G570" s="31" t="n">
        <f aca="false">SUMIFS(Trades!$X$2:$X$1146,Trades!$D$2:$D$1146,$A570,Trades!$X$2:$X$1146,"&gt;0")</f>
        <v>0</v>
      </c>
      <c r="H570" s="31" t="n">
        <f aca="false">SUMIFS(Trades!$X$2:$X$1146,Trades!$D$2:$D$1146,$A570,Trades!$X$2:$X$1146,"&lt;0")</f>
        <v>-27.06</v>
      </c>
      <c r="I570" s="32" t="n">
        <f aca="false">IFERROR(G570/-H570,"no loss")</f>
        <v>0</v>
      </c>
      <c r="J570" s="31" t="n">
        <f aca="false">_xlfn.MAXIFS(Trades!$X$2:$X$1146,Trades!$D$2:$D$1146,$A570)</f>
        <v>-27.06</v>
      </c>
      <c r="K570" s="31" t="n">
        <f aca="false">_xlfn.MINIFS(Trades!$X$2:$X$1146,Trades!$D$2:$D$1146,$A570)</f>
        <v>-27.06</v>
      </c>
      <c r="L570" s="33" t="n">
        <f aca="false">SUMIFS(Trades!$Y$2:$Y$1146,Trades!$D$2:$D$1146,$A570)</f>
        <v>-1.01920903954819</v>
      </c>
      <c r="M570" s="31" t="n">
        <f aca="false">P569</f>
        <v>14408.93</v>
      </c>
      <c r="N570" s="30" t="n">
        <f aca="false">IFERROR(F570/M570,0)</f>
        <v>-0.00187800204456542</v>
      </c>
      <c r="O570" s="29" t="str">
        <f aca="false">IF(-N570&gt;=Summary!$C$7,"BREACH","")</f>
        <v/>
      </c>
      <c r="P570" s="31" t="n">
        <f aca="false">M570+F570</f>
        <v>14381.87</v>
      </c>
      <c r="Q570" s="31" t="n">
        <f aca="false">P570-Summary!$C$5</f>
        <v>4381.86999999999</v>
      </c>
      <c r="R570" s="2" t="str">
        <f aca="false">TEXT(A570,"ddd")</f>
        <v>Thu</v>
      </c>
    </row>
    <row r="571" customFormat="false" ht="15" hidden="false" customHeight="false" outlineLevel="0" collapsed="false">
      <c r="A571" s="43" t="n">
        <v>45579</v>
      </c>
      <c r="B571" s="29" t="n">
        <f aca="false">COUNTIFS(Trades!$D$2:$D$1146,$A571)</f>
        <v>1</v>
      </c>
      <c r="C571" s="29" t="n">
        <f aca="false">COUNTIFS(Trades!$D$2:$D$1146,$A571,Trades!$Z$2:$Z$1146,"Win")</f>
        <v>0</v>
      </c>
      <c r="D571" s="29" t="n">
        <f aca="false">COUNTIFS(Trades!$D$2:$D$1146,$A571,Trades!$Z$2:$Z$1146,"Loss")</f>
        <v>1</v>
      </c>
      <c r="E571" s="30" t="n">
        <f aca="false">IFERROR(C571/B571,0)</f>
        <v>0</v>
      </c>
      <c r="F571" s="31" t="n">
        <f aca="false">SUMIFS(Trades!$X$2:$X$1146,Trades!$D$2:$D$1146,$A571)</f>
        <v>-13.56</v>
      </c>
      <c r="G571" s="31" t="n">
        <f aca="false">SUMIFS(Trades!$X$2:$X$1146,Trades!$D$2:$D$1146,$A571,Trades!$X$2:$X$1146,"&gt;0")</f>
        <v>0</v>
      </c>
      <c r="H571" s="31" t="n">
        <f aca="false">SUMIFS(Trades!$X$2:$X$1146,Trades!$D$2:$D$1146,$A571,Trades!$X$2:$X$1146,"&lt;0")</f>
        <v>-13.56</v>
      </c>
      <c r="I571" s="32" t="n">
        <f aca="false">IFERROR(G571/-H571,"no loss")</f>
        <v>0</v>
      </c>
      <c r="J571" s="31" t="n">
        <f aca="false">_xlfn.MAXIFS(Trades!$X$2:$X$1146,Trades!$D$2:$D$1146,$A571)</f>
        <v>-13.56</v>
      </c>
      <c r="K571" s="31" t="n">
        <f aca="false">_xlfn.MINIFS(Trades!$X$2:$X$1146,Trades!$D$2:$D$1146,$A571)</f>
        <v>-13.56</v>
      </c>
      <c r="L571" s="33" t="n">
        <f aca="false">SUMIFS(Trades!$Y$2:$Y$1146,Trades!$D$2:$D$1146,$A571)</f>
        <v>-1.02031602708797</v>
      </c>
      <c r="M571" s="31" t="n">
        <f aca="false">P570</f>
        <v>14381.87</v>
      </c>
      <c r="N571" s="30" t="n">
        <f aca="false">IFERROR(F571/M571,0)</f>
        <v>-0.000942853745722914</v>
      </c>
      <c r="O571" s="29" t="str">
        <f aca="false">IF(-N571&gt;=Summary!$C$7,"BREACH","")</f>
        <v/>
      </c>
      <c r="P571" s="31" t="n">
        <f aca="false">M571+F571</f>
        <v>14368.31</v>
      </c>
      <c r="Q571" s="31" t="n">
        <f aca="false">P571-Summary!$C$5</f>
        <v>4368.30999999999</v>
      </c>
      <c r="R571" s="2" t="str">
        <f aca="false">TEXT(A571,"ddd")</f>
        <v>Mon</v>
      </c>
    </row>
    <row r="572" customFormat="false" ht="15" hidden="false" customHeight="false" outlineLevel="0" collapsed="false">
      <c r="A572" s="43" t="n">
        <v>45580</v>
      </c>
      <c r="B572" s="29" t="n">
        <f aca="false">COUNTIFS(Trades!$D$2:$D$1146,$A572)</f>
        <v>1</v>
      </c>
      <c r="C572" s="29" t="n">
        <f aca="false">COUNTIFS(Trades!$D$2:$D$1146,$A572,Trades!$Z$2:$Z$1146,"Win")</f>
        <v>0</v>
      </c>
      <c r="D572" s="29" t="n">
        <f aca="false">COUNTIFS(Trades!$D$2:$D$1146,$A572,Trades!$Z$2:$Z$1146,"Loss")</f>
        <v>1</v>
      </c>
      <c r="E572" s="30" t="n">
        <f aca="false">IFERROR(C572/B572,0)</f>
        <v>0</v>
      </c>
      <c r="F572" s="31" t="n">
        <f aca="false">SUMIFS(Trades!$X$2:$X$1146,Trades!$D$2:$D$1146,$A572)</f>
        <v>-0.42</v>
      </c>
      <c r="G572" s="31" t="n">
        <f aca="false">SUMIFS(Trades!$X$2:$X$1146,Trades!$D$2:$D$1146,$A572,Trades!$X$2:$X$1146,"&gt;0")</f>
        <v>0</v>
      </c>
      <c r="H572" s="31" t="n">
        <f aca="false">SUMIFS(Trades!$X$2:$X$1146,Trades!$D$2:$D$1146,$A572,Trades!$X$2:$X$1146,"&lt;0")</f>
        <v>-0.42</v>
      </c>
      <c r="I572" s="32" t="n">
        <f aca="false">IFERROR(G572/-H572,"no loss")</f>
        <v>0</v>
      </c>
      <c r="J572" s="31" t="n">
        <f aca="false">_xlfn.MAXIFS(Trades!$X$2:$X$1146,Trades!$D$2:$D$1146,$A572)</f>
        <v>-0.42</v>
      </c>
      <c r="K572" s="31" t="n">
        <f aca="false">_xlfn.MINIFS(Trades!$X$2:$X$1146,Trades!$D$2:$D$1146,$A572)</f>
        <v>-0.42</v>
      </c>
      <c r="L572" s="33" t="n">
        <f aca="false">SUMIFS(Trades!$Y$2:$Y$1146,Trades!$D$2:$D$1146,$A572)</f>
        <v>-0.00403923831506061</v>
      </c>
      <c r="M572" s="31" t="n">
        <f aca="false">P571</f>
        <v>14368.31</v>
      </c>
      <c r="N572" s="30" t="n">
        <f aca="false">IFERROR(F572/M572,0)</f>
        <v>-2.92309951553106E-005</v>
      </c>
      <c r="O572" s="29" t="str">
        <f aca="false">IF(-N572&gt;=Summary!$C$7,"BREACH","")</f>
        <v/>
      </c>
      <c r="P572" s="31" t="n">
        <f aca="false">M572+F572</f>
        <v>14367.89</v>
      </c>
      <c r="Q572" s="31" t="n">
        <f aca="false">P572-Summary!$C$5</f>
        <v>4367.88999999999</v>
      </c>
      <c r="R572" s="2" t="str">
        <f aca="false">TEXT(A572,"ddd")</f>
        <v>Tue</v>
      </c>
    </row>
    <row r="573" customFormat="false" ht="15" hidden="false" customHeight="false" outlineLevel="0" collapsed="false">
      <c r="A573" s="43" t="n">
        <v>45581</v>
      </c>
      <c r="B573" s="29" t="n">
        <f aca="false">COUNTIFS(Trades!$D$2:$D$1146,$A573)</f>
        <v>1</v>
      </c>
      <c r="C573" s="29" t="n">
        <f aca="false">COUNTIFS(Trades!$D$2:$D$1146,$A573,Trades!$Z$2:$Z$1146,"Win")</f>
        <v>0</v>
      </c>
      <c r="D573" s="29" t="n">
        <f aca="false">COUNTIFS(Trades!$D$2:$D$1146,$A573,Trades!$Z$2:$Z$1146,"Loss")</f>
        <v>1</v>
      </c>
      <c r="E573" s="30" t="n">
        <f aca="false">IFERROR(C573/B573,0)</f>
        <v>0</v>
      </c>
      <c r="F573" s="31" t="n">
        <f aca="false">SUMIFS(Trades!$X$2:$X$1146,Trades!$D$2:$D$1146,$A573)</f>
        <v>-0.6</v>
      </c>
      <c r="G573" s="31" t="n">
        <f aca="false">SUMIFS(Trades!$X$2:$X$1146,Trades!$D$2:$D$1146,$A573,Trades!$X$2:$X$1146,"&gt;0")</f>
        <v>0</v>
      </c>
      <c r="H573" s="31" t="n">
        <f aca="false">SUMIFS(Trades!$X$2:$X$1146,Trades!$D$2:$D$1146,$A573,Trades!$X$2:$X$1146,"&lt;0")</f>
        <v>-0.6</v>
      </c>
      <c r="I573" s="32" t="n">
        <f aca="false">IFERROR(G573/-H573,"no loss")</f>
        <v>0</v>
      </c>
      <c r="J573" s="31" t="n">
        <f aca="false">_xlfn.MAXIFS(Trades!$X$2:$X$1146,Trades!$D$2:$D$1146,$A573)</f>
        <v>-0.6</v>
      </c>
      <c r="K573" s="31" t="n">
        <f aca="false">_xlfn.MINIFS(Trades!$X$2:$X$1146,Trades!$D$2:$D$1146,$A573)</f>
        <v>-0.6</v>
      </c>
      <c r="L573" s="33" t="n">
        <f aca="false">SUMIFS(Trades!$Y$2:$Y$1146,Trades!$D$2:$D$1146,$A573)</f>
        <v>-0.00891662951404502</v>
      </c>
      <c r="M573" s="31" t="n">
        <f aca="false">P572</f>
        <v>14367.89</v>
      </c>
      <c r="N573" s="30" t="n">
        <f aca="false">IFERROR(F573/M573,0)</f>
        <v>-4.1759785187665E-005</v>
      </c>
      <c r="O573" s="29" t="str">
        <f aca="false">IF(-N573&gt;=Summary!$C$7,"BREACH","")</f>
        <v/>
      </c>
      <c r="P573" s="31" t="n">
        <f aca="false">M573+F573</f>
        <v>14367.29</v>
      </c>
      <c r="Q573" s="31" t="n">
        <f aca="false">P573-Summary!$C$5</f>
        <v>4367.28999999999</v>
      </c>
      <c r="R573" s="2" t="str">
        <f aca="false">TEXT(A573,"ddd")</f>
        <v>Wed</v>
      </c>
    </row>
    <row r="574" customFormat="false" ht="15" hidden="false" customHeight="false" outlineLevel="0" collapsed="false">
      <c r="A574" s="43" t="n">
        <v>45582</v>
      </c>
      <c r="B574" s="29" t="n">
        <f aca="false">COUNTIFS(Trades!$D$2:$D$1146,$A574)</f>
        <v>1</v>
      </c>
      <c r="C574" s="29" t="n">
        <f aca="false">COUNTIFS(Trades!$D$2:$D$1146,$A574,Trades!$Z$2:$Z$1146,"Win")</f>
        <v>0</v>
      </c>
      <c r="D574" s="29" t="n">
        <f aca="false">COUNTIFS(Trades!$D$2:$D$1146,$A574,Trades!$Z$2:$Z$1146,"Loss")</f>
        <v>1</v>
      </c>
      <c r="E574" s="30" t="n">
        <f aca="false">IFERROR(C574/B574,0)</f>
        <v>0</v>
      </c>
      <c r="F574" s="31" t="n">
        <f aca="false">SUMIFS(Trades!$X$2:$X$1146,Trades!$D$2:$D$1146,$A574)</f>
        <v>-2.67</v>
      </c>
      <c r="G574" s="31" t="n">
        <f aca="false">SUMIFS(Trades!$X$2:$X$1146,Trades!$D$2:$D$1146,$A574,Trades!$X$2:$X$1146,"&gt;0")</f>
        <v>0</v>
      </c>
      <c r="H574" s="31" t="n">
        <f aca="false">SUMIFS(Trades!$X$2:$X$1146,Trades!$D$2:$D$1146,$A574,Trades!$X$2:$X$1146,"&lt;0")</f>
        <v>-2.67</v>
      </c>
      <c r="I574" s="32" t="n">
        <f aca="false">IFERROR(G574/-H574,"no loss")</f>
        <v>0</v>
      </c>
      <c r="J574" s="31" t="n">
        <f aca="false">_xlfn.MAXIFS(Trades!$X$2:$X$1146,Trades!$D$2:$D$1146,$A574)</f>
        <v>-2.67</v>
      </c>
      <c r="K574" s="31" t="n">
        <f aca="false">_xlfn.MINIFS(Trades!$X$2:$X$1146,Trades!$D$2:$D$1146,$A574)</f>
        <v>-2.67</v>
      </c>
      <c r="L574" s="33" t="n">
        <f aca="false">SUMIFS(Trades!$Y$2:$Y$1146,Trades!$D$2:$D$1146,$A574)</f>
        <v>-0.117880794701998</v>
      </c>
      <c r="M574" s="31" t="n">
        <f aca="false">P573</f>
        <v>14367.29</v>
      </c>
      <c r="N574" s="30" t="n">
        <f aca="false">IFERROR(F574/M574,0)</f>
        <v>-0.000185838804673672</v>
      </c>
      <c r="O574" s="29" t="str">
        <f aca="false">IF(-N574&gt;=Summary!$C$7,"BREACH","")</f>
        <v/>
      </c>
      <c r="P574" s="31" t="n">
        <f aca="false">M574+F574</f>
        <v>14364.62</v>
      </c>
      <c r="Q574" s="31" t="n">
        <f aca="false">P574-Summary!$C$5</f>
        <v>4364.61999999999</v>
      </c>
      <c r="R574" s="2" t="str">
        <f aca="false">TEXT(A574,"ddd")</f>
        <v>Thu</v>
      </c>
    </row>
    <row r="575" customFormat="false" ht="15" hidden="false" customHeight="false" outlineLevel="0" collapsed="false">
      <c r="A575" s="43" t="n">
        <v>45586</v>
      </c>
      <c r="B575" s="29" t="n">
        <f aca="false">COUNTIFS(Trades!$D$2:$D$1146,$A575)</f>
        <v>1</v>
      </c>
      <c r="C575" s="29" t="n">
        <f aca="false">COUNTIFS(Trades!$D$2:$D$1146,$A575,Trades!$Z$2:$Z$1146,"Win")</f>
        <v>0</v>
      </c>
      <c r="D575" s="29" t="n">
        <f aca="false">COUNTIFS(Trades!$D$2:$D$1146,$A575,Trades!$Z$2:$Z$1146,"Loss")</f>
        <v>1</v>
      </c>
      <c r="E575" s="30" t="n">
        <f aca="false">IFERROR(C575/B575,0)</f>
        <v>0</v>
      </c>
      <c r="F575" s="31" t="n">
        <f aca="false">SUMIFS(Trades!$X$2:$X$1146,Trades!$D$2:$D$1146,$A575)</f>
        <v>-47.7</v>
      </c>
      <c r="G575" s="31" t="n">
        <f aca="false">SUMIFS(Trades!$X$2:$X$1146,Trades!$D$2:$D$1146,$A575,Trades!$X$2:$X$1146,"&gt;0")</f>
        <v>0</v>
      </c>
      <c r="H575" s="31" t="n">
        <f aca="false">SUMIFS(Trades!$X$2:$X$1146,Trades!$D$2:$D$1146,$A575,Trades!$X$2:$X$1146,"&lt;0")</f>
        <v>-47.7</v>
      </c>
      <c r="I575" s="32" t="n">
        <f aca="false">IFERROR(G575/-H575,"no loss")</f>
        <v>0</v>
      </c>
      <c r="J575" s="31" t="n">
        <f aca="false">_xlfn.MAXIFS(Trades!$X$2:$X$1146,Trades!$D$2:$D$1146,$A575)</f>
        <v>-47.7</v>
      </c>
      <c r="K575" s="31" t="n">
        <f aca="false">_xlfn.MINIFS(Trades!$X$2:$X$1146,Trades!$D$2:$D$1146,$A575)</f>
        <v>-47.7</v>
      </c>
      <c r="L575" s="33" t="n">
        <f aca="false">SUMIFS(Trades!$Y$2:$Y$1146,Trades!$D$2:$D$1146,$A575)</f>
        <v>-1.01467772814283</v>
      </c>
      <c r="M575" s="31" t="n">
        <f aca="false">P574</f>
        <v>14364.62</v>
      </c>
      <c r="N575" s="30" t="n">
        <f aca="false">IFERROR(F575/M575,0)</f>
        <v>-0.00332065867388069</v>
      </c>
      <c r="O575" s="29" t="str">
        <f aca="false">IF(-N575&gt;=Summary!$C$7,"BREACH","")</f>
        <v/>
      </c>
      <c r="P575" s="31" t="n">
        <f aca="false">M575+F575</f>
        <v>14316.92</v>
      </c>
      <c r="Q575" s="31" t="n">
        <f aca="false">P575-Summary!$C$5</f>
        <v>4316.91999999999</v>
      </c>
      <c r="R575" s="2" t="str">
        <f aca="false">TEXT(A575,"ddd")</f>
        <v>Mon</v>
      </c>
    </row>
    <row r="576" customFormat="false" ht="15" hidden="false" customHeight="false" outlineLevel="0" collapsed="false">
      <c r="A576" s="43" t="n">
        <v>45587</v>
      </c>
      <c r="B576" s="29" t="n">
        <f aca="false">COUNTIFS(Trades!$D$2:$D$1146,$A576)</f>
        <v>1</v>
      </c>
      <c r="C576" s="29" t="n">
        <f aca="false">COUNTIFS(Trades!$D$2:$D$1146,$A576,Trades!$Z$2:$Z$1146,"Win")</f>
        <v>0</v>
      </c>
      <c r="D576" s="29" t="n">
        <f aca="false">COUNTIFS(Trades!$D$2:$D$1146,$A576,Trades!$Z$2:$Z$1146,"Loss")</f>
        <v>1</v>
      </c>
      <c r="E576" s="30" t="n">
        <f aca="false">IFERROR(C576/B576,0)</f>
        <v>0</v>
      </c>
      <c r="F576" s="31" t="n">
        <f aca="false">SUMIFS(Trades!$X$2:$X$1146,Trades!$D$2:$D$1146,$A576)</f>
        <v>-34.08</v>
      </c>
      <c r="G576" s="31" t="n">
        <f aca="false">SUMIFS(Trades!$X$2:$X$1146,Trades!$D$2:$D$1146,$A576,Trades!$X$2:$X$1146,"&gt;0")</f>
        <v>0</v>
      </c>
      <c r="H576" s="31" t="n">
        <f aca="false">SUMIFS(Trades!$X$2:$X$1146,Trades!$D$2:$D$1146,$A576,Trades!$X$2:$X$1146,"&lt;0")</f>
        <v>-34.08</v>
      </c>
      <c r="I576" s="32" t="n">
        <f aca="false">IFERROR(G576/-H576,"no loss")</f>
        <v>0</v>
      </c>
      <c r="J576" s="31" t="n">
        <f aca="false">_xlfn.MAXIFS(Trades!$X$2:$X$1146,Trades!$D$2:$D$1146,$A576)</f>
        <v>-34.08</v>
      </c>
      <c r="K576" s="31" t="n">
        <f aca="false">_xlfn.MINIFS(Trades!$X$2:$X$1146,Trades!$D$2:$D$1146,$A576)</f>
        <v>-34.08</v>
      </c>
      <c r="L576" s="33" t="n">
        <f aca="false">SUMIFS(Trades!$Y$2:$Y$1146,Trades!$D$2:$D$1146,$A576)</f>
        <v>-1.00709219858166</v>
      </c>
      <c r="M576" s="31" t="n">
        <f aca="false">P575</f>
        <v>14316.92</v>
      </c>
      <c r="N576" s="30" t="n">
        <f aca="false">IFERROR(F576/M576,0)</f>
        <v>-0.00238040025368585</v>
      </c>
      <c r="O576" s="29" t="str">
        <f aca="false">IF(-N576&gt;=Summary!$C$7,"BREACH","")</f>
        <v/>
      </c>
      <c r="P576" s="31" t="n">
        <f aca="false">M576+F576</f>
        <v>14282.84</v>
      </c>
      <c r="Q576" s="31" t="n">
        <f aca="false">P576-Summary!$C$5</f>
        <v>4282.83999999999</v>
      </c>
      <c r="R576" s="2" t="str">
        <f aca="false">TEXT(A576,"ddd")</f>
        <v>Tue</v>
      </c>
    </row>
    <row r="577" customFormat="false" ht="15" hidden="false" customHeight="false" outlineLevel="0" collapsed="false">
      <c r="A577" s="43" t="n">
        <v>45588</v>
      </c>
      <c r="B577" s="29" t="n">
        <f aca="false">COUNTIFS(Trades!$D$2:$D$1146,$A577)</f>
        <v>1</v>
      </c>
      <c r="C577" s="29" t="n">
        <f aca="false">COUNTIFS(Trades!$D$2:$D$1146,$A577,Trades!$Z$2:$Z$1146,"Win")</f>
        <v>0</v>
      </c>
      <c r="D577" s="29" t="n">
        <f aca="false">COUNTIFS(Trades!$D$2:$D$1146,$A577,Trades!$Z$2:$Z$1146,"Loss")</f>
        <v>1</v>
      </c>
      <c r="E577" s="30" t="n">
        <f aca="false">IFERROR(C577/B577,0)</f>
        <v>0</v>
      </c>
      <c r="F577" s="31" t="n">
        <f aca="false">SUMIFS(Trades!$X$2:$X$1146,Trades!$D$2:$D$1146,$A577)</f>
        <v>-58.35</v>
      </c>
      <c r="G577" s="31" t="n">
        <f aca="false">SUMIFS(Trades!$X$2:$X$1146,Trades!$D$2:$D$1146,$A577,Trades!$X$2:$X$1146,"&gt;0")</f>
        <v>0</v>
      </c>
      <c r="H577" s="31" t="n">
        <f aca="false">SUMIFS(Trades!$X$2:$X$1146,Trades!$D$2:$D$1146,$A577,Trades!$X$2:$X$1146,"&lt;0")</f>
        <v>-58.35</v>
      </c>
      <c r="I577" s="32" t="n">
        <f aca="false">IFERROR(G577/-H577,"no loss")</f>
        <v>0</v>
      </c>
      <c r="J577" s="31" t="n">
        <f aca="false">_xlfn.MAXIFS(Trades!$X$2:$X$1146,Trades!$D$2:$D$1146,$A577)</f>
        <v>-58.35</v>
      </c>
      <c r="K577" s="31" t="n">
        <f aca="false">_xlfn.MINIFS(Trades!$X$2:$X$1146,Trades!$D$2:$D$1146,$A577)</f>
        <v>-58.35</v>
      </c>
      <c r="L577" s="33" t="n">
        <f aca="false">SUMIFS(Trades!$Y$2:$Y$1146,Trades!$D$2:$D$1146,$A577)</f>
        <v>-1.00154479917601</v>
      </c>
      <c r="M577" s="31" t="n">
        <f aca="false">P576</f>
        <v>14282.84</v>
      </c>
      <c r="N577" s="30" t="n">
        <f aca="false">IFERROR(F577/M577,0)</f>
        <v>-0.00408532196677972</v>
      </c>
      <c r="O577" s="29" t="str">
        <f aca="false">IF(-N577&gt;=Summary!$C$7,"BREACH","")</f>
        <v/>
      </c>
      <c r="P577" s="31" t="n">
        <f aca="false">M577+F577</f>
        <v>14224.49</v>
      </c>
      <c r="Q577" s="31" t="n">
        <f aca="false">P577-Summary!$C$5</f>
        <v>4224.48999999999</v>
      </c>
      <c r="R577" s="2" t="str">
        <f aca="false">TEXT(A577,"ddd")</f>
        <v>Wed</v>
      </c>
    </row>
    <row r="578" customFormat="false" ht="15" hidden="false" customHeight="false" outlineLevel="0" collapsed="false">
      <c r="A578" s="43" t="n">
        <v>45590</v>
      </c>
      <c r="B578" s="29" t="n">
        <f aca="false">COUNTIFS(Trades!$D$2:$D$1146,$A578)</f>
        <v>1</v>
      </c>
      <c r="C578" s="29" t="n">
        <f aca="false">COUNTIFS(Trades!$D$2:$D$1146,$A578,Trades!$Z$2:$Z$1146,"Win")</f>
        <v>0</v>
      </c>
      <c r="D578" s="29" t="n">
        <f aca="false">COUNTIFS(Trades!$D$2:$D$1146,$A578,Trades!$Z$2:$Z$1146,"Loss")</f>
        <v>1</v>
      </c>
      <c r="E578" s="30" t="n">
        <f aca="false">IFERROR(C578/B578,0)</f>
        <v>0</v>
      </c>
      <c r="F578" s="31" t="n">
        <f aca="false">SUMIFS(Trades!$X$2:$X$1146,Trades!$D$2:$D$1146,$A578)</f>
        <v>-17.91</v>
      </c>
      <c r="G578" s="31" t="n">
        <f aca="false">SUMIFS(Trades!$X$2:$X$1146,Trades!$D$2:$D$1146,$A578,Trades!$X$2:$X$1146,"&gt;0")</f>
        <v>0</v>
      </c>
      <c r="H578" s="31" t="n">
        <f aca="false">SUMIFS(Trades!$X$2:$X$1146,Trades!$D$2:$D$1146,$A578,Trades!$X$2:$X$1146,"&lt;0")</f>
        <v>-17.91</v>
      </c>
      <c r="I578" s="32" t="n">
        <f aca="false">IFERROR(G578/-H578,"no loss")</f>
        <v>0</v>
      </c>
      <c r="J578" s="31" t="n">
        <f aca="false">_xlfn.MAXIFS(Trades!$X$2:$X$1146,Trades!$D$2:$D$1146,$A578)</f>
        <v>-17.91</v>
      </c>
      <c r="K578" s="31" t="n">
        <f aca="false">_xlfn.MINIFS(Trades!$X$2:$X$1146,Trades!$D$2:$D$1146,$A578)</f>
        <v>-17.91</v>
      </c>
      <c r="L578" s="33" t="n">
        <f aca="false">SUMIFS(Trades!$Y$2:$Y$1146,Trades!$D$2:$D$1146,$A578)</f>
        <v>-1.00336134453831</v>
      </c>
      <c r="M578" s="31" t="n">
        <f aca="false">P577</f>
        <v>14224.49</v>
      </c>
      <c r="N578" s="30" t="n">
        <f aca="false">IFERROR(F578/M578,0)</f>
        <v>-0.00125909610819087</v>
      </c>
      <c r="O578" s="29" t="str">
        <f aca="false">IF(-N578&gt;=Summary!$C$7,"BREACH","")</f>
        <v/>
      </c>
      <c r="P578" s="31" t="n">
        <f aca="false">M578+F578</f>
        <v>14206.58</v>
      </c>
      <c r="Q578" s="31" t="n">
        <f aca="false">P578-Summary!$C$5</f>
        <v>4206.57999999999</v>
      </c>
      <c r="R578" s="2" t="str">
        <f aca="false">TEXT(A578,"ddd")</f>
        <v>Fri</v>
      </c>
    </row>
    <row r="579" customFormat="false" ht="15" hidden="false" customHeight="false" outlineLevel="0" collapsed="false">
      <c r="A579" s="43" t="n">
        <v>45594</v>
      </c>
      <c r="B579" s="29" t="n">
        <f aca="false">COUNTIFS(Trades!$D$2:$D$1146,$A579)</f>
        <v>2</v>
      </c>
      <c r="C579" s="29" t="n">
        <f aca="false">COUNTIFS(Trades!$D$2:$D$1146,$A579,Trades!$Z$2:$Z$1146,"Win")</f>
        <v>0</v>
      </c>
      <c r="D579" s="29" t="n">
        <f aca="false">COUNTIFS(Trades!$D$2:$D$1146,$A579,Trades!$Z$2:$Z$1146,"Loss")</f>
        <v>2</v>
      </c>
      <c r="E579" s="30" t="n">
        <f aca="false">IFERROR(C579/B579,0)</f>
        <v>0</v>
      </c>
      <c r="F579" s="31" t="n">
        <f aca="false">SUMIFS(Trades!$X$2:$X$1146,Trades!$D$2:$D$1146,$A579)</f>
        <v>-65.88</v>
      </c>
      <c r="G579" s="31" t="n">
        <f aca="false">SUMIFS(Trades!$X$2:$X$1146,Trades!$D$2:$D$1146,$A579,Trades!$X$2:$X$1146,"&gt;0")</f>
        <v>0</v>
      </c>
      <c r="H579" s="31" t="n">
        <f aca="false">SUMIFS(Trades!$X$2:$X$1146,Trades!$D$2:$D$1146,$A579,Trades!$X$2:$X$1146,"&lt;0")</f>
        <v>-65.88</v>
      </c>
      <c r="I579" s="32" t="n">
        <f aca="false">IFERROR(G579/-H579,"no loss")</f>
        <v>0</v>
      </c>
      <c r="J579" s="31" t="n">
        <f aca="false">_xlfn.MAXIFS(Trades!$X$2:$X$1146,Trades!$D$2:$D$1146,$A579)</f>
        <v>-31.8</v>
      </c>
      <c r="K579" s="31" t="n">
        <f aca="false">_xlfn.MINIFS(Trades!$X$2:$X$1146,Trades!$D$2:$D$1146,$A579)</f>
        <v>-34.08</v>
      </c>
      <c r="L579" s="33" t="n">
        <f aca="false">SUMIFS(Trades!$Y$2:$Y$1146,Trades!$D$2:$D$1146,$A579)</f>
        <v>-2.11363773169044</v>
      </c>
      <c r="M579" s="31" t="n">
        <f aca="false">P578</f>
        <v>14206.58</v>
      </c>
      <c r="N579" s="30" t="n">
        <f aca="false">IFERROR(F579/M579,0)</f>
        <v>-0.00463728779199498</v>
      </c>
      <c r="O579" s="29" t="str">
        <f aca="false">IF(-N579&gt;=Summary!$C$7,"BREACH","")</f>
        <v/>
      </c>
      <c r="P579" s="31" t="n">
        <f aca="false">M579+F579</f>
        <v>14140.7</v>
      </c>
      <c r="Q579" s="31" t="n">
        <f aca="false">P579-Summary!$C$5</f>
        <v>4140.69999999999</v>
      </c>
      <c r="R579" s="2" t="str">
        <f aca="false">TEXT(A579,"ddd")</f>
        <v>Tue</v>
      </c>
    </row>
    <row r="580" customFormat="false" ht="15" hidden="false" customHeight="false" outlineLevel="0" collapsed="false">
      <c r="A580" s="43" t="n">
        <v>45595</v>
      </c>
      <c r="B580" s="29" t="n">
        <f aca="false">COUNTIFS(Trades!$D$2:$D$1146,$A580)</f>
        <v>1</v>
      </c>
      <c r="C580" s="29" t="n">
        <f aca="false">COUNTIFS(Trades!$D$2:$D$1146,$A580,Trades!$Z$2:$Z$1146,"Win")</f>
        <v>0</v>
      </c>
      <c r="D580" s="29" t="n">
        <f aca="false">COUNTIFS(Trades!$D$2:$D$1146,$A580,Trades!$Z$2:$Z$1146,"Loss")</f>
        <v>1</v>
      </c>
      <c r="E580" s="30" t="n">
        <f aca="false">IFERROR(C580/B580,0)</f>
        <v>0</v>
      </c>
      <c r="F580" s="31" t="n">
        <f aca="false">SUMIFS(Trades!$X$2:$X$1146,Trades!$D$2:$D$1146,$A580)</f>
        <v>-13.11</v>
      </c>
      <c r="G580" s="31" t="n">
        <f aca="false">SUMIFS(Trades!$X$2:$X$1146,Trades!$D$2:$D$1146,$A580,Trades!$X$2:$X$1146,"&gt;0")</f>
        <v>0</v>
      </c>
      <c r="H580" s="31" t="n">
        <f aca="false">SUMIFS(Trades!$X$2:$X$1146,Trades!$D$2:$D$1146,$A580,Trades!$X$2:$X$1146,"&lt;0")</f>
        <v>-13.11</v>
      </c>
      <c r="I580" s="32" t="n">
        <f aca="false">IFERROR(G580/-H580,"no loss")</f>
        <v>0</v>
      </c>
      <c r="J580" s="31" t="n">
        <f aca="false">_xlfn.MAXIFS(Trades!$X$2:$X$1146,Trades!$D$2:$D$1146,$A580)</f>
        <v>-13.11</v>
      </c>
      <c r="K580" s="31" t="n">
        <f aca="false">_xlfn.MINIFS(Trades!$X$2:$X$1146,Trades!$D$2:$D$1146,$A580)</f>
        <v>-13.11</v>
      </c>
      <c r="L580" s="33" t="n">
        <f aca="false">SUMIFS(Trades!$Y$2:$Y$1146,Trades!$D$2:$D$1146,$A580)</f>
        <v>-1.28908554572294</v>
      </c>
      <c r="M580" s="31" t="n">
        <f aca="false">P579</f>
        <v>14140.7</v>
      </c>
      <c r="N580" s="30" t="n">
        <f aca="false">IFERROR(F580/M580,0)</f>
        <v>-0.00092711110482508</v>
      </c>
      <c r="O580" s="29" t="str">
        <f aca="false">IF(-N580&gt;=Summary!$C$7,"BREACH","")</f>
        <v/>
      </c>
      <c r="P580" s="31" t="n">
        <f aca="false">M580+F580</f>
        <v>14127.59</v>
      </c>
      <c r="Q580" s="31" t="n">
        <f aca="false">P580-Summary!$C$5</f>
        <v>4127.58999999999</v>
      </c>
      <c r="R580" s="2" t="str">
        <f aca="false">TEXT(A580,"ddd")</f>
        <v>Wed</v>
      </c>
    </row>
    <row r="581" customFormat="false" ht="15" hidden="false" customHeight="false" outlineLevel="0" collapsed="false">
      <c r="A581" s="43" t="n">
        <v>45596</v>
      </c>
      <c r="B581" s="29" t="n">
        <f aca="false">COUNTIFS(Trades!$D$2:$D$1146,$A581)</f>
        <v>1</v>
      </c>
      <c r="C581" s="29" t="n">
        <f aca="false">COUNTIFS(Trades!$D$2:$D$1146,$A581,Trades!$Z$2:$Z$1146,"Win")</f>
        <v>0</v>
      </c>
      <c r="D581" s="29" t="n">
        <f aca="false">COUNTIFS(Trades!$D$2:$D$1146,$A581,Trades!$Z$2:$Z$1146,"Loss")</f>
        <v>1</v>
      </c>
      <c r="E581" s="30" t="n">
        <f aca="false">IFERROR(C581/B581,0)</f>
        <v>0</v>
      </c>
      <c r="F581" s="31" t="n">
        <f aca="false">SUMIFS(Trades!$X$2:$X$1146,Trades!$D$2:$D$1146,$A581)</f>
        <v>-1.02</v>
      </c>
      <c r="G581" s="31" t="n">
        <f aca="false">SUMIFS(Trades!$X$2:$X$1146,Trades!$D$2:$D$1146,$A581,Trades!$X$2:$X$1146,"&gt;0")</f>
        <v>0</v>
      </c>
      <c r="H581" s="31" t="n">
        <f aca="false">SUMIFS(Trades!$X$2:$X$1146,Trades!$D$2:$D$1146,$A581,Trades!$X$2:$X$1146,"&lt;0")</f>
        <v>-1.02</v>
      </c>
      <c r="I581" s="32" t="n">
        <f aca="false">IFERROR(G581/-H581,"no loss")</f>
        <v>0</v>
      </c>
      <c r="J581" s="31" t="n">
        <f aca="false">_xlfn.MAXIFS(Trades!$X$2:$X$1146,Trades!$D$2:$D$1146,$A581)</f>
        <v>-1.02</v>
      </c>
      <c r="K581" s="31" t="n">
        <f aca="false">_xlfn.MINIFS(Trades!$X$2:$X$1146,Trades!$D$2:$D$1146,$A581)</f>
        <v>-1.02</v>
      </c>
      <c r="L581" s="33" t="n">
        <f aca="false">SUMIFS(Trades!$Y$2:$Y$1146,Trades!$D$2:$D$1146,$A581)</f>
        <v>-0.0115961800818555</v>
      </c>
      <c r="M581" s="31" t="n">
        <f aca="false">P580</f>
        <v>14127.59</v>
      </c>
      <c r="N581" s="30" t="n">
        <f aca="false">IFERROR(F581/M581,0)</f>
        <v>-7.21991507397936E-005</v>
      </c>
      <c r="O581" s="29" t="str">
        <f aca="false">IF(-N581&gt;=Summary!$C$7,"BREACH","")</f>
        <v/>
      </c>
      <c r="P581" s="31" t="n">
        <f aca="false">M581+F581</f>
        <v>14126.57</v>
      </c>
      <c r="Q581" s="31" t="n">
        <f aca="false">P581-Summary!$C$5</f>
        <v>4126.56999999999</v>
      </c>
      <c r="R581" s="2" t="str">
        <f aca="false">TEXT(A581,"ddd")</f>
        <v>Thu</v>
      </c>
    </row>
    <row r="582" customFormat="false" ht="15" hidden="false" customHeight="false" outlineLevel="0" collapsed="false">
      <c r="A582" s="43" t="n">
        <v>45601</v>
      </c>
      <c r="B582" s="29" t="n">
        <f aca="false">COUNTIFS(Trades!$D$2:$D$1146,$A582)</f>
        <v>1</v>
      </c>
      <c r="C582" s="29" t="n">
        <f aca="false">COUNTIFS(Trades!$D$2:$D$1146,$A582,Trades!$Z$2:$Z$1146,"Win")</f>
        <v>1</v>
      </c>
      <c r="D582" s="29" t="n">
        <f aca="false">COUNTIFS(Trades!$D$2:$D$1146,$A582,Trades!$Z$2:$Z$1146,"Loss")</f>
        <v>0</v>
      </c>
      <c r="E582" s="30" t="n">
        <f aca="false">IFERROR(C582/B582,0)</f>
        <v>1</v>
      </c>
      <c r="F582" s="31" t="n">
        <f aca="false">SUMIFS(Trades!$X$2:$X$1146,Trades!$D$2:$D$1146,$A582)</f>
        <v>134.91</v>
      </c>
      <c r="G582" s="31" t="n">
        <f aca="false">SUMIFS(Trades!$X$2:$X$1146,Trades!$D$2:$D$1146,$A582,Trades!$X$2:$X$1146,"&gt;0")</f>
        <v>134.91</v>
      </c>
      <c r="H582" s="31" t="n">
        <f aca="false">SUMIFS(Trades!$X$2:$X$1146,Trades!$D$2:$D$1146,$A582,Trades!$X$2:$X$1146,"&lt;0")</f>
        <v>0</v>
      </c>
      <c r="I582" s="32" t="str">
        <f aca="false">IFERROR(G582/-H582,"no loss")</f>
        <v>no loss</v>
      </c>
      <c r="J582" s="31" t="n">
        <f aca="false">_xlfn.MAXIFS(Trades!$X$2:$X$1146,Trades!$D$2:$D$1146,$A582)</f>
        <v>134.91</v>
      </c>
      <c r="K582" s="31" t="n">
        <f aca="false">_xlfn.MINIFS(Trades!$X$2:$X$1146,Trades!$D$2:$D$1146,$A582)</f>
        <v>134.91</v>
      </c>
      <c r="L582" s="33" t="n">
        <f aca="false">SUMIFS(Trades!$Y$2:$Y$1146,Trades!$D$2:$D$1146,$A582)</f>
        <v>2.50948660714259</v>
      </c>
      <c r="M582" s="31" t="n">
        <f aca="false">P581</f>
        <v>14126.57</v>
      </c>
      <c r="N582" s="30" t="n">
        <f aca="false">IFERROR(F582/M582,0)</f>
        <v>0.00955008894586585</v>
      </c>
      <c r="O582" s="29" t="str">
        <f aca="false">IF(-N582&gt;=Summary!$C$7,"BREACH","")</f>
        <v/>
      </c>
      <c r="P582" s="31" t="n">
        <f aca="false">M582+F582</f>
        <v>14261.48</v>
      </c>
      <c r="Q582" s="31" t="n">
        <f aca="false">P582-Summary!$C$5</f>
        <v>4261.47999999999</v>
      </c>
      <c r="R582" s="2" t="str">
        <f aca="false">TEXT(A582,"ddd")</f>
        <v>Tue</v>
      </c>
    </row>
    <row r="583" customFormat="false" ht="15" hidden="false" customHeight="false" outlineLevel="0" collapsed="false">
      <c r="A583" s="43" t="n">
        <v>45602</v>
      </c>
      <c r="B583" s="29" t="n">
        <f aca="false">COUNTIFS(Trades!$D$2:$D$1146,$A583)</f>
        <v>1</v>
      </c>
      <c r="C583" s="29" t="n">
        <f aca="false">COUNTIFS(Trades!$D$2:$D$1146,$A583,Trades!$Z$2:$Z$1146,"Win")</f>
        <v>1</v>
      </c>
      <c r="D583" s="29" t="n">
        <f aca="false">COUNTIFS(Trades!$D$2:$D$1146,$A583,Trades!$Z$2:$Z$1146,"Loss")</f>
        <v>0</v>
      </c>
      <c r="E583" s="30" t="n">
        <f aca="false">IFERROR(C583/B583,0)</f>
        <v>1</v>
      </c>
      <c r="F583" s="31" t="n">
        <f aca="false">SUMIFS(Trades!$X$2:$X$1146,Trades!$D$2:$D$1146,$A583)</f>
        <v>68.22</v>
      </c>
      <c r="G583" s="31" t="n">
        <f aca="false">SUMIFS(Trades!$X$2:$X$1146,Trades!$D$2:$D$1146,$A583,Trades!$X$2:$X$1146,"&gt;0")</f>
        <v>68.22</v>
      </c>
      <c r="H583" s="31" t="n">
        <f aca="false">SUMIFS(Trades!$X$2:$X$1146,Trades!$D$2:$D$1146,$A583,Trades!$X$2:$X$1146,"&lt;0")</f>
        <v>0</v>
      </c>
      <c r="I583" s="32" t="str">
        <f aca="false">IFERROR(G583/-H583,"no loss")</f>
        <v>no loss</v>
      </c>
      <c r="J583" s="31" t="n">
        <f aca="false">_xlfn.MAXIFS(Trades!$X$2:$X$1146,Trades!$D$2:$D$1146,$A583)</f>
        <v>68.22</v>
      </c>
      <c r="K583" s="31" t="n">
        <f aca="false">_xlfn.MINIFS(Trades!$X$2:$X$1146,Trades!$D$2:$D$1146,$A583)</f>
        <v>68.22</v>
      </c>
      <c r="L583" s="33" t="n">
        <f aca="false">SUMIFS(Trades!$Y$2:$Y$1146,Trades!$D$2:$D$1146,$A583)</f>
        <v>2.45307443365684</v>
      </c>
      <c r="M583" s="31" t="n">
        <f aca="false">P582</f>
        <v>14261.48</v>
      </c>
      <c r="N583" s="30" t="n">
        <f aca="false">IFERROR(F583/M583,0)</f>
        <v>0.00478351475442942</v>
      </c>
      <c r="O583" s="29" t="str">
        <f aca="false">IF(-N583&gt;=Summary!$C$7,"BREACH","")</f>
        <v/>
      </c>
      <c r="P583" s="31" t="n">
        <f aca="false">M583+F583</f>
        <v>14329.7</v>
      </c>
      <c r="Q583" s="31" t="n">
        <f aca="false">P583-Summary!$C$5</f>
        <v>4329.69999999999</v>
      </c>
      <c r="R583" s="2" t="str">
        <f aca="false">TEXT(A583,"ddd")</f>
        <v>Wed</v>
      </c>
    </row>
    <row r="584" customFormat="false" ht="15" hidden="false" customHeight="false" outlineLevel="0" collapsed="false">
      <c r="A584" s="43" t="n">
        <v>45603</v>
      </c>
      <c r="B584" s="29" t="n">
        <f aca="false">COUNTIFS(Trades!$D$2:$D$1146,$A584)</f>
        <v>1</v>
      </c>
      <c r="C584" s="29" t="n">
        <f aca="false">COUNTIFS(Trades!$D$2:$D$1146,$A584,Trades!$Z$2:$Z$1146,"Win")</f>
        <v>0</v>
      </c>
      <c r="D584" s="29" t="n">
        <f aca="false">COUNTIFS(Trades!$D$2:$D$1146,$A584,Trades!$Z$2:$Z$1146,"Loss")</f>
        <v>1</v>
      </c>
      <c r="E584" s="30" t="n">
        <f aca="false">IFERROR(C584/B584,0)</f>
        <v>0</v>
      </c>
      <c r="F584" s="31" t="n">
        <f aca="false">SUMIFS(Trades!$X$2:$X$1146,Trades!$D$2:$D$1146,$A584)</f>
        <v>-16.02</v>
      </c>
      <c r="G584" s="31" t="n">
        <f aca="false">SUMIFS(Trades!$X$2:$X$1146,Trades!$D$2:$D$1146,$A584,Trades!$X$2:$X$1146,"&gt;0")</f>
        <v>0</v>
      </c>
      <c r="H584" s="31" t="n">
        <f aca="false">SUMIFS(Trades!$X$2:$X$1146,Trades!$D$2:$D$1146,$A584,Trades!$X$2:$X$1146,"&lt;0")</f>
        <v>-16.02</v>
      </c>
      <c r="I584" s="32" t="n">
        <f aca="false">IFERROR(G584/-H584,"no loss")</f>
        <v>0</v>
      </c>
      <c r="J584" s="31" t="n">
        <f aca="false">_xlfn.MAXIFS(Trades!$X$2:$X$1146,Trades!$D$2:$D$1146,$A584)</f>
        <v>-16.02</v>
      </c>
      <c r="K584" s="31" t="n">
        <f aca="false">_xlfn.MINIFS(Trades!$X$2:$X$1146,Trades!$D$2:$D$1146,$A584)</f>
        <v>-16.02</v>
      </c>
      <c r="L584" s="33" t="n">
        <f aca="false">SUMIFS(Trades!$Y$2:$Y$1146,Trades!$D$2:$D$1146,$A584)</f>
        <v>-0.999999999999973</v>
      </c>
      <c r="M584" s="31" t="n">
        <f aca="false">P583</f>
        <v>14329.7</v>
      </c>
      <c r="N584" s="30" t="n">
        <f aca="false">IFERROR(F584/M584,0)</f>
        <v>-0.00111795780790945</v>
      </c>
      <c r="O584" s="29" t="str">
        <f aca="false">IF(-N584&gt;=Summary!$C$7,"BREACH","")</f>
        <v/>
      </c>
      <c r="P584" s="31" t="n">
        <f aca="false">M584+F584</f>
        <v>14313.68</v>
      </c>
      <c r="Q584" s="31" t="n">
        <f aca="false">P584-Summary!$C$5</f>
        <v>4313.67999999999</v>
      </c>
      <c r="R584" s="2" t="str">
        <f aca="false">TEXT(A584,"ddd")</f>
        <v>Thu</v>
      </c>
    </row>
    <row r="585" customFormat="false" ht="15" hidden="false" customHeight="false" outlineLevel="0" collapsed="false">
      <c r="A585" s="43" t="n">
        <v>45604</v>
      </c>
      <c r="B585" s="29" t="n">
        <f aca="false">COUNTIFS(Trades!$D$2:$D$1146,$A585)</f>
        <v>1</v>
      </c>
      <c r="C585" s="29" t="n">
        <f aca="false">COUNTIFS(Trades!$D$2:$D$1146,$A585,Trades!$Z$2:$Z$1146,"Win")</f>
        <v>0</v>
      </c>
      <c r="D585" s="29" t="n">
        <f aca="false">COUNTIFS(Trades!$D$2:$D$1146,$A585,Trades!$Z$2:$Z$1146,"Loss")</f>
        <v>1</v>
      </c>
      <c r="E585" s="30" t="n">
        <f aca="false">IFERROR(C585/B585,0)</f>
        <v>0</v>
      </c>
      <c r="F585" s="31" t="n">
        <f aca="false">SUMIFS(Trades!$X$2:$X$1146,Trades!$D$2:$D$1146,$A585)</f>
        <v>-0.93</v>
      </c>
      <c r="G585" s="31" t="n">
        <f aca="false">SUMIFS(Trades!$X$2:$X$1146,Trades!$D$2:$D$1146,$A585,Trades!$X$2:$X$1146,"&gt;0")</f>
        <v>0</v>
      </c>
      <c r="H585" s="31" t="n">
        <f aca="false">SUMIFS(Trades!$X$2:$X$1146,Trades!$D$2:$D$1146,$A585,Trades!$X$2:$X$1146,"&lt;0")</f>
        <v>-0.93</v>
      </c>
      <c r="I585" s="32" t="n">
        <f aca="false">IFERROR(G585/-H585,"no loss")</f>
        <v>0</v>
      </c>
      <c r="J585" s="31" t="n">
        <f aca="false">_xlfn.MAXIFS(Trades!$X$2:$X$1146,Trades!$D$2:$D$1146,$A585)</f>
        <v>-0.93</v>
      </c>
      <c r="K585" s="31" t="n">
        <f aca="false">_xlfn.MINIFS(Trades!$X$2:$X$1146,Trades!$D$2:$D$1146,$A585)</f>
        <v>-0.93</v>
      </c>
      <c r="L585" s="33" t="n">
        <f aca="false">SUMIFS(Trades!$Y$2:$Y$1146,Trades!$D$2:$D$1146,$A585)</f>
        <v>-0.0647181628392366</v>
      </c>
      <c r="M585" s="31" t="n">
        <f aca="false">P584</f>
        <v>14313.68</v>
      </c>
      <c r="N585" s="30" t="n">
        <f aca="false">IFERROR(F585/M585,0)</f>
        <v>-6.4972809228654E-005</v>
      </c>
      <c r="O585" s="29" t="str">
        <f aca="false">IF(-N585&gt;=Summary!$C$7,"BREACH","")</f>
        <v/>
      </c>
      <c r="P585" s="31" t="n">
        <f aca="false">M585+F585</f>
        <v>14312.75</v>
      </c>
      <c r="Q585" s="31" t="n">
        <f aca="false">P585-Summary!$C$5</f>
        <v>4312.74999999999</v>
      </c>
      <c r="R585" s="2" t="str">
        <f aca="false">TEXT(A585,"ddd")</f>
        <v>Fri</v>
      </c>
    </row>
    <row r="586" customFormat="false" ht="15" hidden="false" customHeight="false" outlineLevel="0" collapsed="false">
      <c r="A586" s="43" t="n">
        <v>45607</v>
      </c>
      <c r="B586" s="29" t="n">
        <f aca="false">COUNTIFS(Trades!$D$2:$D$1146,$A586)</f>
        <v>2</v>
      </c>
      <c r="C586" s="29" t="n">
        <f aca="false">COUNTIFS(Trades!$D$2:$D$1146,$A586,Trades!$Z$2:$Z$1146,"Win")</f>
        <v>1</v>
      </c>
      <c r="D586" s="29" t="n">
        <f aca="false">COUNTIFS(Trades!$D$2:$D$1146,$A586,Trades!$Z$2:$Z$1146,"Loss")</f>
        <v>1</v>
      </c>
      <c r="E586" s="30" t="n">
        <f aca="false">IFERROR(C586/B586,0)</f>
        <v>0.5</v>
      </c>
      <c r="F586" s="31" t="n">
        <f aca="false">SUMIFS(Trades!$X$2:$X$1146,Trades!$D$2:$D$1146,$A586)</f>
        <v>69.81</v>
      </c>
      <c r="G586" s="31" t="n">
        <f aca="false">SUMIFS(Trades!$X$2:$X$1146,Trades!$D$2:$D$1146,$A586,Trades!$X$2:$X$1146,"&gt;0")</f>
        <v>97.74</v>
      </c>
      <c r="H586" s="31" t="n">
        <f aca="false">SUMIFS(Trades!$X$2:$X$1146,Trades!$D$2:$D$1146,$A586,Trades!$X$2:$X$1146,"&lt;0")</f>
        <v>-27.93</v>
      </c>
      <c r="I586" s="32" t="n">
        <f aca="false">IFERROR(G586/-H586,"no loss")</f>
        <v>3.49946294307197</v>
      </c>
      <c r="J586" s="31" t="n">
        <f aca="false">_xlfn.MAXIFS(Trades!$X$2:$X$1146,Trades!$D$2:$D$1146,$A586)</f>
        <v>97.74</v>
      </c>
      <c r="K586" s="31" t="n">
        <f aca="false">_xlfn.MINIFS(Trades!$X$2:$X$1146,Trades!$D$2:$D$1146,$A586)</f>
        <v>-27.93</v>
      </c>
      <c r="L586" s="33" t="n">
        <f aca="false">SUMIFS(Trades!$Y$2:$Y$1146,Trades!$D$2:$D$1146,$A586)</f>
        <v>1.470881758905</v>
      </c>
      <c r="M586" s="31" t="n">
        <f aca="false">P585</f>
        <v>14312.75</v>
      </c>
      <c r="N586" s="30" t="n">
        <f aca="false">IFERROR(F586/M586,0)</f>
        <v>0.00487746938918098</v>
      </c>
      <c r="O586" s="29" t="str">
        <f aca="false">IF(-N586&gt;=Summary!$C$7,"BREACH","")</f>
        <v/>
      </c>
      <c r="P586" s="31" t="n">
        <f aca="false">M586+F586</f>
        <v>14382.56</v>
      </c>
      <c r="Q586" s="31" t="n">
        <f aca="false">P586-Summary!$C$5</f>
        <v>4382.55999999999</v>
      </c>
      <c r="R586" s="2" t="str">
        <f aca="false">TEXT(A586,"ddd")</f>
        <v>Mon</v>
      </c>
    </row>
    <row r="587" customFormat="false" ht="15" hidden="false" customHeight="false" outlineLevel="0" collapsed="false">
      <c r="A587" s="43" t="n">
        <v>45608</v>
      </c>
      <c r="B587" s="29" t="n">
        <f aca="false">COUNTIFS(Trades!$D$2:$D$1146,$A587)</f>
        <v>1</v>
      </c>
      <c r="C587" s="29" t="n">
        <f aca="false">COUNTIFS(Trades!$D$2:$D$1146,$A587,Trades!$Z$2:$Z$1146,"Win")</f>
        <v>1</v>
      </c>
      <c r="D587" s="29" t="n">
        <f aca="false">COUNTIFS(Trades!$D$2:$D$1146,$A587,Trades!$Z$2:$Z$1146,"Loss")</f>
        <v>0</v>
      </c>
      <c r="E587" s="30" t="n">
        <f aca="false">IFERROR(C587/B587,0)</f>
        <v>1</v>
      </c>
      <c r="F587" s="31" t="n">
        <f aca="false">SUMIFS(Trades!$X$2:$X$1146,Trades!$D$2:$D$1146,$A587)</f>
        <v>94.53</v>
      </c>
      <c r="G587" s="31" t="n">
        <f aca="false">SUMIFS(Trades!$X$2:$X$1146,Trades!$D$2:$D$1146,$A587,Trades!$X$2:$X$1146,"&gt;0")</f>
        <v>94.53</v>
      </c>
      <c r="H587" s="31" t="n">
        <f aca="false">SUMIFS(Trades!$X$2:$X$1146,Trades!$D$2:$D$1146,$A587,Trades!$X$2:$X$1146,"&lt;0")</f>
        <v>0</v>
      </c>
      <c r="I587" s="32" t="str">
        <f aca="false">IFERROR(G587/-H587,"no loss")</f>
        <v>no loss</v>
      </c>
      <c r="J587" s="31" t="n">
        <f aca="false">_xlfn.MAXIFS(Trades!$X$2:$X$1146,Trades!$D$2:$D$1146,$A587)</f>
        <v>94.53</v>
      </c>
      <c r="K587" s="31" t="n">
        <f aca="false">_xlfn.MINIFS(Trades!$X$2:$X$1146,Trades!$D$2:$D$1146,$A587)</f>
        <v>94.53</v>
      </c>
      <c r="L587" s="33" t="n">
        <f aca="false">SUMIFS(Trades!$Y$2:$Y$1146,Trades!$D$2:$D$1146,$A587)</f>
        <v>2.40534351145065</v>
      </c>
      <c r="M587" s="31" t="n">
        <f aca="false">P586</f>
        <v>14382.56</v>
      </c>
      <c r="N587" s="30" t="n">
        <f aca="false">IFERROR(F587/M587,0)</f>
        <v>0.00657254341368992</v>
      </c>
      <c r="O587" s="29" t="str">
        <f aca="false">IF(-N587&gt;=Summary!$C$7,"BREACH","")</f>
        <v/>
      </c>
      <c r="P587" s="31" t="n">
        <f aca="false">M587+F587</f>
        <v>14477.09</v>
      </c>
      <c r="Q587" s="31" t="n">
        <f aca="false">P587-Summary!$C$5</f>
        <v>4477.08999999999</v>
      </c>
      <c r="R587" s="2" t="str">
        <f aca="false">TEXT(A587,"ddd")</f>
        <v>Tue</v>
      </c>
    </row>
    <row r="588" customFormat="false" ht="15" hidden="false" customHeight="false" outlineLevel="0" collapsed="false">
      <c r="A588" s="43" t="n">
        <v>45609</v>
      </c>
      <c r="B588" s="29" t="n">
        <f aca="false">COUNTIFS(Trades!$D$2:$D$1146,$A588)</f>
        <v>1</v>
      </c>
      <c r="C588" s="29" t="n">
        <f aca="false">COUNTIFS(Trades!$D$2:$D$1146,$A588,Trades!$Z$2:$Z$1146,"Win")</f>
        <v>0</v>
      </c>
      <c r="D588" s="29" t="n">
        <f aca="false">COUNTIFS(Trades!$D$2:$D$1146,$A588,Trades!$Z$2:$Z$1146,"Loss")</f>
        <v>1</v>
      </c>
      <c r="E588" s="30" t="n">
        <f aca="false">IFERROR(C588/B588,0)</f>
        <v>0</v>
      </c>
      <c r="F588" s="31" t="n">
        <f aca="false">SUMIFS(Trades!$X$2:$X$1146,Trades!$D$2:$D$1146,$A588)</f>
        <v>-0.66</v>
      </c>
      <c r="G588" s="31" t="n">
        <f aca="false">SUMIFS(Trades!$X$2:$X$1146,Trades!$D$2:$D$1146,$A588,Trades!$X$2:$X$1146,"&gt;0")</f>
        <v>0</v>
      </c>
      <c r="H588" s="31" t="n">
        <f aca="false">SUMIFS(Trades!$X$2:$X$1146,Trades!$D$2:$D$1146,$A588,Trades!$X$2:$X$1146,"&lt;0")</f>
        <v>-0.66</v>
      </c>
      <c r="I588" s="32" t="n">
        <f aca="false">IFERROR(G588/-H588,"no loss")</f>
        <v>0</v>
      </c>
      <c r="J588" s="31" t="n">
        <f aca="false">_xlfn.MAXIFS(Trades!$X$2:$X$1146,Trades!$D$2:$D$1146,$A588)</f>
        <v>-0.66</v>
      </c>
      <c r="K588" s="31" t="n">
        <f aca="false">_xlfn.MINIFS(Trades!$X$2:$X$1146,Trades!$D$2:$D$1146,$A588)</f>
        <v>-0.66</v>
      </c>
      <c r="L588" s="33" t="n">
        <f aca="false">SUMIFS(Trades!$Y$2:$Y$1146,Trades!$D$2:$D$1146,$A588)</f>
        <v>-0.02056074766355</v>
      </c>
      <c r="M588" s="31" t="n">
        <f aca="false">P587</f>
        <v>14477.09</v>
      </c>
      <c r="N588" s="30" t="n">
        <f aca="false">IFERROR(F588/M588,0)</f>
        <v>-4.55892724297494E-005</v>
      </c>
      <c r="O588" s="29" t="str">
        <f aca="false">IF(-N588&gt;=Summary!$C$7,"BREACH","")</f>
        <v/>
      </c>
      <c r="P588" s="31" t="n">
        <f aca="false">M588+F588</f>
        <v>14476.43</v>
      </c>
      <c r="Q588" s="31" t="n">
        <f aca="false">P588-Summary!$C$5</f>
        <v>4476.42999999999</v>
      </c>
      <c r="R588" s="2" t="str">
        <f aca="false">TEXT(A588,"ddd")</f>
        <v>Wed</v>
      </c>
    </row>
    <row r="589" customFormat="false" ht="15" hidden="false" customHeight="false" outlineLevel="0" collapsed="false">
      <c r="A589" s="43" t="n">
        <v>45610</v>
      </c>
      <c r="B589" s="29" t="n">
        <f aca="false">COUNTIFS(Trades!$D$2:$D$1146,$A589)</f>
        <v>1</v>
      </c>
      <c r="C589" s="29" t="n">
        <f aca="false">COUNTIFS(Trades!$D$2:$D$1146,$A589,Trades!$Z$2:$Z$1146,"Win")</f>
        <v>0</v>
      </c>
      <c r="D589" s="29" t="n">
        <f aca="false">COUNTIFS(Trades!$D$2:$D$1146,$A589,Trades!$Z$2:$Z$1146,"Loss")</f>
        <v>1</v>
      </c>
      <c r="E589" s="30" t="n">
        <f aca="false">IFERROR(C589/B589,0)</f>
        <v>0</v>
      </c>
      <c r="F589" s="31" t="n">
        <f aca="false">SUMIFS(Trades!$X$2:$X$1146,Trades!$D$2:$D$1146,$A589)</f>
        <v>-56.97</v>
      </c>
      <c r="G589" s="31" t="n">
        <f aca="false">SUMIFS(Trades!$X$2:$X$1146,Trades!$D$2:$D$1146,$A589,Trades!$X$2:$X$1146,"&gt;0")</f>
        <v>0</v>
      </c>
      <c r="H589" s="31" t="n">
        <f aca="false">SUMIFS(Trades!$X$2:$X$1146,Trades!$D$2:$D$1146,$A589,Trades!$X$2:$X$1146,"&lt;0")</f>
        <v>-56.97</v>
      </c>
      <c r="I589" s="32" t="n">
        <f aca="false">IFERROR(G589/-H589,"no loss")</f>
        <v>0</v>
      </c>
      <c r="J589" s="31" t="n">
        <f aca="false">_xlfn.MAXIFS(Trades!$X$2:$X$1146,Trades!$D$2:$D$1146,$A589)</f>
        <v>-56.97</v>
      </c>
      <c r="K589" s="31" t="n">
        <f aca="false">_xlfn.MINIFS(Trades!$X$2:$X$1146,Trades!$D$2:$D$1146,$A589)</f>
        <v>-56.97</v>
      </c>
      <c r="L589" s="33" t="n">
        <f aca="false">SUMIFS(Trades!$Y$2:$Y$1146,Trades!$D$2:$D$1146,$A589)</f>
        <v>-1.03150461705596</v>
      </c>
      <c r="M589" s="31" t="n">
        <f aca="false">P588</f>
        <v>14476.43</v>
      </c>
      <c r="N589" s="30" t="n">
        <f aca="false">IFERROR(F589/M589,0)</f>
        <v>-0.00393536251686362</v>
      </c>
      <c r="O589" s="29" t="str">
        <f aca="false">IF(-N589&gt;=Summary!$C$7,"BREACH","")</f>
        <v/>
      </c>
      <c r="P589" s="31" t="n">
        <f aca="false">M589+F589</f>
        <v>14419.46</v>
      </c>
      <c r="Q589" s="31" t="n">
        <f aca="false">P589-Summary!$C$5</f>
        <v>4419.45999999999</v>
      </c>
      <c r="R589" s="2" t="str">
        <f aca="false">TEXT(A589,"ddd")</f>
        <v>Thu</v>
      </c>
    </row>
    <row r="590" customFormat="false" ht="15" hidden="false" customHeight="false" outlineLevel="0" collapsed="false">
      <c r="A590" s="43" t="n">
        <v>45611</v>
      </c>
      <c r="B590" s="29" t="n">
        <f aca="false">COUNTIFS(Trades!$D$2:$D$1146,$A590)</f>
        <v>1</v>
      </c>
      <c r="C590" s="29" t="n">
        <f aca="false">COUNTIFS(Trades!$D$2:$D$1146,$A590,Trades!$Z$2:$Z$1146,"Win")</f>
        <v>0</v>
      </c>
      <c r="D590" s="29" t="n">
        <f aca="false">COUNTIFS(Trades!$D$2:$D$1146,$A590,Trades!$Z$2:$Z$1146,"Loss")</f>
        <v>1</v>
      </c>
      <c r="E590" s="30" t="n">
        <f aca="false">IFERROR(C590/B590,0)</f>
        <v>0</v>
      </c>
      <c r="F590" s="31" t="n">
        <f aca="false">SUMIFS(Trades!$X$2:$X$1146,Trades!$D$2:$D$1146,$A590)</f>
        <v>-19.86</v>
      </c>
      <c r="G590" s="31" t="n">
        <f aca="false">SUMIFS(Trades!$X$2:$X$1146,Trades!$D$2:$D$1146,$A590,Trades!$X$2:$X$1146,"&gt;0")</f>
        <v>0</v>
      </c>
      <c r="H590" s="31" t="n">
        <f aca="false">SUMIFS(Trades!$X$2:$X$1146,Trades!$D$2:$D$1146,$A590,Trades!$X$2:$X$1146,"&lt;0")</f>
        <v>-19.86</v>
      </c>
      <c r="I590" s="32" t="n">
        <f aca="false">IFERROR(G590/-H590,"no loss")</f>
        <v>0</v>
      </c>
      <c r="J590" s="31" t="n">
        <f aca="false">_xlfn.MAXIFS(Trades!$X$2:$X$1146,Trades!$D$2:$D$1146,$A590)</f>
        <v>-19.86</v>
      </c>
      <c r="K590" s="31" t="n">
        <f aca="false">_xlfn.MINIFS(Trades!$X$2:$X$1146,Trades!$D$2:$D$1146,$A590)</f>
        <v>-19.86</v>
      </c>
      <c r="L590" s="33" t="n">
        <f aca="false">SUMIFS(Trades!$Y$2:$Y$1146,Trades!$D$2:$D$1146,$A590)</f>
        <v>-1.02160493827167</v>
      </c>
      <c r="M590" s="31" t="n">
        <f aca="false">P589</f>
        <v>14419.46</v>
      </c>
      <c r="N590" s="30" t="n">
        <f aca="false">IFERROR(F590/M590,0)</f>
        <v>-0.00137730539146404</v>
      </c>
      <c r="O590" s="29" t="str">
        <f aca="false">IF(-N590&gt;=Summary!$C$7,"BREACH","")</f>
        <v/>
      </c>
      <c r="P590" s="31" t="n">
        <f aca="false">M590+F590</f>
        <v>14399.6</v>
      </c>
      <c r="Q590" s="31" t="n">
        <f aca="false">P590-Summary!$C$5</f>
        <v>4399.59999999999</v>
      </c>
      <c r="R590" s="2" t="str">
        <f aca="false">TEXT(A590,"ddd")</f>
        <v>Fri</v>
      </c>
    </row>
    <row r="591" customFormat="false" ht="15" hidden="false" customHeight="false" outlineLevel="0" collapsed="false">
      <c r="A591" s="43" t="n">
        <v>45615</v>
      </c>
      <c r="B591" s="29" t="n">
        <f aca="false">COUNTIFS(Trades!$D$2:$D$1146,$A591)</f>
        <v>2</v>
      </c>
      <c r="C591" s="29" t="n">
        <f aca="false">COUNTIFS(Trades!$D$2:$D$1146,$A591,Trades!$Z$2:$Z$1146,"Win")</f>
        <v>1</v>
      </c>
      <c r="D591" s="29" t="n">
        <f aca="false">COUNTIFS(Trades!$D$2:$D$1146,$A591,Trades!$Z$2:$Z$1146,"Loss")</f>
        <v>1</v>
      </c>
      <c r="E591" s="30" t="n">
        <f aca="false">IFERROR(C591/B591,0)</f>
        <v>0.5</v>
      </c>
      <c r="F591" s="31" t="n">
        <f aca="false">SUMIFS(Trades!$X$2:$X$1146,Trades!$D$2:$D$1146,$A591)</f>
        <v>90.27</v>
      </c>
      <c r="G591" s="31" t="n">
        <f aca="false">SUMIFS(Trades!$X$2:$X$1146,Trades!$D$2:$D$1146,$A591,Trades!$X$2:$X$1146,"&gt;0")</f>
        <v>109.77</v>
      </c>
      <c r="H591" s="31" t="n">
        <f aca="false">SUMIFS(Trades!$X$2:$X$1146,Trades!$D$2:$D$1146,$A591,Trades!$X$2:$X$1146,"&lt;0")</f>
        <v>-19.5</v>
      </c>
      <c r="I591" s="32" t="n">
        <f aca="false">IFERROR(G591/-H591,"no loss")</f>
        <v>5.62923076923077</v>
      </c>
      <c r="J591" s="31" t="n">
        <f aca="false">_xlfn.MAXIFS(Trades!$X$2:$X$1146,Trades!$D$2:$D$1146,$A591)</f>
        <v>109.77</v>
      </c>
      <c r="K591" s="31" t="n">
        <f aca="false">_xlfn.MINIFS(Trades!$X$2:$X$1146,Trades!$D$2:$D$1146,$A591)</f>
        <v>-19.5</v>
      </c>
      <c r="L591" s="33" t="n">
        <f aca="false">SUMIFS(Trades!$Y$2:$Y$1146,Trades!$D$2:$D$1146,$A591)</f>
        <v>1.42560789706523</v>
      </c>
      <c r="M591" s="31" t="n">
        <f aca="false">P590</f>
        <v>14399.6</v>
      </c>
      <c r="N591" s="30" t="n">
        <f aca="false">IFERROR(F591/M591,0)</f>
        <v>0.00626892413678158</v>
      </c>
      <c r="O591" s="29" t="str">
        <f aca="false">IF(-N591&gt;=Summary!$C$7,"BREACH","")</f>
        <v/>
      </c>
      <c r="P591" s="31" t="n">
        <f aca="false">M591+F591</f>
        <v>14489.87</v>
      </c>
      <c r="Q591" s="31" t="n">
        <f aca="false">P591-Summary!$C$5</f>
        <v>4489.86999999999</v>
      </c>
      <c r="R591" s="2" t="str">
        <f aca="false">TEXT(A591,"ddd")</f>
        <v>Tue</v>
      </c>
    </row>
    <row r="592" customFormat="false" ht="15" hidden="false" customHeight="false" outlineLevel="0" collapsed="false">
      <c r="A592" s="43" t="n">
        <v>45616</v>
      </c>
      <c r="B592" s="29" t="n">
        <f aca="false">COUNTIFS(Trades!$D$2:$D$1146,$A592)</f>
        <v>1</v>
      </c>
      <c r="C592" s="29" t="n">
        <f aca="false">COUNTIFS(Trades!$D$2:$D$1146,$A592,Trades!$Z$2:$Z$1146,"Win")</f>
        <v>1</v>
      </c>
      <c r="D592" s="29" t="n">
        <f aca="false">COUNTIFS(Trades!$D$2:$D$1146,$A592,Trades!$Z$2:$Z$1146,"Loss")</f>
        <v>0</v>
      </c>
      <c r="E592" s="30" t="n">
        <f aca="false">IFERROR(C592/B592,0)</f>
        <v>1</v>
      </c>
      <c r="F592" s="31" t="n">
        <f aca="false">SUMIFS(Trades!$X$2:$X$1146,Trades!$D$2:$D$1146,$A592)</f>
        <v>32.97</v>
      </c>
      <c r="G592" s="31" t="n">
        <f aca="false">SUMIFS(Trades!$X$2:$X$1146,Trades!$D$2:$D$1146,$A592,Trades!$X$2:$X$1146,"&gt;0")</f>
        <v>32.97</v>
      </c>
      <c r="H592" s="31" t="n">
        <f aca="false">SUMIFS(Trades!$X$2:$X$1146,Trades!$D$2:$D$1146,$A592,Trades!$X$2:$X$1146,"&lt;0")</f>
        <v>0</v>
      </c>
      <c r="I592" s="32" t="str">
        <f aca="false">IFERROR(G592/-H592,"no loss")</f>
        <v>no loss</v>
      </c>
      <c r="J592" s="31" t="n">
        <f aca="false">_xlfn.MAXIFS(Trades!$X$2:$X$1146,Trades!$D$2:$D$1146,$A592)</f>
        <v>32.97</v>
      </c>
      <c r="K592" s="31" t="n">
        <f aca="false">_xlfn.MINIFS(Trades!$X$2:$X$1146,Trades!$D$2:$D$1146,$A592)</f>
        <v>32.97</v>
      </c>
      <c r="L592" s="33" t="n">
        <f aca="false">SUMIFS(Trades!$Y$2:$Y$1146,Trades!$D$2:$D$1146,$A592)</f>
        <v>2.58588235294118</v>
      </c>
      <c r="M592" s="31" t="n">
        <f aca="false">P591</f>
        <v>14489.87</v>
      </c>
      <c r="N592" s="30" t="n">
        <f aca="false">IFERROR(F592/M592,0)</f>
        <v>0.00227538273290237</v>
      </c>
      <c r="O592" s="29" t="str">
        <f aca="false">IF(-N592&gt;=Summary!$C$7,"BREACH","")</f>
        <v/>
      </c>
      <c r="P592" s="31" t="n">
        <f aca="false">M592+F592</f>
        <v>14522.84</v>
      </c>
      <c r="Q592" s="31" t="n">
        <f aca="false">P592-Summary!$C$5</f>
        <v>4522.83999999999</v>
      </c>
      <c r="R592" s="2" t="str">
        <f aca="false">TEXT(A592,"ddd")</f>
        <v>Wed</v>
      </c>
    </row>
    <row r="593" customFormat="false" ht="15" hidden="false" customHeight="false" outlineLevel="0" collapsed="false">
      <c r="A593" s="43" t="n">
        <v>45617</v>
      </c>
      <c r="B593" s="29" t="n">
        <f aca="false">COUNTIFS(Trades!$D$2:$D$1146,$A593)</f>
        <v>1</v>
      </c>
      <c r="C593" s="29" t="n">
        <f aca="false">COUNTIFS(Trades!$D$2:$D$1146,$A593,Trades!$Z$2:$Z$1146,"Win")</f>
        <v>0</v>
      </c>
      <c r="D593" s="29" t="n">
        <f aca="false">COUNTIFS(Trades!$D$2:$D$1146,$A593,Trades!$Z$2:$Z$1146,"Loss")</f>
        <v>1</v>
      </c>
      <c r="E593" s="30" t="n">
        <f aca="false">IFERROR(C593/B593,0)</f>
        <v>0</v>
      </c>
      <c r="F593" s="31" t="n">
        <f aca="false">SUMIFS(Trades!$X$2:$X$1146,Trades!$D$2:$D$1146,$A593)</f>
        <v>-0.93</v>
      </c>
      <c r="G593" s="31" t="n">
        <f aca="false">SUMIFS(Trades!$X$2:$X$1146,Trades!$D$2:$D$1146,$A593,Trades!$X$2:$X$1146,"&gt;0")</f>
        <v>0</v>
      </c>
      <c r="H593" s="31" t="n">
        <f aca="false">SUMIFS(Trades!$X$2:$X$1146,Trades!$D$2:$D$1146,$A593,Trades!$X$2:$X$1146,"&lt;0")</f>
        <v>-0.93</v>
      </c>
      <c r="I593" s="32" t="n">
        <f aca="false">IFERROR(G593/-H593,"no loss")</f>
        <v>0</v>
      </c>
      <c r="J593" s="31" t="n">
        <f aca="false">_xlfn.MAXIFS(Trades!$X$2:$X$1146,Trades!$D$2:$D$1146,$A593)</f>
        <v>-0.93</v>
      </c>
      <c r="K593" s="31" t="n">
        <f aca="false">_xlfn.MINIFS(Trades!$X$2:$X$1146,Trades!$D$2:$D$1146,$A593)</f>
        <v>-0.93</v>
      </c>
      <c r="L593" s="33" t="n">
        <f aca="false">SUMIFS(Trades!$Y$2:$Y$1146,Trades!$D$2:$D$1146,$A593)</f>
        <v>-0.0293005671077557</v>
      </c>
      <c r="M593" s="31" t="n">
        <f aca="false">P592</f>
        <v>14522.84</v>
      </c>
      <c r="N593" s="30" t="n">
        <f aca="false">IFERROR(F593/M593,0)</f>
        <v>-6.40370616215562E-005</v>
      </c>
      <c r="O593" s="29" t="str">
        <f aca="false">IF(-N593&gt;=Summary!$C$7,"BREACH","")</f>
        <v/>
      </c>
      <c r="P593" s="31" t="n">
        <f aca="false">M593+F593</f>
        <v>14521.91</v>
      </c>
      <c r="Q593" s="31" t="n">
        <f aca="false">P593-Summary!$C$5</f>
        <v>4521.90999999999</v>
      </c>
      <c r="R593" s="2" t="str">
        <f aca="false">TEXT(A593,"ddd")</f>
        <v>Thu</v>
      </c>
    </row>
    <row r="594" customFormat="false" ht="15" hidden="false" customHeight="false" outlineLevel="0" collapsed="false">
      <c r="A594" s="43" t="n">
        <v>45621</v>
      </c>
      <c r="B594" s="29" t="n">
        <f aca="false">COUNTIFS(Trades!$D$2:$D$1146,$A594)</f>
        <v>1</v>
      </c>
      <c r="C594" s="29" t="n">
        <f aca="false">COUNTIFS(Trades!$D$2:$D$1146,$A594,Trades!$Z$2:$Z$1146,"Win")</f>
        <v>0</v>
      </c>
      <c r="D594" s="29" t="n">
        <f aca="false">COUNTIFS(Trades!$D$2:$D$1146,$A594,Trades!$Z$2:$Z$1146,"Loss")</f>
        <v>1</v>
      </c>
      <c r="E594" s="30" t="n">
        <f aca="false">IFERROR(C594/B594,0)</f>
        <v>0</v>
      </c>
      <c r="F594" s="31" t="n">
        <f aca="false">SUMIFS(Trades!$X$2:$X$1146,Trades!$D$2:$D$1146,$A594)</f>
        <v>-0.06</v>
      </c>
      <c r="G594" s="31" t="n">
        <f aca="false">SUMIFS(Trades!$X$2:$X$1146,Trades!$D$2:$D$1146,$A594,Trades!$X$2:$X$1146,"&gt;0")</f>
        <v>0</v>
      </c>
      <c r="H594" s="31" t="n">
        <f aca="false">SUMIFS(Trades!$X$2:$X$1146,Trades!$D$2:$D$1146,$A594,Trades!$X$2:$X$1146,"&lt;0")</f>
        <v>-0.06</v>
      </c>
      <c r="I594" s="32" t="n">
        <f aca="false">IFERROR(G594/-H594,"no loss")</f>
        <v>0</v>
      </c>
      <c r="J594" s="31" t="n">
        <f aca="false">_xlfn.MAXIFS(Trades!$X$2:$X$1146,Trades!$D$2:$D$1146,$A594)</f>
        <v>-0.06</v>
      </c>
      <c r="K594" s="31" t="n">
        <f aca="false">_xlfn.MINIFS(Trades!$X$2:$X$1146,Trades!$D$2:$D$1146,$A594)</f>
        <v>-0.06</v>
      </c>
      <c r="L594" s="33" t="n">
        <f aca="false">SUMIFS(Trades!$Y$2:$Y$1146,Trades!$D$2:$D$1146,$A594)</f>
        <v>-0.000999000999000977</v>
      </c>
      <c r="M594" s="31" t="n">
        <f aca="false">P593</f>
        <v>14521.91</v>
      </c>
      <c r="N594" s="30" t="n">
        <f aca="false">IFERROR(F594/M594,0)</f>
        <v>-4.13168791157637E-006</v>
      </c>
      <c r="O594" s="29" t="str">
        <f aca="false">IF(-N594&gt;=Summary!$C$7,"BREACH","")</f>
        <v/>
      </c>
      <c r="P594" s="31" t="n">
        <f aca="false">M594+F594</f>
        <v>14521.85</v>
      </c>
      <c r="Q594" s="31" t="n">
        <f aca="false">P594-Summary!$C$5</f>
        <v>4521.84999999999</v>
      </c>
      <c r="R594" s="2" t="str">
        <f aca="false">TEXT(A594,"ddd")</f>
        <v>Mon</v>
      </c>
    </row>
    <row r="595" customFormat="false" ht="15" hidden="false" customHeight="false" outlineLevel="0" collapsed="false">
      <c r="A595" s="43" t="n">
        <v>45622</v>
      </c>
      <c r="B595" s="29" t="n">
        <f aca="false">COUNTIFS(Trades!$D$2:$D$1146,$A595)</f>
        <v>1</v>
      </c>
      <c r="C595" s="29" t="n">
        <f aca="false">COUNTIFS(Trades!$D$2:$D$1146,$A595,Trades!$Z$2:$Z$1146,"Win")</f>
        <v>0</v>
      </c>
      <c r="D595" s="29" t="n">
        <f aca="false">COUNTIFS(Trades!$D$2:$D$1146,$A595,Trades!$Z$2:$Z$1146,"Loss")</f>
        <v>1</v>
      </c>
      <c r="E595" s="30" t="n">
        <f aca="false">IFERROR(C595/B595,0)</f>
        <v>0</v>
      </c>
      <c r="F595" s="31" t="n">
        <f aca="false">SUMIFS(Trades!$X$2:$X$1146,Trades!$D$2:$D$1146,$A595)</f>
        <v>-44.37</v>
      </c>
      <c r="G595" s="31" t="n">
        <f aca="false">SUMIFS(Trades!$X$2:$X$1146,Trades!$D$2:$D$1146,$A595,Trades!$X$2:$X$1146,"&gt;0")</f>
        <v>0</v>
      </c>
      <c r="H595" s="31" t="n">
        <f aca="false">SUMIFS(Trades!$X$2:$X$1146,Trades!$D$2:$D$1146,$A595,Trades!$X$2:$X$1146,"&lt;0")</f>
        <v>-44.37</v>
      </c>
      <c r="I595" s="32" t="n">
        <f aca="false">IFERROR(G595/-H595,"no loss")</f>
        <v>0</v>
      </c>
      <c r="J595" s="31" t="n">
        <f aca="false">_xlfn.MAXIFS(Trades!$X$2:$X$1146,Trades!$D$2:$D$1146,$A595)</f>
        <v>-44.37</v>
      </c>
      <c r="K595" s="31" t="n">
        <f aca="false">_xlfn.MINIFS(Trades!$X$2:$X$1146,Trades!$D$2:$D$1146,$A595)</f>
        <v>-44.37</v>
      </c>
      <c r="L595" s="33" t="n">
        <f aca="false">SUMIFS(Trades!$Y$2:$Y$1146,Trades!$D$2:$D$1146,$A595)</f>
        <v>-1.03644008409247</v>
      </c>
      <c r="M595" s="31" t="n">
        <f aca="false">P594</f>
        <v>14521.85</v>
      </c>
      <c r="N595" s="30" t="n">
        <f aca="false">IFERROR(F595/M595,0)</f>
        <v>-0.00305539583455276</v>
      </c>
      <c r="O595" s="29" t="str">
        <f aca="false">IF(-N595&gt;=Summary!$C$7,"BREACH","")</f>
        <v/>
      </c>
      <c r="P595" s="31" t="n">
        <f aca="false">M595+F595</f>
        <v>14477.48</v>
      </c>
      <c r="Q595" s="31" t="n">
        <f aca="false">P595-Summary!$C$5</f>
        <v>4477.47999999999</v>
      </c>
      <c r="R595" s="2" t="str">
        <f aca="false">TEXT(A595,"ddd")</f>
        <v>Tue</v>
      </c>
    </row>
    <row r="596" customFormat="false" ht="15" hidden="false" customHeight="false" outlineLevel="0" collapsed="false">
      <c r="A596" s="43" t="n">
        <v>45623</v>
      </c>
      <c r="B596" s="29" t="n">
        <f aca="false">COUNTIFS(Trades!$D$2:$D$1146,$A596)</f>
        <v>1</v>
      </c>
      <c r="C596" s="29" t="n">
        <f aca="false">COUNTIFS(Trades!$D$2:$D$1146,$A596,Trades!$Z$2:$Z$1146,"Win")</f>
        <v>0</v>
      </c>
      <c r="D596" s="29" t="n">
        <f aca="false">COUNTIFS(Trades!$D$2:$D$1146,$A596,Trades!$Z$2:$Z$1146,"Loss")</f>
        <v>1</v>
      </c>
      <c r="E596" s="30" t="n">
        <f aca="false">IFERROR(C596/B596,0)</f>
        <v>0</v>
      </c>
      <c r="F596" s="31" t="n">
        <f aca="false">SUMIFS(Trades!$X$2:$X$1146,Trades!$D$2:$D$1146,$A596)</f>
        <v>-51.15</v>
      </c>
      <c r="G596" s="31" t="n">
        <f aca="false">SUMIFS(Trades!$X$2:$X$1146,Trades!$D$2:$D$1146,$A596,Trades!$X$2:$X$1146,"&gt;0")</f>
        <v>0</v>
      </c>
      <c r="H596" s="31" t="n">
        <f aca="false">SUMIFS(Trades!$X$2:$X$1146,Trades!$D$2:$D$1146,$A596,Trades!$X$2:$X$1146,"&lt;0")</f>
        <v>-51.15</v>
      </c>
      <c r="I596" s="32" t="n">
        <f aca="false">IFERROR(G596/-H596,"no loss")</f>
        <v>0</v>
      </c>
      <c r="J596" s="31" t="n">
        <f aca="false">_xlfn.MAXIFS(Trades!$X$2:$X$1146,Trades!$D$2:$D$1146,$A596)</f>
        <v>-51.15</v>
      </c>
      <c r="K596" s="31" t="n">
        <f aca="false">_xlfn.MINIFS(Trades!$X$2:$X$1146,Trades!$D$2:$D$1146,$A596)</f>
        <v>-51.15</v>
      </c>
      <c r="L596" s="33" t="n">
        <f aca="false">SUMIFS(Trades!$Y$2:$Y$1146,Trades!$D$2:$D$1146,$A596)</f>
        <v>-1.01548540798089</v>
      </c>
      <c r="M596" s="31" t="n">
        <f aca="false">P595</f>
        <v>14477.48</v>
      </c>
      <c r="N596" s="30" t="n">
        <f aca="false">IFERROR(F596/M596,0)</f>
        <v>-0.00353307343543214</v>
      </c>
      <c r="O596" s="29" t="str">
        <f aca="false">IF(-N596&gt;=Summary!$C$7,"BREACH","")</f>
        <v/>
      </c>
      <c r="P596" s="31" t="n">
        <f aca="false">M596+F596</f>
        <v>14426.33</v>
      </c>
      <c r="Q596" s="31" t="n">
        <f aca="false">P596-Summary!$C$5</f>
        <v>4426.32999999999</v>
      </c>
      <c r="R596" s="2" t="str">
        <f aca="false">TEXT(A596,"ddd")</f>
        <v>Wed</v>
      </c>
    </row>
    <row r="597" customFormat="false" ht="15" hidden="false" customHeight="false" outlineLevel="0" collapsed="false">
      <c r="A597" s="43" t="n">
        <v>45625</v>
      </c>
      <c r="B597" s="29" t="n">
        <f aca="false">COUNTIFS(Trades!$D$2:$D$1146,$A597)</f>
        <v>1</v>
      </c>
      <c r="C597" s="29" t="n">
        <f aca="false">COUNTIFS(Trades!$D$2:$D$1146,$A597,Trades!$Z$2:$Z$1146,"Win")</f>
        <v>1</v>
      </c>
      <c r="D597" s="29" t="n">
        <f aca="false">COUNTIFS(Trades!$D$2:$D$1146,$A597,Trades!$Z$2:$Z$1146,"Loss")</f>
        <v>0</v>
      </c>
      <c r="E597" s="30" t="n">
        <f aca="false">IFERROR(C597/B597,0)</f>
        <v>1</v>
      </c>
      <c r="F597" s="31" t="n">
        <f aca="false">SUMIFS(Trades!$X$2:$X$1146,Trades!$D$2:$D$1146,$A597)</f>
        <v>28.17</v>
      </c>
      <c r="G597" s="31" t="n">
        <f aca="false">SUMIFS(Trades!$X$2:$X$1146,Trades!$D$2:$D$1146,$A597,Trades!$X$2:$X$1146,"&gt;0")</f>
        <v>28.17</v>
      </c>
      <c r="H597" s="31" t="n">
        <f aca="false">SUMIFS(Trades!$X$2:$X$1146,Trades!$D$2:$D$1146,$A597,Trades!$X$2:$X$1146,"&lt;0")</f>
        <v>0</v>
      </c>
      <c r="I597" s="32" t="str">
        <f aca="false">IFERROR(G597/-H597,"no loss")</f>
        <v>no loss</v>
      </c>
      <c r="J597" s="31" t="n">
        <f aca="false">_xlfn.MAXIFS(Trades!$X$2:$X$1146,Trades!$D$2:$D$1146,$A597)</f>
        <v>28.17</v>
      </c>
      <c r="K597" s="31" t="n">
        <f aca="false">_xlfn.MINIFS(Trades!$X$2:$X$1146,Trades!$D$2:$D$1146,$A597)</f>
        <v>28.17</v>
      </c>
      <c r="L597" s="33" t="n">
        <f aca="false">SUMIFS(Trades!$Y$2:$Y$1146,Trades!$D$2:$D$1146,$A597)</f>
        <v>2.57967032967074</v>
      </c>
      <c r="M597" s="31" t="n">
        <f aca="false">P596</f>
        <v>14426.33</v>
      </c>
      <c r="N597" s="30" t="n">
        <f aca="false">IFERROR(F597/M597,0)</f>
        <v>0.00195267957962975</v>
      </c>
      <c r="O597" s="29" t="str">
        <f aca="false">IF(-N597&gt;=Summary!$C$7,"BREACH","")</f>
        <v/>
      </c>
      <c r="P597" s="31" t="n">
        <f aca="false">M597+F597</f>
        <v>14454.5</v>
      </c>
      <c r="Q597" s="31" t="n">
        <f aca="false">P597-Summary!$C$5</f>
        <v>4454.49999999999</v>
      </c>
      <c r="R597" s="2" t="str">
        <f aca="false">TEXT(A597,"ddd")</f>
        <v>Fri</v>
      </c>
    </row>
    <row r="598" customFormat="false" ht="15" hidden="false" customHeight="false" outlineLevel="0" collapsed="false">
      <c r="A598" s="43" t="n">
        <v>45628</v>
      </c>
      <c r="B598" s="29" t="n">
        <f aca="false">COUNTIFS(Trades!$D$2:$D$1146,$A598)</f>
        <v>1</v>
      </c>
      <c r="C598" s="29" t="n">
        <f aca="false">COUNTIFS(Trades!$D$2:$D$1146,$A598,Trades!$Z$2:$Z$1146,"Win")</f>
        <v>1</v>
      </c>
      <c r="D598" s="29" t="n">
        <f aca="false">COUNTIFS(Trades!$D$2:$D$1146,$A598,Trades!$Z$2:$Z$1146,"Loss")</f>
        <v>0</v>
      </c>
      <c r="E598" s="30" t="n">
        <f aca="false">IFERROR(C598/B598,0)</f>
        <v>1</v>
      </c>
      <c r="F598" s="31" t="n">
        <f aca="false">SUMIFS(Trades!$X$2:$X$1146,Trades!$D$2:$D$1146,$A598)</f>
        <v>44.91</v>
      </c>
      <c r="G598" s="31" t="n">
        <f aca="false">SUMIFS(Trades!$X$2:$X$1146,Trades!$D$2:$D$1146,$A598,Trades!$X$2:$X$1146,"&gt;0")</f>
        <v>44.91</v>
      </c>
      <c r="H598" s="31" t="n">
        <f aca="false">SUMIFS(Trades!$X$2:$X$1146,Trades!$D$2:$D$1146,$A598,Trades!$X$2:$X$1146,"&lt;0")</f>
        <v>0</v>
      </c>
      <c r="I598" s="32" t="str">
        <f aca="false">IFERROR(G598/-H598,"no loss")</f>
        <v>no loss</v>
      </c>
      <c r="J598" s="31" t="n">
        <f aca="false">_xlfn.MAXIFS(Trades!$X$2:$X$1146,Trades!$D$2:$D$1146,$A598)</f>
        <v>44.91</v>
      </c>
      <c r="K598" s="31" t="n">
        <f aca="false">_xlfn.MINIFS(Trades!$X$2:$X$1146,Trades!$D$2:$D$1146,$A598)</f>
        <v>44.91</v>
      </c>
      <c r="L598" s="33" t="n">
        <f aca="false">SUMIFS(Trades!$Y$2:$Y$1146,Trades!$D$2:$D$1146,$A598)</f>
        <v>2.55025553662736</v>
      </c>
      <c r="M598" s="31" t="n">
        <f aca="false">P597</f>
        <v>14454.5</v>
      </c>
      <c r="N598" s="30" t="n">
        <f aca="false">IFERROR(F598/M598,0)</f>
        <v>0.00310699090248712</v>
      </c>
      <c r="O598" s="29" t="str">
        <f aca="false">IF(-N598&gt;=Summary!$C$7,"BREACH","")</f>
        <v/>
      </c>
      <c r="P598" s="31" t="n">
        <f aca="false">M598+F598</f>
        <v>14499.41</v>
      </c>
      <c r="Q598" s="31" t="n">
        <f aca="false">P598-Summary!$C$5</f>
        <v>4499.40999999999</v>
      </c>
      <c r="R598" s="2" t="str">
        <f aca="false">TEXT(A598,"ddd")</f>
        <v>Mon</v>
      </c>
    </row>
    <row r="599" customFormat="false" ht="15" hidden="false" customHeight="false" outlineLevel="0" collapsed="false">
      <c r="A599" s="43" t="n">
        <v>45629</v>
      </c>
      <c r="B599" s="29" t="n">
        <f aca="false">COUNTIFS(Trades!$D$2:$D$1146,$A599)</f>
        <v>1</v>
      </c>
      <c r="C599" s="29" t="n">
        <f aca="false">COUNTIFS(Trades!$D$2:$D$1146,$A599,Trades!$Z$2:$Z$1146,"Win")</f>
        <v>0</v>
      </c>
      <c r="D599" s="29" t="n">
        <f aca="false">COUNTIFS(Trades!$D$2:$D$1146,$A599,Trades!$Z$2:$Z$1146,"Loss")</f>
        <v>1</v>
      </c>
      <c r="E599" s="30" t="n">
        <f aca="false">IFERROR(C599/B599,0)</f>
        <v>0</v>
      </c>
      <c r="F599" s="31" t="n">
        <f aca="false">SUMIFS(Trades!$X$2:$X$1146,Trades!$D$2:$D$1146,$A599)</f>
        <v>-26.88</v>
      </c>
      <c r="G599" s="31" t="n">
        <f aca="false">SUMIFS(Trades!$X$2:$X$1146,Trades!$D$2:$D$1146,$A599,Trades!$X$2:$X$1146,"&gt;0")</f>
        <v>0</v>
      </c>
      <c r="H599" s="31" t="n">
        <f aca="false">SUMIFS(Trades!$X$2:$X$1146,Trades!$D$2:$D$1146,$A599,Trades!$X$2:$X$1146,"&lt;0")</f>
        <v>-26.88</v>
      </c>
      <c r="I599" s="32" t="n">
        <f aca="false">IFERROR(G599/-H599,"no loss")</f>
        <v>0</v>
      </c>
      <c r="J599" s="31" t="n">
        <f aca="false">_xlfn.MAXIFS(Trades!$X$2:$X$1146,Trades!$D$2:$D$1146,$A599)</f>
        <v>-26.88</v>
      </c>
      <c r="K599" s="31" t="n">
        <f aca="false">_xlfn.MINIFS(Trades!$X$2:$X$1146,Trades!$D$2:$D$1146,$A599)</f>
        <v>-26.88</v>
      </c>
      <c r="L599" s="33" t="n">
        <f aca="false">SUMIFS(Trades!$Y$2:$Y$1146,Trades!$D$2:$D$1146,$A599)</f>
        <v>-1.03944315545256</v>
      </c>
      <c r="M599" s="31" t="n">
        <f aca="false">P598</f>
        <v>14499.41</v>
      </c>
      <c r="N599" s="30" t="n">
        <f aca="false">IFERROR(F599/M599,0)</f>
        <v>-0.00185386853671977</v>
      </c>
      <c r="O599" s="29" t="str">
        <f aca="false">IF(-N599&gt;=Summary!$C$7,"BREACH","")</f>
        <v/>
      </c>
      <c r="P599" s="31" t="n">
        <f aca="false">M599+F599</f>
        <v>14472.53</v>
      </c>
      <c r="Q599" s="31" t="n">
        <f aca="false">P599-Summary!$C$5</f>
        <v>4472.52999999999</v>
      </c>
      <c r="R599" s="2" t="str">
        <f aca="false">TEXT(A599,"ddd")</f>
        <v>Tue</v>
      </c>
    </row>
    <row r="600" customFormat="false" ht="15" hidden="false" customHeight="false" outlineLevel="0" collapsed="false">
      <c r="A600" s="43" t="n">
        <v>45630</v>
      </c>
      <c r="B600" s="29" t="n">
        <f aca="false">COUNTIFS(Trades!$D$2:$D$1146,$A600)</f>
        <v>1</v>
      </c>
      <c r="C600" s="29" t="n">
        <f aca="false">COUNTIFS(Trades!$D$2:$D$1146,$A600,Trades!$Z$2:$Z$1146,"Win")</f>
        <v>1</v>
      </c>
      <c r="D600" s="29" t="n">
        <f aca="false">COUNTIFS(Trades!$D$2:$D$1146,$A600,Trades!$Z$2:$Z$1146,"Loss")</f>
        <v>0</v>
      </c>
      <c r="E600" s="30" t="n">
        <f aca="false">IFERROR(C600/B600,0)</f>
        <v>1</v>
      </c>
      <c r="F600" s="31" t="n">
        <f aca="false">SUMIFS(Trades!$X$2:$X$1146,Trades!$D$2:$D$1146,$A600)</f>
        <v>52.32</v>
      </c>
      <c r="G600" s="31" t="n">
        <f aca="false">SUMIFS(Trades!$X$2:$X$1146,Trades!$D$2:$D$1146,$A600,Trades!$X$2:$X$1146,"&gt;0")</f>
        <v>52.32</v>
      </c>
      <c r="H600" s="31" t="n">
        <f aca="false">SUMIFS(Trades!$X$2:$X$1146,Trades!$D$2:$D$1146,$A600,Trades!$X$2:$X$1146,"&lt;0")</f>
        <v>0</v>
      </c>
      <c r="I600" s="32" t="str">
        <f aca="false">IFERROR(G600/-H600,"no loss")</f>
        <v>no loss</v>
      </c>
      <c r="J600" s="31" t="n">
        <f aca="false">_xlfn.MAXIFS(Trades!$X$2:$X$1146,Trades!$D$2:$D$1146,$A600)</f>
        <v>52.32</v>
      </c>
      <c r="K600" s="31" t="n">
        <f aca="false">_xlfn.MINIFS(Trades!$X$2:$X$1146,Trades!$D$2:$D$1146,$A600)</f>
        <v>52.32</v>
      </c>
      <c r="L600" s="33" t="n">
        <f aca="false">SUMIFS(Trades!$Y$2:$Y$1146,Trades!$D$2:$D$1146,$A600)</f>
        <v>2.46676096181057</v>
      </c>
      <c r="M600" s="31" t="n">
        <f aca="false">P599</f>
        <v>14472.53</v>
      </c>
      <c r="N600" s="30" t="n">
        <f aca="false">IFERROR(F600/M600,0)</f>
        <v>0.00361512465339509</v>
      </c>
      <c r="O600" s="29" t="str">
        <f aca="false">IF(-N600&gt;=Summary!$C$7,"BREACH","")</f>
        <v/>
      </c>
      <c r="P600" s="31" t="n">
        <f aca="false">M600+F600</f>
        <v>14524.85</v>
      </c>
      <c r="Q600" s="31" t="n">
        <f aca="false">P600-Summary!$C$5</f>
        <v>4524.84999999999</v>
      </c>
      <c r="R600" s="2" t="str">
        <f aca="false">TEXT(A600,"ddd")</f>
        <v>Wed</v>
      </c>
    </row>
    <row r="601" customFormat="false" ht="15" hidden="false" customHeight="false" outlineLevel="0" collapsed="false">
      <c r="A601" s="43" t="n">
        <v>45631</v>
      </c>
      <c r="B601" s="29" t="n">
        <f aca="false">COUNTIFS(Trades!$D$2:$D$1146,$A601)</f>
        <v>1</v>
      </c>
      <c r="C601" s="29" t="n">
        <f aca="false">COUNTIFS(Trades!$D$2:$D$1146,$A601,Trades!$Z$2:$Z$1146,"Win")</f>
        <v>0</v>
      </c>
      <c r="D601" s="29" t="n">
        <f aca="false">COUNTIFS(Trades!$D$2:$D$1146,$A601,Trades!$Z$2:$Z$1146,"Loss")</f>
        <v>1</v>
      </c>
      <c r="E601" s="30" t="n">
        <f aca="false">IFERROR(C601/B601,0)</f>
        <v>0</v>
      </c>
      <c r="F601" s="31" t="n">
        <f aca="false">SUMIFS(Trades!$X$2:$X$1146,Trades!$D$2:$D$1146,$A601)</f>
        <v>-0.39</v>
      </c>
      <c r="G601" s="31" t="n">
        <f aca="false">SUMIFS(Trades!$X$2:$X$1146,Trades!$D$2:$D$1146,$A601,Trades!$X$2:$X$1146,"&gt;0")</f>
        <v>0</v>
      </c>
      <c r="H601" s="31" t="n">
        <f aca="false">SUMIFS(Trades!$X$2:$X$1146,Trades!$D$2:$D$1146,$A601,Trades!$X$2:$X$1146,"&lt;0")</f>
        <v>-0.39</v>
      </c>
      <c r="I601" s="32" t="n">
        <f aca="false">IFERROR(G601/-H601,"no loss")</f>
        <v>0</v>
      </c>
      <c r="J601" s="31" t="n">
        <f aca="false">_xlfn.MAXIFS(Trades!$X$2:$X$1146,Trades!$D$2:$D$1146,$A601)</f>
        <v>-0.39</v>
      </c>
      <c r="K601" s="31" t="n">
        <f aca="false">_xlfn.MINIFS(Trades!$X$2:$X$1146,Trades!$D$2:$D$1146,$A601)</f>
        <v>-0.39</v>
      </c>
      <c r="L601" s="33" t="n">
        <f aca="false">SUMIFS(Trades!$Y$2:$Y$1146,Trades!$D$2:$D$1146,$A601)</f>
        <v>-0.0183615819209089</v>
      </c>
      <c r="M601" s="31" t="n">
        <f aca="false">P600</f>
        <v>14524.85</v>
      </c>
      <c r="N601" s="30" t="n">
        <f aca="false">IFERROR(F601/M601,0)</f>
        <v>-2.68505354616399E-005</v>
      </c>
      <c r="O601" s="29" t="str">
        <f aca="false">IF(-N601&gt;=Summary!$C$7,"BREACH","")</f>
        <v/>
      </c>
      <c r="P601" s="31" t="n">
        <f aca="false">M601+F601</f>
        <v>14524.46</v>
      </c>
      <c r="Q601" s="31" t="n">
        <f aca="false">P601-Summary!$C$5</f>
        <v>4524.45999999999</v>
      </c>
      <c r="R601" s="2" t="str">
        <f aca="false">TEXT(A601,"ddd")</f>
        <v>Thu</v>
      </c>
    </row>
    <row r="602" customFormat="false" ht="15" hidden="false" customHeight="false" outlineLevel="0" collapsed="false">
      <c r="A602" s="43" t="n">
        <v>45632</v>
      </c>
      <c r="B602" s="29" t="n">
        <f aca="false">COUNTIFS(Trades!$D$2:$D$1146,$A602)</f>
        <v>2</v>
      </c>
      <c r="C602" s="29" t="n">
        <f aca="false">COUNTIFS(Trades!$D$2:$D$1146,$A602,Trades!$Z$2:$Z$1146,"Win")</f>
        <v>2</v>
      </c>
      <c r="D602" s="29" t="n">
        <f aca="false">COUNTIFS(Trades!$D$2:$D$1146,$A602,Trades!$Z$2:$Z$1146,"Loss")</f>
        <v>0</v>
      </c>
      <c r="E602" s="30" t="n">
        <f aca="false">IFERROR(C602/B602,0)</f>
        <v>1</v>
      </c>
      <c r="F602" s="31" t="n">
        <f aca="false">SUMIFS(Trades!$X$2:$X$1146,Trades!$D$2:$D$1146,$A602)</f>
        <v>137.01</v>
      </c>
      <c r="G602" s="31" t="n">
        <f aca="false">SUMIFS(Trades!$X$2:$X$1146,Trades!$D$2:$D$1146,$A602,Trades!$X$2:$X$1146,"&gt;0")</f>
        <v>137.01</v>
      </c>
      <c r="H602" s="31" t="n">
        <f aca="false">SUMIFS(Trades!$X$2:$X$1146,Trades!$D$2:$D$1146,$A602,Trades!$X$2:$X$1146,"&lt;0")</f>
        <v>0</v>
      </c>
      <c r="I602" s="32" t="str">
        <f aca="false">IFERROR(G602/-H602,"no loss")</f>
        <v>no loss</v>
      </c>
      <c r="J602" s="31" t="n">
        <f aca="false">_xlfn.MAXIFS(Trades!$X$2:$X$1146,Trades!$D$2:$D$1146,$A602)</f>
        <v>103.68</v>
      </c>
      <c r="K602" s="31" t="n">
        <f aca="false">_xlfn.MINIFS(Trades!$X$2:$X$1146,Trades!$D$2:$D$1146,$A602)</f>
        <v>33.33</v>
      </c>
      <c r="L602" s="33" t="n">
        <f aca="false">SUMIFS(Trades!$Y$2:$Y$1146,Trades!$D$2:$D$1146,$A602)</f>
        <v>4.98626297152327</v>
      </c>
      <c r="M602" s="31" t="n">
        <f aca="false">P601</f>
        <v>14524.46</v>
      </c>
      <c r="N602" s="30" t="n">
        <f aca="false">IFERROR(F602/M602,0)</f>
        <v>0.00943305293277685</v>
      </c>
      <c r="O602" s="29" t="str">
        <f aca="false">IF(-N602&gt;=Summary!$C$7,"BREACH","")</f>
        <v/>
      </c>
      <c r="P602" s="31" t="n">
        <f aca="false">M602+F602</f>
        <v>14661.47</v>
      </c>
      <c r="Q602" s="31" t="n">
        <f aca="false">P602-Summary!$C$5</f>
        <v>4661.46999999999</v>
      </c>
      <c r="R602" s="2" t="str">
        <f aca="false">TEXT(A602,"ddd")</f>
        <v>Fri</v>
      </c>
    </row>
    <row r="603" customFormat="false" ht="15" hidden="false" customHeight="false" outlineLevel="0" collapsed="false">
      <c r="A603" s="43" t="n">
        <v>45635</v>
      </c>
      <c r="B603" s="29" t="n">
        <f aca="false">COUNTIFS(Trades!$D$2:$D$1146,$A603)</f>
        <v>1</v>
      </c>
      <c r="C603" s="29" t="n">
        <f aca="false">COUNTIFS(Trades!$D$2:$D$1146,$A603,Trades!$Z$2:$Z$1146,"Win")</f>
        <v>0</v>
      </c>
      <c r="D603" s="29" t="n">
        <f aca="false">COUNTIFS(Trades!$D$2:$D$1146,$A603,Trades!$Z$2:$Z$1146,"Loss")</f>
        <v>1</v>
      </c>
      <c r="E603" s="30" t="n">
        <f aca="false">IFERROR(C603/B603,0)</f>
        <v>0</v>
      </c>
      <c r="F603" s="31" t="n">
        <f aca="false">SUMIFS(Trades!$X$2:$X$1146,Trades!$D$2:$D$1146,$A603)</f>
        <v>-13.47</v>
      </c>
      <c r="G603" s="31" t="n">
        <f aca="false">SUMIFS(Trades!$X$2:$X$1146,Trades!$D$2:$D$1146,$A603,Trades!$X$2:$X$1146,"&gt;0")</f>
        <v>0</v>
      </c>
      <c r="H603" s="31" t="n">
        <f aca="false">SUMIFS(Trades!$X$2:$X$1146,Trades!$D$2:$D$1146,$A603,Trades!$X$2:$X$1146,"&lt;0")</f>
        <v>-13.47</v>
      </c>
      <c r="I603" s="32" t="n">
        <f aca="false">IFERROR(G603/-H603,"no loss")</f>
        <v>0</v>
      </c>
      <c r="J603" s="31" t="n">
        <f aca="false">_xlfn.MAXIFS(Trades!$X$2:$X$1146,Trades!$D$2:$D$1146,$A603)</f>
        <v>-13.47</v>
      </c>
      <c r="K603" s="31" t="n">
        <f aca="false">_xlfn.MINIFS(Trades!$X$2:$X$1146,Trades!$D$2:$D$1146,$A603)</f>
        <v>-13.47</v>
      </c>
      <c r="L603" s="33" t="n">
        <f aca="false">SUMIFS(Trades!$Y$2:$Y$1146,Trades!$D$2:$D$1146,$A603)</f>
        <v>-1.06904761904743</v>
      </c>
      <c r="M603" s="31" t="n">
        <f aca="false">P602</f>
        <v>14661.47</v>
      </c>
      <c r="N603" s="30" t="n">
        <f aca="false">IFERROR(F603/M603,0)</f>
        <v>-0.000918734615287554</v>
      </c>
      <c r="O603" s="29" t="str">
        <f aca="false">IF(-N603&gt;=Summary!$C$7,"BREACH","")</f>
        <v/>
      </c>
      <c r="P603" s="31" t="n">
        <f aca="false">M603+F603</f>
        <v>14648</v>
      </c>
      <c r="Q603" s="31" t="n">
        <f aca="false">P603-Summary!$C$5</f>
        <v>4647.99999999999</v>
      </c>
      <c r="R603" s="2" t="str">
        <f aca="false">TEXT(A603,"ddd")</f>
        <v>Mon</v>
      </c>
    </row>
    <row r="604" customFormat="false" ht="15" hidden="false" customHeight="false" outlineLevel="0" collapsed="false">
      <c r="A604" s="43" t="n">
        <v>45636</v>
      </c>
      <c r="B604" s="29" t="n">
        <f aca="false">COUNTIFS(Trades!$D$2:$D$1146,$A604)</f>
        <v>1</v>
      </c>
      <c r="C604" s="29" t="n">
        <f aca="false">COUNTIFS(Trades!$D$2:$D$1146,$A604,Trades!$Z$2:$Z$1146,"Win")</f>
        <v>0</v>
      </c>
      <c r="D604" s="29" t="n">
        <f aca="false">COUNTIFS(Trades!$D$2:$D$1146,$A604,Trades!$Z$2:$Z$1146,"Loss")</f>
        <v>1</v>
      </c>
      <c r="E604" s="30" t="n">
        <f aca="false">IFERROR(C604/B604,0)</f>
        <v>0</v>
      </c>
      <c r="F604" s="31" t="n">
        <f aca="false">SUMIFS(Trades!$X$2:$X$1146,Trades!$D$2:$D$1146,$A604)</f>
        <v>-17.52</v>
      </c>
      <c r="G604" s="31" t="n">
        <f aca="false">SUMIFS(Trades!$X$2:$X$1146,Trades!$D$2:$D$1146,$A604,Trades!$X$2:$X$1146,"&gt;0")</f>
        <v>0</v>
      </c>
      <c r="H604" s="31" t="n">
        <f aca="false">SUMIFS(Trades!$X$2:$X$1146,Trades!$D$2:$D$1146,$A604,Trades!$X$2:$X$1146,"&lt;0")</f>
        <v>-17.52</v>
      </c>
      <c r="I604" s="32" t="n">
        <f aca="false">IFERROR(G604/-H604,"no loss")</f>
        <v>0</v>
      </c>
      <c r="J604" s="31" t="n">
        <f aca="false">_xlfn.MAXIFS(Trades!$X$2:$X$1146,Trades!$D$2:$D$1146,$A604)</f>
        <v>-17.52</v>
      </c>
      <c r="K604" s="31" t="n">
        <f aca="false">_xlfn.MINIFS(Trades!$X$2:$X$1146,Trades!$D$2:$D$1146,$A604)</f>
        <v>-17.52</v>
      </c>
      <c r="L604" s="33" t="n">
        <f aca="false">SUMIFS(Trades!$Y$2:$Y$1146,Trades!$D$2:$D$1146,$A604)</f>
        <v>-1.05225225225239</v>
      </c>
      <c r="M604" s="31" t="n">
        <f aca="false">P603</f>
        <v>14648</v>
      </c>
      <c r="N604" s="30" t="n">
        <f aca="false">IFERROR(F604/M604,0)</f>
        <v>-0.00119606772255598</v>
      </c>
      <c r="O604" s="29" t="str">
        <f aca="false">IF(-N604&gt;=Summary!$C$7,"BREACH","")</f>
        <v/>
      </c>
      <c r="P604" s="31" t="n">
        <f aca="false">M604+F604</f>
        <v>14630.48</v>
      </c>
      <c r="Q604" s="31" t="n">
        <f aca="false">P604-Summary!$C$5</f>
        <v>4630.47999999999</v>
      </c>
      <c r="R604" s="2" t="str">
        <f aca="false">TEXT(A604,"ddd")</f>
        <v>Tue</v>
      </c>
    </row>
    <row r="605" customFormat="false" ht="15" hidden="false" customHeight="false" outlineLevel="0" collapsed="false">
      <c r="A605" s="43" t="n">
        <v>45637</v>
      </c>
      <c r="B605" s="29" t="n">
        <f aca="false">COUNTIFS(Trades!$D$2:$D$1146,$A605)</f>
        <v>1</v>
      </c>
      <c r="C605" s="29" t="n">
        <f aca="false">COUNTIFS(Trades!$D$2:$D$1146,$A605,Trades!$Z$2:$Z$1146,"Win")</f>
        <v>0</v>
      </c>
      <c r="D605" s="29" t="n">
        <f aca="false">COUNTIFS(Trades!$D$2:$D$1146,$A605,Trades!$Z$2:$Z$1146,"Loss")</f>
        <v>1</v>
      </c>
      <c r="E605" s="30" t="n">
        <f aca="false">IFERROR(C605/B605,0)</f>
        <v>0</v>
      </c>
      <c r="F605" s="31" t="n">
        <f aca="false">SUMIFS(Trades!$X$2:$X$1146,Trades!$D$2:$D$1146,$A605)</f>
        <v>-50.64</v>
      </c>
      <c r="G605" s="31" t="n">
        <f aca="false">SUMIFS(Trades!$X$2:$X$1146,Trades!$D$2:$D$1146,$A605,Trades!$X$2:$X$1146,"&gt;0")</f>
        <v>0</v>
      </c>
      <c r="H605" s="31" t="n">
        <f aca="false">SUMIFS(Trades!$X$2:$X$1146,Trades!$D$2:$D$1146,$A605,Trades!$X$2:$X$1146,"&lt;0")</f>
        <v>-50.64</v>
      </c>
      <c r="I605" s="32" t="n">
        <f aca="false">IFERROR(G605/-H605,"no loss")</f>
        <v>0</v>
      </c>
      <c r="J605" s="31" t="n">
        <f aca="false">_xlfn.MAXIFS(Trades!$X$2:$X$1146,Trades!$D$2:$D$1146,$A605)</f>
        <v>-50.64</v>
      </c>
      <c r="K605" s="31" t="n">
        <f aca="false">_xlfn.MINIFS(Trades!$X$2:$X$1146,Trades!$D$2:$D$1146,$A605)</f>
        <v>-50.64</v>
      </c>
      <c r="L605" s="33" t="n">
        <f aca="false">SUMIFS(Trades!$Y$2:$Y$1146,Trades!$D$2:$D$1146,$A605)</f>
        <v>-1.01017354877302</v>
      </c>
      <c r="M605" s="31" t="n">
        <f aca="false">P604</f>
        <v>14630.48</v>
      </c>
      <c r="N605" s="30" t="n">
        <f aca="false">IFERROR(F605/M605,0)</f>
        <v>-0.00346126716279986</v>
      </c>
      <c r="O605" s="29" t="str">
        <f aca="false">IF(-N605&gt;=Summary!$C$7,"BREACH","")</f>
        <v/>
      </c>
      <c r="P605" s="31" t="n">
        <f aca="false">M605+F605</f>
        <v>14579.84</v>
      </c>
      <c r="Q605" s="31" t="n">
        <f aca="false">P605-Summary!$C$5</f>
        <v>4579.83999999999</v>
      </c>
      <c r="R605" s="2" t="str">
        <f aca="false">TEXT(A605,"ddd")</f>
        <v>Wed</v>
      </c>
    </row>
    <row r="606" customFormat="false" ht="15" hidden="false" customHeight="false" outlineLevel="0" collapsed="false">
      <c r="A606" s="43" t="n">
        <v>45639</v>
      </c>
      <c r="B606" s="29" t="n">
        <f aca="false">COUNTIFS(Trades!$D$2:$D$1146,$A606)</f>
        <v>1</v>
      </c>
      <c r="C606" s="29" t="n">
        <f aca="false">COUNTIFS(Trades!$D$2:$D$1146,$A606,Trades!$Z$2:$Z$1146,"Win")</f>
        <v>0</v>
      </c>
      <c r="D606" s="29" t="n">
        <f aca="false">COUNTIFS(Trades!$D$2:$D$1146,$A606,Trades!$Z$2:$Z$1146,"Loss")</f>
        <v>1</v>
      </c>
      <c r="E606" s="30" t="n">
        <f aca="false">IFERROR(C606/B606,0)</f>
        <v>0</v>
      </c>
      <c r="F606" s="31" t="n">
        <f aca="false">SUMIFS(Trades!$X$2:$X$1146,Trades!$D$2:$D$1146,$A606)</f>
        <v>-2.28</v>
      </c>
      <c r="G606" s="31" t="n">
        <f aca="false">SUMIFS(Trades!$X$2:$X$1146,Trades!$D$2:$D$1146,$A606,Trades!$X$2:$X$1146,"&gt;0")</f>
        <v>0</v>
      </c>
      <c r="H606" s="31" t="n">
        <f aca="false">SUMIFS(Trades!$X$2:$X$1146,Trades!$D$2:$D$1146,$A606,Trades!$X$2:$X$1146,"&lt;0")</f>
        <v>-2.28</v>
      </c>
      <c r="I606" s="32" t="n">
        <f aca="false">IFERROR(G606/-H606,"no loss")</f>
        <v>0</v>
      </c>
      <c r="J606" s="31" t="n">
        <f aca="false">_xlfn.MAXIFS(Trades!$X$2:$X$1146,Trades!$D$2:$D$1146,$A606)</f>
        <v>-2.28</v>
      </c>
      <c r="K606" s="31" t="n">
        <f aca="false">_xlfn.MINIFS(Trades!$X$2:$X$1146,Trades!$D$2:$D$1146,$A606)</f>
        <v>-2.28</v>
      </c>
      <c r="L606" s="33" t="n">
        <f aca="false">SUMIFS(Trades!$Y$2:$Y$1146,Trades!$D$2:$D$1146,$A606)</f>
        <v>-0.25165562913934</v>
      </c>
      <c r="M606" s="31" t="n">
        <f aca="false">P605</f>
        <v>14579.84</v>
      </c>
      <c r="N606" s="30" t="n">
        <f aca="false">IFERROR(F606/M606,0)</f>
        <v>-0.000156380316930776</v>
      </c>
      <c r="O606" s="29" t="str">
        <f aca="false">IF(-N606&gt;=Summary!$C$7,"BREACH","")</f>
        <v/>
      </c>
      <c r="P606" s="31" t="n">
        <f aca="false">M606+F606</f>
        <v>14577.56</v>
      </c>
      <c r="Q606" s="31" t="n">
        <f aca="false">P606-Summary!$C$5</f>
        <v>4577.55999999999</v>
      </c>
      <c r="R606" s="2" t="str">
        <f aca="false">TEXT(A606,"ddd")</f>
        <v>Fri</v>
      </c>
    </row>
    <row r="607" customFormat="false" ht="15" hidden="false" customHeight="false" outlineLevel="0" collapsed="false">
      <c r="A607" s="43" t="n">
        <v>45642</v>
      </c>
      <c r="B607" s="29" t="n">
        <f aca="false">COUNTIFS(Trades!$D$2:$D$1146,$A607)</f>
        <v>1</v>
      </c>
      <c r="C607" s="29" t="n">
        <f aca="false">COUNTIFS(Trades!$D$2:$D$1146,$A607,Trades!$Z$2:$Z$1146,"Win")</f>
        <v>0</v>
      </c>
      <c r="D607" s="29" t="n">
        <f aca="false">COUNTIFS(Trades!$D$2:$D$1146,$A607,Trades!$Z$2:$Z$1146,"Loss")</f>
        <v>1</v>
      </c>
      <c r="E607" s="30" t="n">
        <f aca="false">IFERROR(C607/B607,0)</f>
        <v>0</v>
      </c>
      <c r="F607" s="31" t="n">
        <f aca="false">SUMIFS(Trades!$X$2:$X$1146,Trades!$D$2:$D$1146,$A607)</f>
        <v>-14.97</v>
      </c>
      <c r="G607" s="31" t="n">
        <f aca="false">SUMIFS(Trades!$X$2:$X$1146,Trades!$D$2:$D$1146,$A607,Trades!$X$2:$X$1146,"&gt;0")</f>
        <v>0</v>
      </c>
      <c r="H607" s="31" t="n">
        <f aca="false">SUMIFS(Trades!$X$2:$X$1146,Trades!$D$2:$D$1146,$A607,Trades!$X$2:$X$1146,"&lt;0")</f>
        <v>-14.97</v>
      </c>
      <c r="I607" s="32" t="n">
        <f aca="false">IFERROR(G607/-H607,"no loss")</f>
        <v>0</v>
      </c>
      <c r="J607" s="31" t="n">
        <f aca="false">_xlfn.MAXIFS(Trades!$X$2:$X$1146,Trades!$D$2:$D$1146,$A607)</f>
        <v>-14.97</v>
      </c>
      <c r="K607" s="31" t="n">
        <f aca="false">_xlfn.MINIFS(Trades!$X$2:$X$1146,Trades!$D$2:$D$1146,$A607)</f>
        <v>-14.97</v>
      </c>
      <c r="L607" s="33" t="n">
        <f aca="false">SUMIFS(Trades!$Y$2:$Y$1146,Trades!$D$2:$D$1146,$A607)</f>
        <v>-1.00000000000041</v>
      </c>
      <c r="M607" s="31" t="n">
        <f aca="false">P606</f>
        <v>14577.56</v>
      </c>
      <c r="N607" s="30" t="n">
        <f aca="false">IFERROR(F607/M607,0)</f>
        <v>-0.00102692082900019</v>
      </c>
      <c r="O607" s="29" t="str">
        <f aca="false">IF(-N607&gt;=Summary!$C$7,"BREACH","")</f>
        <v/>
      </c>
      <c r="P607" s="31" t="n">
        <f aca="false">M607+F607</f>
        <v>14562.59</v>
      </c>
      <c r="Q607" s="31" t="n">
        <f aca="false">P607-Summary!$C$5</f>
        <v>4562.58999999999</v>
      </c>
      <c r="R607" s="2" t="str">
        <f aca="false">TEXT(A607,"ddd")</f>
        <v>Mon</v>
      </c>
    </row>
    <row r="608" customFormat="false" ht="15" hidden="false" customHeight="false" outlineLevel="0" collapsed="false">
      <c r="A608" s="43" t="n">
        <v>45644</v>
      </c>
      <c r="B608" s="29" t="n">
        <f aca="false">COUNTIFS(Trades!$D$2:$D$1146,$A608)</f>
        <v>1</v>
      </c>
      <c r="C608" s="29" t="n">
        <f aca="false">COUNTIFS(Trades!$D$2:$D$1146,$A608,Trades!$Z$2:$Z$1146,"Win")</f>
        <v>0</v>
      </c>
      <c r="D608" s="29" t="n">
        <f aca="false">COUNTIFS(Trades!$D$2:$D$1146,$A608,Trades!$Z$2:$Z$1146,"Loss")</f>
        <v>1</v>
      </c>
      <c r="E608" s="30" t="n">
        <f aca="false">IFERROR(C608/B608,0)</f>
        <v>0</v>
      </c>
      <c r="F608" s="31" t="n">
        <f aca="false">SUMIFS(Trades!$X$2:$X$1146,Trades!$D$2:$D$1146,$A608)</f>
        <v>-0.63</v>
      </c>
      <c r="G608" s="31" t="n">
        <f aca="false">SUMIFS(Trades!$X$2:$X$1146,Trades!$D$2:$D$1146,$A608,Trades!$X$2:$X$1146,"&gt;0")</f>
        <v>0</v>
      </c>
      <c r="H608" s="31" t="n">
        <f aca="false">SUMIFS(Trades!$X$2:$X$1146,Trades!$D$2:$D$1146,$A608,Trades!$X$2:$X$1146,"&lt;0")</f>
        <v>-0.63</v>
      </c>
      <c r="I608" s="32" t="n">
        <f aca="false">IFERROR(G608/-H608,"no loss")</f>
        <v>0</v>
      </c>
      <c r="J608" s="31" t="n">
        <f aca="false">_xlfn.MAXIFS(Trades!$X$2:$X$1146,Trades!$D$2:$D$1146,$A608)</f>
        <v>-0.63</v>
      </c>
      <c r="K608" s="31" t="n">
        <f aca="false">_xlfn.MINIFS(Trades!$X$2:$X$1146,Trades!$D$2:$D$1146,$A608)</f>
        <v>-0.63</v>
      </c>
      <c r="L608" s="33" t="n">
        <f aca="false">SUMIFS(Trades!$Y$2:$Y$1146,Trades!$D$2:$D$1146,$A608)</f>
        <v>-0.0126126126126115</v>
      </c>
      <c r="M608" s="31" t="n">
        <f aca="false">P607</f>
        <v>14562.59</v>
      </c>
      <c r="N608" s="30" t="n">
        <f aca="false">IFERROR(F608/M608,0)</f>
        <v>-4.32615352076794E-005</v>
      </c>
      <c r="O608" s="29" t="str">
        <f aca="false">IF(-N608&gt;=Summary!$C$7,"BREACH","")</f>
        <v/>
      </c>
      <c r="P608" s="31" t="n">
        <f aca="false">M608+F608</f>
        <v>14561.96</v>
      </c>
      <c r="Q608" s="31" t="n">
        <f aca="false">P608-Summary!$C$5</f>
        <v>4561.95999999999</v>
      </c>
      <c r="R608" s="2" t="str">
        <f aca="false">TEXT(A608,"ddd")</f>
        <v>Wed</v>
      </c>
    </row>
    <row r="609" customFormat="false" ht="15" hidden="false" customHeight="false" outlineLevel="0" collapsed="false">
      <c r="A609" s="43" t="n">
        <v>45646</v>
      </c>
      <c r="B609" s="29" t="n">
        <f aca="false">COUNTIFS(Trades!$D$2:$D$1146,$A609)</f>
        <v>2</v>
      </c>
      <c r="C609" s="29" t="n">
        <f aca="false">COUNTIFS(Trades!$D$2:$D$1146,$A609,Trades!$Z$2:$Z$1146,"Win")</f>
        <v>1</v>
      </c>
      <c r="D609" s="29" t="n">
        <f aca="false">COUNTIFS(Trades!$D$2:$D$1146,$A609,Trades!$Z$2:$Z$1146,"Loss")</f>
        <v>1</v>
      </c>
      <c r="E609" s="30" t="n">
        <f aca="false">IFERROR(C609/B609,0)</f>
        <v>0.5</v>
      </c>
      <c r="F609" s="31" t="n">
        <f aca="false">SUMIFS(Trades!$X$2:$X$1146,Trades!$D$2:$D$1146,$A609)</f>
        <v>135.84</v>
      </c>
      <c r="G609" s="31" t="n">
        <f aca="false">SUMIFS(Trades!$X$2:$X$1146,Trades!$D$2:$D$1146,$A609,Trades!$X$2:$X$1146,"&gt;0")</f>
        <v>141.21</v>
      </c>
      <c r="H609" s="31" t="n">
        <f aca="false">SUMIFS(Trades!$X$2:$X$1146,Trades!$D$2:$D$1146,$A609,Trades!$X$2:$X$1146,"&lt;0")</f>
        <v>-5.37</v>
      </c>
      <c r="I609" s="32" t="n">
        <f aca="false">IFERROR(G609/-H609,"no loss")</f>
        <v>26.2960893854749</v>
      </c>
      <c r="J609" s="31" t="n">
        <f aca="false">_xlfn.MAXIFS(Trades!$X$2:$X$1146,Trades!$D$2:$D$1146,$A609)</f>
        <v>141.21</v>
      </c>
      <c r="K609" s="31" t="n">
        <f aca="false">_xlfn.MINIFS(Trades!$X$2:$X$1146,Trades!$D$2:$D$1146,$A609)</f>
        <v>-5.37</v>
      </c>
      <c r="L609" s="33" t="n">
        <f aca="false">SUMIFS(Trades!$Y$2:$Y$1146,Trades!$D$2:$D$1146,$A609)</f>
        <v>2.47749472749474</v>
      </c>
      <c r="M609" s="31" t="n">
        <f aca="false">P608</f>
        <v>14561.96</v>
      </c>
      <c r="N609" s="30" t="n">
        <f aca="false">IFERROR(F609/M609,0)</f>
        <v>0.00932841458155359</v>
      </c>
      <c r="O609" s="29" t="str">
        <f aca="false">IF(-N609&gt;=Summary!$C$7,"BREACH","")</f>
        <v/>
      </c>
      <c r="P609" s="31" t="n">
        <f aca="false">M609+F609</f>
        <v>14697.8</v>
      </c>
      <c r="Q609" s="31" t="n">
        <f aca="false">P609-Summary!$C$5</f>
        <v>4697.79999999999</v>
      </c>
      <c r="R609" s="2" t="str">
        <f aca="false">TEXT(A609,"ddd")</f>
        <v>Fri</v>
      </c>
    </row>
    <row r="610" customFormat="false" ht="15" hidden="false" customHeight="false" outlineLevel="0" collapsed="false">
      <c r="A610" s="43" t="n">
        <v>45650</v>
      </c>
      <c r="B610" s="29" t="n">
        <f aca="false">COUNTIFS(Trades!$D$2:$D$1146,$A610)</f>
        <v>1</v>
      </c>
      <c r="C610" s="29" t="n">
        <f aca="false">COUNTIFS(Trades!$D$2:$D$1146,$A610,Trades!$Z$2:$Z$1146,"Win")</f>
        <v>0</v>
      </c>
      <c r="D610" s="29" t="n">
        <f aca="false">COUNTIFS(Trades!$D$2:$D$1146,$A610,Trades!$Z$2:$Z$1146,"Loss")</f>
        <v>1</v>
      </c>
      <c r="E610" s="30" t="n">
        <f aca="false">IFERROR(C610/B610,0)</f>
        <v>0</v>
      </c>
      <c r="F610" s="31" t="n">
        <f aca="false">SUMIFS(Trades!$X$2:$X$1146,Trades!$D$2:$D$1146,$A610)</f>
        <v>-11.01</v>
      </c>
      <c r="G610" s="31" t="n">
        <f aca="false">SUMIFS(Trades!$X$2:$X$1146,Trades!$D$2:$D$1146,$A610,Trades!$X$2:$X$1146,"&gt;0")</f>
        <v>0</v>
      </c>
      <c r="H610" s="31" t="n">
        <f aca="false">SUMIFS(Trades!$X$2:$X$1146,Trades!$D$2:$D$1146,$A610,Trades!$X$2:$X$1146,"&lt;0")</f>
        <v>-11.01</v>
      </c>
      <c r="I610" s="32" t="n">
        <f aca="false">IFERROR(G610/-H610,"no loss")</f>
        <v>0</v>
      </c>
      <c r="J610" s="31" t="n">
        <f aca="false">_xlfn.MAXIFS(Trades!$X$2:$X$1146,Trades!$D$2:$D$1146,$A610)</f>
        <v>-11.01</v>
      </c>
      <c r="K610" s="31" t="n">
        <f aca="false">_xlfn.MINIFS(Trades!$X$2:$X$1146,Trades!$D$2:$D$1146,$A610)</f>
        <v>-11.01</v>
      </c>
      <c r="L610" s="33" t="n">
        <f aca="false">SUMIFS(Trades!$Y$2:$Y$1146,Trades!$D$2:$D$1146,$A610)</f>
        <v>-1.10210210210273</v>
      </c>
      <c r="M610" s="31" t="n">
        <f aca="false">P609</f>
        <v>14697.8</v>
      </c>
      <c r="N610" s="30" t="n">
        <f aca="false">IFERROR(F610/M610,0)</f>
        <v>-0.000749091700798759</v>
      </c>
      <c r="O610" s="29" t="str">
        <f aca="false">IF(-N610&gt;=Summary!$C$7,"BREACH","")</f>
        <v/>
      </c>
      <c r="P610" s="31" t="n">
        <f aca="false">M610+F610</f>
        <v>14686.79</v>
      </c>
      <c r="Q610" s="31" t="n">
        <f aca="false">P610-Summary!$C$5</f>
        <v>4686.78999999999</v>
      </c>
      <c r="R610" s="2" t="str">
        <f aca="false">TEXT(A610,"ddd")</f>
        <v>Tue</v>
      </c>
    </row>
    <row r="611" customFormat="false" ht="15" hidden="false" customHeight="false" outlineLevel="0" collapsed="false">
      <c r="A611" s="43" t="n">
        <v>45652</v>
      </c>
      <c r="B611" s="29" t="n">
        <f aca="false">COUNTIFS(Trades!$D$2:$D$1146,$A611)</f>
        <v>1</v>
      </c>
      <c r="C611" s="29" t="n">
        <f aca="false">COUNTIFS(Trades!$D$2:$D$1146,$A611,Trades!$Z$2:$Z$1146,"Win")</f>
        <v>0</v>
      </c>
      <c r="D611" s="29" t="n">
        <f aca="false">COUNTIFS(Trades!$D$2:$D$1146,$A611,Trades!$Z$2:$Z$1146,"Loss")</f>
        <v>1</v>
      </c>
      <c r="E611" s="30" t="n">
        <f aca="false">IFERROR(C611/B611,0)</f>
        <v>0</v>
      </c>
      <c r="F611" s="31" t="n">
        <f aca="false">SUMIFS(Trades!$X$2:$X$1146,Trades!$D$2:$D$1146,$A611)</f>
        <v>-24.84</v>
      </c>
      <c r="G611" s="31" t="n">
        <f aca="false">SUMIFS(Trades!$X$2:$X$1146,Trades!$D$2:$D$1146,$A611,Trades!$X$2:$X$1146,"&gt;0")</f>
        <v>0</v>
      </c>
      <c r="H611" s="31" t="n">
        <f aca="false">SUMIFS(Trades!$X$2:$X$1146,Trades!$D$2:$D$1146,$A611,Trades!$X$2:$X$1146,"&lt;0")</f>
        <v>-24.84</v>
      </c>
      <c r="I611" s="32" t="n">
        <f aca="false">IFERROR(G611/-H611,"no loss")</f>
        <v>0</v>
      </c>
      <c r="J611" s="31" t="n">
        <f aca="false">_xlfn.MAXIFS(Trades!$X$2:$X$1146,Trades!$D$2:$D$1146,$A611)</f>
        <v>-24.84</v>
      </c>
      <c r="K611" s="31" t="n">
        <f aca="false">_xlfn.MINIFS(Trades!$X$2:$X$1146,Trades!$D$2:$D$1146,$A611)</f>
        <v>-24.84</v>
      </c>
      <c r="L611" s="33" t="n">
        <f aca="false">SUMIFS(Trades!$Y$2:$Y$1146,Trades!$D$2:$D$1146,$A611)</f>
        <v>-1.02857142857152</v>
      </c>
      <c r="M611" s="31" t="n">
        <f aca="false">P610</f>
        <v>14686.79</v>
      </c>
      <c r="N611" s="30" t="n">
        <f aca="false">IFERROR(F611/M611,0)</f>
        <v>-0.00169131580147874</v>
      </c>
      <c r="O611" s="29" t="str">
        <f aca="false">IF(-N611&gt;=Summary!$C$7,"BREACH","")</f>
        <v/>
      </c>
      <c r="P611" s="31" t="n">
        <f aca="false">M611+F611</f>
        <v>14661.95</v>
      </c>
      <c r="Q611" s="31" t="n">
        <f aca="false">P611-Summary!$C$5</f>
        <v>4661.94999999999</v>
      </c>
      <c r="R611" s="2" t="str">
        <f aca="false">TEXT(A611,"ddd")</f>
        <v>Thu</v>
      </c>
    </row>
    <row r="612" customFormat="false" ht="15" hidden="false" customHeight="false" outlineLevel="0" collapsed="false">
      <c r="A612" s="43" t="n">
        <v>45653</v>
      </c>
      <c r="B612" s="29" t="n">
        <f aca="false">COUNTIFS(Trades!$D$2:$D$1146,$A612)</f>
        <v>1</v>
      </c>
      <c r="C612" s="29" t="n">
        <f aca="false">COUNTIFS(Trades!$D$2:$D$1146,$A612,Trades!$Z$2:$Z$1146,"Win")</f>
        <v>1</v>
      </c>
      <c r="D612" s="29" t="n">
        <f aca="false">COUNTIFS(Trades!$D$2:$D$1146,$A612,Trades!$Z$2:$Z$1146,"Loss")</f>
        <v>0</v>
      </c>
      <c r="E612" s="30" t="n">
        <f aca="false">IFERROR(C612/B612,0)</f>
        <v>1</v>
      </c>
      <c r="F612" s="31" t="n">
        <f aca="false">SUMIFS(Trades!$X$2:$X$1146,Trades!$D$2:$D$1146,$A612)</f>
        <v>56.04</v>
      </c>
      <c r="G612" s="31" t="n">
        <f aca="false">SUMIFS(Trades!$X$2:$X$1146,Trades!$D$2:$D$1146,$A612,Trades!$X$2:$X$1146,"&gt;0")</f>
        <v>56.04</v>
      </c>
      <c r="H612" s="31" t="n">
        <f aca="false">SUMIFS(Trades!$X$2:$X$1146,Trades!$D$2:$D$1146,$A612,Trades!$X$2:$X$1146,"&lt;0")</f>
        <v>0</v>
      </c>
      <c r="I612" s="32" t="str">
        <f aca="false">IFERROR(G612/-H612,"no loss")</f>
        <v>no loss</v>
      </c>
      <c r="J612" s="31" t="n">
        <f aca="false">_xlfn.MAXIFS(Trades!$X$2:$X$1146,Trades!$D$2:$D$1146,$A612)</f>
        <v>56.04</v>
      </c>
      <c r="K612" s="31" t="n">
        <f aca="false">_xlfn.MINIFS(Trades!$X$2:$X$1146,Trades!$D$2:$D$1146,$A612)</f>
        <v>56.04</v>
      </c>
      <c r="L612" s="33" t="n">
        <f aca="false">SUMIFS(Trades!$Y$2:$Y$1146,Trades!$D$2:$D$1146,$A612)</f>
        <v>2.63098591549215</v>
      </c>
      <c r="M612" s="31" t="n">
        <f aca="false">P611</f>
        <v>14661.95</v>
      </c>
      <c r="N612" s="30" t="n">
        <f aca="false">IFERROR(F612/M612,0)</f>
        <v>0.00382213825582546</v>
      </c>
      <c r="O612" s="29" t="str">
        <f aca="false">IF(-N612&gt;=Summary!$C$7,"BREACH","")</f>
        <v/>
      </c>
      <c r="P612" s="31" t="n">
        <f aca="false">M612+F612</f>
        <v>14717.99</v>
      </c>
      <c r="Q612" s="31" t="n">
        <f aca="false">P612-Summary!$C$5</f>
        <v>4717.98999999999</v>
      </c>
      <c r="R612" s="2" t="str">
        <f aca="false">TEXT(A612,"ddd")</f>
        <v>Fri</v>
      </c>
    </row>
    <row r="613" customFormat="false" ht="15" hidden="false" customHeight="false" outlineLevel="0" collapsed="false">
      <c r="A613" s="43" t="n">
        <v>45656</v>
      </c>
      <c r="B613" s="29" t="n">
        <f aca="false">COUNTIFS(Trades!$D$2:$D$1146,$A613)</f>
        <v>1</v>
      </c>
      <c r="C613" s="29" t="n">
        <f aca="false">COUNTIFS(Trades!$D$2:$D$1146,$A613,Trades!$Z$2:$Z$1146,"Win")</f>
        <v>0</v>
      </c>
      <c r="D613" s="29" t="n">
        <f aca="false">COUNTIFS(Trades!$D$2:$D$1146,$A613,Trades!$Z$2:$Z$1146,"Loss")</f>
        <v>1</v>
      </c>
      <c r="E613" s="30" t="n">
        <f aca="false">IFERROR(C613/B613,0)</f>
        <v>0</v>
      </c>
      <c r="F613" s="31" t="n">
        <f aca="false">SUMIFS(Trades!$X$2:$X$1146,Trades!$D$2:$D$1146,$A613)</f>
        <v>-0.54</v>
      </c>
      <c r="G613" s="31" t="n">
        <f aca="false">SUMIFS(Trades!$X$2:$X$1146,Trades!$D$2:$D$1146,$A613,Trades!$X$2:$X$1146,"&gt;0")</f>
        <v>0</v>
      </c>
      <c r="H613" s="31" t="n">
        <f aca="false">SUMIFS(Trades!$X$2:$X$1146,Trades!$D$2:$D$1146,$A613,Trades!$X$2:$X$1146,"&lt;0")</f>
        <v>-0.54</v>
      </c>
      <c r="I613" s="32" t="n">
        <f aca="false">IFERROR(G613/-H613,"no loss")</f>
        <v>0</v>
      </c>
      <c r="J613" s="31" t="n">
        <f aca="false">_xlfn.MAXIFS(Trades!$X$2:$X$1146,Trades!$D$2:$D$1146,$A613)</f>
        <v>-0.54</v>
      </c>
      <c r="K613" s="31" t="n">
        <f aca="false">_xlfn.MINIFS(Trades!$X$2:$X$1146,Trades!$D$2:$D$1146,$A613)</f>
        <v>-0.54</v>
      </c>
      <c r="L613" s="33" t="n">
        <f aca="false">SUMIFS(Trades!$Y$2:$Y$1146,Trades!$D$2:$D$1146,$A613)</f>
        <v>-0.00933609958506104</v>
      </c>
      <c r="M613" s="31" t="n">
        <f aca="false">P612</f>
        <v>14717.99</v>
      </c>
      <c r="N613" s="30" t="n">
        <f aca="false">IFERROR(F613/M613,0)</f>
        <v>-3.66897925599895E-005</v>
      </c>
      <c r="O613" s="29" t="str">
        <f aca="false">IF(-N613&gt;=Summary!$C$7,"BREACH","")</f>
        <v/>
      </c>
      <c r="P613" s="31" t="n">
        <f aca="false">M613+F613</f>
        <v>14717.45</v>
      </c>
      <c r="Q613" s="31" t="n">
        <f aca="false">P613-Summary!$C$5</f>
        <v>4717.44999999999</v>
      </c>
      <c r="R613" s="2" t="str">
        <f aca="false">TEXT(A613,"ddd")</f>
        <v>Mon</v>
      </c>
    </row>
    <row r="614" customFormat="false" ht="15" hidden="false" customHeight="false" outlineLevel="0" collapsed="false">
      <c r="A614" s="43" t="n">
        <v>45657</v>
      </c>
      <c r="B614" s="29" t="n">
        <f aca="false">COUNTIFS(Trades!$D$2:$D$1146,$A614)</f>
        <v>1</v>
      </c>
      <c r="C614" s="29" t="n">
        <f aca="false">COUNTIFS(Trades!$D$2:$D$1146,$A614,Trades!$Z$2:$Z$1146,"Win")</f>
        <v>0</v>
      </c>
      <c r="D614" s="29" t="n">
        <f aca="false">COUNTIFS(Trades!$D$2:$D$1146,$A614,Trades!$Z$2:$Z$1146,"Loss")</f>
        <v>1</v>
      </c>
      <c r="E614" s="30" t="n">
        <f aca="false">IFERROR(C614/B614,0)</f>
        <v>0</v>
      </c>
      <c r="F614" s="31" t="n">
        <f aca="false">SUMIFS(Trades!$X$2:$X$1146,Trades!$D$2:$D$1146,$A614)</f>
        <v>-3.15</v>
      </c>
      <c r="G614" s="31" t="n">
        <f aca="false">SUMIFS(Trades!$X$2:$X$1146,Trades!$D$2:$D$1146,$A614,Trades!$X$2:$X$1146,"&gt;0")</f>
        <v>0</v>
      </c>
      <c r="H614" s="31" t="n">
        <f aca="false">SUMIFS(Trades!$X$2:$X$1146,Trades!$D$2:$D$1146,$A614,Trades!$X$2:$X$1146,"&lt;0")</f>
        <v>-3.15</v>
      </c>
      <c r="I614" s="32" t="n">
        <f aca="false">IFERROR(G614/-H614,"no loss")</f>
        <v>0</v>
      </c>
      <c r="J614" s="31" t="n">
        <f aca="false">_xlfn.MAXIFS(Trades!$X$2:$X$1146,Trades!$D$2:$D$1146,$A614)</f>
        <v>-3.15</v>
      </c>
      <c r="K614" s="31" t="n">
        <f aca="false">_xlfn.MINIFS(Trades!$X$2:$X$1146,Trades!$D$2:$D$1146,$A614)</f>
        <v>-3.15</v>
      </c>
      <c r="L614" s="33" t="n">
        <f aca="false">SUMIFS(Trades!$Y$2:$Y$1146,Trades!$D$2:$D$1146,$A614)</f>
        <v>-0.0737877723120003</v>
      </c>
      <c r="M614" s="31" t="n">
        <f aca="false">P613</f>
        <v>14717.45</v>
      </c>
      <c r="N614" s="30" t="n">
        <f aca="false">IFERROR(F614/M614,0)</f>
        <v>-0.000214031642709845</v>
      </c>
      <c r="O614" s="29" t="str">
        <f aca="false">IF(-N614&gt;=Summary!$C$7,"BREACH","")</f>
        <v/>
      </c>
      <c r="P614" s="31" t="n">
        <f aca="false">M614+F614</f>
        <v>14714.3</v>
      </c>
      <c r="Q614" s="31" t="n">
        <f aca="false">P614-Summary!$C$5</f>
        <v>4714.29999999999</v>
      </c>
      <c r="R614" s="2" t="str">
        <f aca="false">TEXT(A614,"ddd")</f>
        <v>Tue</v>
      </c>
    </row>
    <row r="615" customFormat="false" ht="15" hidden="false" customHeight="false" outlineLevel="0" collapsed="false">
      <c r="A615" s="43" t="n">
        <v>45659</v>
      </c>
      <c r="B615" s="29" t="n">
        <f aca="false">COUNTIFS(Trades!$D$2:$D$1146,$A615)</f>
        <v>1</v>
      </c>
      <c r="C615" s="29" t="n">
        <f aca="false">COUNTIFS(Trades!$D$2:$D$1146,$A615,Trades!$Z$2:$Z$1146,"Win")</f>
        <v>1</v>
      </c>
      <c r="D615" s="29" t="n">
        <f aca="false">COUNTIFS(Trades!$D$2:$D$1146,$A615,Trades!$Z$2:$Z$1146,"Loss")</f>
        <v>0</v>
      </c>
      <c r="E615" s="30" t="n">
        <f aca="false">IFERROR(C615/B615,0)</f>
        <v>1</v>
      </c>
      <c r="F615" s="31" t="n">
        <f aca="false">SUMIFS(Trades!$X$2:$X$1146,Trades!$D$2:$D$1146,$A615)</f>
        <v>148.65</v>
      </c>
      <c r="G615" s="31" t="n">
        <f aca="false">SUMIFS(Trades!$X$2:$X$1146,Trades!$D$2:$D$1146,$A615,Trades!$X$2:$X$1146,"&gt;0")</f>
        <v>148.65</v>
      </c>
      <c r="H615" s="31" t="n">
        <f aca="false">SUMIFS(Trades!$X$2:$X$1146,Trades!$D$2:$D$1146,$A615,Trades!$X$2:$X$1146,"&lt;0")</f>
        <v>0</v>
      </c>
      <c r="I615" s="32" t="str">
        <f aca="false">IFERROR(G615/-H615,"no loss")</f>
        <v>no loss</v>
      </c>
      <c r="J615" s="31" t="n">
        <f aca="false">_xlfn.MAXIFS(Trades!$X$2:$X$1146,Trades!$D$2:$D$1146,$A615)</f>
        <v>148.65</v>
      </c>
      <c r="K615" s="31" t="n">
        <f aca="false">_xlfn.MINIFS(Trades!$X$2:$X$1146,Trades!$D$2:$D$1146,$A615)</f>
        <v>148.65</v>
      </c>
      <c r="L615" s="33" t="n">
        <f aca="false">SUMIFS(Trades!$Y$2:$Y$1146,Trades!$D$2:$D$1146,$A615)</f>
        <v>2.73454746136826</v>
      </c>
      <c r="M615" s="31" t="n">
        <f aca="false">P614</f>
        <v>14714.3</v>
      </c>
      <c r="N615" s="30" t="n">
        <f aca="false">IFERROR(F615/M615,0)</f>
        <v>0.0101024173762938</v>
      </c>
      <c r="O615" s="29" t="str">
        <f aca="false">IF(-N615&gt;=Summary!$C$7,"BREACH","")</f>
        <v/>
      </c>
      <c r="P615" s="31" t="n">
        <f aca="false">M615+F615</f>
        <v>14862.95</v>
      </c>
      <c r="Q615" s="31" t="n">
        <f aca="false">P615-Summary!$C$5</f>
        <v>4862.94999999999</v>
      </c>
      <c r="R615" s="2" t="str">
        <f aca="false">TEXT(A615,"ddd")</f>
        <v>Thu</v>
      </c>
    </row>
    <row r="616" customFormat="false" ht="15" hidden="false" customHeight="false" outlineLevel="0" collapsed="false">
      <c r="A616" s="43" t="n">
        <v>45660</v>
      </c>
      <c r="B616" s="29" t="n">
        <f aca="false">COUNTIFS(Trades!$D$2:$D$1146,$A616)</f>
        <v>1</v>
      </c>
      <c r="C616" s="29" t="n">
        <f aca="false">COUNTIFS(Trades!$D$2:$D$1146,$A616,Trades!$Z$2:$Z$1146,"Win")</f>
        <v>0</v>
      </c>
      <c r="D616" s="29" t="n">
        <f aca="false">COUNTIFS(Trades!$D$2:$D$1146,$A616,Trades!$Z$2:$Z$1146,"Loss")</f>
        <v>1</v>
      </c>
      <c r="E616" s="30" t="n">
        <f aca="false">IFERROR(C616/B616,0)</f>
        <v>0</v>
      </c>
      <c r="F616" s="31" t="n">
        <f aca="false">SUMIFS(Trades!$X$2:$X$1146,Trades!$D$2:$D$1146,$A616)</f>
        <v>-26.22</v>
      </c>
      <c r="G616" s="31" t="n">
        <f aca="false">SUMIFS(Trades!$X$2:$X$1146,Trades!$D$2:$D$1146,$A616,Trades!$X$2:$X$1146,"&gt;0")</f>
        <v>0</v>
      </c>
      <c r="H616" s="31" t="n">
        <f aca="false">SUMIFS(Trades!$X$2:$X$1146,Trades!$D$2:$D$1146,$A616,Trades!$X$2:$X$1146,"&lt;0")</f>
        <v>-26.22</v>
      </c>
      <c r="I616" s="32" t="n">
        <f aca="false">IFERROR(G616/-H616,"no loss")</f>
        <v>0</v>
      </c>
      <c r="J616" s="31" t="n">
        <f aca="false">_xlfn.MAXIFS(Trades!$X$2:$X$1146,Trades!$D$2:$D$1146,$A616)</f>
        <v>-26.22</v>
      </c>
      <c r="K616" s="31" t="n">
        <f aca="false">_xlfn.MINIFS(Trades!$X$2:$X$1146,Trades!$D$2:$D$1146,$A616)</f>
        <v>-26.22</v>
      </c>
      <c r="L616" s="33" t="n">
        <f aca="false">SUMIFS(Trades!$Y$2:$Y$1146,Trades!$D$2:$D$1146,$A616)</f>
        <v>-1.00575373993111</v>
      </c>
      <c r="M616" s="31" t="n">
        <f aca="false">P615</f>
        <v>14862.95</v>
      </c>
      <c r="N616" s="30" t="n">
        <f aca="false">IFERROR(F616/M616,0)</f>
        <v>-0.00176411815958474</v>
      </c>
      <c r="O616" s="29" t="str">
        <f aca="false">IF(-N616&gt;=Summary!$C$7,"BREACH","")</f>
        <v/>
      </c>
      <c r="P616" s="31" t="n">
        <f aca="false">M616+F616</f>
        <v>14836.73</v>
      </c>
      <c r="Q616" s="31" t="n">
        <f aca="false">P616-Summary!$C$5</f>
        <v>4836.72999999999</v>
      </c>
      <c r="R616" s="2" t="str">
        <f aca="false">TEXT(A616,"ddd")</f>
        <v>Fri</v>
      </c>
    </row>
    <row r="617" customFormat="false" ht="15" hidden="false" customHeight="false" outlineLevel="0" collapsed="false">
      <c r="A617" s="43" t="n">
        <v>45663</v>
      </c>
      <c r="B617" s="29" t="n">
        <f aca="false">COUNTIFS(Trades!$D$2:$D$1146,$A617)</f>
        <v>1</v>
      </c>
      <c r="C617" s="29" t="n">
        <f aca="false">COUNTIFS(Trades!$D$2:$D$1146,$A617,Trades!$Z$2:$Z$1146,"Win")</f>
        <v>0</v>
      </c>
      <c r="D617" s="29" t="n">
        <f aca="false">COUNTIFS(Trades!$D$2:$D$1146,$A617,Trades!$Z$2:$Z$1146,"Loss")</f>
        <v>1</v>
      </c>
      <c r="E617" s="30" t="n">
        <f aca="false">IFERROR(C617/B617,0)</f>
        <v>0</v>
      </c>
      <c r="F617" s="31" t="n">
        <f aca="false">SUMIFS(Trades!$X$2:$X$1146,Trades!$D$2:$D$1146,$A617)</f>
        <v>-0.6</v>
      </c>
      <c r="G617" s="31" t="n">
        <f aca="false">SUMIFS(Trades!$X$2:$X$1146,Trades!$D$2:$D$1146,$A617,Trades!$X$2:$X$1146,"&gt;0")</f>
        <v>0</v>
      </c>
      <c r="H617" s="31" t="n">
        <f aca="false">SUMIFS(Trades!$X$2:$X$1146,Trades!$D$2:$D$1146,$A617,Trades!$X$2:$X$1146,"&lt;0")</f>
        <v>-0.6</v>
      </c>
      <c r="I617" s="32" t="n">
        <f aca="false">IFERROR(G617/-H617,"no loss")</f>
        <v>0</v>
      </c>
      <c r="J617" s="31" t="n">
        <f aca="false">_xlfn.MAXIFS(Trades!$X$2:$X$1146,Trades!$D$2:$D$1146,$A617)</f>
        <v>-0.6</v>
      </c>
      <c r="K617" s="31" t="n">
        <f aca="false">_xlfn.MINIFS(Trades!$X$2:$X$1146,Trades!$D$2:$D$1146,$A617)</f>
        <v>-0.6</v>
      </c>
      <c r="L617" s="33" t="n">
        <f aca="false">SUMIFS(Trades!$Y$2:$Y$1146,Trades!$D$2:$D$1146,$A617)</f>
        <v>-0.0385356454720714</v>
      </c>
      <c r="M617" s="31" t="n">
        <f aca="false">P616</f>
        <v>14836.73</v>
      </c>
      <c r="N617" s="30" t="n">
        <f aca="false">IFERROR(F617/M617,0)</f>
        <v>-4.04401778559022E-005</v>
      </c>
      <c r="O617" s="29" t="str">
        <f aca="false">IF(-N617&gt;=Summary!$C$7,"BREACH","")</f>
        <v/>
      </c>
      <c r="P617" s="31" t="n">
        <f aca="false">M617+F617</f>
        <v>14836.13</v>
      </c>
      <c r="Q617" s="31" t="n">
        <f aca="false">P617-Summary!$C$5</f>
        <v>4836.12999999999</v>
      </c>
      <c r="R617" s="2" t="str">
        <f aca="false">TEXT(A617,"ddd")</f>
        <v>Mon</v>
      </c>
    </row>
    <row r="618" customFormat="false" ht="15" hidden="false" customHeight="false" outlineLevel="0" collapsed="false">
      <c r="A618" s="43" t="n">
        <v>45664</v>
      </c>
      <c r="B618" s="29" t="n">
        <f aca="false">COUNTIFS(Trades!$D$2:$D$1146,$A618)</f>
        <v>1</v>
      </c>
      <c r="C618" s="29" t="n">
        <f aca="false">COUNTIFS(Trades!$D$2:$D$1146,$A618,Trades!$Z$2:$Z$1146,"Win")</f>
        <v>0</v>
      </c>
      <c r="D618" s="29" t="n">
        <f aca="false">COUNTIFS(Trades!$D$2:$D$1146,$A618,Trades!$Z$2:$Z$1146,"Loss")</f>
        <v>1</v>
      </c>
      <c r="E618" s="30" t="n">
        <f aca="false">IFERROR(C618/B618,0)</f>
        <v>0</v>
      </c>
      <c r="F618" s="31" t="n">
        <f aca="false">SUMIFS(Trades!$X$2:$X$1146,Trades!$D$2:$D$1146,$A618)</f>
        <v>-0.57</v>
      </c>
      <c r="G618" s="31" t="n">
        <f aca="false">SUMIFS(Trades!$X$2:$X$1146,Trades!$D$2:$D$1146,$A618,Trades!$X$2:$X$1146,"&gt;0")</f>
        <v>0</v>
      </c>
      <c r="H618" s="31" t="n">
        <f aca="false">SUMIFS(Trades!$X$2:$X$1146,Trades!$D$2:$D$1146,$A618,Trades!$X$2:$X$1146,"&lt;0")</f>
        <v>-0.57</v>
      </c>
      <c r="I618" s="32" t="n">
        <f aca="false">IFERROR(G618/-H618,"no loss")</f>
        <v>0</v>
      </c>
      <c r="J618" s="31" t="n">
        <f aca="false">_xlfn.MAXIFS(Trades!$X$2:$X$1146,Trades!$D$2:$D$1146,$A618)</f>
        <v>-0.57</v>
      </c>
      <c r="K618" s="31" t="n">
        <f aca="false">_xlfn.MINIFS(Trades!$X$2:$X$1146,Trades!$D$2:$D$1146,$A618)</f>
        <v>-0.57</v>
      </c>
      <c r="L618" s="33" t="n">
        <f aca="false">SUMIFS(Trades!$Y$2:$Y$1146,Trades!$D$2:$D$1146,$A618)</f>
        <v>-0.00657212037357319</v>
      </c>
      <c r="M618" s="31" t="n">
        <f aca="false">P617</f>
        <v>14836.13</v>
      </c>
      <c r="N618" s="30" t="n">
        <f aca="false">IFERROR(F618/M618,0)</f>
        <v>-3.84197226635248E-005</v>
      </c>
      <c r="O618" s="29" t="str">
        <f aca="false">IF(-N618&gt;=Summary!$C$7,"BREACH","")</f>
        <v/>
      </c>
      <c r="P618" s="31" t="n">
        <f aca="false">M618+F618</f>
        <v>14835.56</v>
      </c>
      <c r="Q618" s="31" t="n">
        <f aca="false">P618-Summary!$C$5</f>
        <v>4835.55999999999</v>
      </c>
      <c r="R618" s="2" t="str">
        <f aca="false">TEXT(A618,"ddd")</f>
        <v>Tue</v>
      </c>
    </row>
    <row r="619" customFormat="false" ht="15" hidden="false" customHeight="false" outlineLevel="0" collapsed="false">
      <c r="A619" s="43" t="n">
        <v>45665</v>
      </c>
      <c r="B619" s="29" t="n">
        <f aca="false">COUNTIFS(Trades!$D$2:$D$1146,$A619)</f>
        <v>1</v>
      </c>
      <c r="C619" s="29" t="n">
        <f aca="false">COUNTIFS(Trades!$D$2:$D$1146,$A619,Trades!$Z$2:$Z$1146,"Win")</f>
        <v>0</v>
      </c>
      <c r="D619" s="29" t="n">
        <f aca="false">COUNTIFS(Trades!$D$2:$D$1146,$A619,Trades!$Z$2:$Z$1146,"Loss")</f>
        <v>1</v>
      </c>
      <c r="E619" s="30" t="n">
        <f aca="false">IFERROR(C619/B619,0)</f>
        <v>0</v>
      </c>
      <c r="F619" s="31" t="n">
        <f aca="false">SUMIFS(Trades!$X$2:$X$1146,Trades!$D$2:$D$1146,$A619)</f>
        <v>-3.24</v>
      </c>
      <c r="G619" s="31" t="n">
        <f aca="false">SUMIFS(Trades!$X$2:$X$1146,Trades!$D$2:$D$1146,$A619,Trades!$X$2:$X$1146,"&gt;0")</f>
        <v>0</v>
      </c>
      <c r="H619" s="31" t="n">
        <f aca="false">SUMIFS(Trades!$X$2:$X$1146,Trades!$D$2:$D$1146,$A619,Trades!$X$2:$X$1146,"&lt;0")</f>
        <v>-3.24</v>
      </c>
      <c r="I619" s="32" t="n">
        <f aca="false">IFERROR(G619/-H619,"no loss")</f>
        <v>0</v>
      </c>
      <c r="J619" s="31" t="n">
        <f aca="false">_xlfn.MAXIFS(Trades!$X$2:$X$1146,Trades!$D$2:$D$1146,$A619)</f>
        <v>-3.24</v>
      </c>
      <c r="K619" s="31" t="n">
        <f aca="false">_xlfn.MINIFS(Trades!$X$2:$X$1146,Trades!$D$2:$D$1146,$A619)</f>
        <v>-3.24</v>
      </c>
      <c r="L619" s="33" t="n">
        <f aca="false">SUMIFS(Trades!$Y$2:$Y$1146,Trades!$D$2:$D$1146,$A619)</f>
        <v>-0.0810810810810829</v>
      </c>
      <c r="M619" s="31" t="n">
        <f aca="false">P618</f>
        <v>14835.56</v>
      </c>
      <c r="N619" s="30" t="n">
        <f aca="false">IFERROR(F619/M619,0)</f>
        <v>-0.000218394182626069</v>
      </c>
      <c r="O619" s="29" t="str">
        <f aca="false">IF(-N619&gt;=Summary!$C$7,"BREACH","")</f>
        <v/>
      </c>
      <c r="P619" s="31" t="n">
        <f aca="false">M619+F619</f>
        <v>14832.32</v>
      </c>
      <c r="Q619" s="31" t="n">
        <f aca="false">P619-Summary!$C$5</f>
        <v>4832.31999999999</v>
      </c>
      <c r="R619" s="2" t="str">
        <f aca="false">TEXT(A619,"ddd")</f>
        <v>Wed</v>
      </c>
    </row>
    <row r="620" customFormat="false" ht="15" hidden="false" customHeight="false" outlineLevel="0" collapsed="false">
      <c r="A620" s="43" t="n">
        <v>45667</v>
      </c>
      <c r="B620" s="29" t="n">
        <f aca="false">COUNTIFS(Trades!$D$2:$D$1146,$A620)</f>
        <v>2</v>
      </c>
      <c r="C620" s="29" t="n">
        <f aca="false">COUNTIFS(Trades!$D$2:$D$1146,$A620,Trades!$Z$2:$Z$1146,"Win")</f>
        <v>1</v>
      </c>
      <c r="D620" s="29" t="n">
        <f aca="false">COUNTIFS(Trades!$D$2:$D$1146,$A620,Trades!$Z$2:$Z$1146,"Loss")</f>
        <v>1</v>
      </c>
      <c r="E620" s="30" t="n">
        <f aca="false">IFERROR(C620/B620,0)</f>
        <v>0.5</v>
      </c>
      <c r="F620" s="31" t="n">
        <f aca="false">SUMIFS(Trades!$X$2:$X$1146,Trades!$D$2:$D$1146,$A620)</f>
        <v>43.98</v>
      </c>
      <c r="G620" s="31" t="n">
        <f aca="false">SUMIFS(Trades!$X$2:$X$1146,Trades!$D$2:$D$1146,$A620,Trades!$X$2:$X$1146,"&gt;0")</f>
        <v>49.44</v>
      </c>
      <c r="H620" s="31" t="n">
        <f aca="false">SUMIFS(Trades!$X$2:$X$1146,Trades!$D$2:$D$1146,$A620,Trades!$X$2:$X$1146,"&lt;0")</f>
        <v>-5.46</v>
      </c>
      <c r="I620" s="32" t="n">
        <f aca="false">IFERROR(G620/-H620,"no loss")</f>
        <v>9.05494505494506</v>
      </c>
      <c r="J620" s="31" t="n">
        <f aca="false">_xlfn.MAXIFS(Trades!$X$2:$X$1146,Trades!$D$2:$D$1146,$A620)</f>
        <v>49.44</v>
      </c>
      <c r="K620" s="31" t="n">
        <f aca="false">_xlfn.MINIFS(Trades!$X$2:$X$1146,Trades!$D$2:$D$1146,$A620)</f>
        <v>-5.46</v>
      </c>
      <c r="L620" s="33" t="n">
        <f aca="false">SUMIFS(Trades!$Y$2:$Y$1146,Trades!$D$2:$D$1146,$A620)</f>
        <v>2.30682072412614</v>
      </c>
      <c r="M620" s="31" t="n">
        <f aca="false">P619</f>
        <v>14832.32</v>
      </c>
      <c r="N620" s="30" t="n">
        <f aca="false">IFERROR(F620/M620,0)</f>
        <v>0.00296514638303381</v>
      </c>
      <c r="O620" s="29" t="str">
        <f aca="false">IF(-N620&gt;=Summary!$C$7,"BREACH","")</f>
        <v/>
      </c>
      <c r="P620" s="31" t="n">
        <f aca="false">M620+F620</f>
        <v>14876.3</v>
      </c>
      <c r="Q620" s="31" t="n">
        <f aca="false">P620-Summary!$C$5</f>
        <v>4876.29999999999</v>
      </c>
      <c r="R620" s="2" t="str">
        <f aca="false">TEXT(A620,"ddd")</f>
        <v>Fri</v>
      </c>
    </row>
    <row r="621" customFormat="false" ht="15" hidden="false" customHeight="false" outlineLevel="0" collapsed="false">
      <c r="A621" s="43" t="n">
        <v>45670</v>
      </c>
      <c r="B621" s="29" t="n">
        <f aca="false">COUNTIFS(Trades!$D$2:$D$1146,$A621)</f>
        <v>1</v>
      </c>
      <c r="C621" s="29" t="n">
        <f aca="false">COUNTIFS(Trades!$D$2:$D$1146,$A621,Trades!$Z$2:$Z$1146,"Win")</f>
        <v>0</v>
      </c>
      <c r="D621" s="29" t="n">
        <f aca="false">COUNTIFS(Trades!$D$2:$D$1146,$A621,Trades!$Z$2:$Z$1146,"Loss")</f>
        <v>1</v>
      </c>
      <c r="E621" s="30" t="n">
        <f aca="false">IFERROR(C621/B621,0)</f>
        <v>0</v>
      </c>
      <c r="F621" s="31" t="n">
        <f aca="false">SUMIFS(Trades!$X$2:$X$1146,Trades!$D$2:$D$1146,$A621)</f>
        <v>-52.74</v>
      </c>
      <c r="G621" s="31" t="n">
        <f aca="false">SUMIFS(Trades!$X$2:$X$1146,Trades!$D$2:$D$1146,$A621,Trades!$X$2:$X$1146,"&gt;0")</f>
        <v>0</v>
      </c>
      <c r="H621" s="31" t="n">
        <f aca="false">SUMIFS(Trades!$X$2:$X$1146,Trades!$D$2:$D$1146,$A621,Trades!$X$2:$X$1146,"&lt;0")</f>
        <v>-52.74</v>
      </c>
      <c r="I621" s="32" t="n">
        <f aca="false">IFERROR(G621/-H621,"no loss")</f>
        <v>0</v>
      </c>
      <c r="J621" s="31" t="n">
        <f aca="false">_xlfn.MAXIFS(Trades!$X$2:$X$1146,Trades!$D$2:$D$1146,$A621)</f>
        <v>-52.74</v>
      </c>
      <c r="K621" s="31" t="n">
        <f aca="false">_xlfn.MINIFS(Trades!$X$2:$X$1146,Trades!$D$2:$D$1146,$A621)</f>
        <v>-52.74</v>
      </c>
      <c r="L621" s="33" t="n">
        <f aca="false">SUMIFS(Trades!$Y$2:$Y$1146,Trades!$D$2:$D$1146,$A621)</f>
        <v>-1.01618497109831</v>
      </c>
      <c r="M621" s="31" t="n">
        <f aca="false">P620</f>
        <v>14876.3</v>
      </c>
      <c r="N621" s="30" t="n">
        <f aca="false">IFERROR(F621/M621,0)</f>
        <v>-0.00354523638270269</v>
      </c>
      <c r="O621" s="29" t="str">
        <f aca="false">IF(-N621&gt;=Summary!$C$7,"BREACH","")</f>
        <v/>
      </c>
      <c r="P621" s="31" t="n">
        <f aca="false">M621+F621</f>
        <v>14823.56</v>
      </c>
      <c r="Q621" s="31" t="n">
        <f aca="false">P621-Summary!$C$5</f>
        <v>4823.55999999999</v>
      </c>
      <c r="R621" s="2" t="str">
        <f aca="false">TEXT(A621,"ddd")</f>
        <v>Mon</v>
      </c>
    </row>
    <row r="622" customFormat="false" ht="15" hidden="false" customHeight="false" outlineLevel="0" collapsed="false">
      <c r="A622" s="43" t="n">
        <v>45671</v>
      </c>
      <c r="B622" s="29" t="n">
        <f aca="false">COUNTIFS(Trades!$D$2:$D$1146,$A622)</f>
        <v>1</v>
      </c>
      <c r="C622" s="29" t="n">
        <f aca="false">COUNTIFS(Trades!$D$2:$D$1146,$A622,Trades!$Z$2:$Z$1146,"Win")</f>
        <v>1</v>
      </c>
      <c r="D622" s="29" t="n">
        <f aca="false">COUNTIFS(Trades!$D$2:$D$1146,$A622,Trades!$Z$2:$Z$1146,"Loss")</f>
        <v>0</v>
      </c>
      <c r="E622" s="30" t="n">
        <f aca="false">IFERROR(C622/B622,0)</f>
        <v>1</v>
      </c>
      <c r="F622" s="31" t="n">
        <f aca="false">SUMIFS(Trades!$X$2:$X$1146,Trades!$D$2:$D$1146,$A622)</f>
        <v>60.03</v>
      </c>
      <c r="G622" s="31" t="n">
        <f aca="false">SUMIFS(Trades!$X$2:$X$1146,Trades!$D$2:$D$1146,$A622,Trades!$X$2:$X$1146,"&gt;0")</f>
        <v>60.03</v>
      </c>
      <c r="H622" s="31" t="n">
        <f aca="false">SUMIFS(Trades!$X$2:$X$1146,Trades!$D$2:$D$1146,$A622,Trades!$X$2:$X$1146,"&lt;0")</f>
        <v>0</v>
      </c>
      <c r="I622" s="32" t="str">
        <f aca="false">IFERROR(G622/-H622,"no loss")</f>
        <v>no loss</v>
      </c>
      <c r="J622" s="31" t="n">
        <f aca="false">_xlfn.MAXIFS(Trades!$X$2:$X$1146,Trades!$D$2:$D$1146,$A622)</f>
        <v>60.03</v>
      </c>
      <c r="K622" s="31" t="n">
        <f aca="false">_xlfn.MINIFS(Trades!$X$2:$X$1146,Trades!$D$2:$D$1146,$A622)</f>
        <v>60.03</v>
      </c>
      <c r="L622" s="33" t="n">
        <f aca="false">SUMIFS(Trades!$Y$2:$Y$1146,Trades!$D$2:$D$1146,$A622)</f>
        <v>2.45521472392594</v>
      </c>
      <c r="M622" s="31" t="n">
        <f aca="false">P621</f>
        <v>14823.56</v>
      </c>
      <c r="N622" s="30" t="n">
        <f aca="false">IFERROR(F622/M622,0)</f>
        <v>0.00404963450075421</v>
      </c>
      <c r="O622" s="29" t="str">
        <f aca="false">IF(-N622&gt;=Summary!$C$7,"BREACH","")</f>
        <v/>
      </c>
      <c r="P622" s="31" t="n">
        <f aca="false">M622+F622</f>
        <v>14883.59</v>
      </c>
      <c r="Q622" s="31" t="n">
        <f aca="false">P622-Summary!$C$5</f>
        <v>4883.58999999999</v>
      </c>
      <c r="R622" s="2" t="str">
        <f aca="false">TEXT(A622,"ddd")</f>
        <v>Tue</v>
      </c>
    </row>
    <row r="623" customFormat="false" ht="15" hidden="false" customHeight="false" outlineLevel="0" collapsed="false">
      <c r="A623" s="43" t="n">
        <v>45672</v>
      </c>
      <c r="B623" s="29" t="n">
        <f aca="false">COUNTIFS(Trades!$D$2:$D$1146,$A623)</f>
        <v>1</v>
      </c>
      <c r="C623" s="29" t="n">
        <f aca="false">COUNTIFS(Trades!$D$2:$D$1146,$A623,Trades!$Z$2:$Z$1146,"Win")</f>
        <v>1</v>
      </c>
      <c r="D623" s="29" t="n">
        <f aca="false">COUNTIFS(Trades!$D$2:$D$1146,$A623,Trades!$Z$2:$Z$1146,"Loss")</f>
        <v>0</v>
      </c>
      <c r="E623" s="30" t="n">
        <f aca="false">IFERROR(C623/B623,0)</f>
        <v>1</v>
      </c>
      <c r="F623" s="31" t="n">
        <f aca="false">SUMIFS(Trades!$X$2:$X$1146,Trades!$D$2:$D$1146,$A623)</f>
        <v>389.67</v>
      </c>
      <c r="G623" s="31" t="n">
        <f aca="false">SUMIFS(Trades!$X$2:$X$1146,Trades!$D$2:$D$1146,$A623,Trades!$X$2:$X$1146,"&gt;0")</f>
        <v>389.67</v>
      </c>
      <c r="H623" s="31" t="n">
        <f aca="false">SUMIFS(Trades!$X$2:$X$1146,Trades!$D$2:$D$1146,$A623,Trades!$X$2:$X$1146,"&lt;0")</f>
        <v>0</v>
      </c>
      <c r="I623" s="32" t="str">
        <f aca="false">IFERROR(G623/-H623,"no loss")</f>
        <v>no loss</v>
      </c>
      <c r="J623" s="31" t="n">
        <f aca="false">_xlfn.MAXIFS(Trades!$X$2:$X$1146,Trades!$D$2:$D$1146,$A623)</f>
        <v>389.67</v>
      </c>
      <c r="K623" s="31" t="n">
        <f aca="false">_xlfn.MINIFS(Trades!$X$2:$X$1146,Trades!$D$2:$D$1146,$A623)</f>
        <v>389.67</v>
      </c>
      <c r="L623" s="33" t="n">
        <f aca="false">SUMIFS(Trades!$Y$2:$Y$1146,Trades!$D$2:$D$1146,$A623)</f>
        <v>2.46986119034036</v>
      </c>
      <c r="M623" s="31" t="n">
        <f aca="false">P622</f>
        <v>14883.59</v>
      </c>
      <c r="N623" s="30" t="n">
        <f aca="false">IFERROR(F623/M623,0)</f>
        <v>0.0261811834375981</v>
      </c>
      <c r="O623" s="29" t="str">
        <f aca="false">IF(-N623&gt;=Summary!$C$7,"BREACH","")</f>
        <v/>
      </c>
      <c r="P623" s="31" t="n">
        <f aca="false">M623+F623</f>
        <v>15273.26</v>
      </c>
      <c r="Q623" s="31" t="n">
        <f aca="false">P623-Summary!$C$5</f>
        <v>5273.25999999999</v>
      </c>
      <c r="R623" s="2" t="str">
        <f aca="false">TEXT(A623,"ddd")</f>
        <v>Wed</v>
      </c>
    </row>
    <row r="624" customFormat="false" ht="15" hidden="false" customHeight="false" outlineLevel="0" collapsed="false">
      <c r="A624" s="43" t="n">
        <v>45673</v>
      </c>
      <c r="B624" s="29" t="n">
        <f aca="false">COUNTIFS(Trades!$D$2:$D$1146,$A624)</f>
        <v>1</v>
      </c>
      <c r="C624" s="29" t="n">
        <f aca="false">COUNTIFS(Trades!$D$2:$D$1146,$A624,Trades!$Z$2:$Z$1146,"Win")</f>
        <v>1</v>
      </c>
      <c r="D624" s="29" t="n">
        <f aca="false">COUNTIFS(Trades!$D$2:$D$1146,$A624,Trades!$Z$2:$Z$1146,"Loss")</f>
        <v>0</v>
      </c>
      <c r="E624" s="30" t="n">
        <f aca="false">IFERROR(C624/B624,0)</f>
        <v>1</v>
      </c>
      <c r="F624" s="31" t="n">
        <f aca="false">SUMIFS(Trades!$X$2:$X$1146,Trades!$D$2:$D$1146,$A624)</f>
        <v>74.07</v>
      </c>
      <c r="G624" s="31" t="n">
        <f aca="false">SUMIFS(Trades!$X$2:$X$1146,Trades!$D$2:$D$1146,$A624,Trades!$X$2:$X$1146,"&gt;0")</f>
        <v>74.07</v>
      </c>
      <c r="H624" s="31" t="n">
        <f aca="false">SUMIFS(Trades!$X$2:$X$1146,Trades!$D$2:$D$1146,$A624,Trades!$X$2:$X$1146,"&lt;0")</f>
        <v>0</v>
      </c>
      <c r="I624" s="32" t="str">
        <f aca="false">IFERROR(G624/-H624,"no loss")</f>
        <v>no loss</v>
      </c>
      <c r="J624" s="31" t="n">
        <f aca="false">_xlfn.MAXIFS(Trades!$X$2:$X$1146,Trades!$D$2:$D$1146,$A624)</f>
        <v>74.07</v>
      </c>
      <c r="K624" s="31" t="n">
        <f aca="false">_xlfn.MINIFS(Trades!$X$2:$X$1146,Trades!$D$2:$D$1146,$A624)</f>
        <v>74.07</v>
      </c>
      <c r="L624" s="33" t="n">
        <f aca="false">SUMIFS(Trades!$Y$2:$Y$1146,Trades!$D$2:$D$1146,$A624)</f>
        <v>2.58534031413632</v>
      </c>
      <c r="M624" s="31" t="n">
        <f aca="false">P623</f>
        <v>15273.26</v>
      </c>
      <c r="N624" s="30" t="n">
        <f aca="false">IFERROR(F624/M624,0)</f>
        <v>0.0048496522680816</v>
      </c>
      <c r="O624" s="29" t="str">
        <f aca="false">IF(-N624&gt;=Summary!$C$7,"BREACH","")</f>
        <v/>
      </c>
      <c r="P624" s="31" t="n">
        <f aca="false">M624+F624</f>
        <v>15347.33</v>
      </c>
      <c r="Q624" s="31" t="n">
        <f aca="false">P624-Summary!$C$5</f>
        <v>5347.32999999999</v>
      </c>
      <c r="R624" s="2" t="str">
        <f aca="false">TEXT(A624,"ddd")</f>
        <v>Thu</v>
      </c>
    </row>
    <row r="625" customFormat="false" ht="15" hidden="false" customHeight="false" outlineLevel="0" collapsed="false">
      <c r="A625" s="43" t="n">
        <v>45674</v>
      </c>
      <c r="B625" s="29" t="n">
        <f aca="false">COUNTIFS(Trades!$D$2:$D$1146,$A625)</f>
        <v>1</v>
      </c>
      <c r="C625" s="29" t="n">
        <f aca="false">COUNTIFS(Trades!$D$2:$D$1146,$A625,Trades!$Z$2:$Z$1146,"Win")</f>
        <v>1</v>
      </c>
      <c r="D625" s="29" t="n">
        <f aca="false">COUNTIFS(Trades!$D$2:$D$1146,$A625,Trades!$Z$2:$Z$1146,"Loss")</f>
        <v>0</v>
      </c>
      <c r="E625" s="30" t="n">
        <f aca="false">IFERROR(C625/B625,0)</f>
        <v>1</v>
      </c>
      <c r="F625" s="31" t="n">
        <f aca="false">SUMIFS(Trades!$X$2:$X$1146,Trades!$D$2:$D$1146,$A625)</f>
        <v>106.32</v>
      </c>
      <c r="G625" s="31" t="n">
        <f aca="false">SUMIFS(Trades!$X$2:$X$1146,Trades!$D$2:$D$1146,$A625,Trades!$X$2:$X$1146,"&gt;0")</f>
        <v>106.32</v>
      </c>
      <c r="H625" s="31" t="n">
        <f aca="false">SUMIFS(Trades!$X$2:$X$1146,Trades!$D$2:$D$1146,$A625,Trades!$X$2:$X$1146,"&lt;0")</f>
        <v>0</v>
      </c>
      <c r="I625" s="32" t="str">
        <f aca="false">IFERROR(G625/-H625,"no loss")</f>
        <v>no loss</v>
      </c>
      <c r="J625" s="31" t="n">
        <f aca="false">_xlfn.MAXIFS(Trades!$X$2:$X$1146,Trades!$D$2:$D$1146,$A625)</f>
        <v>106.32</v>
      </c>
      <c r="K625" s="31" t="n">
        <f aca="false">_xlfn.MINIFS(Trades!$X$2:$X$1146,Trades!$D$2:$D$1146,$A625)</f>
        <v>106.32</v>
      </c>
      <c r="L625" s="33" t="n">
        <f aca="false">SUMIFS(Trades!$Y$2:$Y$1146,Trades!$D$2:$D$1146,$A625)</f>
        <v>2.54964028777018</v>
      </c>
      <c r="M625" s="31" t="n">
        <f aca="false">P624</f>
        <v>15347.33</v>
      </c>
      <c r="N625" s="30" t="n">
        <f aca="false">IFERROR(F625/M625,0)</f>
        <v>0.00692758935919147</v>
      </c>
      <c r="O625" s="29" t="str">
        <f aca="false">IF(-N625&gt;=Summary!$C$7,"BREACH","")</f>
        <v/>
      </c>
      <c r="P625" s="31" t="n">
        <f aca="false">M625+F625</f>
        <v>15453.65</v>
      </c>
      <c r="Q625" s="31" t="n">
        <f aca="false">P625-Summary!$C$5</f>
        <v>5453.64999999999</v>
      </c>
      <c r="R625" s="2" t="str">
        <f aca="false">TEXT(A625,"ddd")</f>
        <v>Fri</v>
      </c>
    </row>
    <row r="626" customFormat="false" ht="15" hidden="false" customHeight="false" outlineLevel="0" collapsed="false">
      <c r="A626" s="43" t="n">
        <v>45677</v>
      </c>
      <c r="B626" s="29" t="n">
        <f aca="false">COUNTIFS(Trades!$D$2:$D$1146,$A626)</f>
        <v>1</v>
      </c>
      <c r="C626" s="29" t="n">
        <f aca="false">COUNTIFS(Trades!$D$2:$D$1146,$A626,Trades!$Z$2:$Z$1146,"Win")</f>
        <v>0</v>
      </c>
      <c r="D626" s="29" t="n">
        <f aca="false">COUNTIFS(Trades!$D$2:$D$1146,$A626,Trades!$Z$2:$Z$1146,"Loss")</f>
        <v>1</v>
      </c>
      <c r="E626" s="30" t="n">
        <f aca="false">IFERROR(C626/B626,0)</f>
        <v>0</v>
      </c>
      <c r="F626" s="31" t="n">
        <f aca="false">SUMIFS(Trades!$X$2:$X$1146,Trades!$D$2:$D$1146,$A626)</f>
        <v>-0.21</v>
      </c>
      <c r="G626" s="31" t="n">
        <f aca="false">SUMIFS(Trades!$X$2:$X$1146,Trades!$D$2:$D$1146,$A626,Trades!$X$2:$X$1146,"&gt;0")</f>
        <v>0</v>
      </c>
      <c r="H626" s="31" t="n">
        <f aca="false">SUMIFS(Trades!$X$2:$X$1146,Trades!$D$2:$D$1146,$A626,Trades!$X$2:$X$1146,"&lt;0")</f>
        <v>-0.21</v>
      </c>
      <c r="I626" s="32" t="n">
        <f aca="false">IFERROR(G626/-H626,"no loss")</f>
        <v>0</v>
      </c>
      <c r="J626" s="31" t="n">
        <f aca="false">_xlfn.MAXIFS(Trades!$X$2:$X$1146,Trades!$D$2:$D$1146,$A626)</f>
        <v>-0.21</v>
      </c>
      <c r="K626" s="31" t="n">
        <f aca="false">_xlfn.MINIFS(Trades!$X$2:$X$1146,Trades!$D$2:$D$1146,$A626)</f>
        <v>-0.21</v>
      </c>
      <c r="L626" s="33" t="n">
        <f aca="false">SUMIFS(Trades!$Y$2:$Y$1146,Trades!$D$2:$D$1146,$A626)</f>
        <v>-0.0061403508771922</v>
      </c>
      <c r="M626" s="31" t="n">
        <f aca="false">P625</f>
        <v>15453.65</v>
      </c>
      <c r="N626" s="30" t="n">
        <f aca="false">IFERROR(F626/M626,0)</f>
        <v>-1.35890226580775E-005</v>
      </c>
      <c r="O626" s="29" t="str">
        <f aca="false">IF(-N626&gt;=Summary!$C$7,"BREACH","")</f>
        <v/>
      </c>
      <c r="P626" s="31" t="n">
        <f aca="false">M626+F626</f>
        <v>15453.44</v>
      </c>
      <c r="Q626" s="31" t="n">
        <f aca="false">P626-Summary!$C$5</f>
        <v>5453.43999999999</v>
      </c>
      <c r="R626" s="2" t="str">
        <f aca="false">TEXT(A626,"ddd")</f>
        <v>Mon</v>
      </c>
    </row>
    <row r="627" customFormat="false" ht="15" hidden="false" customHeight="false" outlineLevel="0" collapsed="false">
      <c r="A627" s="43" t="n">
        <v>45678</v>
      </c>
      <c r="B627" s="29" t="n">
        <f aca="false">COUNTIFS(Trades!$D$2:$D$1146,$A627)</f>
        <v>1</v>
      </c>
      <c r="C627" s="29" t="n">
        <f aca="false">COUNTIFS(Trades!$D$2:$D$1146,$A627,Trades!$Z$2:$Z$1146,"Win")</f>
        <v>1</v>
      </c>
      <c r="D627" s="29" t="n">
        <f aca="false">COUNTIFS(Trades!$D$2:$D$1146,$A627,Trades!$Z$2:$Z$1146,"Loss")</f>
        <v>0</v>
      </c>
      <c r="E627" s="30" t="n">
        <f aca="false">IFERROR(C627/B627,0)</f>
        <v>1</v>
      </c>
      <c r="F627" s="31" t="n">
        <f aca="false">SUMIFS(Trades!$X$2:$X$1146,Trades!$D$2:$D$1146,$A627)</f>
        <v>307.35</v>
      </c>
      <c r="G627" s="31" t="n">
        <f aca="false">SUMIFS(Trades!$X$2:$X$1146,Trades!$D$2:$D$1146,$A627,Trades!$X$2:$X$1146,"&gt;0")</f>
        <v>307.35</v>
      </c>
      <c r="H627" s="31" t="n">
        <f aca="false">SUMIFS(Trades!$X$2:$X$1146,Trades!$D$2:$D$1146,$A627,Trades!$X$2:$X$1146,"&lt;0")</f>
        <v>0</v>
      </c>
      <c r="I627" s="32" t="str">
        <f aca="false">IFERROR(G627/-H627,"no loss")</f>
        <v>no loss</v>
      </c>
      <c r="J627" s="31" t="n">
        <f aca="false">_xlfn.MAXIFS(Trades!$X$2:$X$1146,Trades!$D$2:$D$1146,$A627)</f>
        <v>307.35</v>
      </c>
      <c r="K627" s="31" t="n">
        <f aca="false">_xlfn.MINIFS(Trades!$X$2:$X$1146,Trades!$D$2:$D$1146,$A627)</f>
        <v>307.35</v>
      </c>
      <c r="L627" s="33" t="n">
        <f aca="false">SUMIFS(Trades!$Y$2:$Y$1146,Trades!$D$2:$D$1146,$A627)</f>
        <v>2.53150481838392</v>
      </c>
      <c r="M627" s="31" t="n">
        <f aca="false">P626</f>
        <v>15453.44</v>
      </c>
      <c r="N627" s="30" t="n">
        <f aca="false">IFERROR(F627/M627,0)</f>
        <v>0.019888775573594</v>
      </c>
      <c r="O627" s="29" t="str">
        <f aca="false">IF(-N627&gt;=Summary!$C$7,"BREACH","")</f>
        <v/>
      </c>
      <c r="P627" s="31" t="n">
        <f aca="false">M627+F627</f>
        <v>15760.79</v>
      </c>
      <c r="Q627" s="31" t="n">
        <f aca="false">P627-Summary!$C$5</f>
        <v>5760.78999999999</v>
      </c>
      <c r="R627" s="2" t="str">
        <f aca="false">TEXT(A627,"ddd")</f>
        <v>Tue</v>
      </c>
    </row>
    <row r="628" customFormat="false" ht="15" hidden="false" customHeight="false" outlineLevel="0" collapsed="false">
      <c r="A628" s="43" t="n">
        <v>45679</v>
      </c>
      <c r="B628" s="29" t="n">
        <f aca="false">COUNTIFS(Trades!$D$2:$D$1146,$A628)</f>
        <v>1</v>
      </c>
      <c r="C628" s="29" t="n">
        <f aca="false">COUNTIFS(Trades!$D$2:$D$1146,$A628,Trades!$Z$2:$Z$1146,"Win")</f>
        <v>0</v>
      </c>
      <c r="D628" s="29" t="n">
        <f aca="false">COUNTIFS(Trades!$D$2:$D$1146,$A628,Trades!$Z$2:$Z$1146,"Loss")</f>
        <v>1</v>
      </c>
      <c r="E628" s="30" t="n">
        <f aca="false">IFERROR(C628/B628,0)</f>
        <v>0</v>
      </c>
      <c r="F628" s="31" t="n">
        <f aca="false">SUMIFS(Trades!$X$2:$X$1146,Trades!$D$2:$D$1146,$A628)</f>
        <v>-4.05</v>
      </c>
      <c r="G628" s="31" t="n">
        <f aca="false">SUMIFS(Trades!$X$2:$X$1146,Trades!$D$2:$D$1146,$A628,Trades!$X$2:$X$1146,"&gt;0")</f>
        <v>0</v>
      </c>
      <c r="H628" s="31" t="n">
        <f aca="false">SUMIFS(Trades!$X$2:$X$1146,Trades!$D$2:$D$1146,$A628,Trades!$X$2:$X$1146,"&lt;0")</f>
        <v>-4.05</v>
      </c>
      <c r="I628" s="32" t="n">
        <f aca="false">IFERROR(G628/-H628,"no loss")</f>
        <v>0</v>
      </c>
      <c r="J628" s="31" t="n">
        <f aca="false">_xlfn.MAXIFS(Trades!$X$2:$X$1146,Trades!$D$2:$D$1146,$A628)</f>
        <v>-4.05</v>
      </c>
      <c r="K628" s="31" t="n">
        <f aca="false">_xlfn.MINIFS(Trades!$X$2:$X$1146,Trades!$D$2:$D$1146,$A628)</f>
        <v>-4.05</v>
      </c>
      <c r="L628" s="33" t="n">
        <f aca="false">SUMIFS(Trades!$Y$2:$Y$1146,Trades!$D$2:$D$1146,$A628)</f>
        <v>-0.0887573964497092</v>
      </c>
      <c r="M628" s="31" t="n">
        <f aca="false">P627</f>
        <v>15760.79</v>
      </c>
      <c r="N628" s="30" t="n">
        <f aca="false">IFERROR(F628/M628,0)</f>
        <v>-0.000256966814480746</v>
      </c>
      <c r="O628" s="29" t="str">
        <f aca="false">IF(-N628&gt;=Summary!$C$7,"BREACH","")</f>
        <v/>
      </c>
      <c r="P628" s="31" t="n">
        <f aca="false">M628+F628</f>
        <v>15756.74</v>
      </c>
      <c r="Q628" s="31" t="n">
        <f aca="false">P628-Summary!$C$5</f>
        <v>5756.73999999999</v>
      </c>
      <c r="R628" s="2" t="str">
        <f aca="false">TEXT(A628,"ddd")</f>
        <v>Wed</v>
      </c>
    </row>
    <row r="629" customFormat="false" ht="15" hidden="false" customHeight="false" outlineLevel="0" collapsed="false">
      <c r="A629" s="43" t="n">
        <v>45681</v>
      </c>
      <c r="B629" s="29" t="n">
        <f aca="false">COUNTIFS(Trades!$D$2:$D$1146,$A629)</f>
        <v>1</v>
      </c>
      <c r="C629" s="29" t="n">
        <f aca="false">COUNTIFS(Trades!$D$2:$D$1146,$A629,Trades!$Z$2:$Z$1146,"Win")</f>
        <v>0</v>
      </c>
      <c r="D629" s="29" t="n">
        <f aca="false">COUNTIFS(Trades!$D$2:$D$1146,$A629,Trades!$Z$2:$Z$1146,"Loss")</f>
        <v>1</v>
      </c>
      <c r="E629" s="30" t="n">
        <f aca="false">IFERROR(C629/B629,0)</f>
        <v>0</v>
      </c>
      <c r="F629" s="31" t="n">
        <f aca="false">SUMIFS(Trades!$X$2:$X$1146,Trades!$D$2:$D$1146,$A629)</f>
        <v>-0.78</v>
      </c>
      <c r="G629" s="31" t="n">
        <f aca="false">SUMIFS(Trades!$X$2:$X$1146,Trades!$D$2:$D$1146,$A629,Trades!$X$2:$X$1146,"&gt;0")</f>
        <v>0</v>
      </c>
      <c r="H629" s="31" t="n">
        <f aca="false">SUMIFS(Trades!$X$2:$X$1146,Trades!$D$2:$D$1146,$A629,Trades!$X$2:$X$1146,"&lt;0")</f>
        <v>-0.78</v>
      </c>
      <c r="I629" s="32" t="n">
        <f aca="false">IFERROR(G629/-H629,"no loss")</f>
        <v>0</v>
      </c>
      <c r="J629" s="31" t="n">
        <f aca="false">_xlfn.MAXIFS(Trades!$X$2:$X$1146,Trades!$D$2:$D$1146,$A629)</f>
        <v>-0.78</v>
      </c>
      <c r="K629" s="31" t="n">
        <f aca="false">_xlfn.MINIFS(Trades!$X$2:$X$1146,Trades!$D$2:$D$1146,$A629)</f>
        <v>-0.78</v>
      </c>
      <c r="L629" s="33" t="n">
        <f aca="false">SUMIFS(Trades!$Y$2:$Y$1146,Trades!$D$2:$D$1146,$A629)</f>
        <v>-0.0336351875808557</v>
      </c>
      <c r="M629" s="31" t="n">
        <f aca="false">P628</f>
        <v>15756.74</v>
      </c>
      <c r="N629" s="30" t="n">
        <f aca="false">IFERROR(F629/M629,0)</f>
        <v>-4.95026255431009E-005</v>
      </c>
      <c r="O629" s="29" t="str">
        <f aca="false">IF(-N629&gt;=Summary!$C$7,"BREACH","")</f>
        <v/>
      </c>
      <c r="P629" s="31" t="n">
        <f aca="false">M629+F629</f>
        <v>15755.96</v>
      </c>
      <c r="Q629" s="31" t="n">
        <f aca="false">P629-Summary!$C$5</f>
        <v>5755.95999999999</v>
      </c>
      <c r="R629" s="2" t="str">
        <f aca="false">TEXT(A629,"ddd")</f>
        <v>Fri</v>
      </c>
    </row>
    <row r="630" customFormat="false" ht="15" hidden="false" customHeight="false" outlineLevel="0" collapsed="false">
      <c r="A630" s="43" t="n">
        <v>45684</v>
      </c>
      <c r="B630" s="29" t="n">
        <f aca="false">COUNTIFS(Trades!$D$2:$D$1146,$A630)</f>
        <v>1</v>
      </c>
      <c r="C630" s="29" t="n">
        <f aca="false">COUNTIFS(Trades!$D$2:$D$1146,$A630,Trades!$Z$2:$Z$1146,"Win")</f>
        <v>1</v>
      </c>
      <c r="D630" s="29" t="n">
        <f aca="false">COUNTIFS(Trades!$D$2:$D$1146,$A630,Trades!$Z$2:$Z$1146,"Loss")</f>
        <v>0</v>
      </c>
      <c r="E630" s="30" t="n">
        <f aca="false">IFERROR(C630/B630,0)</f>
        <v>1</v>
      </c>
      <c r="F630" s="31" t="n">
        <f aca="false">SUMIFS(Trades!$X$2:$X$1146,Trades!$D$2:$D$1146,$A630)</f>
        <v>343.56</v>
      </c>
      <c r="G630" s="31" t="n">
        <f aca="false">SUMIFS(Trades!$X$2:$X$1146,Trades!$D$2:$D$1146,$A630,Trades!$X$2:$X$1146,"&gt;0")</f>
        <v>343.56</v>
      </c>
      <c r="H630" s="31" t="n">
        <f aca="false">SUMIFS(Trades!$X$2:$X$1146,Trades!$D$2:$D$1146,$A630,Trades!$X$2:$X$1146,"&lt;0")</f>
        <v>0</v>
      </c>
      <c r="I630" s="32" t="str">
        <f aca="false">IFERROR(G630/-H630,"no loss")</f>
        <v>no loss</v>
      </c>
      <c r="J630" s="31" t="n">
        <f aca="false">_xlfn.MAXIFS(Trades!$X$2:$X$1146,Trades!$D$2:$D$1146,$A630)</f>
        <v>343.56</v>
      </c>
      <c r="K630" s="31" t="n">
        <f aca="false">_xlfn.MINIFS(Trades!$X$2:$X$1146,Trades!$D$2:$D$1146,$A630)</f>
        <v>343.56</v>
      </c>
      <c r="L630" s="33" t="n">
        <f aca="false">SUMIFS(Trades!$Y$2:$Y$1146,Trades!$D$2:$D$1146,$A630)</f>
        <v>2.47771527477276</v>
      </c>
      <c r="M630" s="31" t="n">
        <f aca="false">P629</f>
        <v>15755.96</v>
      </c>
      <c r="N630" s="30" t="n">
        <f aca="false">IFERROR(F630/M630,0)</f>
        <v>0.0218050820134095</v>
      </c>
      <c r="O630" s="29" t="str">
        <f aca="false">IF(-N630&gt;=Summary!$C$7,"BREACH","")</f>
        <v/>
      </c>
      <c r="P630" s="31" t="n">
        <f aca="false">M630+F630</f>
        <v>16099.52</v>
      </c>
      <c r="Q630" s="31" t="n">
        <f aca="false">P630-Summary!$C$5</f>
        <v>6099.51999999999</v>
      </c>
      <c r="R630" s="2" t="str">
        <f aca="false">TEXT(A630,"ddd")</f>
        <v>Mon</v>
      </c>
    </row>
    <row r="631" customFormat="false" ht="15" hidden="false" customHeight="false" outlineLevel="0" collapsed="false">
      <c r="A631" s="43" t="n">
        <v>45686</v>
      </c>
      <c r="B631" s="29" t="n">
        <f aca="false">COUNTIFS(Trades!$D$2:$D$1146,$A631)</f>
        <v>1</v>
      </c>
      <c r="C631" s="29" t="n">
        <f aca="false">COUNTIFS(Trades!$D$2:$D$1146,$A631,Trades!$Z$2:$Z$1146,"Win")</f>
        <v>0</v>
      </c>
      <c r="D631" s="29" t="n">
        <f aca="false">COUNTIFS(Trades!$D$2:$D$1146,$A631,Trades!$Z$2:$Z$1146,"Loss")</f>
        <v>1</v>
      </c>
      <c r="E631" s="30" t="n">
        <f aca="false">IFERROR(C631/B631,0)</f>
        <v>0</v>
      </c>
      <c r="F631" s="31" t="n">
        <f aca="false">SUMIFS(Trades!$X$2:$X$1146,Trades!$D$2:$D$1146,$A631)</f>
        <v>-0.9</v>
      </c>
      <c r="G631" s="31" t="n">
        <f aca="false">SUMIFS(Trades!$X$2:$X$1146,Trades!$D$2:$D$1146,$A631,Trades!$X$2:$X$1146,"&gt;0")</f>
        <v>0</v>
      </c>
      <c r="H631" s="31" t="n">
        <f aca="false">SUMIFS(Trades!$X$2:$X$1146,Trades!$D$2:$D$1146,$A631,Trades!$X$2:$X$1146,"&lt;0")</f>
        <v>-0.9</v>
      </c>
      <c r="I631" s="32" t="n">
        <f aca="false">IFERROR(G631/-H631,"no loss")</f>
        <v>0</v>
      </c>
      <c r="J631" s="31" t="n">
        <f aca="false">_xlfn.MAXIFS(Trades!$X$2:$X$1146,Trades!$D$2:$D$1146,$A631)</f>
        <v>-0.9</v>
      </c>
      <c r="K631" s="31" t="n">
        <f aca="false">_xlfn.MINIFS(Trades!$X$2:$X$1146,Trades!$D$2:$D$1146,$A631)</f>
        <v>-0.9</v>
      </c>
      <c r="L631" s="33" t="n">
        <f aca="false">SUMIFS(Trades!$Y$2:$Y$1146,Trades!$D$2:$D$1146,$A631)</f>
        <v>-0.0198938992042417</v>
      </c>
      <c r="M631" s="31" t="n">
        <f aca="false">P630</f>
        <v>16099.52</v>
      </c>
      <c r="N631" s="30" t="n">
        <f aca="false">IFERROR(F631/M631,0)</f>
        <v>-5.59022877700702E-005</v>
      </c>
      <c r="O631" s="29" t="str">
        <f aca="false">IF(-N631&gt;=Summary!$C$7,"BREACH","")</f>
        <v/>
      </c>
      <c r="P631" s="31" t="n">
        <f aca="false">M631+F631</f>
        <v>16098.62</v>
      </c>
      <c r="Q631" s="31" t="n">
        <f aca="false">P631-Summary!$C$5</f>
        <v>6098.61999999999</v>
      </c>
      <c r="R631" s="2" t="str">
        <f aca="false">TEXT(A631,"ddd")</f>
        <v>Wed</v>
      </c>
    </row>
    <row r="632" customFormat="false" ht="15" hidden="false" customHeight="false" outlineLevel="0" collapsed="false">
      <c r="A632" s="43" t="n">
        <v>45687</v>
      </c>
      <c r="B632" s="29" t="n">
        <f aca="false">COUNTIFS(Trades!$D$2:$D$1146,$A632)</f>
        <v>1</v>
      </c>
      <c r="C632" s="29" t="n">
        <f aca="false">COUNTIFS(Trades!$D$2:$D$1146,$A632,Trades!$Z$2:$Z$1146,"Win")</f>
        <v>0</v>
      </c>
      <c r="D632" s="29" t="n">
        <f aca="false">COUNTIFS(Trades!$D$2:$D$1146,$A632,Trades!$Z$2:$Z$1146,"Loss")</f>
        <v>1</v>
      </c>
      <c r="E632" s="30" t="n">
        <f aca="false">IFERROR(C632/B632,0)</f>
        <v>0</v>
      </c>
      <c r="F632" s="31" t="n">
        <f aca="false">SUMIFS(Trades!$X$2:$X$1146,Trades!$D$2:$D$1146,$A632)</f>
        <v>-0.09</v>
      </c>
      <c r="G632" s="31" t="n">
        <f aca="false">SUMIFS(Trades!$X$2:$X$1146,Trades!$D$2:$D$1146,$A632,Trades!$X$2:$X$1146,"&gt;0")</f>
        <v>0</v>
      </c>
      <c r="H632" s="31" t="n">
        <f aca="false">SUMIFS(Trades!$X$2:$X$1146,Trades!$D$2:$D$1146,$A632,Trades!$X$2:$X$1146,"&lt;0")</f>
        <v>-0.09</v>
      </c>
      <c r="I632" s="32" t="n">
        <f aca="false">IFERROR(G632/-H632,"no loss")</f>
        <v>0</v>
      </c>
      <c r="J632" s="31" t="n">
        <f aca="false">_xlfn.MAXIFS(Trades!$X$2:$X$1146,Trades!$D$2:$D$1146,$A632)</f>
        <v>-0.09</v>
      </c>
      <c r="K632" s="31" t="n">
        <f aca="false">_xlfn.MINIFS(Trades!$X$2:$X$1146,Trades!$D$2:$D$1146,$A632)</f>
        <v>-0.09</v>
      </c>
      <c r="L632" s="33" t="n">
        <f aca="false">SUMIFS(Trades!$Y$2:$Y$1146,Trades!$D$2:$D$1146,$A632)</f>
        <v>-0.00425531914893661</v>
      </c>
      <c r="M632" s="31" t="n">
        <f aca="false">P631</f>
        <v>16098.62</v>
      </c>
      <c r="N632" s="30" t="n">
        <f aca="false">IFERROR(F632/M632,0)</f>
        <v>-5.59054130105562E-006</v>
      </c>
      <c r="O632" s="29" t="str">
        <f aca="false">IF(-N632&gt;=Summary!$C$7,"BREACH","")</f>
        <v/>
      </c>
      <c r="P632" s="31" t="n">
        <f aca="false">M632+F632</f>
        <v>16098.53</v>
      </c>
      <c r="Q632" s="31" t="n">
        <f aca="false">P632-Summary!$C$5</f>
        <v>6098.52999999999</v>
      </c>
      <c r="R632" s="2" t="str">
        <f aca="false">TEXT(A632,"ddd")</f>
        <v>Thu</v>
      </c>
    </row>
    <row r="633" customFormat="false" ht="15" hidden="false" customHeight="false" outlineLevel="0" collapsed="false">
      <c r="A633" s="43" t="n">
        <v>45688</v>
      </c>
      <c r="B633" s="29" t="n">
        <f aca="false">COUNTIFS(Trades!$D$2:$D$1146,$A633)</f>
        <v>1</v>
      </c>
      <c r="C633" s="29" t="n">
        <f aca="false">COUNTIFS(Trades!$D$2:$D$1146,$A633,Trades!$Z$2:$Z$1146,"Win")</f>
        <v>1</v>
      </c>
      <c r="D633" s="29" t="n">
        <f aca="false">COUNTIFS(Trades!$D$2:$D$1146,$A633,Trades!$Z$2:$Z$1146,"Loss")</f>
        <v>0</v>
      </c>
      <c r="E633" s="30" t="n">
        <f aca="false">IFERROR(C633/B633,0)</f>
        <v>1</v>
      </c>
      <c r="F633" s="31" t="n">
        <f aca="false">SUMIFS(Trades!$X$2:$X$1146,Trades!$D$2:$D$1146,$A633)</f>
        <v>53.16</v>
      </c>
      <c r="G633" s="31" t="n">
        <f aca="false">SUMIFS(Trades!$X$2:$X$1146,Trades!$D$2:$D$1146,$A633,Trades!$X$2:$X$1146,"&gt;0")</f>
        <v>53.16</v>
      </c>
      <c r="H633" s="31" t="n">
        <f aca="false">SUMIFS(Trades!$X$2:$X$1146,Trades!$D$2:$D$1146,$A633,Trades!$X$2:$X$1146,"&lt;0")</f>
        <v>0</v>
      </c>
      <c r="I633" s="32" t="str">
        <f aca="false">IFERROR(G633/-H633,"no loss")</f>
        <v>no loss</v>
      </c>
      <c r="J633" s="31" t="n">
        <f aca="false">_xlfn.MAXIFS(Trades!$X$2:$X$1146,Trades!$D$2:$D$1146,$A633)</f>
        <v>53.16</v>
      </c>
      <c r="K633" s="31" t="n">
        <f aca="false">_xlfn.MINIFS(Trades!$X$2:$X$1146,Trades!$D$2:$D$1146,$A633)</f>
        <v>53.16</v>
      </c>
      <c r="L633" s="33" t="n">
        <f aca="false">SUMIFS(Trades!$Y$2:$Y$1146,Trades!$D$2:$D$1146,$A633)</f>
        <v>2.46453407510351</v>
      </c>
      <c r="M633" s="31" t="n">
        <f aca="false">P632</f>
        <v>16098.53</v>
      </c>
      <c r="N633" s="30" t="n">
        <f aca="false">IFERROR(F633/M633,0)</f>
        <v>0.00330216485604586</v>
      </c>
      <c r="O633" s="29" t="str">
        <f aca="false">IF(-N633&gt;=Summary!$C$7,"BREACH","")</f>
        <v/>
      </c>
      <c r="P633" s="31" t="n">
        <f aca="false">M633+F633</f>
        <v>16151.69</v>
      </c>
      <c r="Q633" s="31" t="n">
        <f aca="false">P633-Summary!$C$5</f>
        <v>6151.68999999999</v>
      </c>
      <c r="R633" s="2" t="str">
        <f aca="false">TEXT(A633,"ddd")</f>
        <v>Fri</v>
      </c>
    </row>
    <row r="634" customFormat="false" ht="15" hidden="false" customHeight="false" outlineLevel="0" collapsed="false">
      <c r="A634" s="43" t="n">
        <v>45691</v>
      </c>
      <c r="B634" s="29" t="n">
        <f aca="false">COUNTIFS(Trades!$D$2:$D$1146,$A634)</f>
        <v>1</v>
      </c>
      <c r="C634" s="29" t="n">
        <f aca="false">COUNTIFS(Trades!$D$2:$D$1146,$A634,Trades!$Z$2:$Z$1146,"Win")</f>
        <v>0</v>
      </c>
      <c r="D634" s="29" t="n">
        <f aca="false">COUNTIFS(Trades!$D$2:$D$1146,$A634,Trades!$Z$2:$Z$1146,"Loss")</f>
        <v>1</v>
      </c>
      <c r="E634" s="30" t="n">
        <f aca="false">IFERROR(C634/B634,0)</f>
        <v>0</v>
      </c>
      <c r="F634" s="31" t="n">
        <f aca="false">SUMIFS(Trades!$X$2:$X$1146,Trades!$D$2:$D$1146,$A634)</f>
        <v>-406.26</v>
      </c>
      <c r="G634" s="31" t="n">
        <f aca="false">SUMIFS(Trades!$X$2:$X$1146,Trades!$D$2:$D$1146,$A634,Trades!$X$2:$X$1146,"&gt;0")</f>
        <v>0</v>
      </c>
      <c r="H634" s="31" t="n">
        <f aca="false">SUMIFS(Trades!$X$2:$X$1146,Trades!$D$2:$D$1146,$A634,Trades!$X$2:$X$1146,"&lt;0")</f>
        <v>-406.26</v>
      </c>
      <c r="I634" s="32" t="n">
        <f aca="false">IFERROR(G634/-H634,"no loss")</f>
        <v>0</v>
      </c>
      <c r="J634" s="31" t="n">
        <f aca="false">_xlfn.MAXIFS(Trades!$X$2:$X$1146,Trades!$D$2:$D$1146,$A634)</f>
        <v>-406.26</v>
      </c>
      <c r="K634" s="31" t="n">
        <f aca="false">_xlfn.MINIFS(Trades!$X$2:$X$1146,Trades!$D$2:$D$1146,$A634)</f>
        <v>-406.26</v>
      </c>
      <c r="L634" s="33" t="n">
        <f aca="false">SUMIFS(Trades!$Y$2:$Y$1146,Trades!$D$2:$D$1146,$A634)</f>
        <v>-0.985948307244251</v>
      </c>
      <c r="M634" s="31" t="n">
        <f aca="false">P633</f>
        <v>16151.69</v>
      </c>
      <c r="N634" s="30" t="n">
        <f aca="false">IFERROR(F634/M634,0)</f>
        <v>-0.0251527858694663</v>
      </c>
      <c r="O634" s="29" t="str">
        <f aca="false">IF(-N634&gt;=Summary!$C$7,"BREACH","")</f>
        <v>BREACH</v>
      </c>
      <c r="P634" s="31" t="n">
        <f aca="false">M634+F634</f>
        <v>15745.43</v>
      </c>
      <c r="Q634" s="31" t="n">
        <f aca="false">P634-Summary!$C$5</f>
        <v>5745.42999999999</v>
      </c>
      <c r="R634" s="2" t="str">
        <f aca="false">TEXT(A634,"ddd")</f>
        <v>Mon</v>
      </c>
    </row>
    <row r="635" customFormat="false" ht="15" hidden="false" customHeight="false" outlineLevel="0" collapsed="false">
      <c r="A635" s="43" t="n">
        <v>45692</v>
      </c>
      <c r="B635" s="29" t="n">
        <f aca="false">COUNTIFS(Trades!$D$2:$D$1146,$A635)</f>
        <v>1</v>
      </c>
      <c r="C635" s="29" t="n">
        <f aca="false">COUNTIFS(Trades!$D$2:$D$1146,$A635,Trades!$Z$2:$Z$1146,"Win")</f>
        <v>0</v>
      </c>
      <c r="D635" s="29" t="n">
        <f aca="false">COUNTIFS(Trades!$D$2:$D$1146,$A635,Trades!$Z$2:$Z$1146,"Loss")</f>
        <v>1</v>
      </c>
      <c r="E635" s="30" t="n">
        <f aca="false">IFERROR(C635/B635,0)</f>
        <v>0</v>
      </c>
      <c r="F635" s="31" t="n">
        <f aca="false">SUMIFS(Trades!$X$2:$X$1146,Trades!$D$2:$D$1146,$A635)</f>
        <v>-123.69</v>
      </c>
      <c r="G635" s="31" t="n">
        <f aca="false">SUMIFS(Trades!$X$2:$X$1146,Trades!$D$2:$D$1146,$A635,Trades!$X$2:$X$1146,"&gt;0")</f>
        <v>0</v>
      </c>
      <c r="H635" s="31" t="n">
        <f aca="false">SUMIFS(Trades!$X$2:$X$1146,Trades!$D$2:$D$1146,$A635,Trades!$X$2:$X$1146,"&lt;0")</f>
        <v>-123.69</v>
      </c>
      <c r="I635" s="32" t="n">
        <f aca="false">IFERROR(G635/-H635,"no loss")</f>
        <v>0</v>
      </c>
      <c r="J635" s="31" t="n">
        <f aca="false">_xlfn.MAXIFS(Trades!$X$2:$X$1146,Trades!$D$2:$D$1146,$A635)</f>
        <v>-123.69</v>
      </c>
      <c r="K635" s="31" t="n">
        <f aca="false">_xlfn.MINIFS(Trades!$X$2:$X$1146,Trades!$D$2:$D$1146,$A635)</f>
        <v>-123.69</v>
      </c>
      <c r="L635" s="33" t="n">
        <f aca="false">SUMIFS(Trades!$Y$2:$Y$1146,Trades!$D$2:$D$1146,$A635)</f>
        <v>-1.01928306551296</v>
      </c>
      <c r="M635" s="31" t="n">
        <f aca="false">P634</f>
        <v>15745.43</v>
      </c>
      <c r="N635" s="30" t="n">
        <f aca="false">IFERROR(F635/M635,0)</f>
        <v>-0.00785561270794129</v>
      </c>
      <c r="O635" s="29" t="str">
        <f aca="false">IF(-N635&gt;=Summary!$C$7,"BREACH","")</f>
        <v/>
      </c>
      <c r="P635" s="31" t="n">
        <f aca="false">M635+F635</f>
        <v>15621.74</v>
      </c>
      <c r="Q635" s="31" t="n">
        <f aca="false">P635-Summary!$C$5</f>
        <v>5621.73999999999</v>
      </c>
      <c r="R635" s="2" t="str">
        <f aca="false">TEXT(A635,"ddd")</f>
        <v>Tue</v>
      </c>
    </row>
    <row r="636" customFormat="false" ht="15" hidden="false" customHeight="false" outlineLevel="0" collapsed="false">
      <c r="A636" s="43" t="n">
        <v>45693</v>
      </c>
      <c r="B636" s="29" t="n">
        <f aca="false">COUNTIFS(Trades!$D$2:$D$1146,$A636)</f>
        <v>1</v>
      </c>
      <c r="C636" s="29" t="n">
        <f aca="false">COUNTIFS(Trades!$D$2:$D$1146,$A636,Trades!$Z$2:$Z$1146,"Win")</f>
        <v>1</v>
      </c>
      <c r="D636" s="29" t="n">
        <f aca="false">COUNTIFS(Trades!$D$2:$D$1146,$A636,Trades!$Z$2:$Z$1146,"Loss")</f>
        <v>0</v>
      </c>
      <c r="E636" s="30" t="n">
        <f aca="false">IFERROR(C636/B636,0)</f>
        <v>1</v>
      </c>
      <c r="F636" s="31" t="n">
        <f aca="false">SUMIFS(Trades!$X$2:$X$1146,Trades!$D$2:$D$1146,$A636)</f>
        <v>72.57</v>
      </c>
      <c r="G636" s="31" t="n">
        <f aca="false">SUMIFS(Trades!$X$2:$X$1146,Trades!$D$2:$D$1146,$A636,Trades!$X$2:$X$1146,"&gt;0")</f>
        <v>72.57</v>
      </c>
      <c r="H636" s="31" t="n">
        <f aca="false">SUMIFS(Trades!$X$2:$X$1146,Trades!$D$2:$D$1146,$A636,Trades!$X$2:$X$1146,"&lt;0")</f>
        <v>0</v>
      </c>
      <c r="I636" s="32" t="str">
        <f aca="false">IFERROR(G636/-H636,"no loss")</f>
        <v>no loss</v>
      </c>
      <c r="J636" s="31" t="n">
        <f aca="false">_xlfn.MAXIFS(Trades!$X$2:$X$1146,Trades!$D$2:$D$1146,$A636)</f>
        <v>72.57</v>
      </c>
      <c r="K636" s="31" t="n">
        <f aca="false">_xlfn.MINIFS(Trades!$X$2:$X$1146,Trades!$D$2:$D$1146,$A636)</f>
        <v>72.57</v>
      </c>
      <c r="L636" s="33" t="n">
        <f aca="false">SUMIFS(Trades!$Y$2:$Y$1146,Trades!$D$2:$D$1146,$A636)</f>
        <v>2.51716961498424</v>
      </c>
      <c r="M636" s="31" t="n">
        <f aca="false">P635</f>
        <v>15621.74</v>
      </c>
      <c r="N636" s="30" t="n">
        <f aca="false">IFERROR(F636/M636,0)</f>
        <v>0.00464544922652662</v>
      </c>
      <c r="O636" s="29" t="str">
        <f aca="false">IF(-N636&gt;=Summary!$C$7,"BREACH","")</f>
        <v/>
      </c>
      <c r="P636" s="31" t="n">
        <f aca="false">M636+F636</f>
        <v>15694.31</v>
      </c>
      <c r="Q636" s="31" t="n">
        <f aca="false">P636-Summary!$C$5</f>
        <v>5694.30999999999</v>
      </c>
      <c r="R636" s="2" t="str">
        <f aca="false">TEXT(A636,"ddd")</f>
        <v>Wed</v>
      </c>
    </row>
    <row r="637" customFormat="false" ht="15" hidden="false" customHeight="false" outlineLevel="0" collapsed="false">
      <c r="A637" s="43" t="n">
        <v>45694</v>
      </c>
      <c r="B637" s="29" t="n">
        <f aca="false">COUNTIFS(Trades!$D$2:$D$1146,$A637)</f>
        <v>1</v>
      </c>
      <c r="C637" s="29" t="n">
        <f aca="false">COUNTIFS(Trades!$D$2:$D$1146,$A637,Trades!$Z$2:$Z$1146,"Win")</f>
        <v>0</v>
      </c>
      <c r="D637" s="29" t="n">
        <f aca="false">COUNTIFS(Trades!$D$2:$D$1146,$A637,Trades!$Z$2:$Z$1146,"Loss")</f>
        <v>1</v>
      </c>
      <c r="E637" s="30" t="n">
        <f aca="false">IFERROR(C637/B637,0)</f>
        <v>0</v>
      </c>
      <c r="F637" s="31" t="n">
        <f aca="false">SUMIFS(Trades!$X$2:$X$1146,Trades!$D$2:$D$1146,$A637)</f>
        <v>-0.27</v>
      </c>
      <c r="G637" s="31" t="n">
        <f aca="false">SUMIFS(Trades!$X$2:$X$1146,Trades!$D$2:$D$1146,$A637,Trades!$X$2:$X$1146,"&gt;0")</f>
        <v>0</v>
      </c>
      <c r="H637" s="31" t="n">
        <f aca="false">SUMIFS(Trades!$X$2:$X$1146,Trades!$D$2:$D$1146,$A637,Trades!$X$2:$X$1146,"&lt;0")</f>
        <v>-0.27</v>
      </c>
      <c r="I637" s="32" t="n">
        <f aca="false">IFERROR(G637/-H637,"no loss")</f>
        <v>0</v>
      </c>
      <c r="J637" s="31" t="n">
        <f aca="false">_xlfn.MAXIFS(Trades!$X$2:$X$1146,Trades!$D$2:$D$1146,$A637)</f>
        <v>-0.27</v>
      </c>
      <c r="K637" s="31" t="n">
        <f aca="false">_xlfn.MINIFS(Trades!$X$2:$X$1146,Trades!$D$2:$D$1146,$A637)</f>
        <v>-0.27</v>
      </c>
      <c r="L637" s="33" t="n">
        <f aca="false">SUMIFS(Trades!$Y$2:$Y$1146,Trades!$D$2:$D$1146,$A637)</f>
        <v>-0.0154639175257643</v>
      </c>
      <c r="M637" s="31" t="n">
        <f aca="false">P636</f>
        <v>15694.31</v>
      </c>
      <c r="N637" s="30" t="n">
        <f aca="false">IFERROR(F637/M637,0)</f>
        <v>-1.72036871961877E-005</v>
      </c>
      <c r="O637" s="29" t="str">
        <f aca="false">IF(-N637&gt;=Summary!$C$7,"BREACH","")</f>
        <v/>
      </c>
      <c r="P637" s="31" t="n">
        <f aca="false">M637+F637</f>
        <v>15694.04</v>
      </c>
      <c r="Q637" s="31" t="n">
        <f aca="false">P637-Summary!$C$5</f>
        <v>5694.03999999999</v>
      </c>
      <c r="R637" s="2" t="str">
        <f aca="false">TEXT(A637,"ddd")</f>
        <v>Thu</v>
      </c>
    </row>
    <row r="638" customFormat="false" ht="15" hidden="false" customHeight="false" outlineLevel="0" collapsed="false">
      <c r="A638" s="43" t="n">
        <v>45695</v>
      </c>
      <c r="B638" s="29" t="n">
        <f aca="false">COUNTIFS(Trades!$D$2:$D$1146,$A638)</f>
        <v>2</v>
      </c>
      <c r="C638" s="29" t="n">
        <f aca="false">COUNTIFS(Trades!$D$2:$D$1146,$A638,Trades!$Z$2:$Z$1146,"Win")</f>
        <v>1</v>
      </c>
      <c r="D638" s="29" t="n">
        <f aca="false">COUNTIFS(Trades!$D$2:$D$1146,$A638,Trades!$Z$2:$Z$1146,"Loss")</f>
        <v>1</v>
      </c>
      <c r="E638" s="30" t="n">
        <f aca="false">IFERROR(C638/B638,0)</f>
        <v>0.5</v>
      </c>
      <c r="F638" s="31" t="n">
        <f aca="false">SUMIFS(Trades!$X$2:$X$1146,Trades!$D$2:$D$1146,$A638)</f>
        <v>-72</v>
      </c>
      <c r="G638" s="31" t="n">
        <f aca="false">SUMIFS(Trades!$X$2:$X$1146,Trades!$D$2:$D$1146,$A638,Trades!$X$2:$X$1146,"&gt;0")</f>
        <v>24.9</v>
      </c>
      <c r="H638" s="31" t="n">
        <f aca="false">SUMIFS(Trades!$X$2:$X$1146,Trades!$D$2:$D$1146,$A638,Trades!$X$2:$X$1146,"&lt;0")</f>
        <v>-96.9</v>
      </c>
      <c r="I638" s="32" t="n">
        <f aca="false">IFERROR(G638/-H638,"no loss")</f>
        <v>0.256965944272446</v>
      </c>
      <c r="J638" s="31" t="n">
        <f aca="false">_xlfn.MAXIFS(Trades!$X$2:$X$1146,Trades!$D$2:$D$1146,$A638)</f>
        <v>24.9</v>
      </c>
      <c r="K638" s="31" t="n">
        <f aca="false">_xlfn.MINIFS(Trades!$X$2:$X$1146,Trades!$D$2:$D$1146,$A638)</f>
        <v>-96.9</v>
      </c>
      <c r="L638" s="33" t="n">
        <f aca="false">SUMIFS(Trades!$Y$2:$Y$1146,Trades!$D$2:$D$1146,$A638)</f>
        <v>1.60756694535195</v>
      </c>
      <c r="M638" s="31" t="n">
        <f aca="false">P637</f>
        <v>15694.04</v>
      </c>
      <c r="N638" s="30" t="n">
        <f aca="false">IFERROR(F638/M638,0)</f>
        <v>-0.00458772884483537</v>
      </c>
      <c r="O638" s="29" t="str">
        <f aca="false">IF(-N638&gt;=Summary!$C$7,"BREACH","")</f>
        <v/>
      </c>
      <c r="P638" s="31" t="n">
        <f aca="false">M638+F638</f>
        <v>15622.04</v>
      </c>
      <c r="Q638" s="31" t="n">
        <f aca="false">P638-Summary!$C$5</f>
        <v>5622.03999999999</v>
      </c>
      <c r="R638" s="2" t="str">
        <f aca="false">TEXT(A638,"ddd")</f>
        <v>Fri</v>
      </c>
    </row>
    <row r="639" customFormat="false" ht="15" hidden="false" customHeight="false" outlineLevel="0" collapsed="false">
      <c r="A639" s="43" t="n">
        <v>45698</v>
      </c>
      <c r="B639" s="29" t="n">
        <f aca="false">COUNTIFS(Trades!$D$2:$D$1146,$A639)</f>
        <v>1</v>
      </c>
      <c r="C639" s="29" t="n">
        <f aca="false">COUNTIFS(Trades!$D$2:$D$1146,$A639,Trades!$Z$2:$Z$1146,"Win")</f>
        <v>0</v>
      </c>
      <c r="D639" s="29" t="n">
        <f aca="false">COUNTIFS(Trades!$D$2:$D$1146,$A639,Trades!$Z$2:$Z$1146,"Loss")</f>
        <v>1</v>
      </c>
      <c r="E639" s="30" t="n">
        <f aca="false">IFERROR(C639/B639,0)</f>
        <v>0</v>
      </c>
      <c r="F639" s="31" t="n">
        <f aca="false">SUMIFS(Trades!$X$2:$X$1146,Trades!$D$2:$D$1146,$A639)</f>
        <v>-123.84</v>
      </c>
      <c r="G639" s="31" t="n">
        <f aca="false">SUMIFS(Trades!$X$2:$X$1146,Trades!$D$2:$D$1146,$A639,Trades!$X$2:$X$1146,"&gt;0")</f>
        <v>0</v>
      </c>
      <c r="H639" s="31" t="n">
        <f aca="false">SUMIFS(Trades!$X$2:$X$1146,Trades!$D$2:$D$1146,$A639,Trades!$X$2:$X$1146,"&lt;0")</f>
        <v>-123.84</v>
      </c>
      <c r="I639" s="32" t="n">
        <f aca="false">IFERROR(G639/-H639,"no loss")</f>
        <v>0</v>
      </c>
      <c r="J639" s="31" t="n">
        <f aca="false">_xlfn.MAXIFS(Trades!$X$2:$X$1146,Trades!$D$2:$D$1146,$A639)</f>
        <v>-123.84</v>
      </c>
      <c r="K639" s="31" t="n">
        <f aca="false">_xlfn.MINIFS(Trades!$X$2:$X$1146,Trades!$D$2:$D$1146,$A639)</f>
        <v>-123.84</v>
      </c>
      <c r="L639" s="33" t="n">
        <f aca="false">SUMIFS(Trades!$Y$2:$Y$1146,Trades!$D$2:$D$1146,$A639)</f>
        <v>-1.09206349206351</v>
      </c>
      <c r="M639" s="31" t="n">
        <f aca="false">P638</f>
        <v>15622.04</v>
      </c>
      <c r="N639" s="30" t="n">
        <f aca="false">IFERROR(F639/M639,0)</f>
        <v>-0.00792726174046412</v>
      </c>
      <c r="O639" s="29" t="str">
        <f aca="false">IF(-N639&gt;=Summary!$C$7,"BREACH","")</f>
        <v/>
      </c>
      <c r="P639" s="31" t="n">
        <f aca="false">M639+F639</f>
        <v>15498.2</v>
      </c>
      <c r="Q639" s="31" t="n">
        <f aca="false">P639-Summary!$C$5</f>
        <v>5498.19999999999</v>
      </c>
      <c r="R639" s="2" t="str">
        <f aca="false">TEXT(A639,"ddd")</f>
        <v>Mon</v>
      </c>
    </row>
    <row r="640" customFormat="false" ht="15" hidden="false" customHeight="false" outlineLevel="0" collapsed="false">
      <c r="A640" s="43" t="n">
        <v>45700</v>
      </c>
      <c r="B640" s="29" t="n">
        <f aca="false">COUNTIFS(Trades!$D$2:$D$1146,$A640)</f>
        <v>1</v>
      </c>
      <c r="C640" s="29" t="n">
        <f aca="false">COUNTIFS(Trades!$D$2:$D$1146,$A640,Trades!$Z$2:$Z$1146,"Win")</f>
        <v>0</v>
      </c>
      <c r="D640" s="29" t="n">
        <f aca="false">COUNTIFS(Trades!$D$2:$D$1146,$A640,Trades!$Z$2:$Z$1146,"Loss")</f>
        <v>1</v>
      </c>
      <c r="E640" s="30" t="n">
        <f aca="false">IFERROR(C640/B640,0)</f>
        <v>0</v>
      </c>
      <c r="F640" s="31" t="n">
        <f aca="false">SUMIFS(Trades!$X$2:$X$1146,Trades!$D$2:$D$1146,$A640)</f>
        <v>-0.66</v>
      </c>
      <c r="G640" s="31" t="n">
        <f aca="false">SUMIFS(Trades!$X$2:$X$1146,Trades!$D$2:$D$1146,$A640,Trades!$X$2:$X$1146,"&gt;0")</f>
        <v>0</v>
      </c>
      <c r="H640" s="31" t="n">
        <f aca="false">SUMIFS(Trades!$X$2:$X$1146,Trades!$D$2:$D$1146,$A640,Trades!$X$2:$X$1146,"&lt;0")</f>
        <v>-0.66</v>
      </c>
      <c r="I640" s="32" t="n">
        <f aca="false">IFERROR(G640/-H640,"no loss")</f>
        <v>0</v>
      </c>
      <c r="J640" s="31" t="n">
        <f aca="false">_xlfn.MAXIFS(Trades!$X$2:$X$1146,Trades!$D$2:$D$1146,$A640)</f>
        <v>-0.66</v>
      </c>
      <c r="K640" s="31" t="n">
        <f aca="false">_xlfn.MINIFS(Trades!$X$2:$X$1146,Trades!$D$2:$D$1146,$A640)</f>
        <v>-0.66</v>
      </c>
      <c r="L640" s="33" t="n">
        <f aca="false">SUMIFS(Trades!$Y$2:$Y$1146,Trades!$D$2:$D$1146,$A640)</f>
        <v>-0.00368879946344739</v>
      </c>
      <c r="M640" s="31" t="n">
        <f aca="false">P639</f>
        <v>15498.2</v>
      </c>
      <c r="N640" s="30" t="n">
        <f aca="false">IFERROR(F640/M640,0)</f>
        <v>-4.25855905847131E-005</v>
      </c>
      <c r="O640" s="29" t="str">
        <f aca="false">IF(-N640&gt;=Summary!$C$7,"BREACH","")</f>
        <v/>
      </c>
      <c r="P640" s="31" t="n">
        <f aca="false">M640+F640</f>
        <v>15497.54</v>
      </c>
      <c r="Q640" s="31" t="n">
        <f aca="false">P640-Summary!$C$5</f>
        <v>5497.53999999999</v>
      </c>
      <c r="R640" s="2" t="str">
        <f aca="false">TEXT(A640,"ddd")</f>
        <v>Wed</v>
      </c>
    </row>
    <row r="641" customFormat="false" ht="15" hidden="false" customHeight="false" outlineLevel="0" collapsed="false">
      <c r="A641" s="43" t="n">
        <v>45701</v>
      </c>
      <c r="B641" s="29" t="n">
        <f aca="false">COUNTIFS(Trades!$D$2:$D$1146,$A641)</f>
        <v>1</v>
      </c>
      <c r="C641" s="29" t="n">
        <f aca="false">COUNTIFS(Trades!$D$2:$D$1146,$A641,Trades!$Z$2:$Z$1146,"Win")</f>
        <v>1</v>
      </c>
      <c r="D641" s="29" t="n">
        <f aca="false">COUNTIFS(Trades!$D$2:$D$1146,$A641,Trades!$Z$2:$Z$1146,"Loss")</f>
        <v>0</v>
      </c>
      <c r="E641" s="30" t="n">
        <f aca="false">IFERROR(C641/B641,0)</f>
        <v>1</v>
      </c>
      <c r="F641" s="31" t="n">
        <f aca="false">SUMIFS(Trades!$X$2:$X$1146,Trades!$D$2:$D$1146,$A641)</f>
        <v>118.95</v>
      </c>
      <c r="G641" s="31" t="n">
        <f aca="false">SUMIFS(Trades!$X$2:$X$1146,Trades!$D$2:$D$1146,$A641,Trades!$X$2:$X$1146,"&gt;0")</f>
        <v>118.95</v>
      </c>
      <c r="H641" s="31" t="n">
        <f aca="false">SUMIFS(Trades!$X$2:$X$1146,Trades!$D$2:$D$1146,$A641,Trades!$X$2:$X$1146,"&lt;0")</f>
        <v>0</v>
      </c>
      <c r="I641" s="32" t="str">
        <f aca="false">IFERROR(G641/-H641,"no loss")</f>
        <v>no loss</v>
      </c>
      <c r="J641" s="31" t="n">
        <f aca="false">_xlfn.MAXIFS(Trades!$X$2:$X$1146,Trades!$D$2:$D$1146,$A641)</f>
        <v>118.95</v>
      </c>
      <c r="K641" s="31" t="n">
        <f aca="false">_xlfn.MINIFS(Trades!$X$2:$X$1146,Trades!$D$2:$D$1146,$A641)</f>
        <v>118.95</v>
      </c>
      <c r="L641" s="33" t="n">
        <f aca="false">SUMIFS(Trades!$Y$2:$Y$1146,Trades!$D$2:$D$1146,$A641)</f>
        <v>2.66107382550375</v>
      </c>
      <c r="M641" s="31" t="n">
        <f aca="false">P640</f>
        <v>15497.54</v>
      </c>
      <c r="N641" s="30" t="n">
        <f aca="false">IFERROR(F641/M641,0)</f>
        <v>0.00767541171050374</v>
      </c>
      <c r="O641" s="29" t="str">
        <f aca="false">IF(-N641&gt;=Summary!$C$7,"BREACH","")</f>
        <v/>
      </c>
      <c r="P641" s="31" t="n">
        <f aca="false">M641+F641</f>
        <v>15616.49</v>
      </c>
      <c r="Q641" s="31" t="n">
        <f aca="false">P641-Summary!$C$5</f>
        <v>5616.48999999999</v>
      </c>
      <c r="R641" s="2" t="str">
        <f aca="false">TEXT(A641,"ddd")</f>
        <v>Thu</v>
      </c>
    </row>
    <row r="642" customFormat="false" ht="15" hidden="false" customHeight="false" outlineLevel="0" collapsed="false">
      <c r="A642" s="43" t="n">
        <v>45702</v>
      </c>
      <c r="B642" s="29" t="n">
        <f aca="false">COUNTIFS(Trades!$D$2:$D$1146,$A642)</f>
        <v>1</v>
      </c>
      <c r="C642" s="29" t="n">
        <f aca="false">COUNTIFS(Trades!$D$2:$D$1146,$A642,Trades!$Z$2:$Z$1146,"Win")</f>
        <v>1</v>
      </c>
      <c r="D642" s="29" t="n">
        <f aca="false">COUNTIFS(Trades!$D$2:$D$1146,$A642,Trades!$Z$2:$Z$1146,"Loss")</f>
        <v>0</v>
      </c>
      <c r="E642" s="30" t="n">
        <f aca="false">IFERROR(C642/B642,0)</f>
        <v>1</v>
      </c>
      <c r="F642" s="31" t="n">
        <f aca="false">SUMIFS(Trades!$X$2:$X$1146,Trades!$D$2:$D$1146,$A642)</f>
        <v>56.07</v>
      </c>
      <c r="G642" s="31" t="n">
        <f aca="false">SUMIFS(Trades!$X$2:$X$1146,Trades!$D$2:$D$1146,$A642,Trades!$X$2:$X$1146,"&gt;0")</f>
        <v>56.07</v>
      </c>
      <c r="H642" s="31" t="n">
        <f aca="false">SUMIFS(Trades!$X$2:$X$1146,Trades!$D$2:$D$1146,$A642,Trades!$X$2:$X$1146,"&lt;0")</f>
        <v>0</v>
      </c>
      <c r="I642" s="32" t="str">
        <f aca="false">IFERROR(G642/-H642,"no loss")</f>
        <v>no loss</v>
      </c>
      <c r="J642" s="31" t="n">
        <f aca="false">_xlfn.MAXIFS(Trades!$X$2:$X$1146,Trades!$D$2:$D$1146,$A642)</f>
        <v>56.07</v>
      </c>
      <c r="K642" s="31" t="n">
        <f aca="false">_xlfn.MINIFS(Trades!$X$2:$X$1146,Trades!$D$2:$D$1146,$A642)</f>
        <v>56.07</v>
      </c>
      <c r="L642" s="33" t="n">
        <f aca="false">SUMIFS(Trades!$Y$2:$Y$1146,Trades!$D$2:$D$1146,$A642)</f>
        <v>2.492</v>
      </c>
      <c r="M642" s="31" t="n">
        <f aca="false">P641</f>
        <v>15616.49</v>
      </c>
      <c r="N642" s="30" t="n">
        <f aca="false">IFERROR(F642/M642,0)</f>
        <v>0.00359043549478788</v>
      </c>
      <c r="O642" s="29" t="str">
        <f aca="false">IF(-N642&gt;=Summary!$C$7,"BREACH","")</f>
        <v/>
      </c>
      <c r="P642" s="31" t="n">
        <f aca="false">M642+F642</f>
        <v>15672.56</v>
      </c>
      <c r="Q642" s="31" t="n">
        <f aca="false">P642-Summary!$C$5</f>
        <v>5672.55999999999</v>
      </c>
      <c r="R642" s="2" t="str">
        <f aca="false">TEXT(A642,"ddd")</f>
        <v>Fri</v>
      </c>
    </row>
    <row r="643" customFormat="false" ht="15" hidden="false" customHeight="false" outlineLevel="0" collapsed="false">
      <c r="A643" s="43" t="n">
        <v>45705</v>
      </c>
      <c r="B643" s="29" t="n">
        <f aca="false">COUNTIFS(Trades!$D$2:$D$1146,$A643)</f>
        <v>1</v>
      </c>
      <c r="C643" s="29" t="n">
        <f aca="false">COUNTIFS(Trades!$D$2:$D$1146,$A643,Trades!$Z$2:$Z$1146,"Win")</f>
        <v>0</v>
      </c>
      <c r="D643" s="29" t="n">
        <f aca="false">COUNTIFS(Trades!$D$2:$D$1146,$A643,Trades!$Z$2:$Z$1146,"Loss")</f>
        <v>1</v>
      </c>
      <c r="E643" s="30" t="n">
        <f aca="false">IFERROR(C643/B643,0)</f>
        <v>0</v>
      </c>
      <c r="F643" s="31" t="n">
        <f aca="false">SUMIFS(Trades!$X$2:$X$1146,Trades!$D$2:$D$1146,$A643)</f>
        <v>-27.87</v>
      </c>
      <c r="G643" s="31" t="n">
        <f aca="false">SUMIFS(Trades!$X$2:$X$1146,Trades!$D$2:$D$1146,$A643,Trades!$X$2:$X$1146,"&gt;0")</f>
        <v>0</v>
      </c>
      <c r="H643" s="31" t="n">
        <f aca="false">SUMIFS(Trades!$X$2:$X$1146,Trades!$D$2:$D$1146,$A643,Trades!$X$2:$X$1146,"&lt;0")</f>
        <v>-27.87</v>
      </c>
      <c r="I643" s="32" t="n">
        <f aca="false">IFERROR(G643/-H643,"no loss")</f>
        <v>0</v>
      </c>
      <c r="J643" s="31" t="n">
        <f aca="false">_xlfn.MAXIFS(Trades!$X$2:$X$1146,Trades!$D$2:$D$1146,$A643)</f>
        <v>-27.87</v>
      </c>
      <c r="K643" s="31" t="n">
        <f aca="false">_xlfn.MINIFS(Trades!$X$2:$X$1146,Trades!$D$2:$D$1146,$A643)</f>
        <v>-27.87</v>
      </c>
      <c r="L643" s="33" t="n">
        <f aca="false">SUMIFS(Trades!$Y$2:$Y$1146,Trades!$D$2:$D$1146,$A643)</f>
        <v>-1.04853273137691</v>
      </c>
      <c r="M643" s="31" t="n">
        <f aca="false">P642</f>
        <v>15672.56</v>
      </c>
      <c r="N643" s="30" t="n">
        <f aca="false">IFERROR(F643/M643,0)</f>
        <v>-0.0017782672390471</v>
      </c>
      <c r="O643" s="29" t="str">
        <f aca="false">IF(-N643&gt;=Summary!$C$7,"BREACH","")</f>
        <v/>
      </c>
      <c r="P643" s="31" t="n">
        <f aca="false">M643+F643</f>
        <v>15644.69</v>
      </c>
      <c r="Q643" s="31" t="n">
        <f aca="false">P643-Summary!$C$5</f>
        <v>5644.68999999999</v>
      </c>
      <c r="R643" s="2" t="str">
        <f aca="false">TEXT(A643,"ddd")</f>
        <v>Mon</v>
      </c>
    </row>
    <row r="644" customFormat="false" ht="15" hidden="false" customHeight="false" outlineLevel="0" collapsed="false">
      <c r="A644" s="43" t="n">
        <v>45706</v>
      </c>
      <c r="B644" s="29" t="n">
        <f aca="false">COUNTIFS(Trades!$D$2:$D$1146,$A644)</f>
        <v>2</v>
      </c>
      <c r="C644" s="29" t="n">
        <f aca="false">COUNTIFS(Trades!$D$2:$D$1146,$A644,Trades!$Z$2:$Z$1146,"Win")</f>
        <v>1</v>
      </c>
      <c r="D644" s="29" t="n">
        <f aca="false">COUNTIFS(Trades!$D$2:$D$1146,$A644,Trades!$Z$2:$Z$1146,"Loss")</f>
        <v>1</v>
      </c>
      <c r="E644" s="30" t="n">
        <f aca="false">IFERROR(C644/B644,0)</f>
        <v>0.5</v>
      </c>
      <c r="F644" s="31" t="n">
        <f aca="false">SUMIFS(Trades!$X$2:$X$1146,Trades!$D$2:$D$1146,$A644)</f>
        <v>-25.89</v>
      </c>
      <c r="G644" s="31" t="n">
        <f aca="false">SUMIFS(Trades!$X$2:$X$1146,Trades!$D$2:$D$1146,$A644,Trades!$X$2:$X$1146,"&gt;0")</f>
        <v>45.18</v>
      </c>
      <c r="H644" s="31" t="n">
        <f aca="false">SUMIFS(Trades!$X$2:$X$1146,Trades!$D$2:$D$1146,$A644,Trades!$X$2:$X$1146,"&lt;0")</f>
        <v>-71.07</v>
      </c>
      <c r="I644" s="32" t="n">
        <f aca="false">IFERROR(G644/-H644,"no loss")</f>
        <v>0.635711270578303</v>
      </c>
      <c r="J644" s="31" t="n">
        <f aca="false">_xlfn.MAXIFS(Trades!$X$2:$X$1146,Trades!$D$2:$D$1146,$A644)</f>
        <v>45.18</v>
      </c>
      <c r="K644" s="31" t="n">
        <f aca="false">_xlfn.MINIFS(Trades!$X$2:$X$1146,Trades!$D$2:$D$1146,$A644)</f>
        <v>-71.07</v>
      </c>
      <c r="L644" s="33" t="n">
        <f aca="false">SUMIFS(Trades!$Y$2:$Y$1146,Trades!$D$2:$D$1146,$A644)</f>
        <v>1.44666542858262</v>
      </c>
      <c r="M644" s="31" t="n">
        <f aca="false">P643</f>
        <v>15644.69</v>
      </c>
      <c r="N644" s="30" t="n">
        <f aca="false">IFERROR(F644/M644,0)</f>
        <v>-0.00165487459323259</v>
      </c>
      <c r="O644" s="29" t="str">
        <f aca="false">IF(-N644&gt;=Summary!$C$7,"BREACH","")</f>
        <v/>
      </c>
      <c r="P644" s="31" t="n">
        <f aca="false">M644+F644</f>
        <v>15618.8</v>
      </c>
      <c r="Q644" s="31" t="n">
        <f aca="false">P644-Summary!$C$5</f>
        <v>5618.79999999999</v>
      </c>
      <c r="R644" s="2" t="str">
        <f aca="false">TEXT(A644,"ddd")</f>
        <v>Tue</v>
      </c>
    </row>
    <row r="645" customFormat="false" ht="15" hidden="false" customHeight="false" outlineLevel="0" collapsed="false">
      <c r="A645" s="43" t="n">
        <v>45708</v>
      </c>
      <c r="B645" s="29" t="n">
        <f aca="false">COUNTIFS(Trades!$D$2:$D$1146,$A645)</f>
        <v>1</v>
      </c>
      <c r="C645" s="29" t="n">
        <f aca="false">COUNTIFS(Trades!$D$2:$D$1146,$A645,Trades!$Z$2:$Z$1146,"Win")</f>
        <v>1</v>
      </c>
      <c r="D645" s="29" t="n">
        <f aca="false">COUNTIFS(Trades!$D$2:$D$1146,$A645,Trades!$Z$2:$Z$1146,"Loss")</f>
        <v>0</v>
      </c>
      <c r="E645" s="30" t="n">
        <f aca="false">IFERROR(C645/B645,0)</f>
        <v>1</v>
      </c>
      <c r="F645" s="31" t="n">
        <f aca="false">SUMIFS(Trades!$X$2:$X$1146,Trades!$D$2:$D$1146,$A645)</f>
        <v>141.93</v>
      </c>
      <c r="G645" s="31" t="n">
        <f aca="false">SUMIFS(Trades!$X$2:$X$1146,Trades!$D$2:$D$1146,$A645,Trades!$X$2:$X$1146,"&gt;0")</f>
        <v>141.93</v>
      </c>
      <c r="H645" s="31" t="n">
        <f aca="false">SUMIFS(Trades!$X$2:$X$1146,Trades!$D$2:$D$1146,$A645,Trades!$X$2:$X$1146,"&lt;0")</f>
        <v>0</v>
      </c>
      <c r="I645" s="32" t="str">
        <f aca="false">IFERROR(G645/-H645,"no loss")</f>
        <v>no loss</v>
      </c>
      <c r="J645" s="31" t="n">
        <f aca="false">_xlfn.MAXIFS(Trades!$X$2:$X$1146,Trades!$D$2:$D$1146,$A645)</f>
        <v>141.93</v>
      </c>
      <c r="K645" s="31" t="n">
        <f aca="false">_xlfn.MINIFS(Trades!$X$2:$X$1146,Trades!$D$2:$D$1146,$A645)</f>
        <v>141.93</v>
      </c>
      <c r="L645" s="33" t="n">
        <f aca="false">SUMIFS(Trades!$Y$2:$Y$1146,Trades!$D$2:$D$1146,$A645)</f>
        <v>2.47696335078506</v>
      </c>
      <c r="M645" s="31" t="n">
        <f aca="false">P644</f>
        <v>15618.8</v>
      </c>
      <c r="N645" s="30" t="n">
        <f aca="false">IFERROR(F645/M645,0)</f>
        <v>0.00908712577150614</v>
      </c>
      <c r="O645" s="29" t="str">
        <f aca="false">IF(-N645&gt;=Summary!$C$7,"BREACH","")</f>
        <v/>
      </c>
      <c r="P645" s="31" t="n">
        <f aca="false">M645+F645</f>
        <v>15760.73</v>
      </c>
      <c r="Q645" s="31" t="n">
        <f aca="false">P645-Summary!$C$5</f>
        <v>5760.72999999999</v>
      </c>
      <c r="R645" s="2" t="str">
        <f aca="false">TEXT(A645,"ddd")</f>
        <v>Thu</v>
      </c>
    </row>
    <row r="646" customFormat="false" ht="15" hidden="false" customHeight="false" outlineLevel="0" collapsed="false">
      <c r="A646" s="43" t="n">
        <v>45709</v>
      </c>
      <c r="B646" s="29" t="n">
        <f aca="false">COUNTIFS(Trades!$D$2:$D$1146,$A646)</f>
        <v>2</v>
      </c>
      <c r="C646" s="29" t="n">
        <f aca="false">COUNTIFS(Trades!$D$2:$D$1146,$A646,Trades!$Z$2:$Z$1146,"Win")</f>
        <v>0</v>
      </c>
      <c r="D646" s="29" t="n">
        <f aca="false">COUNTIFS(Trades!$D$2:$D$1146,$A646,Trades!$Z$2:$Z$1146,"Loss")</f>
        <v>2</v>
      </c>
      <c r="E646" s="30" t="n">
        <f aca="false">IFERROR(C646/B646,0)</f>
        <v>0</v>
      </c>
      <c r="F646" s="31" t="n">
        <f aca="false">SUMIFS(Trades!$X$2:$X$1146,Trades!$D$2:$D$1146,$A646)</f>
        <v>-70.2</v>
      </c>
      <c r="G646" s="31" t="n">
        <f aca="false">SUMIFS(Trades!$X$2:$X$1146,Trades!$D$2:$D$1146,$A646,Trades!$X$2:$X$1146,"&gt;0")</f>
        <v>0</v>
      </c>
      <c r="H646" s="31" t="n">
        <f aca="false">SUMIFS(Trades!$X$2:$X$1146,Trades!$D$2:$D$1146,$A646,Trades!$X$2:$X$1146,"&lt;0")</f>
        <v>-70.2</v>
      </c>
      <c r="I646" s="32" t="n">
        <f aca="false">IFERROR(G646/-H646,"no loss")</f>
        <v>0</v>
      </c>
      <c r="J646" s="31" t="n">
        <f aca="false">_xlfn.MAXIFS(Trades!$X$2:$X$1146,Trades!$D$2:$D$1146,$A646)</f>
        <v>-13.8</v>
      </c>
      <c r="K646" s="31" t="n">
        <f aca="false">_xlfn.MINIFS(Trades!$X$2:$X$1146,Trades!$D$2:$D$1146,$A646)</f>
        <v>-56.4</v>
      </c>
      <c r="L646" s="33" t="n">
        <f aca="false">SUMIFS(Trades!$Y$2:$Y$1146,Trades!$D$2:$D$1146,$A646)</f>
        <v>-2.09043829733516</v>
      </c>
      <c r="M646" s="31" t="n">
        <f aca="false">P645</f>
        <v>15760.73</v>
      </c>
      <c r="N646" s="30" t="n">
        <f aca="false">IFERROR(F646/M646,0)</f>
        <v>-0.00445410840741514</v>
      </c>
      <c r="O646" s="29" t="str">
        <f aca="false">IF(-N646&gt;=Summary!$C$7,"BREACH","")</f>
        <v/>
      </c>
      <c r="P646" s="31" t="n">
        <f aca="false">M646+F646</f>
        <v>15690.53</v>
      </c>
      <c r="Q646" s="31" t="n">
        <f aca="false">P646-Summary!$C$5</f>
        <v>5690.52999999999</v>
      </c>
      <c r="R646" s="2" t="str">
        <f aca="false">TEXT(A646,"ddd")</f>
        <v>Fri</v>
      </c>
    </row>
    <row r="647" customFormat="false" ht="15" hidden="false" customHeight="false" outlineLevel="0" collapsed="false">
      <c r="A647" s="43" t="n">
        <v>45712</v>
      </c>
      <c r="B647" s="29" t="n">
        <f aca="false">COUNTIFS(Trades!$D$2:$D$1146,$A647)</f>
        <v>1</v>
      </c>
      <c r="C647" s="29" t="n">
        <f aca="false">COUNTIFS(Trades!$D$2:$D$1146,$A647,Trades!$Z$2:$Z$1146,"Win")</f>
        <v>1</v>
      </c>
      <c r="D647" s="29" t="n">
        <f aca="false">COUNTIFS(Trades!$D$2:$D$1146,$A647,Trades!$Z$2:$Z$1146,"Loss")</f>
        <v>0</v>
      </c>
      <c r="E647" s="30" t="n">
        <f aca="false">IFERROR(C647/B647,0)</f>
        <v>1</v>
      </c>
      <c r="F647" s="31" t="n">
        <f aca="false">SUMIFS(Trades!$X$2:$X$1146,Trades!$D$2:$D$1146,$A647)</f>
        <v>177.51</v>
      </c>
      <c r="G647" s="31" t="n">
        <f aca="false">SUMIFS(Trades!$X$2:$X$1146,Trades!$D$2:$D$1146,$A647,Trades!$X$2:$X$1146,"&gt;0")</f>
        <v>177.51</v>
      </c>
      <c r="H647" s="31" t="n">
        <f aca="false">SUMIFS(Trades!$X$2:$X$1146,Trades!$D$2:$D$1146,$A647,Trades!$X$2:$X$1146,"&lt;0")</f>
        <v>0</v>
      </c>
      <c r="I647" s="32" t="str">
        <f aca="false">IFERROR(G647/-H647,"no loss")</f>
        <v>no loss</v>
      </c>
      <c r="J647" s="31" t="n">
        <f aca="false">_xlfn.MAXIFS(Trades!$X$2:$X$1146,Trades!$D$2:$D$1146,$A647)</f>
        <v>177.51</v>
      </c>
      <c r="K647" s="31" t="n">
        <f aca="false">_xlfn.MINIFS(Trades!$X$2:$X$1146,Trades!$D$2:$D$1146,$A647)</f>
        <v>177.51</v>
      </c>
      <c r="L647" s="33" t="n">
        <f aca="false">SUMIFS(Trades!$Y$2:$Y$1146,Trades!$D$2:$D$1146,$A647)</f>
        <v>2.46336386344746</v>
      </c>
      <c r="M647" s="31" t="n">
        <f aca="false">P646</f>
        <v>15690.53</v>
      </c>
      <c r="N647" s="30" t="n">
        <f aca="false">IFERROR(F647/M647,0)</f>
        <v>0.0113131933720531</v>
      </c>
      <c r="O647" s="29" t="str">
        <f aca="false">IF(-N647&gt;=Summary!$C$7,"BREACH","")</f>
        <v/>
      </c>
      <c r="P647" s="31" t="n">
        <f aca="false">M647+F647</f>
        <v>15868.04</v>
      </c>
      <c r="Q647" s="31" t="n">
        <f aca="false">P647-Summary!$C$5</f>
        <v>5868.03999999999</v>
      </c>
      <c r="R647" s="2" t="str">
        <f aca="false">TEXT(A647,"ddd")</f>
        <v>Mon</v>
      </c>
    </row>
    <row r="648" customFormat="false" ht="15" hidden="false" customHeight="false" outlineLevel="0" collapsed="false">
      <c r="A648" s="43" t="n">
        <v>45713</v>
      </c>
      <c r="B648" s="29" t="n">
        <f aca="false">COUNTIFS(Trades!$D$2:$D$1146,$A648)</f>
        <v>1</v>
      </c>
      <c r="C648" s="29" t="n">
        <f aca="false">COUNTIFS(Trades!$D$2:$D$1146,$A648,Trades!$Z$2:$Z$1146,"Win")</f>
        <v>0</v>
      </c>
      <c r="D648" s="29" t="n">
        <f aca="false">COUNTIFS(Trades!$D$2:$D$1146,$A648,Trades!$Z$2:$Z$1146,"Loss")</f>
        <v>1</v>
      </c>
      <c r="E648" s="30" t="n">
        <f aca="false">IFERROR(C648/B648,0)</f>
        <v>0</v>
      </c>
      <c r="F648" s="31" t="n">
        <f aca="false">SUMIFS(Trades!$X$2:$X$1146,Trades!$D$2:$D$1146,$A648)</f>
        <v>-27.96</v>
      </c>
      <c r="G648" s="31" t="n">
        <f aca="false">SUMIFS(Trades!$X$2:$X$1146,Trades!$D$2:$D$1146,$A648,Trades!$X$2:$X$1146,"&gt;0")</f>
        <v>0</v>
      </c>
      <c r="H648" s="31" t="n">
        <f aca="false">SUMIFS(Trades!$X$2:$X$1146,Trades!$D$2:$D$1146,$A648,Trades!$X$2:$X$1146,"&lt;0")</f>
        <v>-27.96</v>
      </c>
      <c r="I648" s="32" t="n">
        <f aca="false">IFERROR(G648/-H648,"no loss")</f>
        <v>0</v>
      </c>
      <c r="J648" s="31" t="n">
        <f aca="false">_xlfn.MAXIFS(Trades!$X$2:$X$1146,Trades!$D$2:$D$1146,$A648)</f>
        <v>-27.96</v>
      </c>
      <c r="K648" s="31" t="n">
        <f aca="false">_xlfn.MINIFS(Trades!$X$2:$X$1146,Trades!$D$2:$D$1146,$A648)</f>
        <v>-27.96</v>
      </c>
      <c r="L648" s="33" t="n">
        <f aca="false">SUMIFS(Trades!$Y$2:$Y$1146,Trades!$D$2:$D$1146,$A648)</f>
        <v>-1.01304347826119</v>
      </c>
      <c r="M648" s="31" t="n">
        <f aca="false">P647</f>
        <v>15868.04</v>
      </c>
      <c r="N648" s="30" t="n">
        <f aca="false">IFERROR(F648/M648,0)</f>
        <v>-0.00176203236190481</v>
      </c>
      <c r="O648" s="29" t="str">
        <f aca="false">IF(-N648&gt;=Summary!$C$7,"BREACH","")</f>
        <v/>
      </c>
      <c r="P648" s="31" t="n">
        <f aca="false">M648+F648</f>
        <v>15840.08</v>
      </c>
      <c r="Q648" s="31" t="n">
        <f aca="false">P648-Summary!$C$5</f>
        <v>5840.07999999999</v>
      </c>
      <c r="R648" s="2" t="str">
        <f aca="false">TEXT(A648,"ddd")</f>
        <v>Tue</v>
      </c>
    </row>
    <row r="649" customFormat="false" ht="15" hidden="false" customHeight="false" outlineLevel="0" collapsed="false">
      <c r="A649" s="43" t="n">
        <v>45715</v>
      </c>
      <c r="B649" s="29" t="n">
        <f aca="false">COUNTIFS(Trades!$D$2:$D$1146,$A649)</f>
        <v>1</v>
      </c>
      <c r="C649" s="29" t="n">
        <f aca="false">COUNTIFS(Trades!$D$2:$D$1146,$A649,Trades!$Z$2:$Z$1146,"Win")</f>
        <v>1</v>
      </c>
      <c r="D649" s="29" t="n">
        <f aca="false">COUNTIFS(Trades!$D$2:$D$1146,$A649,Trades!$Z$2:$Z$1146,"Loss")</f>
        <v>0</v>
      </c>
      <c r="E649" s="30" t="n">
        <f aca="false">IFERROR(C649/B649,0)</f>
        <v>1</v>
      </c>
      <c r="F649" s="31" t="n">
        <f aca="false">SUMIFS(Trades!$X$2:$X$1146,Trades!$D$2:$D$1146,$A649)</f>
        <v>264.21</v>
      </c>
      <c r="G649" s="31" t="n">
        <f aca="false">SUMIFS(Trades!$X$2:$X$1146,Trades!$D$2:$D$1146,$A649,Trades!$X$2:$X$1146,"&gt;0")</f>
        <v>264.21</v>
      </c>
      <c r="H649" s="31" t="n">
        <f aca="false">SUMIFS(Trades!$X$2:$X$1146,Trades!$D$2:$D$1146,$A649,Trades!$X$2:$X$1146,"&lt;0")</f>
        <v>0</v>
      </c>
      <c r="I649" s="32" t="str">
        <f aca="false">IFERROR(G649/-H649,"no loss")</f>
        <v>no loss</v>
      </c>
      <c r="J649" s="31" t="n">
        <f aca="false">_xlfn.MAXIFS(Trades!$X$2:$X$1146,Trades!$D$2:$D$1146,$A649)</f>
        <v>264.21</v>
      </c>
      <c r="K649" s="31" t="n">
        <f aca="false">_xlfn.MINIFS(Trades!$X$2:$X$1146,Trades!$D$2:$D$1146,$A649)</f>
        <v>264.21</v>
      </c>
      <c r="L649" s="33" t="n">
        <f aca="false">SUMIFS(Trades!$Y$2:$Y$1146,Trades!$D$2:$D$1146,$A649)</f>
        <v>2.4525201893623</v>
      </c>
      <c r="M649" s="31" t="n">
        <f aca="false">P648</f>
        <v>15840.08</v>
      </c>
      <c r="N649" s="30" t="n">
        <f aca="false">IFERROR(F649/M649,0)</f>
        <v>0.0166798400008081</v>
      </c>
      <c r="O649" s="29" t="str">
        <f aca="false">IF(-N649&gt;=Summary!$C$7,"BREACH","")</f>
        <v/>
      </c>
      <c r="P649" s="31" t="n">
        <f aca="false">M649+F649</f>
        <v>16104.29</v>
      </c>
      <c r="Q649" s="31" t="n">
        <f aca="false">P649-Summary!$C$5</f>
        <v>6104.28999999999</v>
      </c>
      <c r="R649" s="2" t="str">
        <f aca="false">TEXT(A649,"ddd")</f>
        <v>Thu</v>
      </c>
    </row>
    <row r="650" customFormat="false" ht="15" hidden="false" customHeight="false" outlineLevel="0" collapsed="false">
      <c r="A650" s="43" t="n">
        <v>45716</v>
      </c>
      <c r="B650" s="29" t="n">
        <f aca="false">COUNTIFS(Trades!$D$2:$D$1146,$A650)</f>
        <v>1</v>
      </c>
      <c r="C650" s="29" t="n">
        <f aca="false">COUNTIFS(Trades!$D$2:$D$1146,$A650,Trades!$Z$2:$Z$1146,"Win")</f>
        <v>0</v>
      </c>
      <c r="D650" s="29" t="n">
        <f aca="false">COUNTIFS(Trades!$D$2:$D$1146,$A650,Trades!$Z$2:$Z$1146,"Loss")</f>
        <v>1</v>
      </c>
      <c r="E650" s="30" t="n">
        <f aca="false">IFERROR(C650/B650,0)</f>
        <v>0</v>
      </c>
      <c r="F650" s="31" t="n">
        <f aca="false">SUMIFS(Trades!$X$2:$X$1146,Trades!$D$2:$D$1146,$A650)</f>
        <v>-76.35</v>
      </c>
      <c r="G650" s="31" t="n">
        <f aca="false">SUMIFS(Trades!$X$2:$X$1146,Trades!$D$2:$D$1146,$A650,Trades!$X$2:$X$1146,"&gt;0")</f>
        <v>0</v>
      </c>
      <c r="H650" s="31" t="n">
        <f aca="false">SUMIFS(Trades!$X$2:$X$1146,Trades!$D$2:$D$1146,$A650,Trades!$X$2:$X$1146,"&lt;0")</f>
        <v>-76.35</v>
      </c>
      <c r="I650" s="32" t="n">
        <f aca="false">IFERROR(G650/-H650,"no loss")</f>
        <v>0</v>
      </c>
      <c r="J650" s="31" t="n">
        <f aca="false">_xlfn.MAXIFS(Trades!$X$2:$X$1146,Trades!$D$2:$D$1146,$A650)</f>
        <v>-76.35</v>
      </c>
      <c r="K650" s="31" t="n">
        <f aca="false">_xlfn.MINIFS(Trades!$X$2:$X$1146,Trades!$D$2:$D$1146,$A650)</f>
        <v>-76.35</v>
      </c>
      <c r="L650" s="33" t="n">
        <f aca="false">SUMIFS(Trades!$Y$2:$Y$1146,Trades!$D$2:$D$1146,$A650)</f>
        <v>-1.03455284552852</v>
      </c>
      <c r="M650" s="31" t="n">
        <f aca="false">P649</f>
        <v>16104.29</v>
      </c>
      <c r="N650" s="30" t="n">
        <f aca="false">IFERROR(F650/M650,0)</f>
        <v>-0.00474097274701338</v>
      </c>
      <c r="O650" s="29" t="str">
        <f aca="false">IF(-N650&gt;=Summary!$C$7,"BREACH","")</f>
        <v/>
      </c>
      <c r="P650" s="31" t="n">
        <f aca="false">M650+F650</f>
        <v>16027.94</v>
      </c>
      <c r="Q650" s="31" t="n">
        <f aca="false">P650-Summary!$C$5</f>
        <v>6027.93999999999</v>
      </c>
      <c r="R650" s="2" t="str">
        <f aca="false">TEXT(A650,"ddd")</f>
        <v>Fri</v>
      </c>
    </row>
    <row r="651" customFormat="false" ht="15" hidden="false" customHeight="false" outlineLevel="0" collapsed="false">
      <c r="A651" s="43" t="n">
        <v>45719</v>
      </c>
      <c r="B651" s="29" t="n">
        <f aca="false">COUNTIFS(Trades!$D$2:$D$1146,$A651)</f>
        <v>2</v>
      </c>
      <c r="C651" s="29" t="n">
        <f aca="false">COUNTIFS(Trades!$D$2:$D$1146,$A651,Trades!$Z$2:$Z$1146,"Win")</f>
        <v>0</v>
      </c>
      <c r="D651" s="29" t="n">
        <f aca="false">COUNTIFS(Trades!$D$2:$D$1146,$A651,Trades!$Z$2:$Z$1146,"Loss")</f>
        <v>2</v>
      </c>
      <c r="E651" s="30" t="n">
        <f aca="false">IFERROR(C651/B651,0)</f>
        <v>0</v>
      </c>
      <c r="F651" s="31" t="n">
        <f aca="false">SUMIFS(Trades!$X$2:$X$1146,Trades!$D$2:$D$1146,$A651)</f>
        <v>-105.93</v>
      </c>
      <c r="G651" s="31" t="n">
        <f aca="false">SUMIFS(Trades!$X$2:$X$1146,Trades!$D$2:$D$1146,$A651,Trades!$X$2:$X$1146,"&gt;0")</f>
        <v>0</v>
      </c>
      <c r="H651" s="31" t="n">
        <f aca="false">SUMIFS(Trades!$X$2:$X$1146,Trades!$D$2:$D$1146,$A651,Trades!$X$2:$X$1146,"&lt;0")</f>
        <v>-105.93</v>
      </c>
      <c r="I651" s="32" t="n">
        <f aca="false">IFERROR(G651/-H651,"no loss")</f>
        <v>0</v>
      </c>
      <c r="J651" s="31" t="n">
        <f aca="false">_xlfn.MAXIFS(Trades!$X$2:$X$1146,Trades!$D$2:$D$1146,$A651)</f>
        <v>-0.99</v>
      </c>
      <c r="K651" s="31" t="n">
        <f aca="false">_xlfn.MINIFS(Trades!$X$2:$X$1146,Trades!$D$2:$D$1146,$A651)</f>
        <v>-104.94</v>
      </c>
      <c r="L651" s="33" t="n">
        <f aca="false">SUMIFS(Trades!$Y$2:$Y$1146,Trades!$D$2:$D$1146,$A651)</f>
        <v>-1.02248417408273</v>
      </c>
      <c r="M651" s="31" t="n">
        <f aca="false">P650</f>
        <v>16027.94</v>
      </c>
      <c r="N651" s="30" t="n">
        <f aca="false">IFERROR(F651/M651,0)</f>
        <v>-0.00660908388726187</v>
      </c>
      <c r="O651" s="29" t="str">
        <f aca="false">IF(-N651&gt;=Summary!$C$7,"BREACH","")</f>
        <v/>
      </c>
      <c r="P651" s="31" t="n">
        <f aca="false">M651+F651</f>
        <v>15922.01</v>
      </c>
      <c r="Q651" s="31" t="n">
        <f aca="false">P651-Summary!$C$5</f>
        <v>5922.00999999999</v>
      </c>
      <c r="R651" s="2" t="str">
        <f aca="false">TEXT(A651,"ddd")</f>
        <v>Mon</v>
      </c>
    </row>
    <row r="652" customFormat="false" ht="15" hidden="false" customHeight="false" outlineLevel="0" collapsed="false">
      <c r="A652" s="43" t="n">
        <v>45720</v>
      </c>
      <c r="B652" s="29" t="n">
        <f aca="false">COUNTIFS(Trades!$D$2:$D$1146,$A652)</f>
        <v>1</v>
      </c>
      <c r="C652" s="29" t="n">
        <f aca="false">COUNTIFS(Trades!$D$2:$D$1146,$A652,Trades!$Z$2:$Z$1146,"Win")</f>
        <v>0</v>
      </c>
      <c r="D652" s="29" t="n">
        <f aca="false">COUNTIFS(Trades!$D$2:$D$1146,$A652,Trades!$Z$2:$Z$1146,"Loss")</f>
        <v>1</v>
      </c>
      <c r="E652" s="30" t="n">
        <f aca="false">IFERROR(C652/B652,0)</f>
        <v>0</v>
      </c>
      <c r="F652" s="31" t="n">
        <f aca="false">SUMIFS(Trades!$X$2:$X$1146,Trades!$D$2:$D$1146,$A652)</f>
        <v>-70.83</v>
      </c>
      <c r="G652" s="31" t="n">
        <f aca="false">SUMIFS(Trades!$X$2:$X$1146,Trades!$D$2:$D$1146,$A652,Trades!$X$2:$X$1146,"&gt;0")</f>
        <v>0</v>
      </c>
      <c r="H652" s="31" t="n">
        <f aca="false">SUMIFS(Trades!$X$2:$X$1146,Trades!$D$2:$D$1146,$A652,Trades!$X$2:$X$1146,"&lt;0")</f>
        <v>-70.83</v>
      </c>
      <c r="I652" s="32" t="n">
        <f aca="false">IFERROR(G652/-H652,"no loss")</f>
        <v>0</v>
      </c>
      <c r="J652" s="31" t="n">
        <f aca="false">_xlfn.MAXIFS(Trades!$X$2:$X$1146,Trades!$D$2:$D$1146,$A652)</f>
        <v>-70.83</v>
      </c>
      <c r="K652" s="31" t="n">
        <f aca="false">_xlfn.MINIFS(Trades!$X$2:$X$1146,Trades!$D$2:$D$1146,$A652)</f>
        <v>-70.83</v>
      </c>
      <c r="L652" s="33" t="n">
        <f aca="false">SUMIFS(Trades!$Y$2:$Y$1146,Trades!$D$2:$D$1146,$A652)</f>
        <v>-1.12535748331747</v>
      </c>
      <c r="M652" s="31" t="n">
        <f aca="false">P651</f>
        <v>15922.01</v>
      </c>
      <c r="N652" s="30" t="n">
        <f aca="false">IFERROR(F652/M652,0)</f>
        <v>-0.00444855894450512</v>
      </c>
      <c r="O652" s="29" t="str">
        <f aca="false">IF(-N652&gt;=Summary!$C$7,"BREACH","")</f>
        <v/>
      </c>
      <c r="P652" s="31" t="n">
        <f aca="false">M652+F652</f>
        <v>15851.18</v>
      </c>
      <c r="Q652" s="31" t="n">
        <f aca="false">P652-Summary!$C$5</f>
        <v>5851.17999999999</v>
      </c>
      <c r="R652" s="2" t="str">
        <f aca="false">TEXT(A652,"ddd")</f>
        <v>Tue</v>
      </c>
    </row>
    <row r="653" customFormat="false" ht="15" hidden="false" customHeight="false" outlineLevel="0" collapsed="false">
      <c r="A653" s="43" t="n">
        <v>45722</v>
      </c>
      <c r="B653" s="29" t="n">
        <f aca="false">COUNTIFS(Trades!$D$2:$D$1146,$A653)</f>
        <v>1</v>
      </c>
      <c r="C653" s="29" t="n">
        <f aca="false">COUNTIFS(Trades!$D$2:$D$1146,$A653,Trades!$Z$2:$Z$1146,"Win")</f>
        <v>0</v>
      </c>
      <c r="D653" s="29" t="n">
        <f aca="false">COUNTIFS(Trades!$D$2:$D$1146,$A653,Trades!$Z$2:$Z$1146,"Loss")</f>
        <v>1</v>
      </c>
      <c r="E653" s="30" t="n">
        <f aca="false">IFERROR(C653/B653,0)</f>
        <v>0</v>
      </c>
      <c r="F653" s="31" t="n">
        <f aca="false">SUMIFS(Trades!$X$2:$X$1146,Trades!$D$2:$D$1146,$A653)</f>
        <v>-94.62</v>
      </c>
      <c r="G653" s="31" t="n">
        <f aca="false">SUMIFS(Trades!$X$2:$X$1146,Trades!$D$2:$D$1146,$A653,Trades!$X$2:$X$1146,"&gt;0")</f>
        <v>0</v>
      </c>
      <c r="H653" s="31" t="n">
        <f aca="false">SUMIFS(Trades!$X$2:$X$1146,Trades!$D$2:$D$1146,$A653,Trades!$X$2:$X$1146,"&lt;0")</f>
        <v>-94.62</v>
      </c>
      <c r="I653" s="32" t="n">
        <f aca="false">IFERROR(G653/-H653,"no loss")</f>
        <v>0</v>
      </c>
      <c r="J653" s="31" t="n">
        <f aca="false">_xlfn.MAXIFS(Trades!$X$2:$X$1146,Trades!$D$2:$D$1146,$A653)</f>
        <v>-94.62</v>
      </c>
      <c r="K653" s="31" t="n">
        <f aca="false">_xlfn.MINIFS(Trades!$X$2:$X$1146,Trades!$D$2:$D$1146,$A653)</f>
        <v>-94.62</v>
      </c>
      <c r="L653" s="33" t="n">
        <f aca="false">SUMIFS(Trades!$Y$2:$Y$1146,Trades!$D$2:$D$1146,$A653)</f>
        <v>-1.01252006420553</v>
      </c>
      <c r="M653" s="31" t="n">
        <f aca="false">P652</f>
        <v>15851.18</v>
      </c>
      <c r="N653" s="30" t="n">
        <f aca="false">IFERROR(F653/M653,0)</f>
        <v>-0.00596927168829072</v>
      </c>
      <c r="O653" s="29" t="str">
        <f aca="false">IF(-N653&gt;=Summary!$C$7,"BREACH","")</f>
        <v/>
      </c>
      <c r="P653" s="31" t="n">
        <f aca="false">M653+F653</f>
        <v>15756.56</v>
      </c>
      <c r="Q653" s="31" t="n">
        <f aca="false">P653-Summary!$C$5</f>
        <v>5756.55999999999</v>
      </c>
      <c r="R653" s="2" t="str">
        <f aca="false">TEXT(A653,"ddd")</f>
        <v>Thu</v>
      </c>
    </row>
    <row r="654" customFormat="false" ht="15" hidden="false" customHeight="false" outlineLevel="0" collapsed="false">
      <c r="A654" s="43" t="n">
        <v>45723</v>
      </c>
      <c r="B654" s="29" t="n">
        <f aca="false">COUNTIFS(Trades!$D$2:$D$1146,$A654)</f>
        <v>1</v>
      </c>
      <c r="C654" s="29" t="n">
        <f aca="false">COUNTIFS(Trades!$D$2:$D$1146,$A654,Trades!$Z$2:$Z$1146,"Win")</f>
        <v>1</v>
      </c>
      <c r="D654" s="29" t="n">
        <f aca="false">COUNTIFS(Trades!$D$2:$D$1146,$A654,Trades!$Z$2:$Z$1146,"Loss")</f>
        <v>0</v>
      </c>
      <c r="E654" s="30" t="n">
        <f aca="false">IFERROR(C654/B654,0)</f>
        <v>1</v>
      </c>
      <c r="F654" s="31" t="n">
        <f aca="false">SUMIFS(Trades!$X$2:$X$1146,Trades!$D$2:$D$1146,$A654)</f>
        <v>264.81</v>
      </c>
      <c r="G654" s="31" t="n">
        <f aca="false">SUMIFS(Trades!$X$2:$X$1146,Trades!$D$2:$D$1146,$A654,Trades!$X$2:$X$1146,"&gt;0")</f>
        <v>264.81</v>
      </c>
      <c r="H654" s="31" t="n">
        <f aca="false">SUMIFS(Trades!$X$2:$X$1146,Trades!$D$2:$D$1146,$A654,Trades!$X$2:$X$1146,"&lt;0")</f>
        <v>0</v>
      </c>
      <c r="I654" s="32" t="str">
        <f aca="false">IFERROR(G654/-H654,"no loss")</f>
        <v>no loss</v>
      </c>
      <c r="J654" s="31" t="n">
        <f aca="false">_xlfn.MAXIFS(Trades!$X$2:$X$1146,Trades!$D$2:$D$1146,$A654)</f>
        <v>264.81</v>
      </c>
      <c r="K654" s="31" t="n">
        <f aca="false">_xlfn.MINIFS(Trades!$X$2:$X$1146,Trades!$D$2:$D$1146,$A654)</f>
        <v>264.81</v>
      </c>
      <c r="L654" s="33" t="n">
        <f aca="false">SUMIFS(Trades!$Y$2:$Y$1146,Trades!$D$2:$D$1146,$A654)</f>
        <v>2.46357800725637</v>
      </c>
      <c r="M654" s="31" t="n">
        <f aca="false">P653</f>
        <v>15756.56</v>
      </c>
      <c r="N654" s="30" t="n">
        <f aca="false">IFERROR(F654/M654,0)</f>
        <v>0.0168063333621044</v>
      </c>
      <c r="O654" s="29" t="str">
        <f aca="false">IF(-N654&gt;=Summary!$C$7,"BREACH","")</f>
        <v/>
      </c>
      <c r="P654" s="31" t="n">
        <f aca="false">M654+F654</f>
        <v>16021.37</v>
      </c>
      <c r="Q654" s="31" t="n">
        <f aca="false">P654-Summary!$C$5</f>
        <v>6021.36999999999</v>
      </c>
      <c r="R654" s="2" t="str">
        <f aca="false">TEXT(A654,"ddd")</f>
        <v>Fri</v>
      </c>
    </row>
    <row r="655" customFormat="false" ht="15" hidden="false" customHeight="false" outlineLevel="0" collapsed="false">
      <c r="A655" s="43" t="n">
        <v>45726</v>
      </c>
      <c r="B655" s="29" t="n">
        <f aca="false">COUNTIFS(Trades!$D$2:$D$1146,$A655)</f>
        <v>1</v>
      </c>
      <c r="C655" s="29" t="n">
        <f aca="false">COUNTIFS(Trades!$D$2:$D$1146,$A655,Trades!$Z$2:$Z$1146,"Win")</f>
        <v>0</v>
      </c>
      <c r="D655" s="29" t="n">
        <f aca="false">COUNTIFS(Trades!$D$2:$D$1146,$A655,Trades!$Z$2:$Z$1146,"Loss")</f>
        <v>1</v>
      </c>
      <c r="E655" s="30" t="n">
        <f aca="false">IFERROR(C655/B655,0)</f>
        <v>0</v>
      </c>
      <c r="F655" s="31" t="n">
        <f aca="false">SUMIFS(Trades!$X$2:$X$1146,Trades!$D$2:$D$1146,$A655)</f>
        <v>-150.24</v>
      </c>
      <c r="G655" s="31" t="n">
        <f aca="false">SUMIFS(Trades!$X$2:$X$1146,Trades!$D$2:$D$1146,$A655,Trades!$X$2:$X$1146,"&gt;0")</f>
        <v>0</v>
      </c>
      <c r="H655" s="31" t="n">
        <f aca="false">SUMIFS(Trades!$X$2:$X$1146,Trades!$D$2:$D$1146,$A655,Trades!$X$2:$X$1146,"&lt;0")</f>
        <v>-150.24</v>
      </c>
      <c r="I655" s="32" t="n">
        <f aca="false">IFERROR(G655/-H655,"no loss")</f>
        <v>0</v>
      </c>
      <c r="J655" s="31" t="n">
        <f aca="false">_xlfn.MAXIFS(Trades!$X$2:$X$1146,Trades!$D$2:$D$1146,$A655)</f>
        <v>-150.24</v>
      </c>
      <c r="K655" s="31" t="n">
        <f aca="false">_xlfn.MINIFS(Trades!$X$2:$X$1146,Trades!$D$2:$D$1146,$A655)</f>
        <v>-150.24</v>
      </c>
      <c r="L655" s="33" t="n">
        <f aca="false">SUMIFS(Trades!$Y$2:$Y$1146,Trades!$D$2:$D$1146,$A655)</f>
        <v>-1.02735229759306</v>
      </c>
      <c r="M655" s="31" t="n">
        <f aca="false">P654</f>
        <v>16021.37</v>
      </c>
      <c r="N655" s="30" t="n">
        <f aca="false">IFERROR(F655/M655,0)</f>
        <v>-0.00937747520967309</v>
      </c>
      <c r="O655" s="29" t="str">
        <f aca="false">IF(-N655&gt;=Summary!$C$7,"BREACH","")</f>
        <v/>
      </c>
      <c r="P655" s="31" t="n">
        <f aca="false">M655+F655</f>
        <v>15871.13</v>
      </c>
      <c r="Q655" s="31" t="n">
        <f aca="false">P655-Summary!$C$5</f>
        <v>5871.12999999999</v>
      </c>
      <c r="R655" s="2" t="str">
        <f aca="false">TEXT(A655,"ddd")</f>
        <v>Mon</v>
      </c>
    </row>
    <row r="656" customFormat="false" ht="15" hidden="false" customHeight="false" outlineLevel="0" collapsed="false">
      <c r="A656" s="43" t="n">
        <v>45727</v>
      </c>
      <c r="B656" s="29" t="n">
        <f aca="false">COUNTIFS(Trades!$D$2:$D$1146,$A656)</f>
        <v>1</v>
      </c>
      <c r="C656" s="29" t="n">
        <f aca="false">COUNTIFS(Trades!$D$2:$D$1146,$A656,Trades!$Z$2:$Z$1146,"Win")</f>
        <v>0</v>
      </c>
      <c r="D656" s="29" t="n">
        <f aca="false">COUNTIFS(Trades!$D$2:$D$1146,$A656,Trades!$Z$2:$Z$1146,"Loss")</f>
        <v>1</v>
      </c>
      <c r="E656" s="30" t="n">
        <f aca="false">IFERROR(C656/B656,0)</f>
        <v>0</v>
      </c>
      <c r="F656" s="31" t="n">
        <f aca="false">SUMIFS(Trades!$X$2:$X$1146,Trades!$D$2:$D$1146,$A656)</f>
        <v>-95.32</v>
      </c>
      <c r="G656" s="31" t="n">
        <f aca="false">SUMIFS(Trades!$X$2:$X$1146,Trades!$D$2:$D$1146,$A656,Trades!$X$2:$X$1146,"&gt;0")</f>
        <v>0</v>
      </c>
      <c r="H656" s="31" t="n">
        <f aca="false">SUMIFS(Trades!$X$2:$X$1146,Trades!$D$2:$D$1146,$A656,Trades!$X$2:$X$1146,"&lt;0")</f>
        <v>-95.32</v>
      </c>
      <c r="I656" s="32" t="n">
        <f aca="false">IFERROR(G656/-H656,"no loss")</f>
        <v>0</v>
      </c>
      <c r="J656" s="31" t="n">
        <f aca="false">_xlfn.MAXIFS(Trades!$X$2:$X$1146,Trades!$D$2:$D$1146,$A656)</f>
        <v>-95.32</v>
      </c>
      <c r="K656" s="31" t="n">
        <f aca="false">_xlfn.MINIFS(Trades!$X$2:$X$1146,Trades!$D$2:$D$1146,$A656)</f>
        <v>-95.32</v>
      </c>
      <c r="L656" s="33" t="n">
        <f aca="false">SUMIFS(Trades!$Y$2:$Y$1146,Trades!$D$2:$D$1146,$A656)</f>
        <v>-1.01274968125802</v>
      </c>
      <c r="M656" s="31" t="n">
        <f aca="false">P655</f>
        <v>15871.13</v>
      </c>
      <c r="N656" s="30" t="n">
        <f aca="false">IFERROR(F656/M656,0)</f>
        <v>-0.00600587355783741</v>
      </c>
      <c r="O656" s="29" t="str">
        <f aca="false">IF(-N656&gt;=Summary!$C$7,"BREACH","")</f>
        <v/>
      </c>
      <c r="P656" s="31" t="n">
        <f aca="false">M656+F656</f>
        <v>15775.81</v>
      </c>
      <c r="Q656" s="31" t="n">
        <f aca="false">P656-Summary!$C$5</f>
        <v>5775.80999999999</v>
      </c>
      <c r="R656" s="2" t="str">
        <f aca="false">TEXT(A656,"ddd")</f>
        <v>Tue</v>
      </c>
    </row>
    <row r="657" customFormat="false" ht="15" hidden="false" customHeight="false" outlineLevel="0" collapsed="false">
      <c r="A657" s="43" t="n">
        <v>45728</v>
      </c>
      <c r="B657" s="29" t="n">
        <f aca="false">COUNTIFS(Trades!$D$2:$D$1146,$A657)</f>
        <v>1</v>
      </c>
      <c r="C657" s="29" t="n">
        <f aca="false">COUNTIFS(Trades!$D$2:$D$1146,$A657,Trades!$Z$2:$Z$1146,"Win")</f>
        <v>0</v>
      </c>
      <c r="D657" s="29" t="n">
        <f aca="false">COUNTIFS(Trades!$D$2:$D$1146,$A657,Trades!$Z$2:$Z$1146,"Loss")</f>
        <v>1</v>
      </c>
      <c r="E657" s="30" t="n">
        <f aca="false">IFERROR(C657/B657,0)</f>
        <v>0</v>
      </c>
      <c r="F657" s="31" t="n">
        <f aca="false">SUMIFS(Trades!$X$2:$X$1146,Trades!$D$2:$D$1146,$A657)</f>
        <v>-147.39</v>
      </c>
      <c r="G657" s="31" t="n">
        <f aca="false">SUMIFS(Trades!$X$2:$X$1146,Trades!$D$2:$D$1146,$A657,Trades!$X$2:$X$1146,"&gt;0")</f>
        <v>0</v>
      </c>
      <c r="H657" s="31" t="n">
        <f aca="false">SUMIFS(Trades!$X$2:$X$1146,Trades!$D$2:$D$1146,$A657,Trades!$X$2:$X$1146,"&lt;0")</f>
        <v>-147.39</v>
      </c>
      <c r="I657" s="32" t="n">
        <f aca="false">IFERROR(G657/-H657,"no loss")</f>
        <v>0</v>
      </c>
      <c r="J657" s="31" t="n">
        <f aca="false">_xlfn.MAXIFS(Trades!$X$2:$X$1146,Trades!$D$2:$D$1146,$A657)</f>
        <v>-147.39</v>
      </c>
      <c r="K657" s="31" t="n">
        <f aca="false">_xlfn.MINIFS(Trades!$X$2:$X$1146,Trades!$D$2:$D$1146,$A657)</f>
        <v>-147.39</v>
      </c>
      <c r="L657" s="33" t="n">
        <f aca="false">SUMIFS(Trades!$Y$2:$Y$1146,Trades!$D$2:$D$1146,$A657)</f>
        <v>-1.02782426778236</v>
      </c>
      <c r="M657" s="31" t="n">
        <f aca="false">P656</f>
        <v>15775.81</v>
      </c>
      <c r="N657" s="30" t="n">
        <f aca="false">IFERROR(F657/M657,0)</f>
        <v>-0.00934278493465629</v>
      </c>
      <c r="O657" s="29" t="str">
        <f aca="false">IF(-N657&gt;=Summary!$C$7,"BREACH","")</f>
        <v/>
      </c>
      <c r="P657" s="31" t="n">
        <f aca="false">M657+F657</f>
        <v>15628.42</v>
      </c>
      <c r="Q657" s="31" t="n">
        <f aca="false">P657-Summary!$C$5</f>
        <v>5628.41999999999</v>
      </c>
      <c r="R657" s="2" t="str">
        <f aca="false">TEXT(A657,"ddd")</f>
        <v>Wed</v>
      </c>
    </row>
    <row r="658" customFormat="false" ht="15" hidden="false" customHeight="false" outlineLevel="0" collapsed="false">
      <c r="A658" s="43" t="n">
        <v>45729</v>
      </c>
      <c r="B658" s="29" t="n">
        <f aca="false">COUNTIFS(Trades!$D$2:$D$1146,$A658)</f>
        <v>1</v>
      </c>
      <c r="C658" s="29" t="n">
        <f aca="false">COUNTIFS(Trades!$D$2:$D$1146,$A658,Trades!$Z$2:$Z$1146,"Win")</f>
        <v>0</v>
      </c>
      <c r="D658" s="29" t="n">
        <f aca="false">COUNTIFS(Trades!$D$2:$D$1146,$A658,Trades!$Z$2:$Z$1146,"Loss")</f>
        <v>1</v>
      </c>
      <c r="E658" s="30" t="n">
        <f aca="false">IFERROR(C658/B658,0)</f>
        <v>0</v>
      </c>
      <c r="F658" s="31" t="n">
        <f aca="false">SUMIFS(Trades!$X$2:$X$1146,Trades!$D$2:$D$1146,$A658)</f>
        <v>-11.44</v>
      </c>
      <c r="G658" s="31" t="n">
        <f aca="false">SUMIFS(Trades!$X$2:$X$1146,Trades!$D$2:$D$1146,$A658,Trades!$X$2:$X$1146,"&gt;0")</f>
        <v>0</v>
      </c>
      <c r="H658" s="31" t="n">
        <f aca="false">SUMIFS(Trades!$X$2:$X$1146,Trades!$D$2:$D$1146,$A658,Trades!$X$2:$X$1146,"&lt;0")</f>
        <v>-11.44</v>
      </c>
      <c r="I658" s="32" t="n">
        <f aca="false">IFERROR(G658/-H658,"no loss")</f>
        <v>0</v>
      </c>
      <c r="J658" s="31" t="n">
        <f aca="false">_xlfn.MAXIFS(Trades!$X$2:$X$1146,Trades!$D$2:$D$1146,$A658)</f>
        <v>-11.44</v>
      </c>
      <c r="K658" s="31" t="n">
        <f aca="false">_xlfn.MINIFS(Trades!$X$2:$X$1146,Trades!$D$2:$D$1146,$A658)</f>
        <v>-11.44</v>
      </c>
      <c r="L658" s="33" t="n">
        <f aca="false">SUMIFS(Trades!$Y$2:$Y$1146,Trades!$D$2:$D$1146,$A658)</f>
        <v>-0.0875152998776002</v>
      </c>
      <c r="M658" s="31" t="n">
        <f aca="false">P657</f>
        <v>15628.42</v>
      </c>
      <c r="N658" s="30" t="n">
        <f aca="false">IFERROR(F658/M658,0)</f>
        <v>-0.000731999779888178</v>
      </c>
      <c r="O658" s="29" t="str">
        <f aca="false">IF(-N658&gt;=Summary!$C$7,"BREACH","")</f>
        <v/>
      </c>
      <c r="P658" s="31" t="n">
        <f aca="false">M658+F658</f>
        <v>15616.98</v>
      </c>
      <c r="Q658" s="31" t="n">
        <f aca="false">P658-Summary!$C$5</f>
        <v>5616.97999999999</v>
      </c>
      <c r="R658" s="2" t="str">
        <f aca="false">TEXT(A658,"ddd")</f>
        <v>Thu</v>
      </c>
    </row>
    <row r="659" customFormat="false" ht="15" hidden="false" customHeight="false" outlineLevel="0" collapsed="false">
      <c r="A659" s="43" t="n">
        <v>45730</v>
      </c>
      <c r="B659" s="29" t="n">
        <f aca="false">COUNTIFS(Trades!$D$2:$D$1146,$A659)</f>
        <v>1</v>
      </c>
      <c r="C659" s="29" t="n">
        <f aca="false">COUNTIFS(Trades!$D$2:$D$1146,$A659,Trades!$Z$2:$Z$1146,"Win")</f>
        <v>0</v>
      </c>
      <c r="D659" s="29" t="n">
        <f aca="false">COUNTIFS(Trades!$D$2:$D$1146,$A659,Trades!$Z$2:$Z$1146,"Loss")</f>
        <v>1</v>
      </c>
      <c r="E659" s="30" t="n">
        <f aca="false">IFERROR(C659/B659,0)</f>
        <v>0</v>
      </c>
      <c r="F659" s="31" t="n">
        <f aca="false">SUMIFS(Trades!$X$2:$X$1146,Trades!$D$2:$D$1146,$A659)</f>
        <v>-38.7</v>
      </c>
      <c r="G659" s="31" t="n">
        <f aca="false">SUMIFS(Trades!$X$2:$X$1146,Trades!$D$2:$D$1146,$A659,Trades!$X$2:$X$1146,"&gt;0")</f>
        <v>0</v>
      </c>
      <c r="H659" s="31" t="n">
        <f aca="false">SUMIFS(Trades!$X$2:$X$1146,Trades!$D$2:$D$1146,$A659,Trades!$X$2:$X$1146,"&lt;0")</f>
        <v>-38.7</v>
      </c>
      <c r="I659" s="32" t="n">
        <f aca="false">IFERROR(G659/-H659,"no loss")</f>
        <v>0</v>
      </c>
      <c r="J659" s="31" t="n">
        <f aca="false">_xlfn.MAXIFS(Trades!$X$2:$X$1146,Trades!$D$2:$D$1146,$A659)</f>
        <v>-38.7</v>
      </c>
      <c r="K659" s="31" t="n">
        <f aca="false">_xlfn.MINIFS(Trades!$X$2:$X$1146,Trades!$D$2:$D$1146,$A659)</f>
        <v>-38.7</v>
      </c>
      <c r="L659" s="33" t="n">
        <f aca="false">SUMIFS(Trades!$Y$2:$Y$1146,Trades!$D$2:$D$1146,$A659)</f>
        <v>-1.00389105058349</v>
      </c>
      <c r="M659" s="31" t="n">
        <f aca="false">P658</f>
        <v>15616.98</v>
      </c>
      <c r="N659" s="30" t="n">
        <f aca="false">IFERROR(F659/M659,0)</f>
        <v>-0.00247807194476781</v>
      </c>
      <c r="O659" s="29" t="str">
        <f aca="false">IF(-N659&gt;=Summary!$C$7,"BREACH","")</f>
        <v/>
      </c>
      <c r="P659" s="31" t="n">
        <f aca="false">M659+F659</f>
        <v>15578.28</v>
      </c>
      <c r="Q659" s="31" t="n">
        <f aca="false">P659-Summary!$C$5</f>
        <v>5578.27999999999</v>
      </c>
      <c r="R659" s="2" t="str">
        <f aca="false">TEXT(A659,"ddd")</f>
        <v>Fri</v>
      </c>
    </row>
    <row r="660" customFormat="false" ht="15" hidden="false" customHeight="false" outlineLevel="0" collapsed="false">
      <c r="A660" s="43" t="n">
        <v>45733</v>
      </c>
      <c r="B660" s="29" t="n">
        <f aca="false">COUNTIFS(Trades!$D$2:$D$1146,$A660)</f>
        <v>1</v>
      </c>
      <c r="C660" s="29" t="n">
        <f aca="false">COUNTIFS(Trades!$D$2:$D$1146,$A660,Trades!$Z$2:$Z$1146,"Win")</f>
        <v>0</v>
      </c>
      <c r="D660" s="29" t="n">
        <f aca="false">COUNTIFS(Trades!$D$2:$D$1146,$A660,Trades!$Z$2:$Z$1146,"Loss")</f>
        <v>1</v>
      </c>
      <c r="E660" s="30" t="n">
        <f aca="false">IFERROR(C660/B660,0)</f>
        <v>0</v>
      </c>
      <c r="F660" s="31" t="n">
        <f aca="false">SUMIFS(Trades!$X$2:$X$1146,Trades!$D$2:$D$1146,$A660)</f>
        <v>-1.41</v>
      </c>
      <c r="G660" s="31" t="n">
        <f aca="false">SUMIFS(Trades!$X$2:$X$1146,Trades!$D$2:$D$1146,$A660,Trades!$X$2:$X$1146,"&gt;0")</f>
        <v>0</v>
      </c>
      <c r="H660" s="31" t="n">
        <f aca="false">SUMIFS(Trades!$X$2:$X$1146,Trades!$D$2:$D$1146,$A660,Trades!$X$2:$X$1146,"&lt;0")</f>
        <v>-1.41</v>
      </c>
      <c r="I660" s="32" t="n">
        <f aca="false">IFERROR(G660/-H660,"no loss")</f>
        <v>0</v>
      </c>
      <c r="J660" s="31" t="n">
        <f aca="false">_xlfn.MAXIFS(Trades!$X$2:$X$1146,Trades!$D$2:$D$1146,$A660)</f>
        <v>-1.41</v>
      </c>
      <c r="K660" s="31" t="n">
        <f aca="false">_xlfn.MINIFS(Trades!$X$2:$X$1146,Trades!$D$2:$D$1146,$A660)</f>
        <v>-1.41</v>
      </c>
      <c r="L660" s="33" t="n">
        <f aca="false">SUMIFS(Trades!$Y$2:$Y$1146,Trades!$D$2:$D$1146,$A660)</f>
        <v>-0.02501330494944</v>
      </c>
      <c r="M660" s="31" t="n">
        <f aca="false">P659</f>
        <v>15578.28</v>
      </c>
      <c r="N660" s="30" t="n">
        <f aca="false">IFERROR(F660/M660,0)</f>
        <v>-9.05106340366203E-005</v>
      </c>
      <c r="O660" s="29" t="str">
        <f aca="false">IF(-N660&gt;=Summary!$C$7,"BREACH","")</f>
        <v/>
      </c>
      <c r="P660" s="31" t="n">
        <f aca="false">M660+F660</f>
        <v>15576.87</v>
      </c>
      <c r="Q660" s="31" t="n">
        <f aca="false">P660-Summary!$C$5</f>
        <v>5576.86999999999</v>
      </c>
      <c r="R660" s="2" t="str">
        <f aca="false">TEXT(A660,"ddd")</f>
        <v>Mon</v>
      </c>
    </row>
    <row r="661" customFormat="false" ht="15" hidden="false" customHeight="false" outlineLevel="0" collapsed="false">
      <c r="A661" s="43" t="n">
        <v>45734</v>
      </c>
      <c r="B661" s="29" t="n">
        <f aca="false">COUNTIFS(Trades!$D$2:$D$1146,$A661)</f>
        <v>1</v>
      </c>
      <c r="C661" s="29" t="n">
        <f aca="false">COUNTIFS(Trades!$D$2:$D$1146,$A661,Trades!$Z$2:$Z$1146,"Win")</f>
        <v>0</v>
      </c>
      <c r="D661" s="29" t="n">
        <f aca="false">COUNTIFS(Trades!$D$2:$D$1146,$A661,Trades!$Z$2:$Z$1146,"Loss")</f>
        <v>1</v>
      </c>
      <c r="E661" s="30" t="n">
        <f aca="false">IFERROR(C661/B661,0)</f>
        <v>0</v>
      </c>
      <c r="F661" s="31" t="n">
        <f aca="false">SUMIFS(Trades!$X$2:$X$1146,Trades!$D$2:$D$1146,$A661)</f>
        <v>-100.23</v>
      </c>
      <c r="G661" s="31" t="n">
        <f aca="false">SUMIFS(Trades!$X$2:$X$1146,Trades!$D$2:$D$1146,$A661,Trades!$X$2:$X$1146,"&gt;0")</f>
        <v>0</v>
      </c>
      <c r="H661" s="31" t="n">
        <f aca="false">SUMIFS(Trades!$X$2:$X$1146,Trades!$D$2:$D$1146,$A661,Trades!$X$2:$X$1146,"&lt;0")</f>
        <v>-100.23</v>
      </c>
      <c r="I661" s="32" t="n">
        <f aca="false">IFERROR(G661/-H661,"no loss")</f>
        <v>0</v>
      </c>
      <c r="J661" s="31" t="n">
        <f aca="false">_xlfn.MAXIFS(Trades!$X$2:$X$1146,Trades!$D$2:$D$1146,$A661)</f>
        <v>-100.23</v>
      </c>
      <c r="K661" s="31" t="n">
        <f aca="false">_xlfn.MINIFS(Trades!$X$2:$X$1146,Trades!$D$2:$D$1146,$A661)</f>
        <v>-100.23</v>
      </c>
      <c r="L661" s="33" t="n">
        <f aca="false">SUMIFS(Trades!$Y$2:$Y$1146,Trades!$D$2:$D$1146,$A661)</f>
        <v>-1.01058681185719</v>
      </c>
      <c r="M661" s="31" t="n">
        <f aca="false">P660</f>
        <v>15576.87</v>
      </c>
      <c r="N661" s="30" t="n">
        <f aca="false">IFERROR(F661/M661,0)</f>
        <v>-0.00643454044361929</v>
      </c>
      <c r="O661" s="29" t="str">
        <f aca="false">IF(-N661&gt;=Summary!$C$7,"BREACH","")</f>
        <v/>
      </c>
      <c r="P661" s="31" t="n">
        <f aca="false">M661+F661</f>
        <v>15476.64</v>
      </c>
      <c r="Q661" s="31" t="n">
        <f aca="false">P661-Summary!$C$5</f>
        <v>5476.63999999999</v>
      </c>
      <c r="R661" s="2" t="str">
        <f aca="false">TEXT(A661,"ddd")</f>
        <v>Tue</v>
      </c>
    </row>
    <row r="662" customFormat="false" ht="15" hidden="false" customHeight="false" outlineLevel="0" collapsed="false">
      <c r="A662" s="43" t="n">
        <v>45735</v>
      </c>
      <c r="B662" s="29" t="n">
        <f aca="false">COUNTIFS(Trades!$D$2:$D$1146,$A662)</f>
        <v>1</v>
      </c>
      <c r="C662" s="29" t="n">
        <f aca="false">COUNTIFS(Trades!$D$2:$D$1146,$A662,Trades!$Z$2:$Z$1146,"Win")</f>
        <v>1</v>
      </c>
      <c r="D662" s="29" t="n">
        <f aca="false">COUNTIFS(Trades!$D$2:$D$1146,$A662,Trades!$Z$2:$Z$1146,"Loss")</f>
        <v>0</v>
      </c>
      <c r="E662" s="30" t="n">
        <f aca="false">IFERROR(C662/B662,0)</f>
        <v>1</v>
      </c>
      <c r="F662" s="31" t="n">
        <f aca="false">SUMIFS(Trades!$X$2:$X$1146,Trades!$D$2:$D$1146,$A662)</f>
        <v>163.47</v>
      </c>
      <c r="G662" s="31" t="n">
        <f aca="false">SUMIFS(Trades!$X$2:$X$1146,Trades!$D$2:$D$1146,$A662,Trades!$X$2:$X$1146,"&gt;0")</f>
        <v>163.47</v>
      </c>
      <c r="H662" s="31" t="n">
        <f aca="false">SUMIFS(Trades!$X$2:$X$1146,Trades!$D$2:$D$1146,$A662,Trades!$X$2:$X$1146,"&lt;0")</f>
        <v>0</v>
      </c>
      <c r="I662" s="32" t="str">
        <f aca="false">IFERROR(G662/-H662,"no loss")</f>
        <v>no loss</v>
      </c>
      <c r="J662" s="31" t="n">
        <f aca="false">_xlfn.MAXIFS(Trades!$X$2:$X$1146,Trades!$D$2:$D$1146,$A662)</f>
        <v>163.47</v>
      </c>
      <c r="K662" s="31" t="n">
        <f aca="false">_xlfn.MINIFS(Trades!$X$2:$X$1146,Trades!$D$2:$D$1146,$A662)</f>
        <v>163.47</v>
      </c>
      <c r="L662" s="33" t="n">
        <f aca="false">SUMIFS(Trades!$Y$2:$Y$1146,Trades!$D$2:$D$1146,$A662)</f>
        <v>2.2914213624896</v>
      </c>
      <c r="M662" s="31" t="n">
        <f aca="false">P661</f>
        <v>15476.64</v>
      </c>
      <c r="N662" s="30" t="n">
        <f aca="false">IFERROR(F662/M662,0)</f>
        <v>0.0105623701268492</v>
      </c>
      <c r="O662" s="29" t="str">
        <f aca="false">IF(-N662&gt;=Summary!$C$7,"BREACH","")</f>
        <v/>
      </c>
      <c r="P662" s="31" t="n">
        <f aca="false">M662+F662</f>
        <v>15640.11</v>
      </c>
      <c r="Q662" s="31" t="n">
        <f aca="false">P662-Summary!$C$5</f>
        <v>5640.10999999999</v>
      </c>
      <c r="R662" s="2" t="str">
        <f aca="false">TEXT(A662,"ddd")</f>
        <v>Wed</v>
      </c>
    </row>
    <row r="663" customFormat="false" ht="15" hidden="false" customHeight="false" outlineLevel="0" collapsed="false">
      <c r="A663" s="43" t="n">
        <v>45737</v>
      </c>
      <c r="B663" s="29" t="n">
        <f aca="false">COUNTIFS(Trades!$D$2:$D$1146,$A663)</f>
        <v>1</v>
      </c>
      <c r="C663" s="29" t="n">
        <f aca="false">COUNTIFS(Trades!$D$2:$D$1146,$A663,Trades!$Z$2:$Z$1146,"Win")</f>
        <v>0</v>
      </c>
      <c r="D663" s="29" t="n">
        <f aca="false">COUNTIFS(Trades!$D$2:$D$1146,$A663,Trades!$Z$2:$Z$1146,"Loss")</f>
        <v>1</v>
      </c>
      <c r="E663" s="30" t="n">
        <f aca="false">IFERROR(C663/B663,0)</f>
        <v>0</v>
      </c>
      <c r="F663" s="31" t="n">
        <f aca="false">SUMIFS(Trades!$X$2:$X$1146,Trades!$D$2:$D$1146,$A663)</f>
        <v>-4.68</v>
      </c>
      <c r="G663" s="31" t="n">
        <f aca="false">SUMIFS(Trades!$X$2:$X$1146,Trades!$D$2:$D$1146,$A663,Trades!$X$2:$X$1146,"&gt;0")</f>
        <v>0</v>
      </c>
      <c r="H663" s="31" t="n">
        <f aca="false">SUMIFS(Trades!$X$2:$X$1146,Trades!$D$2:$D$1146,$A663,Trades!$X$2:$X$1146,"&lt;0")</f>
        <v>-4.68</v>
      </c>
      <c r="I663" s="32" t="n">
        <f aca="false">IFERROR(G663/-H663,"no loss")</f>
        <v>0</v>
      </c>
      <c r="J663" s="31" t="n">
        <f aca="false">_xlfn.MAXIFS(Trades!$X$2:$X$1146,Trades!$D$2:$D$1146,$A663)</f>
        <v>-4.68</v>
      </c>
      <c r="K663" s="31" t="n">
        <f aca="false">_xlfn.MINIFS(Trades!$X$2:$X$1146,Trades!$D$2:$D$1146,$A663)</f>
        <v>-4.68</v>
      </c>
      <c r="L663" s="33" t="n">
        <f aca="false">SUMIFS(Trades!$Y$2:$Y$1146,Trades!$D$2:$D$1146,$A663)</f>
        <v>-0.0569897710667247</v>
      </c>
      <c r="M663" s="31" t="n">
        <f aca="false">P662</f>
        <v>15640.11</v>
      </c>
      <c r="N663" s="30" t="n">
        <f aca="false">IFERROR(F663/M663,0)</f>
        <v>-0.000299230632009622</v>
      </c>
      <c r="O663" s="29" t="str">
        <f aca="false">IF(-N663&gt;=Summary!$C$7,"BREACH","")</f>
        <v/>
      </c>
      <c r="P663" s="31" t="n">
        <f aca="false">M663+F663</f>
        <v>15635.43</v>
      </c>
      <c r="Q663" s="31" t="n">
        <f aca="false">P663-Summary!$C$5</f>
        <v>5635.42999999999</v>
      </c>
      <c r="R663" s="2" t="str">
        <f aca="false">TEXT(A663,"ddd")</f>
        <v>Fri</v>
      </c>
    </row>
    <row r="664" customFormat="false" ht="15" hidden="false" customHeight="false" outlineLevel="0" collapsed="false">
      <c r="A664" s="43" t="n">
        <v>45740</v>
      </c>
      <c r="B664" s="29" t="n">
        <f aca="false">COUNTIFS(Trades!$D$2:$D$1146,$A664)</f>
        <v>1</v>
      </c>
      <c r="C664" s="29" t="n">
        <f aca="false">COUNTIFS(Trades!$D$2:$D$1146,$A664,Trades!$Z$2:$Z$1146,"Win")</f>
        <v>1</v>
      </c>
      <c r="D664" s="29" t="n">
        <f aca="false">COUNTIFS(Trades!$D$2:$D$1146,$A664,Trades!$Z$2:$Z$1146,"Loss")</f>
        <v>0</v>
      </c>
      <c r="E664" s="30" t="n">
        <f aca="false">IFERROR(C664/B664,0)</f>
        <v>1</v>
      </c>
      <c r="F664" s="31" t="n">
        <f aca="false">SUMIFS(Trades!$X$2:$X$1146,Trades!$D$2:$D$1146,$A664)</f>
        <v>241.23</v>
      </c>
      <c r="G664" s="31" t="n">
        <f aca="false">SUMIFS(Trades!$X$2:$X$1146,Trades!$D$2:$D$1146,$A664,Trades!$X$2:$X$1146,"&gt;0")</f>
        <v>241.23</v>
      </c>
      <c r="H664" s="31" t="n">
        <f aca="false">SUMIFS(Trades!$X$2:$X$1146,Trades!$D$2:$D$1146,$A664,Trades!$X$2:$X$1146,"&lt;0")</f>
        <v>0</v>
      </c>
      <c r="I664" s="32" t="str">
        <f aca="false">IFERROR(G664/-H664,"no loss")</f>
        <v>no loss</v>
      </c>
      <c r="J664" s="31" t="n">
        <f aca="false">_xlfn.MAXIFS(Trades!$X$2:$X$1146,Trades!$D$2:$D$1146,$A664)</f>
        <v>241.23</v>
      </c>
      <c r="K664" s="31" t="n">
        <f aca="false">_xlfn.MINIFS(Trades!$X$2:$X$1146,Trades!$D$2:$D$1146,$A664)</f>
        <v>241.23</v>
      </c>
      <c r="L664" s="33" t="n">
        <f aca="false">SUMIFS(Trades!$Y$2:$Y$1146,Trades!$D$2:$D$1146,$A664)</f>
        <v>2.47720271102875</v>
      </c>
      <c r="M664" s="31" t="n">
        <f aca="false">P663</f>
        <v>15635.43</v>
      </c>
      <c r="N664" s="30" t="n">
        <f aca="false">IFERROR(F664/M664,0)</f>
        <v>0.0154284212202671</v>
      </c>
      <c r="O664" s="29" t="str">
        <f aca="false">IF(-N664&gt;=Summary!$C$7,"BREACH","")</f>
        <v/>
      </c>
      <c r="P664" s="31" t="n">
        <f aca="false">M664+F664</f>
        <v>15876.66</v>
      </c>
      <c r="Q664" s="31" t="n">
        <f aca="false">P664-Summary!$C$5</f>
        <v>5876.65999999999</v>
      </c>
      <c r="R664" s="2" t="str">
        <f aca="false">TEXT(A664,"ddd")</f>
        <v>Mon</v>
      </c>
    </row>
    <row r="665" customFormat="false" ht="15" hidden="false" customHeight="false" outlineLevel="0" collapsed="false">
      <c r="A665" s="43" t="n">
        <v>45741</v>
      </c>
      <c r="B665" s="29" t="n">
        <f aca="false">COUNTIFS(Trades!$D$2:$D$1146,$A665)</f>
        <v>1</v>
      </c>
      <c r="C665" s="29" t="n">
        <f aca="false">COUNTIFS(Trades!$D$2:$D$1146,$A665,Trades!$Z$2:$Z$1146,"Win")</f>
        <v>0</v>
      </c>
      <c r="D665" s="29" t="n">
        <f aca="false">COUNTIFS(Trades!$D$2:$D$1146,$A665,Trades!$Z$2:$Z$1146,"Loss")</f>
        <v>1</v>
      </c>
      <c r="E665" s="30" t="n">
        <f aca="false">IFERROR(C665/B665,0)</f>
        <v>0</v>
      </c>
      <c r="F665" s="31" t="n">
        <f aca="false">SUMIFS(Trades!$X$2:$X$1146,Trades!$D$2:$D$1146,$A665)</f>
        <v>-2.4</v>
      </c>
      <c r="G665" s="31" t="n">
        <f aca="false">SUMIFS(Trades!$X$2:$X$1146,Trades!$D$2:$D$1146,$A665,Trades!$X$2:$X$1146,"&gt;0")</f>
        <v>0</v>
      </c>
      <c r="H665" s="31" t="n">
        <f aca="false">SUMIFS(Trades!$X$2:$X$1146,Trades!$D$2:$D$1146,$A665,Trades!$X$2:$X$1146,"&lt;0")</f>
        <v>-2.4</v>
      </c>
      <c r="I665" s="32" t="n">
        <f aca="false">IFERROR(G665/-H665,"no loss")</f>
        <v>0</v>
      </c>
      <c r="J665" s="31" t="n">
        <f aca="false">_xlfn.MAXIFS(Trades!$X$2:$X$1146,Trades!$D$2:$D$1146,$A665)</f>
        <v>-2.4</v>
      </c>
      <c r="K665" s="31" t="n">
        <f aca="false">_xlfn.MINIFS(Trades!$X$2:$X$1146,Trades!$D$2:$D$1146,$A665)</f>
        <v>-2.4</v>
      </c>
      <c r="L665" s="33" t="n">
        <f aca="false">SUMIFS(Trades!$Y$2:$Y$1146,Trades!$D$2:$D$1146,$A665)</f>
        <v>-0.220385674931068</v>
      </c>
      <c r="M665" s="31" t="n">
        <f aca="false">P664</f>
        <v>15876.66</v>
      </c>
      <c r="N665" s="30" t="n">
        <f aca="false">IFERROR(F665/M665,0)</f>
        <v>-0.000151165295471466</v>
      </c>
      <c r="O665" s="29" t="str">
        <f aca="false">IF(-N665&gt;=Summary!$C$7,"BREACH","")</f>
        <v/>
      </c>
      <c r="P665" s="31" t="n">
        <f aca="false">M665+F665</f>
        <v>15874.26</v>
      </c>
      <c r="Q665" s="31" t="n">
        <f aca="false">P665-Summary!$C$5</f>
        <v>5874.25999999999</v>
      </c>
      <c r="R665" s="2" t="str">
        <f aca="false">TEXT(A665,"ddd")</f>
        <v>Tue</v>
      </c>
    </row>
    <row r="666" customFormat="false" ht="15" hidden="false" customHeight="false" outlineLevel="0" collapsed="false">
      <c r="A666" s="43" t="n">
        <v>45742</v>
      </c>
      <c r="B666" s="29" t="n">
        <f aca="false">COUNTIFS(Trades!$D$2:$D$1146,$A666)</f>
        <v>2</v>
      </c>
      <c r="C666" s="29" t="n">
        <f aca="false">COUNTIFS(Trades!$D$2:$D$1146,$A666,Trades!$Z$2:$Z$1146,"Win")</f>
        <v>2</v>
      </c>
      <c r="D666" s="29" t="n">
        <f aca="false">COUNTIFS(Trades!$D$2:$D$1146,$A666,Trades!$Z$2:$Z$1146,"Loss")</f>
        <v>0</v>
      </c>
      <c r="E666" s="30" t="n">
        <f aca="false">IFERROR(C666/B666,0)</f>
        <v>1</v>
      </c>
      <c r="F666" s="31" t="n">
        <f aca="false">SUMIFS(Trades!$X$2:$X$1146,Trades!$D$2:$D$1146,$A666)</f>
        <v>172.44</v>
      </c>
      <c r="G666" s="31" t="n">
        <f aca="false">SUMIFS(Trades!$X$2:$X$1146,Trades!$D$2:$D$1146,$A666,Trades!$X$2:$X$1146,"&gt;0")</f>
        <v>172.44</v>
      </c>
      <c r="H666" s="31" t="n">
        <f aca="false">SUMIFS(Trades!$X$2:$X$1146,Trades!$D$2:$D$1146,$A666,Trades!$X$2:$X$1146,"&lt;0")</f>
        <v>0</v>
      </c>
      <c r="I666" s="32" t="str">
        <f aca="false">IFERROR(G666/-H666,"no loss")</f>
        <v>no loss</v>
      </c>
      <c r="J666" s="31" t="n">
        <f aca="false">_xlfn.MAXIFS(Trades!$X$2:$X$1146,Trades!$D$2:$D$1146,$A666)</f>
        <v>129.42</v>
      </c>
      <c r="K666" s="31" t="n">
        <f aca="false">_xlfn.MINIFS(Trades!$X$2:$X$1146,Trades!$D$2:$D$1146,$A666)</f>
        <v>43.02</v>
      </c>
      <c r="L666" s="33" t="n">
        <f aca="false">SUMIFS(Trades!$Y$2:$Y$1146,Trades!$D$2:$D$1146,$A666)</f>
        <v>5.29799985118946</v>
      </c>
      <c r="M666" s="31" t="n">
        <f aca="false">P665</f>
        <v>15874.26</v>
      </c>
      <c r="N666" s="30" t="n">
        <f aca="false">IFERROR(F666/M666,0)</f>
        <v>0.0108628685683616</v>
      </c>
      <c r="O666" s="29" t="str">
        <f aca="false">IF(-N666&gt;=Summary!$C$7,"BREACH","")</f>
        <v/>
      </c>
      <c r="P666" s="31" t="n">
        <f aca="false">M666+F666</f>
        <v>16046.7</v>
      </c>
      <c r="Q666" s="31" t="n">
        <f aca="false">P666-Summary!$C$5</f>
        <v>6046.69999999999</v>
      </c>
      <c r="R666" s="2" t="str">
        <f aca="false">TEXT(A666,"ddd")</f>
        <v>Wed</v>
      </c>
    </row>
    <row r="667" customFormat="false" ht="15" hidden="false" customHeight="false" outlineLevel="0" collapsed="false">
      <c r="A667" s="43" t="n">
        <v>45743</v>
      </c>
      <c r="B667" s="29" t="n">
        <f aca="false">COUNTIFS(Trades!$D$2:$D$1146,$A667)</f>
        <v>1</v>
      </c>
      <c r="C667" s="29" t="n">
        <f aca="false">COUNTIFS(Trades!$D$2:$D$1146,$A667,Trades!$Z$2:$Z$1146,"Win")</f>
        <v>1</v>
      </c>
      <c r="D667" s="29" t="n">
        <f aca="false">COUNTIFS(Trades!$D$2:$D$1146,$A667,Trades!$Z$2:$Z$1146,"Loss")</f>
        <v>0</v>
      </c>
      <c r="E667" s="30" t="n">
        <f aca="false">IFERROR(C667/B667,0)</f>
        <v>1</v>
      </c>
      <c r="F667" s="31" t="n">
        <f aca="false">SUMIFS(Trades!$X$2:$X$1146,Trades!$D$2:$D$1146,$A667)</f>
        <v>221.88</v>
      </c>
      <c r="G667" s="31" t="n">
        <f aca="false">SUMIFS(Trades!$X$2:$X$1146,Trades!$D$2:$D$1146,$A667,Trades!$X$2:$X$1146,"&gt;0")</f>
        <v>221.88</v>
      </c>
      <c r="H667" s="31" t="n">
        <f aca="false">SUMIFS(Trades!$X$2:$X$1146,Trades!$D$2:$D$1146,$A667,Trades!$X$2:$X$1146,"&lt;0")</f>
        <v>0</v>
      </c>
      <c r="I667" s="32" t="str">
        <f aca="false">IFERROR(G667/-H667,"no loss")</f>
        <v>no loss</v>
      </c>
      <c r="J667" s="31" t="n">
        <f aca="false">_xlfn.MAXIFS(Trades!$X$2:$X$1146,Trades!$D$2:$D$1146,$A667)</f>
        <v>221.88</v>
      </c>
      <c r="K667" s="31" t="n">
        <f aca="false">_xlfn.MINIFS(Trades!$X$2:$X$1146,Trades!$D$2:$D$1146,$A667)</f>
        <v>221.88</v>
      </c>
      <c r="L667" s="33" t="n">
        <f aca="false">SUMIFS(Trades!$Y$2:$Y$1146,Trades!$D$2:$D$1146,$A667)</f>
        <v>2.45225464190992</v>
      </c>
      <c r="M667" s="31" t="n">
        <f aca="false">P666</f>
        <v>16046.7</v>
      </c>
      <c r="N667" s="30" t="n">
        <f aca="false">IFERROR(F667/M667,0)</f>
        <v>0.0138271420292023</v>
      </c>
      <c r="O667" s="29" t="str">
        <f aca="false">IF(-N667&gt;=Summary!$C$7,"BREACH","")</f>
        <v/>
      </c>
      <c r="P667" s="31" t="n">
        <f aca="false">M667+F667</f>
        <v>16268.58</v>
      </c>
      <c r="Q667" s="31" t="n">
        <f aca="false">P667-Summary!$C$5</f>
        <v>6268.57999999999</v>
      </c>
      <c r="R667" s="2" t="str">
        <f aca="false">TEXT(A667,"ddd")</f>
        <v>Thu</v>
      </c>
    </row>
    <row r="668" customFormat="false" ht="15" hidden="false" customHeight="false" outlineLevel="0" collapsed="false">
      <c r="A668" s="43" t="n">
        <v>45744</v>
      </c>
      <c r="B668" s="29" t="n">
        <f aca="false">COUNTIFS(Trades!$D$2:$D$1146,$A668)</f>
        <v>1</v>
      </c>
      <c r="C668" s="29" t="n">
        <f aca="false">COUNTIFS(Trades!$D$2:$D$1146,$A668,Trades!$Z$2:$Z$1146,"Win")</f>
        <v>0</v>
      </c>
      <c r="D668" s="29" t="n">
        <f aca="false">COUNTIFS(Trades!$D$2:$D$1146,$A668,Trades!$Z$2:$Z$1146,"Loss")</f>
        <v>1</v>
      </c>
      <c r="E668" s="30" t="n">
        <f aca="false">IFERROR(C668/B668,0)</f>
        <v>0</v>
      </c>
      <c r="F668" s="31" t="n">
        <f aca="false">SUMIFS(Trades!$X$2:$X$1146,Trades!$D$2:$D$1146,$A668)</f>
        <v>-0.96</v>
      </c>
      <c r="G668" s="31" t="n">
        <f aca="false">SUMIFS(Trades!$X$2:$X$1146,Trades!$D$2:$D$1146,$A668,Trades!$X$2:$X$1146,"&gt;0")</f>
        <v>0</v>
      </c>
      <c r="H668" s="31" t="n">
        <f aca="false">SUMIFS(Trades!$X$2:$X$1146,Trades!$D$2:$D$1146,$A668,Trades!$X$2:$X$1146,"&lt;0")</f>
        <v>-0.96</v>
      </c>
      <c r="I668" s="32" t="n">
        <f aca="false">IFERROR(G668/-H668,"no loss")</f>
        <v>0</v>
      </c>
      <c r="J668" s="31" t="n">
        <f aca="false">_xlfn.MAXIFS(Trades!$X$2:$X$1146,Trades!$D$2:$D$1146,$A668)</f>
        <v>-0.96</v>
      </c>
      <c r="K668" s="31" t="n">
        <f aca="false">_xlfn.MINIFS(Trades!$X$2:$X$1146,Trades!$D$2:$D$1146,$A668)</f>
        <v>-0.96</v>
      </c>
      <c r="L668" s="33" t="n">
        <f aca="false">SUMIFS(Trades!$Y$2:$Y$1146,Trades!$D$2:$D$1146,$A668)</f>
        <v>-0.0455407969639431</v>
      </c>
      <c r="M668" s="31" t="n">
        <f aca="false">P667</f>
        <v>16268.58</v>
      </c>
      <c r="N668" s="30" t="n">
        <f aca="false">IFERROR(F668/M668,0)</f>
        <v>-5.90094525766847E-005</v>
      </c>
      <c r="O668" s="29" t="str">
        <f aca="false">IF(-N668&gt;=Summary!$C$7,"BREACH","")</f>
        <v/>
      </c>
      <c r="P668" s="31" t="n">
        <f aca="false">M668+F668</f>
        <v>16267.62</v>
      </c>
      <c r="Q668" s="31" t="n">
        <f aca="false">P668-Summary!$C$5</f>
        <v>6267.61999999999</v>
      </c>
      <c r="R668" s="2" t="str">
        <f aca="false">TEXT(A668,"ddd")</f>
        <v>Fri</v>
      </c>
    </row>
    <row r="669" customFormat="false" ht="15" hidden="false" customHeight="false" outlineLevel="0" collapsed="false">
      <c r="A669" s="43" t="n">
        <v>45747</v>
      </c>
      <c r="B669" s="29" t="n">
        <f aca="false">COUNTIFS(Trades!$D$2:$D$1146,$A669)</f>
        <v>1</v>
      </c>
      <c r="C669" s="29" t="n">
        <f aca="false">COUNTIFS(Trades!$D$2:$D$1146,$A669,Trades!$Z$2:$Z$1146,"Win")</f>
        <v>1</v>
      </c>
      <c r="D669" s="29" t="n">
        <f aca="false">COUNTIFS(Trades!$D$2:$D$1146,$A669,Trades!$Z$2:$Z$1146,"Loss")</f>
        <v>0</v>
      </c>
      <c r="E669" s="30" t="n">
        <f aca="false">IFERROR(C669/B669,0)</f>
        <v>1</v>
      </c>
      <c r="F669" s="31" t="n">
        <f aca="false">SUMIFS(Trades!$X$2:$X$1146,Trades!$D$2:$D$1146,$A669)</f>
        <v>288.04</v>
      </c>
      <c r="G669" s="31" t="n">
        <f aca="false">SUMIFS(Trades!$X$2:$X$1146,Trades!$D$2:$D$1146,$A669,Trades!$X$2:$X$1146,"&gt;0")</f>
        <v>288.04</v>
      </c>
      <c r="H669" s="31" t="n">
        <f aca="false">SUMIFS(Trades!$X$2:$X$1146,Trades!$D$2:$D$1146,$A669,Trades!$X$2:$X$1146,"&lt;0")</f>
        <v>0</v>
      </c>
      <c r="I669" s="32" t="str">
        <f aca="false">IFERROR(G669/-H669,"no loss")</f>
        <v>no loss</v>
      </c>
      <c r="J669" s="31" t="n">
        <f aca="false">_xlfn.MAXIFS(Trades!$X$2:$X$1146,Trades!$D$2:$D$1146,$A669)</f>
        <v>288.04</v>
      </c>
      <c r="K669" s="31" t="n">
        <f aca="false">_xlfn.MINIFS(Trades!$X$2:$X$1146,Trades!$D$2:$D$1146,$A669)</f>
        <v>288.04</v>
      </c>
      <c r="L669" s="33" t="n">
        <f aca="false">SUMIFS(Trades!$Y$2:$Y$1146,Trades!$D$2:$D$1146,$A669)</f>
        <v>2.57270453733495</v>
      </c>
      <c r="M669" s="31" t="n">
        <f aca="false">P668</f>
        <v>16267.62</v>
      </c>
      <c r="N669" s="30" t="n">
        <f aca="false">IFERROR(F669/M669,0)</f>
        <v>0.0177063393415878</v>
      </c>
      <c r="O669" s="29" t="str">
        <f aca="false">IF(-N669&gt;=Summary!$C$7,"BREACH","")</f>
        <v/>
      </c>
      <c r="P669" s="31" t="n">
        <f aca="false">M669+F669</f>
        <v>16555.66</v>
      </c>
      <c r="Q669" s="31" t="n">
        <f aca="false">P669-Summary!$C$5</f>
        <v>6555.65999999999</v>
      </c>
      <c r="R669" s="2" t="str">
        <f aca="false">TEXT(A669,"ddd")</f>
        <v>Mon</v>
      </c>
    </row>
    <row r="670" customFormat="false" ht="15" hidden="false" customHeight="false" outlineLevel="0" collapsed="false">
      <c r="A670" s="43" t="n">
        <v>45748</v>
      </c>
      <c r="B670" s="29" t="n">
        <f aca="false">COUNTIFS(Trades!$D$2:$D$1146,$A670)</f>
        <v>1</v>
      </c>
      <c r="C670" s="29" t="n">
        <f aca="false">COUNTIFS(Trades!$D$2:$D$1146,$A670,Trades!$Z$2:$Z$1146,"Win")</f>
        <v>0</v>
      </c>
      <c r="D670" s="29" t="n">
        <f aca="false">COUNTIFS(Trades!$D$2:$D$1146,$A670,Trades!$Z$2:$Z$1146,"Loss")</f>
        <v>1</v>
      </c>
      <c r="E670" s="30" t="n">
        <f aca="false">IFERROR(C670/B670,0)</f>
        <v>0</v>
      </c>
      <c r="F670" s="31" t="n">
        <f aca="false">SUMIFS(Trades!$X$2:$X$1146,Trades!$D$2:$D$1146,$A670)</f>
        <v>-32.84</v>
      </c>
      <c r="G670" s="31" t="n">
        <f aca="false">SUMIFS(Trades!$X$2:$X$1146,Trades!$D$2:$D$1146,$A670,Trades!$X$2:$X$1146,"&gt;0")</f>
        <v>0</v>
      </c>
      <c r="H670" s="31" t="n">
        <f aca="false">SUMIFS(Trades!$X$2:$X$1146,Trades!$D$2:$D$1146,$A670,Trades!$X$2:$X$1146,"&lt;0")</f>
        <v>-32.84</v>
      </c>
      <c r="I670" s="32" t="n">
        <f aca="false">IFERROR(G670/-H670,"no loss")</f>
        <v>0</v>
      </c>
      <c r="J670" s="31" t="n">
        <f aca="false">_xlfn.MAXIFS(Trades!$X$2:$X$1146,Trades!$D$2:$D$1146,$A670)</f>
        <v>-32.84</v>
      </c>
      <c r="K670" s="31" t="n">
        <f aca="false">_xlfn.MINIFS(Trades!$X$2:$X$1146,Trades!$D$2:$D$1146,$A670)</f>
        <v>-32.84</v>
      </c>
      <c r="L670" s="33" t="n">
        <f aca="false">SUMIFS(Trades!$Y$2:$Y$1146,Trades!$D$2:$D$1146,$A670)</f>
        <v>-1.06209573091856</v>
      </c>
      <c r="M670" s="31" t="n">
        <f aca="false">P669</f>
        <v>16555.66</v>
      </c>
      <c r="N670" s="30" t="n">
        <f aca="false">IFERROR(F670/M670,0)</f>
        <v>-0.00198361164701377</v>
      </c>
      <c r="O670" s="29" t="str">
        <f aca="false">IF(-N670&gt;=Summary!$C$7,"BREACH","")</f>
        <v/>
      </c>
      <c r="P670" s="31" t="n">
        <f aca="false">M670+F670</f>
        <v>16522.82</v>
      </c>
      <c r="Q670" s="31" t="n">
        <f aca="false">P670-Summary!$C$5</f>
        <v>6522.81999999999</v>
      </c>
      <c r="R670" s="2" t="str">
        <f aca="false">TEXT(A670,"ddd")</f>
        <v>Tue</v>
      </c>
    </row>
    <row r="671" customFormat="false" ht="15" hidden="false" customHeight="false" outlineLevel="0" collapsed="false">
      <c r="A671" s="43" t="n">
        <v>45749</v>
      </c>
      <c r="B671" s="29" t="n">
        <f aca="false">COUNTIFS(Trades!$D$2:$D$1146,$A671)</f>
        <v>1</v>
      </c>
      <c r="C671" s="29" t="n">
        <f aca="false">COUNTIFS(Trades!$D$2:$D$1146,$A671,Trades!$Z$2:$Z$1146,"Win")</f>
        <v>0</v>
      </c>
      <c r="D671" s="29" t="n">
        <f aca="false">COUNTIFS(Trades!$D$2:$D$1146,$A671,Trades!$Z$2:$Z$1146,"Loss")</f>
        <v>1</v>
      </c>
      <c r="E671" s="30" t="n">
        <f aca="false">IFERROR(C671/B671,0)</f>
        <v>0</v>
      </c>
      <c r="F671" s="31" t="n">
        <f aca="false">SUMIFS(Trades!$X$2:$X$1146,Trades!$D$2:$D$1146,$A671)</f>
        <v>-74.8</v>
      </c>
      <c r="G671" s="31" t="n">
        <f aca="false">SUMIFS(Trades!$X$2:$X$1146,Trades!$D$2:$D$1146,$A671,Trades!$X$2:$X$1146,"&gt;0")</f>
        <v>0</v>
      </c>
      <c r="H671" s="31" t="n">
        <f aca="false">SUMIFS(Trades!$X$2:$X$1146,Trades!$D$2:$D$1146,$A671,Trades!$X$2:$X$1146,"&lt;0")</f>
        <v>-74.8</v>
      </c>
      <c r="I671" s="32" t="n">
        <f aca="false">IFERROR(G671/-H671,"no loss")</f>
        <v>0</v>
      </c>
      <c r="J671" s="31" t="n">
        <f aca="false">_xlfn.MAXIFS(Trades!$X$2:$X$1146,Trades!$D$2:$D$1146,$A671)</f>
        <v>-74.8</v>
      </c>
      <c r="K671" s="31" t="n">
        <f aca="false">_xlfn.MINIFS(Trades!$X$2:$X$1146,Trades!$D$2:$D$1146,$A671)</f>
        <v>-74.8</v>
      </c>
      <c r="L671" s="33" t="n">
        <f aca="false">SUMIFS(Trades!$Y$2:$Y$1146,Trades!$D$2:$D$1146,$A671)</f>
        <v>-1.01300108342347</v>
      </c>
      <c r="M671" s="31" t="n">
        <f aca="false">P670</f>
        <v>16522.82</v>
      </c>
      <c r="N671" s="30" t="n">
        <f aca="false">IFERROR(F671/M671,0)</f>
        <v>-0.00452707225522036</v>
      </c>
      <c r="O671" s="29" t="str">
        <f aca="false">IF(-N671&gt;=Summary!$C$7,"BREACH","")</f>
        <v/>
      </c>
      <c r="P671" s="31" t="n">
        <f aca="false">M671+F671</f>
        <v>16448.02</v>
      </c>
      <c r="Q671" s="31" t="n">
        <f aca="false">P671-Summary!$C$5</f>
        <v>6448.01999999999</v>
      </c>
      <c r="R671" s="2" t="str">
        <f aca="false">TEXT(A671,"ddd")</f>
        <v>Wed</v>
      </c>
    </row>
    <row r="672" customFormat="false" ht="15" hidden="false" customHeight="false" outlineLevel="0" collapsed="false">
      <c r="A672" s="43" t="n">
        <v>45750</v>
      </c>
      <c r="B672" s="29" t="n">
        <f aca="false">COUNTIFS(Trades!$D$2:$D$1146,$A672)</f>
        <v>1</v>
      </c>
      <c r="C672" s="29" t="n">
        <f aca="false">COUNTIFS(Trades!$D$2:$D$1146,$A672,Trades!$Z$2:$Z$1146,"Win")</f>
        <v>0</v>
      </c>
      <c r="D672" s="29" t="n">
        <f aca="false">COUNTIFS(Trades!$D$2:$D$1146,$A672,Trades!$Z$2:$Z$1146,"Loss")</f>
        <v>1</v>
      </c>
      <c r="E672" s="30" t="n">
        <f aca="false">IFERROR(C672/B672,0)</f>
        <v>0</v>
      </c>
      <c r="F672" s="31" t="n">
        <f aca="false">SUMIFS(Trades!$X$2:$X$1146,Trades!$D$2:$D$1146,$A672)</f>
        <v>-421.82</v>
      </c>
      <c r="G672" s="31" t="n">
        <f aca="false">SUMIFS(Trades!$X$2:$X$1146,Trades!$D$2:$D$1146,$A672,Trades!$X$2:$X$1146,"&gt;0")</f>
        <v>0</v>
      </c>
      <c r="H672" s="31" t="n">
        <f aca="false">SUMIFS(Trades!$X$2:$X$1146,Trades!$D$2:$D$1146,$A672,Trades!$X$2:$X$1146,"&lt;0")</f>
        <v>-421.82</v>
      </c>
      <c r="I672" s="32" t="n">
        <f aca="false">IFERROR(G672/-H672,"no loss")</f>
        <v>0</v>
      </c>
      <c r="J672" s="31" t="n">
        <f aca="false">_xlfn.MAXIFS(Trades!$X$2:$X$1146,Trades!$D$2:$D$1146,$A672)</f>
        <v>-421.82</v>
      </c>
      <c r="K672" s="31" t="n">
        <f aca="false">_xlfn.MINIFS(Trades!$X$2:$X$1146,Trades!$D$2:$D$1146,$A672)</f>
        <v>-421.82</v>
      </c>
      <c r="L672" s="33" t="n">
        <f aca="false">SUMIFS(Trades!$Y$2:$Y$1146,Trades!$D$2:$D$1146,$A672)</f>
        <v>-0.746161466072313</v>
      </c>
      <c r="M672" s="31" t="n">
        <f aca="false">P671</f>
        <v>16448.02</v>
      </c>
      <c r="N672" s="30" t="n">
        <f aca="false">IFERROR(F672/M672,0)</f>
        <v>-0.0256456400223249</v>
      </c>
      <c r="O672" s="29" t="str">
        <f aca="false">IF(-N672&gt;=Summary!$C$7,"BREACH","")</f>
        <v>BREACH</v>
      </c>
      <c r="P672" s="31" t="n">
        <f aca="false">M672+F672</f>
        <v>16026.2</v>
      </c>
      <c r="Q672" s="31" t="n">
        <f aca="false">P672-Summary!$C$5</f>
        <v>6026.19999999999</v>
      </c>
      <c r="R672" s="2" t="str">
        <f aca="false">TEXT(A672,"ddd")</f>
        <v>Thu</v>
      </c>
    </row>
    <row r="673" customFormat="false" ht="15" hidden="false" customHeight="false" outlineLevel="0" collapsed="false">
      <c r="A673" s="43" t="n">
        <v>45751</v>
      </c>
      <c r="B673" s="29" t="n">
        <f aca="false">COUNTIFS(Trades!$D$2:$D$1146,$A673)</f>
        <v>1</v>
      </c>
      <c r="C673" s="29" t="n">
        <f aca="false">COUNTIFS(Trades!$D$2:$D$1146,$A673,Trades!$Z$2:$Z$1146,"Win")</f>
        <v>0</v>
      </c>
      <c r="D673" s="29" t="n">
        <f aca="false">COUNTIFS(Trades!$D$2:$D$1146,$A673,Trades!$Z$2:$Z$1146,"Loss")</f>
        <v>1</v>
      </c>
      <c r="E673" s="30" t="n">
        <f aca="false">IFERROR(C673/B673,0)</f>
        <v>0</v>
      </c>
      <c r="F673" s="31" t="n">
        <f aca="false">SUMIFS(Trades!$X$2:$X$1146,Trades!$D$2:$D$1146,$A673)</f>
        <v>-59.92</v>
      </c>
      <c r="G673" s="31" t="n">
        <f aca="false">SUMIFS(Trades!$X$2:$X$1146,Trades!$D$2:$D$1146,$A673,Trades!$X$2:$X$1146,"&gt;0")</f>
        <v>0</v>
      </c>
      <c r="H673" s="31" t="n">
        <f aca="false">SUMIFS(Trades!$X$2:$X$1146,Trades!$D$2:$D$1146,$A673,Trades!$X$2:$X$1146,"&lt;0")</f>
        <v>-59.92</v>
      </c>
      <c r="I673" s="32" t="n">
        <f aca="false">IFERROR(G673/-H673,"no loss")</f>
        <v>0</v>
      </c>
      <c r="J673" s="31" t="n">
        <f aca="false">_xlfn.MAXIFS(Trades!$X$2:$X$1146,Trades!$D$2:$D$1146,$A673)</f>
        <v>-59.92</v>
      </c>
      <c r="K673" s="31" t="n">
        <f aca="false">_xlfn.MINIFS(Trades!$X$2:$X$1146,Trades!$D$2:$D$1146,$A673)</f>
        <v>-59.92</v>
      </c>
      <c r="L673" s="33" t="n">
        <f aca="false">SUMIFS(Trades!$Y$2:$Y$1146,Trades!$D$2:$D$1146,$A673)</f>
        <v>-1.04463040446303</v>
      </c>
      <c r="M673" s="31" t="n">
        <f aca="false">P672</f>
        <v>16026.2</v>
      </c>
      <c r="N673" s="30" t="n">
        <f aca="false">IFERROR(F673/M673,0)</f>
        <v>-0.00373887758794973</v>
      </c>
      <c r="O673" s="29" t="str">
        <f aca="false">IF(-N673&gt;=Summary!$C$7,"BREACH","")</f>
        <v/>
      </c>
      <c r="P673" s="31" t="n">
        <f aca="false">M673+F673</f>
        <v>15966.28</v>
      </c>
      <c r="Q673" s="31" t="n">
        <f aca="false">P673-Summary!$C$5</f>
        <v>5966.27999999999</v>
      </c>
      <c r="R673" s="2" t="str">
        <f aca="false">TEXT(A673,"ddd")</f>
        <v>Fri</v>
      </c>
    </row>
    <row r="674" customFormat="false" ht="15" hidden="false" customHeight="false" outlineLevel="0" collapsed="false">
      <c r="A674" s="43" t="n">
        <v>45754</v>
      </c>
      <c r="B674" s="29" t="n">
        <f aca="false">COUNTIFS(Trades!$D$2:$D$1146,$A674)</f>
        <v>1</v>
      </c>
      <c r="C674" s="29" t="n">
        <f aca="false">COUNTIFS(Trades!$D$2:$D$1146,$A674,Trades!$Z$2:$Z$1146,"Win")</f>
        <v>0</v>
      </c>
      <c r="D674" s="29" t="n">
        <f aca="false">COUNTIFS(Trades!$D$2:$D$1146,$A674,Trades!$Z$2:$Z$1146,"Loss")</f>
        <v>1</v>
      </c>
      <c r="E674" s="30" t="n">
        <f aca="false">IFERROR(C674/B674,0)</f>
        <v>0</v>
      </c>
      <c r="F674" s="31" t="n">
        <f aca="false">SUMIFS(Trades!$X$2:$X$1146,Trades!$D$2:$D$1146,$A674)</f>
        <v>-425.64</v>
      </c>
      <c r="G674" s="31" t="n">
        <f aca="false">SUMIFS(Trades!$X$2:$X$1146,Trades!$D$2:$D$1146,$A674,Trades!$X$2:$X$1146,"&gt;0")</f>
        <v>0</v>
      </c>
      <c r="H674" s="31" t="n">
        <f aca="false">SUMIFS(Trades!$X$2:$X$1146,Trades!$D$2:$D$1146,$A674,Trades!$X$2:$X$1146,"&lt;0")</f>
        <v>-425.64</v>
      </c>
      <c r="I674" s="32" t="n">
        <f aca="false">IFERROR(G674/-H674,"no loss")</f>
        <v>0</v>
      </c>
      <c r="J674" s="31" t="n">
        <f aca="false">_xlfn.MAXIFS(Trades!$X$2:$X$1146,Trades!$D$2:$D$1146,$A674)</f>
        <v>-425.64</v>
      </c>
      <c r="K674" s="31" t="n">
        <f aca="false">_xlfn.MINIFS(Trades!$X$2:$X$1146,Trades!$D$2:$D$1146,$A674)</f>
        <v>-425.64</v>
      </c>
      <c r="L674" s="33" t="n">
        <f aca="false">SUMIFS(Trades!$Y$2:$Y$1146,Trades!$D$2:$D$1146,$A674)</f>
        <v>-0.556072324414714</v>
      </c>
      <c r="M674" s="31" t="n">
        <f aca="false">P673</f>
        <v>15966.28</v>
      </c>
      <c r="N674" s="30" t="n">
        <f aca="false">IFERROR(F674/M674,0)</f>
        <v>-0.0266586831747909</v>
      </c>
      <c r="O674" s="29" t="str">
        <f aca="false">IF(-N674&gt;=Summary!$C$7,"BREACH","")</f>
        <v>BREACH</v>
      </c>
      <c r="P674" s="31" t="n">
        <f aca="false">M674+F674</f>
        <v>15540.64</v>
      </c>
      <c r="Q674" s="31" t="n">
        <f aca="false">P674-Summary!$C$5</f>
        <v>5540.63999999999</v>
      </c>
      <c r="R674" s="2" t="str">
        <f aca="false">TEXT(A674,"ddd")</f>
        <v>Mon</v>
      </c>
    </row>
    <row r="675" customFormat="false" ht="15" hidden="false" customHeight="false" outlineLevel="0" collapsed="false">
      <c r="A675" s="43" t="n">
        <v>45756</v>
      </c>
      <c r="B675" s="29" t="n">
        <f aca="false">COUNTIFS(Trades!$D$2:$D$1146,$A675)</f>
        <v>2</v>
      </c>
      <c r="C675" s="29" t="n">
        <f aca="false">COUNTIFS(Trades!$D$2:$D$1146,$A675,Trades!$Z$2:$Z$1146,"Win")</f>
        <v>2</v>
      </c>
      <c r="D675" s="29" t="n">
        <f aca="false">COUNTIFS(Trades!$D$2:$D$1146,$A675,Trades!$Z$2:$Z$1146,"Loss")</f>
        <v>0</v>
      </c>
      <c r="E675" s="30" t="n">
        <f aca="false">IFERROR(C675/B675,0)</f>
        <v>1</v>
      </c>
      <c r="F675" s="31" t="n">
        <f aca="false">SUMIFS(Trades!$X$2:$X$1146,Trades!$D$2:$D$1146,$A675)</f>
        <v>1637.2</v>
      </c>
      <c r="G675" s="31" t="n">
        <f aca="false">SUMIFS(Trades!$X$2:$X$1146,Trades!$D$2:$D$1146,$A675,Trades!$X$2:$X$1146,"&gt;0")</f>
        <v>1637.2</v>
      </c>
      <c r="H675" s="31" t="n">
        <f aca="false">SUMIFS(Trades!$X$2:$X$1146,Trades!$D$2:$D$1146,$A675,Trades!$X$2:$X$1146,"&lt;0")</f>
        <v>0</v>
      </c>
      <c r="I675" s="32" t="str">
        <f aca="false">IFERROR(G675/-H675,"no loss")</f>
        <v>no loss</v>
      </c>
      <c r="J675" s="31" t="n">
        <f aca="false">_xlfn.MAXIFS(Trades!$X$2:$X$1146,Trades!$D$2:$D$1146,$A675)</f>
        <v>1500.76</v>
      </c>
      <c r="K675" s="31" t="n">
        <f aca="false">_xlfn.MINIFS(Trades!$X$2:$X$1146,Trades!$D$2:$D$1146,$A675)</f>
        <v>136.44</v>
      </c>
      <c r="L675" s="33" t="n">
        <f aca="false">SUMIFS(Trades!$Y$2:$Y$1146,Trades!$D$2:$D$1146,$A675)</f>
        <v>4.90433726753999</v>
      </c>
      <c r="M675" s="31" t="n">
        <f aca="false">P674</f>
        <v>15540.64</v>
      </c>
      <c r="N675" s="30" t="n">
        <f aca="false">IFERROR(F675/M675,0)</f>
        <v>0.105349586632211</v>
      </c>
      <c r="O675" s="29" t="str">
        <f aca="false">IF(-N675&gt;=Summary!$C$7,"BREACH","")</f>
        <v/>
      </c>
      <c r="P675" s="31" t="n">
        <f aca="false">M675+F675</f>
        <v>17177.84</v>
      </c>
      <c r="Q675" s="31" t="n">
        <f aca="false">P675-Summary!$C$5</f>
        <v>7177.83999999999</v>
      </c>
      <c r="R675" s="2" t="str">
        <f aca="false">TEXT(A675,"ddd")</f>
        <v>Wed</v>
      </c>
    </row>
    <row r="676" customFormat="false" ht="15" hidden="false" customHeight="false" outlineLevel="0" collapsed="false">
      <c r="A676" s="43" t="n">
        <v>45757</v>
      </c>
      <c r="B676" s="29" t="n">
        <f aca="false">COUNTIFS(Trades!$D$2:$D$1146,$A676)</f>
        <v>1</v>
      </c>
      <c r="C676" s="29" t="n">
        <f aca="false">COUNTIFS(Trades!$D$2:$D$1146,$A676,Trades!$Z$2:$Z$1146,"Win")</f>
        <v>0</v>
      </c>
      <c r="D676" s="29" t="n">
        <f aca="false">COUNTIFS(Trades!$D$2:$D$1146,$A676,Trades!$Z$2:$Z$1146,"Loss")</f>
        <v>1</v>
      </c>
      <c r="E676" s="30" t="n">
        <f aca="false">IFERROR(C676/B676,0)</f>
        <v>0</v>
      </c>
      <c r="F676" s="31" t="n">
        <f aca="false">SUMIFS(Trades!$X$2:$X$1146,Trades!$D$2:$D$1146,$A676)</f>
        <v>-56.32</v>
      </c>
      <c r="G676" s="31" t="n">
        <f aca="false">SUMIFS(Trades!$X$2:$X$1146,Trades!$D$2:$D$1146,$A676,Trades!$X$2:$X$1146,"&gt;0")</f>
        <v>0</v>
      </c>
      <c r="H676" s="31" t="n">
        <f aca="false">SUMIFS(Trades!$X$2:$X$1146,Trades!$D$2:$D$1146,$A676,Trades!$X$2:$X$1146,"&lt;0")</f>
        <v>-56.32</v>
      </c>
      <c r="I676" s="32" t="n">
        <f aca="false">IFERROR(G676/-H676,"no loss")</f>
        <v>0</v>
      </c>
      <c r="J676" s="31" t="n">
        <f aca="false">_xlfn.MAXIFS(Trades!$X$2:$X$1146,Trades!$D$2:$D$1146,$A676)</f>
        <v>-56.32</v>
      </c>
      <c r="K676" s="31" t="n">
        <f aca="false">_xlfn.MINIFS(Trades!$X$2:$X$1146,Trades!$D$2:$D$1146,$A676)</f>
        <v>-56.32</v>
      </c>
      <c r="L676" s="33" t="n">
        <f aca="false">SUMIFS(Trades!$Y$2:$Y$1146,Trades!$D$2:$D$1146,$A676)</f>
        <v>-1.04606240713231</v>
      </c>
      <c r="M676" s="31" t="n">
        <f aca="false">P675</f>
        <v>17177.84</v>
      </c>
      <c r="N676" s="30" t="n">
        <f aca="false">IFERROR(F676/M676,0)</f>
        <v>-0.00327864271643001</v>
      </c>
      <c r="O676" s="29" t="str">
        <f aca="false">IF(-N676&gt;=Summary!$C$7,"BREACH","")</f>
        <v/>
      </c>
      <c r="P676" s="31" t="n">
        <f aca="false">M676+F676</f>
        <v>17121.52</v>
      </c>
      <c r="Q676" s="31" t="n">
        <f aca="false">P676-Summary!$C$5</f>
        <v>7121.51999999999</v>
      </c>
      <c r="R676" s="2" t="str">
        <f aca="false">TEXT(A676,"ddd")</f>
        <v>Thu</v>
      </c>
    </row>
    <row r="677" customFormat="false" ht="15" hidden="false" customHeight="false" outlineLevel="0" collapsed="false">
      <c r="A677" s="43" t="n">
        <v>45761</v>
      </c>
      <c r="B677" s="29" t="n">
        <f aca="false">COUNTIFS(Trades!$D$2:$D$1146,$A677)</f>
        <v>1</v>
      </c>
      <c r="C677" s="29" t="n">
        <f aca="false">COUNTIFS(Trades!$D$2:$D$1146,$A677,Trades!$Z$2:$Z$1146,"Win")</f>
        <v>0</v>
      </c>
      <c r="D677" s="29" t="n">
        <f aca="false">COUNTIFS(Trades!$D$2:$D$1146,$A677,Trades!$Z$2:$Z$1146,"Loss")</f>
        <v>1</v>
      </c>
      <c r="E677" s="30" t="n">
        <f aca="false">IFERROR(C677/B677,0)</f>
        <v>0</v>
      </c>
      <c r="F677" s="31" t="n">
        <f aca="false">SUMIFS(Trades!$X$2:$X$1146,Trades!$D$2:$D$1146,$A677)</f>
        <v>-0.44</v>
      </c>
      <c r="G677" s="31" t="n">
        <f aca="false">SUMIFS(Trades!$X$2:$X$1146,Trades!$D$2:$D$1146,$A677,Trades!$X$2:$X$1146,"&gt;0")</f>
        <v>0</v>
      </c>
      <c r="H677" s="31" t="n">
        <f aca="false">SUMIFS(Trades!$X$2:$X$1146,Trades!$D$2:$D$1146,$A677,Trades!$X$2:$X$1146,"&lt;0")</f>
        <v>-0.44</v>
      </c>
      <c r="I677" s="32" t="n">
        <f aca="false">IFERROR(G677/-H677,"no loss")</f>
        <v>0</v>
      </c>
      <c r="J677" s="31" t="n">
        <f aca="false">_xlfn.MAXIFS(Trades!$X$2:$X$1146,Trades!$D$2:$D$1146,$A677)</f>
        <v>-0.44</v>
      </c>
      <c r="K677" s="31" t="n">
        <f aca="false">_xlfn.MINIFS(Trades!$X$2:$X$1146,Trades!$D$2:$D$1146,$A677)</f>
        <v>-0.44</v>
      </c>
      <c r="L677" s="33" t="n">
        <f aca="false">SUMIFS(Trades!$Y$2:$Y$1146,Trades!$D$2:$D$1146,$A677)</f>
        <v>-0.00188356164383569</v>
      </c>
      <c r="M677" s="31" t="n">
        <f aca="false">P676</f>
        <v>17121.52</v>
      </c>
      <c r="N677" s="30" t="n">
        <f aca="false">IFERROR(F677/M677,0)</f>
        <v>-2.56986529233386E-005</v>
      </c>
      <c r="O677" s="29" t="str">
        <f aca="false">IF(-N677&gt;=Summary!$C$7,"BREACH","")</f>
        <v/>
      </c>
      <c r="P677" s="31" t="n">
        <f aca="false">M677+F677</f>
        <v>17121.08</v>
      </c>
      <c r="Q677" s="31" t="n">
        <f aca="false">P677-Summary!$C$5</f>
        <v>7121.07999999999</v>
      </c>
      <c r="R677" s="2" t="str">
        <f aca="false">TEXT(A677,"ddd")</f>
        <v>Mon</v>
      </c>
    </row>
    <row r="678" customFormat="false" ht="15" hidden="false" customHeight="false" outlineLevel="0" collapsed="false">
      <c r="A678" s="43" t="n">
        <v>45763</v>
      </c>
      <c r="B678" s="29" t="n">
        <f aca="false">COUNTIFS(Trades!$D$2:$D$1146,$A678)</f>
        <v>1</v>
      </c>
      <c r="C678" s="29" t="n">
        <f aca="false">COUNTIFS(Trades!$D$2:$D$1146,$A678,Trades!$Z$2:$Z$1146,"Win")</f>
        <v>1</v>
      </c>
      <c r="D678" s="29" t="n">
        <f aca="false">COUNTIFS(Trades!$D$2:$D$1146,$A678,Trades!$Z$2:$Z$1146,"Loss")</f>
        <v>0</v>
      </c>
      <c r="E678" s="30" t="n">
        <f aca="false">IFERROR(C678/B678,0)</f>
        <v>1</v>
      </c>
      <c r="F678" s="31" t="n">
        <f aca="false">SUMIFS(Trades!$X$2:$X$1146,Trades!$D$2:$D$1146,$A678)</f>
        <v>486.24</v>
      </c>
      <c r="G678" s="31" t="n">
        <f aca="false">SUMIFS(Trades!$X$2:$X$1146,Trades!$D$2:$D$1146,$A678,Trades!$X$2:$X$1146,"&gt;0")</f>
        <v>486.24</v>
      </c>
      <c r="H678" s="31" t="n">
        <f aca="false">SUMIFS(Trades!$X$2:$X$1146,Trades!$D$2:$D$1146,$A678,Trades!$X$2:$X$1146,"&lt;0")</f>
        <v>0</v>
      </c>
      <c r="I678" s="32" t="str">
        <f aca="false">IFERROR(G678/-H678,"no loss")</f>
        <v>no loss</v>
      </c>
      <c r="J678" s="31" t="n">
        <f aca="false">_xlfn.MAXIFS(Trades!$X$2:$X$1146,Trades!$D$2:$D$1146,$A678)</f>
        <v>486.24</v>
      </c>
      <c r="K678" s="31" t="n">
        <f aca="false">_xlfn.MINIFS(Trades!$X$2:$X$1146,Trades!$D$2:$D$1146,$A678)</f>
        <v>486.24</v>
      </c>
      <c r="L678" s="33" t="n">
        <f aca="false">SUMIFS(Trades!$Y$2:$Y$1146,Trades!$D$2:$D$1146,$A678)</f>
        <v>2.47274206672092</v>
      </c>
      <c r="M678" s="31" t="n">
        <f aca="false">P677</f>
        <v>17121.08</v>
      </c>
      <c r="N678" s="30" t="n">
        <f aca="false">IFERROR(F678/M678,0)</f>
        <v>0.0284000775652003</v>
      </c>
      <c r="O678" s="29" t="str">
        <f aca="false">IF(-N678&gt;=Summary!$C$7,"BREACH","")</f>
        <v/>
      </c>
      <c r="P678" s="31" t="n">
        <f aca="false">M678+F678</f>
        <v>17607.32</v>
      </c>
      <c r="Q678" s="31" t="n">
        <f aca="false">P678-Summary!$C$5</f>
        <v>7607.31999999999</v>
      </c>
      <c r="R678" s="2" t="str">
        <f aca="false">TEXT(A678,"ddd")</f>
        <v>Wed</v>
      </c>
    </row>
    <row r="679" customFormat="false" ht="15" hidden="false" customHeight="false" outlineLevel="0" collapsed="false">
      <c r="A679" s="43" t="n">
        <v>45768</v>
      </c>
      <c r="B679" s="29" t="n">
        <f aca="false">COUNTIFS(Trades!$D$2:$D$1146,$A679)</f>
        <v>1</v>
      </c>
      <c r="C679" s="29" t="n">
        <f aca="false">COUNTIFS(Trades!$D$2:$D$1146,$A679,Trades!$Z$2:$Z$1146,"Win")</f>
        <v>0</v>
      </c>
      <c r="D679" s="29" t="n">
        <f aca="false">COUNTIFS(Trades!$D$2:$D$1146,$A679,Trades!$Z$2:$Z$1146,"Loss")</f>
        <v>1</v>
      </c>
      <c r="E679" s="30" t="n">
        <f aca="false">IFERROR(C679/B679,0)</f>
        <v>0</v>
      </c>
      <c r="F679" s="31" t="n">
        <f aca="false">SUMIFS(Trades!$X$2:$X$1146,Trades!$D$2:$D$1146,$A679)</f>
        <v>-160</v>
      </c>
      <c r="G679" s="31" t="n">
        <f aca="false">SUMIFS(Trades!$X$2:$X$1146,Trades!$D$2:$D$1146,$A679,Trades!$X$2:$X$1146,"&gt;0")</f>
        <v>0</v>
      </c>
      <c r="H679" s="31" t="n">
        <f aca="false">SUMIFS(Trades!$X$2:$X$1146,Trades!$D$2:$D$1146,$A679,Trades!$X$2:$X$1146,"&lt;0")</f>
        <v>-160</v>
      </c>
      <c r="I679" s="32" t="n">
        <f aca="false">IFERROR(G679/-H679,"no loss")</f>
        <v>0</v>
      </c>
      <c r="J679" s="31" t="n">
        <f aca="false">_xlfn.MAXIFS(Trades!$X$2:$X$1146,Trades!$D$2:$D$1146,$A679)</f>
        <v>-160</v>
      </c>
      <c r="K679" s="31" t="n">
        <f aca="false">_xlfn.MINIFS(Trades!$X$2:$X$1146,Trades!$D$2:$D$1146,$A679)</f>
        <v>-160</v>
      </c>
      <c r="L679" s="33" t="n">
        <f aca="false">SUMIFS(Trades!$Y$2:$Y$1146,Trades!$D$2:$D$1146,$A679)</f>
        <v>-1.0015022533801</v>
      </c>
      <c r="M679" s="31" t="n">
        <f aca="false">P678</f>
        <v>17607.32</v>
      </c>
      <c r="N679" s="30" t="n">
        <f aca="false">IFERROR(F679/M679,0)</f>
        <v>-0.00908712967106863</v>
      </c>
      <c r="O679" s="29" t="str">
        <f aca="false">IF(-N679&gt;=Summary!$C$7,"BREACH","")</f>
        <v/>
      </c>
      <c r="P679" s="31" t="n">
        <f aca="false">M679+F679</f>
        <v>17447.32</v>
      </c>
      <c r="Q679" s="31" t="n">
        <f aca="false">P679-Summary!$C$5</f>
        <v>7447.31999999999</v>
      </c>
      <c r="R679" s="2" t="str">
        <f aca="false">TEXT(A679,"ddd")</f>
        <v>Mon</v>
      </c>
    </row>
    <row r="680" customFormat="false" ht="15" hidden="false" customHeight="false" outlineLevel="0" collapsed="false">
      <c r="A680" s="43" t="n">
        <v>45769</v>
      </c>
      <c r="B680" s="29" t="n">
        <f aca="false">COUNTIFS(Trades!$D$2:$D$1146,$A680)</f>
        <v>1</v>
      </c>
      <c r="C680" s="29" t="n">
        <f aca="false">COUNTIFS(Trades!$D$2:$D$1146,$A680,Trades!$Z$2:$Z$1146,"Win")</f>
        <v>0</v>
      </c>
      <c r="D680" s="29" t="n">
        <f aca="false">COUNTIFS(Trades!$D$2:$D$1146,$A680,Trades!$Z$2:$Z$1146,"Loss")</f>
        <v>1</v>
      </c>
      <c r="E680" s="30" t="n">
        <f aca="false">IFERROR(C680/B680,0)</f>
        <v>0</v>
      </c>
      <c r="F680" s="31" t="n">
        <f aca="false">SUMIFS(Trades!$X$2:$X$1146,Trades!$D$2:$D$1146,$A680)</f>
        <v>-2.04</v>
      </c>
      <c r="G680" s="31" t="n">
        <f aca="false">SUMIFS(Trades!$X$2:$X$1146,Trades!$D$2:$D$1146,$A680,Trades!$X$2:$X$1146,"&gt;0")</f>
        <v>0</v>
      </c>
      <c r="H680" s="31" t="n">
        <f aca="false">SUMIFS(Trades!$X$2:$X$1146,Trades!$D$2:$D$1146,$A680,Trades!$X$2:$X$1146,"&lt;0")</f>
        <v>-2.04</v>
      </c>
      <c r="I680" s="32" t="n">
        <f aca="false">IFERROR(G680/-H680,"no loss")</f>
        <v>0</v>
      </c>
      <c r="J680" s="31" t="n">
        <f aca="false">_xlfn.MAXIFS(Trades!$X$2:$X$1146,Trades!$D$2:$D$1146,$A680)</f>
        <v>-2.04</v>
      </c>
      <c r="K680" s="31" t="n">
        <f aca="false">_xlfn.MINIFS(Trades!$X$2:$X$1146,Trades!$D$2:$D$1146,$A680)</f>
        <v>-2.04</v>
      </c>
      <c r="L680" s="33" t="n">
        <f aca="false">SUMIFS(Trades!$Y$2:$Y$1146,Trades!$D$2:$D$1146,$A680)</f>
        <v>-0.0407673860911323</v>
      </c>
      <c r="M680" s="31" t="n">
        <f aca="false">P679</f>
        <v>17447.32</v>
      </c>
      <c r="N680" s="30" t="n">
        <f aca="false">IFERROR(F680/M680,0)</f>
        <v>-0.000116923401416378</v>
      </c>
      <c r="O680" s="29" t="str">
        <f aca="false">IF(-N680&gt;=Summary!$C$7,"BREACH","")</f>
        <v/>
      </c>
      <c r="P680" s="31" t="n">
        <f aca="false">M680+F680</f>
        <v>17445.28</v>
      </c>
      <c r="Q680" s="31" t="n">
        <f aca="false">P680-Summary!$C$5</f>
        <v>7445.27999999999</v>
      </c>
      <c r="R680" s="2" t="str">
        <f aca="false">TEXT(A680,"ddd")</f>
        <v>Tue</v>
      </c>
    </row>
    <row r="681" customFormat="false" ht="15" hidden="false" customHeight="false" outlineLevel="0" collapsed="false">
      <c r="A681" s="43" t="n">
        <v>45770</v>
      </c>
      <c r="B681" s="29" t="n">
        <f aca="false">COUNTIFS(Trades!$D$2:$D$1146,$A681)</f>
        <v>1</v>
      </c>
      <c r="C681" s="29" t="n">
        <f aca="false">COUNTIFS(Trades!$D$2:$D$1146,$A681,Trades!$Z$2:$Z$1146,"Win")</f>
        <v>0</v>
      </c>
      <c r="D681" s="29" t="n">
        <f aca="false">COUNTIFS(Trades!$D$2:$D$1146,$A681,Trades!$Z$2:$Z$1146,"Loss")</f>
        <v>1</v>
      </c>
      <c r="E681" s="30" t="n">
        <f aca="false">IFERROR(C681/B681,0)</f>
        <v>0</v>
      </c>
      <c r="F681" s="31" t="n">
        <f aca="false">SUMIFS(Trades!$X$2:$X$1146,Trades!$D$2:$D$1146,$A681)</f>
        <v>-1.64</v>
      </c>
      <c r="G681" s="31" t="n">
        <f aca="false">SUMIFS(Trades!$X$2:$X$1146,Trades!$D$2:$D$1146,$A681,Trades!$X$2:$X$1146,"&gt;0")</f>
        <v>0</v>
      </c>
      <c r="H681" s="31" t="n">
        <f aca="false">SUMIFS(Trades!$X$2:$X$1146,Trades!$D$2:$D$1146,$A681,Trades!$X$2:$X$1146,"&lt;0")</f>
        <v>-1.64</v>
      </c>
      <c r="I681" s="32" t="n">
        <f aca="false">IFERROR(G681/-H681,"no loss")</f>
        <v>0</v>
      </c>
      <c r="J681" s="31" t="n">
        <f aca="false">_xlfn.MAXIFS(Trades!$X$2:$X$1146,Trades!$D$2:$D$1146,$A681)</f>
        <v>-1.64</v>
      </c>
      <c r="K681" s="31" t="n">
        <f aca="false">_xlfn.MINIFS(Trades!$X$2:$X$1146,Trades!$D$2:$D$1146,$A681)</f>
        <v>-1.64</v>
      </c>
      <c r="L681" s="33" t="n">
        <f aca="false">SUMIFS(Trades!$Y$2:$Y$1146,Trades!$D$2:$D$1146,$A681)</f>
        <v>-0.00493856901951334</v>
      </c>
      <c r="M681" s="31" t="n">
        <f aca="false">P680</f>
        <v>17445.28</v>
      </c>
      <c r="N681" s="30" t="n">
        <f aca="false">IFERROR(F681/M681,0)</f>
        <v>-9.40082360386306E-005</v>
      </c>
      <c r="O681" s="29" t="str">
        <f aca="false">IF(-N681&gt;=Summary!$C$7,"BREACH","")</f>
        <v/>
      </c>
      <c r="P681" s="31" t="n">
        <f aca="false">M681+F681</f>
        <v>17443.64</v>
      </c>
      <c r="Q681" s="31" t="n">
        <f aca="false">P681-Summary!$C$5</f>
        <v>7443.63999999999</v>
      </c>
      <c r="R681" s="2" t="str">
        <f aca="false">TEXT(A681,"ddd")</f>
        <v>Wed</v>
      </c>
    </row>
    <row r="682" customFormat="false" ht="15" hidden="false" customHeight="false" outlineLevel="0" collapsed="false">
      <c r="A682" s="43" t="n">
        <v>45771</v>
      </c>
      <c r="B682" s="29" t="n">
        <f aca="false">COUNTIFS(Trades!$D$2:$D$1146,$A682)</f>
        <v>2</v>
      </c>
      <c r="C682" s="29" t="n">
        <f aca="false">COUNTIFS(Trades!$D$2:$D$1146,$A682,Trades!$Z$2:$Z$1146,"Win")</f>
        <v>0</v>
      </c>
      <c r="D682" s="29" t="n">
        <f aca="false">COUNTIFS(Trades!$D$2:$D$1146,$A682,Trades!$Z$2:$Z$1146,"Loss")</f>
        <v>2</v>
      </c>
      <c r="E682" s="30" t="n">
        <f aca="false">IFERROR(C682/B682,0)</f>
        <v>0</v>
      </c>
      <c r="F682" s="31" t="n">
        <f aca="false">SUMIFS(Trades!$X$2:$X$1146,Trades!$D$2:$D$1146,$A682)</f>
        <v>-105.28</v>
      </c>
      <c r="G682" s="31" t="n">
        <f aca="false">SUMIFS(Trades!$X$2:$X$1146,Trades!$D$2:$D$1146,$A682,Trades!$X$2:$X$1146,"&gt;0")</f>
        <v>0</v>
      </c>
      <c r="H682" s="31" t="n">
        <f aca="false">SUMIFS(Trades!$X$2:$X$1146,Trades!$D$2:$D$1146,$A682,Trades!$X$2:$X$1146,"&lt;0")</f>
        <v>-105.28</v>
      </c>
      <c r="I682" s="32" t="n">
        <f aca="false">IFERROR(G682/-H682,"no loss")</f>
        <v>0</v>
      </c>
      <c r="J682" s="31" t="n">
        <f aca="false">_xlfn.MAXIFS(Trades!$X$2:$X$1146,Trades!$D$2:$D$1146,$A682)</f>
        <v>-38</v>
      </c>
      <c r="K682" s="31" t="n">
        <f aca="false">_xlfn.MINIFS(Trades!$X$2:$X$1146,Trades!$D$2:$D$1146,$A682)</f>
        <v>-67.28</v>
      </c>
      <c r="L682" s="33" t="n">
        <f aca="false">SUMIFS(Trades!$Y$2:$Y$1146,Trades!$D$2:$D$1146,$A682)</f>
        <v>-2.05679502987245</v>
      </c>
      <c r="M682" s="31" t="n">
        <f aca="false">P681</f>
        <v>17443.64</v>
      </c>
      <c r="N682" s="30" t="n">
        <f aca="false">IFERROR(F682/M682,0)</f>
        <v>-0.00603543755775744</v>
      </c>
      <c r="O682" s="29" t="str">
        <f aca="false">IF(-N682&gt;=Summary!$C$7,"BREACH","")</f>
        <v/>
      </c>
      <c r="P682" s="31" t="n">
        <f aca="false">M682+F682</f>
        <v>17338.36</v>
      </c>
      <c r="Q682" s="31" t="n">
        <f aca="false">P682-Summary!$C$5</f>
        <v>7338.35999999999</v>
      </c>
      <c r="R682" s="2" t="str">
        <f aca="false">TEXT(A682,"ddd")</f>
        <v>Thu</v>
      </c>
    </row>
    <row r="683" customFormat="false" ht="15" hidden="false" customHeight="false" outlineLevel="0" collapsed="false">
      <c r="A683" s="43" t="n">
        <v>45772</v>
      </c>
      <c r="B683" s="29" t="n">
        <f aca="false">COUNTIFS(Trades!$D$2:$D$1146,$A683)</f>
        <v>1</v>
      </c>
      <c r="C683" s="29" t="n">
        <f aca="false">COUNTIFS(Trades!$D$2:$D$1146,$A683,Trades!$Z$2:$Z$1146,"Win")</f>
        <v>0</v>
      </c>
      <c r="D683" s="29" t="n">
        <f aca="false">COUNTIFS(Trades!$D$2:$D$1146,$A683,Trades!$Z$2:$Z$1146,"Loss")</f>
        <v>1</v>
      </c>
      <c r="E683" s="30" t="n">
        <f aca="false">IFERROR(C683/B683,0)</f>
        <v>0</v>
      </c>
      <c r="F683" s="31" t="n">
        <f aca="false">SUMIFS(Trades!$X$2:$X$1146,Trades!$D$2:$D$1146,$A683)</f>
        <v>-32.88</v>
      </c>
      <c r="G683" s="31" t="n">
        <f aca="false">SUMIFS(Trades!$X$2:$X$1146,Trades!$D$2:$D$1146,$A683,Trades!$X$2:$X$1146,"&gt;0")</f>
        <v>0</v>
      </c>
      <c r="H683" s="31" t="n">
        <f aca="false">SUMIFS(Trades!$X$2:$X$1146,Trades!$D$2:$D$1146,$A683,Trades!$X$2:$X$1146,"&lt;0")</f>
        <v>-32.88</v>
      </c>
      <c r="I683" s="32" t="n">
        <f aca="false">IFERROR(G683/-H683,"no loss")</f>
        <v>0</v>
      </c>
      <c r="J683" s="31" t="n">
        <f aca="false">_xlfn.MAXIFS(Trades!$X$2:$X$1146,Trades!$D$2:$D$1146,$A683)</f>
        <v>-32.88</v>
      </c>
      <c r="K683" s="31" t="n">
        <f aca="false">_xlfn.MINIFS(Trades!$X$2:$X$1146,Trades!$D$2:$D$1146,$A683)</f>
        <v>-32.88</v>
      </c>
      <c r="L683" s="33" t="n">
        <f aca="false">SUMIFS(Trades!$Y$2:$Y$1146,Trades!$D$2:$D$1146,$A683)</f>
        <v>-1.43706293706356</v>
      </c>
      <c r="M683" s="31" t="n">
        <f aca="false">P682</f>
        <v>17338.36</v>
      </c>
      <c r="N683" s="30" t="n">
        <f aca="false">IFERROR(F683/M683,0)</f>
        <v>-0.00189637312871575</v>
      </c>
      <c r="O683" s="29" t="str">
        <f aca="false">IF(-N683&gt;=Summary!$C$7,"BREACH","")</f>
        <v/>
      </c>
      <c r="P683" s="31" t="n">
        <f aca="false">M683+F683</f>
        <v>17305.48</v>
      </c>
      <c r="Q683" s="31" t="n">
        <f aca="false">P683-Summary!$C$5</f>
        <v>7305.47999999999</v>
      </c>
      <c r="R683" s="2" t="str">
        <f aca="false">TEXT(A683,"ddd")</f>
        <v>Fri</v>
      </c>
    </row>
    <row r="684" customFormat="false" ht="15" hidden="false" customHeight="false" outlineLevel="0" collapsed="false">
      <c r="A684" s="43" t="n">
        <v>45775</v>
      </c>
      <c r="B684" s="29" t="n">
        <f aca="false">COUNTIFS(Trades!$D$2:$D$1146,$A684)</f>
        <v>1</v>
      </c>
      <c r="C684" s="29" t="n">
        <f aca="false">COUNTIFS(Trades!$D$2:$D$1146,$A684,Trades!$Z$2:$Z$1146,"Win")</f>
        <v>0</v>
      </c>
      <c r="D684" s="29" t="n">
        <f aca="false">COUNTIFS(Trades!$D$2:$D$1146,$A684,Trades!$Z$2:$Z$1146,"Loss")</f>
        <v>1</v>
      </c>
      <c r="E684" s="30" t="n">
        <f aca="false">IFERROR(C684/B684,0)</f>
        <v>0</v>
      </c>
      <c r="F684" s="31" t="n">
        <f aca="false">SUMIFS(Trades!$X$2:$X$1146,Trades!$D$2:$D$1146,$A684)</f>
        <v>-33.68</v>
      </c>
      <c r="G684" s="31" t="n">
        <f aca="false">SUMIFS(Trades!$X$2:$X$1146,Trades!$D$2:$D$1146,$A684,Trades!$X$2:$X$1146,"&gt;0")</f>
        <v>0</v>
      </c>
      <c r="H684" s="31" t="n">
        <f aca="false">SUMIFS(Trades!$X$2:$X$1146,Trades!$D$2:$D$1146,$A684,Trades!$X$2:$X$1146,"&lt;0")</f>
        <v>-33.68</v>
      </c>
      <c r="I684" s="32" t="n">
        <f aca="false">IFERROR(G684/-H684,"no loss")</f>
        <v>0</v>
      </c>
      <c r="J684" s="31" t="n">
        <f aca="false">_xlfn.MAXIFS(Trades!$X$2:$X$1146,Trades!$D$2:$D$1146,$A684)</f>
        <v>-33.68</v>
      </c>
      <c r="K684" s="31" t="n">
        <f aca="false">_xlfn.MINIFS(Trades!$X$2:$X$1146,Trades!$D$2:$D$1146,$A684)</f>
        <v>-33.68</v>
      </c>
      <c r="L684" s="33" t="n">
        <f aca="false">SUMIFS(Trades!$Y$2:$Y$1146,Trades!$D$2:$D$1146,$A684)</f>
        <v>-1.38714991762774</v>
      </c>
      <c r="M684" s="31" t="n">
        <f aca="false">P683</f>
        <v>17305.48</v>
      </c>
      <c r="N684" s="30" t="n">
        <f aca="false">IFERROR(F684/M684,0)</f>
        <v>-0.00194620432371711</v>
      </c>
      <c r="O684" s="29" t="str">
        <f aca="false">IF(-N684&gt;=Summary!$C$7,"BREACH","")</f>
        <v/>
      </c>
      <c r="P684" s="31" t="n">
        <f aca="false">M684+F684</f>
        <v>17271.8</v>
      </c>
      <c r="Q684" s="31" t="n">
        <f aca="false">P684-Summary!$C$5</f>
        <v>7271.79999999999</v>
      </c>
      <c r="R684" s="2" t="str">
        <f aca="false">TEXT(A684,"ddd")</f>
        <v>Mon</v>
      </c>
    </row>
    <row r="685" customFormat="false" ht="15" hidden="false" customHeight="false" outlineLevel="0" collapsed="false">
      <c r="A685" s="43" t="n">
        <v>45776</v>
      </c>
      <c r="B685" s="29" t="n">
        <f aca="false">COUNTIFS(Trades!$D$2:$D$1146,$A685)</f>
        <v>1</v>
      </c>
      <c r="C685" s="29" t="n">
        <f aca="false">COUNTIFS(Trades!$D$2:$D$1146,$A685,Trades!$Z$2:$Z$1146,"Win")</f>
        <v>0</v>
      </c>
      <c r="D685" s="29" t="n">
        <f aca="false">COUNTIFS(Trades!$D$2:$D$1146,$A685,Trades!$Z$2:$Z$1146,"Loss")</f>
        <v>1</v>
      </c>
      <c r="E685" s="30" t="n">
        <f aca="false">IFERROR(C685/B685,0)</f>
        <v>0</v>
      </c>
      <c r="F685" s="31" t="n">
        <f aca="false">SUMIFS(Trades!$X$2:$X$1146,Trades!$D$2:$D$1146,$A685)</f>
        <v>-30.96</v>
      </c>
      <c r="G685" s="31" t="n">
        <f aca="false">SUMIFS(Trades!$X$2:$X$1146,Trades!$D$2:$D$1146,$A685,Trades!$X$2:$X$1146,"&gt;0")</f>
        <v>0</v>
      </c>
      <c r="H685" s="31" t="n">
        <f aca="false">SUMIFS(Trades!$X$2:$X$1146,Trades!$D$2:$D$1146,$A685,Trades!$X$2:$X$1146,"&lt;0")</f>
        <v>-30.96</v>
      </c>
      <c r="I685" s="32" t="n">
        <f aca="false">IFERROR(G685/-H685,"no loss")</f>
        <v>0</v>
      </c>
      <c r="J685" s="31" t="n">
        <f aca="false">_xlfn.MAXIFS(Trades!$X$2:$X$1146,Trades!$D$2:$D$1146,$A685)</f>
        <v>-30.96</v>
      </c>
      <c r="K685" s="31" t="n">
        <f aca="false">_xlfn.MINIFS(Trades!$X$2:$X$1146,Trades!$D$2:$D$1146,$A685)</f>
        <v>-30.96</v>
      </c>
      <c r="L685" s="33" t="n">
        <f aca="false">SUMIFS(Trades!$Y$2:$Y$1146,Trades!$D$2:$D$1146,$A685)</f>
        <v>-1.01044386422978</v>
      </c>
      <c r="M685" s="31" t="n">
        <f aca="false">P684</f>
        <v>17271.8</v>
      </c>
      <c r="N685" s="30" t="n">
        <f aca="false">IFERROR(F685/M685,0)</f>
        <v>-0.00179251728250675</v>
      </c>
      <c r="O685" s="29" t="str">
        <f aca="false">IF(-N685&gt;=Summary!$C$7,"BREACH","")</f>
        <v/>
      </c>
      <c r="P685" s="31" t="n">
        <f aca="false">M685+F685</f>
        <v>17240.84</v>
      </c>
      <c r="Q685" s="31" t="n">
        <f aca="false">P685-Summary!$C$5</f>
        <v>7240.83999999999</v>
      </c>
      <c r="R685" s="2" t="str">
        <f aca="false">TEXT(A685,"ddd")</f>
        <v>Tue</v>
      </c>
    </row>
    <row r="686" customFormat="false" ht="15" hidden="false" customHeight="false" outlineLevel="0" collapsed="false">
      <c r="A686" s="43" t="n">
        <v>45777</v>
      </c>
      <c r="B686" s="29" t="n">
        <f aca="false">COUNTIFS(Trades!$D$2:$D$1146,$A686)</f>
        <v>2</v>
      </c>
      <c r="C686" s="29" t="n">
        <f aca="false">COUNTIFS(Trades!$D$2:$D$1146,$A686,Trades!$Z$2:$Z$1146,"Win")</f>
        <v>1</v>
      </c>
      <c r="D686" s="29" t="n">
        <f aca="false">COUNTIFS(Trades!$D$2:$D$1146,$A686,Trades!$Z$2:$Z$1146,"Loss")</f>
        <v>1</v>
      </c>
      <c r="E686" s="30" t="n">
        <f aca="false">IFERROR(C686/B686,0)</f>
        <v>0.5</v>
      </c>
      <c r="F686" s="31" t="n">
        <f aca="false">SUMIFS(Trades!$X$2:$X$1146,Trades!$D$2:$D$1146,$A686)</f>
        <v>168.64</v>
      </c>
      <c r="G686" s="31" t="n">
        <f aca="false">SUMIFS(Trades!$X$2:$X$1146,Trades!$D$2:$D$1146,$A686,Trades!$X$2:$X$1146,"&gt;0")</f>
        <v>302.2</v>
      </c>
      <c r="H686" s="31" t="n">
        <f aca="false">SUMIFS(Trades!$X$2:$X$1146,Trades!$D$2:$D$1146,$A686,Trades!$X$2:$X$1146,"&lt;0")</f>
        <v>-133.56</v>
      </c>
      <c r="I686" s="32" t="n">
        <f aca="false">IFERROR(G686/-H686,"no loss")</f>
        <v>2.26265348906858</v>
      </c>
      <c r="J686" s="31" t="n">
        <f aca="false">_xlfn.MAXIFS(Trades!$X$2:$X$1146,Trades!$D$2:$D$1146,$A686)</f>
        <v>302.2</v>
      </c>
      <c r="K686" s="31" t="n">
        <f aca="false">_xlfn.MINIFS(Trades!$X$2:$X$1146,Trades!$D$2:$D$1146,$A686)</f>
        <v>-133.56</v>
      </c>
      <c r="L686" s="33" t="n">
        <f aca="false">SUMIFS(Trades!$Y$2:$Y$1146,Trades!$D$2:$D$1146,$A686)</f>
        <v>1.46069517678464</v>
      </c>
      <c r="M686" s="31" t="n">
        <f aca="false">P685</f>
        <v>17240.84</v>
      </c>
      <c r="N686" s="30" t="n">
        <f aca="false">IFERROR(F686/M686,0)</f>
        <v>0.00978142596300413</v>
      </c>
      <c r="O686" s="29" t="str">
        <f aca="false">IF(-N686&gt;=Summary!$C$7,"BREACH","")</f>
        <v/>
      </c>
      <c r="P686" s="31" t="n">
        <f aca="false">M686+F686</f>
        <v>17409.48</v>
      </c>
      <c r="Q686" s="31" t="n">
        <f aca="false">P686-Summary!$C$5</f>
        <v>7409.47999999999</v>
      </c>
      <c r="R686" s="2" t="str">
        <f aca="false">TEXT(A686,"ddd")</f>
        <v>Wed</v>
      </c>
    </row>
    <row r="687" customFormat="false" ht="15" hidden="false" customHeight="false" outlineLevel="0" collapsed="false">
      <c r="A687" s="43" t="n">
        <v>45778</v>
      </c>
      <c r="B687" s="29" t="n">
        <f aca="false">COUNTIFS(Trades!$D$2:$D$1146,$A687)</f>
        <v>1</v>
      </c>
      <c r="C687" s="29" t="n">
        <f aca="false">COUNTIFS(Trades!$D$2:$D$1146,$A687,Trades!$Z$2:$Z$1146,"Win")</f>
        <v>1</v>
      </c>
      <c r="D687" s="29" t="n">
        <f aca="false">COUNTIFS(Trades!$D$2:$D$1146,$A687,Trades!$Z$2:$Z$1146,"Loss")</f>
        <v>0</v>
      </c>
      <c r="E687" s="30" t="n">
        <f aca="false">IFERROR(C687/B687,0)</f>
        <v>1</v>
      </c>
      <c r="F687" s="31" t="n">
        <f aca="false">SUMIFS(Trades!$X$2:$X$1146,Trades!$D$2:$D$1146,$A687)</f>
        <v>321.72</v>
      </c>
      <c r="G687" s="31" t="n">
        <f aca="false">SUMIFS(Trades!$X$2:$X$1146,Trades!$D$2:$D$1146,$A687,Trades!$X$2:$X$1146,"&gt;0")</f>
        <v>321.72</v>
      </c>
      <c r="H687" s="31" t="n">
        <f aca="false">SUMIFS(Trades!$X$2:$X$1146,Trades!$D$2:$D$1146,$A687,Trades!$X$2:$X$1146,"&lt;0")</f>
        <v>0</v>
      </c>
      <c r="I687" s="32" t="str">
        <f aca="false">IFERROR(G687/-H687,"no loss")</f>
        <v>no loss</v>
      </c>
      <c r="J687" s="31" t="n">
        <f aca="false">_xlfn.MAXIFS(Trades!$X$2:$X$1146,Trades!$D$2:$D$1146,$A687)</f>
        <v>321.72</v>
      </c>
      <c r="K687" s="31" t="n">
        <f aca="false">_xlfn.MINIFS(Trades!$X$2:$X$1146,Trades!$D$2:$D$1146,$A687)</f>
        <v>321.72</v>
      </c>
      <c r="L687" s="33" t="n">
        <f aca="false">SUMIFS(Trades!$Y$2:$Y$1146,Trades!$D$2:$D$1146,$A687)</f>
        <v>2.46490959239983</v>
      </c>
      <c r="M687" s="31" t="n">
        <f aca="false">P686</f>
        <v>17409.48</v>
      </c>
      <c r="N687" s="30" t="n">
        <f aca="false">IFERROR(F687/M687,0)</f>
        <v>0.0184795869836434</v>
      </c>
      <c r="O687" s="29" t="str">
        <f aca="false">IF(-N687&gt;=Summary!$C$7,"BREACH","")</f>
        <v/>
      </c>
      <c r="P687" s="31" t="n">
        <f aca="false">M687+F687</f>
        <v>17731.2</v>
      </c>
      <c r="Q687" s="31" t="n">
        <f aca="false">P687-Summary!$C$5</f>
        <v>7731.19999999999</v>
      </c>
      <c r="R687" s="2" t="str">
        <f aca="false">TEXT(A687,"ddd")</f>
        <v>Thu</v>
      </c>
    </row>
    <row r="688" customFormat="false" ht="15" hidden="false" customHeight="false" outlineLevel="0" collapsed="false">
      <c r="A688" s="43" t="n">
        <v>45779</v>
      </c>
      <c r="B688" s="29" t="n">
        <f aca="false">COUNTIFS(Trades!$D$2:$D$1146,$A688)</f>
        <v>2</v>
      </c>
      <c r="C688" s="29" t="n">
        <f aca="false">COUNTIFS(Trades!$D$2:$D$1146,$A688,Trades!$Z$2:$Z$1146,"Win")</f>
        <v>0</v>
      </c>
      <c r="D688" s="29" t="n">
        <f aca="false">COUNTIFS(Trades!$D$2:$D$1146,$A688,Trades!$Z$2:$Z$1146,"Loss")</f>
        <v>2</v>
      </c>
      <c r="E688" s="30" t="n">
        <f aca="false">IFERROR(C688/B688,0)</f>
        <v>0</v>
      </c>
      <c r="F688" s="31" t="n">
        <f aca="false">SUMIFS(Trades!$X$2:$X$1146,Trades!$D$2:$D$1146,$A688)</f>
        <v>-82.36</v>
      </c>
      <c r="G688" s="31" t="n">
        <f aca="false">SUMIFS(Trades!$X$2:$X$1146,Trades!$D$2:$D$1146,$A688,Trades!$X$2:$X$1146,"&gt;0")</f>
        <v>0</v>
      </c>
      <c r="H688" s="31" t="n">
        <f aca="false">SUMIFS(Trades!$X$2:$X$1146,Trades!$D$2:$D$1146,$A688,Trades!$X$2:$X$1146,"&lt;0")</f>
        <v>-82.36</v>
      </c>
      <c r="I688" s="32" t="n">
        <f aca="false">IFERROR(G688/-H688,"no loss")</f>
        <v>0</v>
      </c>
      <c r="J688" s="31" t="n">
        <f aca="false">_xlfn.MAXIFS(Trades!$X$2:$X$1146,Trades!$D$2:$D$1146,$A688)</f>
        <v>-0.08</v>
      </c>
      <c r="K688" s="31" t="n">
        <f aca="false">_xlfn.MINIFS(Trades!$X$2:$X$1146,Trades!$D$2:$D$1146,$A688)</f>
        <v>-82.28</v>
      </c>
      <c r="L688" s="33" t="n">
        <f aca="false">SUMIFS(Trades!$Y$2:$Y$1146,Trades!$D$2:$D$1146,$A688)</f>
        <v>-1.03519389472162</v>
      </c>
      <c r="M688" s="31" t="n">
        <f aca="false">P687</f>
        <v>17731.2</v>
      </c>
      <c r="N688" s="30" t="n">
        <f aca="false">IFERROR(F688/M688,0)</f>
        <v>-0.00464491968958672</v>
      </c>
      <c r="O688" s="29" t="str">
        <f aca="false">IF(-N688&gt;=Summary!$C$7,"BREACH","")</f>
        <v/>
      </c>
      <c r="P688" s="31" t="n">
        <f aca="false">M688+F688</f>
        <v>17648.84</v>
      </c>
      <c r="Q688" s="31" t="n">
        <f aca="false">P688-Summary!$C$5</f>
        <v>7648.83999999999</v>
      </c>
      <c r="R688" s="2" t="str">
        <f aca="false">TEXT(A688,"ddd")</f>
        <v>Fri</v>
      </c>
    </row>
    <row r="689" customFormat="false" ht="15" hidden="false" customHeight="false" outlineLevel="0" collapsed="false">
      <c r="A689" s="43" t="n">
        <v>45783</v>
      </c>
      <c r="B689" s="29" t="n">
        <f aca="false">COUNTIFS(Trades!$D$2:$D$1146,$A689)</f>
        <v>1</v>
      </c>
      <c r="C689" s="29" t="n">
        <f aca="false">COUNTIFS(Trades!$D$2:$D$1146,$A689,Trades!$Z$2:$Z$1146,"Win")</f>
        <v>0</v>
      </c>
      <c r="D689" s="29" t="n">
        <f aca="false">COUNTIFS(Trades!$D$2:$D$1146,$A689,Trades!$Z$2:$Z$1146,"Loss")</f>
        <v>1</v>
      </c>
      <c r="E689" s="30" t="n">
        <f aca="false">IFERROR(C689/B689,0)</f>
        <v>0</v>
      </c>
      <c r="F689" s="31" t="n">
        <f aca="false">SUMIFS(Trades!$X$2:$X$1146,Trades!$D$2:$D$1146,$A689)</f>
        <v>-34.48</v>
      </c>
      <c r="G689" s="31" t="n">
        <f aca="false">SUMIFS(Trades!$X$2:$X$1146,Trades!$D$2:$D$1146,$A689,Trades!$X$2:$X$1146,"&gt;0")</f>
        <v>0</v>
      </c>
      <c r="H689" s="31" t="n">
        <f aca="false">SUMIFS(Trades!$X$2:$X$1146,Trades!$D$2:$D$1146,$A689,Trades!$X$2:$X$1146,"&lt;0")</f>
        <v>-34.48</v>
      </c>
      <c r="I689" s="32" t="n">
        <f aca="false">IFERROR(G689/-H689,"no loss")</f>
        <v>0</v>
      </c>
      <c r="J689" s="31" t="n">
        <f aca="false">_xlfn.MAXIFS(Trades!$X$2:$X$1146,Trades!$D$2:$D$1146,$A689)</f>
        <v>-34.48</v>
      </c>
      <c r="K689" s="31" t="n">
        <f aca="false">_xlfn.MINIFS(Trades!$X$2:$X$1146,Trades!$D$2:$D$1146,$A689)</f>
        <v>-34.48</v>
      </c>
      <c r="L689" s="33" t="n">
        <f aca="false">SUMIFS(Trades!$Y$2:$Y$1146,Trades!$D$2:$D$1146,$A689)</f>
        <v>-1.00583430571765</v>
      </c>
      <c r="M689" s="31" t="n">
        <f aca="false">P688</f>
        <v>17648.84</v>
      </c>
      <c r="N689" s="30" t="n">
        <f aca="false">IFERROR(F689/M689,0)</f>
        <v>-0.00195366947629419</v>
      </c>
      <c r="O689" s="29" t="str">
        <f aca="false">IF(-N689&gt;=Summary!$C$7,"BREACH","")</f>
        <v/>
      </c>
      <c r="P689" s="31" t="n">
        <f aca="false">M689+F689</f>
        <v>17614.36</v>
      </c>
      <c r="Q689" s="31" t="n">
        <f aca="false">P689-Summary!$C$5</f>
        <v>7614.35999999999</v>
      </c>
      <c r="R689" s="2" t="str">
        <f aca="false">TEXT(A689,"ddd")</f>
        <v>Tue</v>
      </c>
    </row>
    <row r="690" customFormat="false" ht="15" hidden="false" customHeight="false" outlineLevel="0" collapsed="false">
      <c r="A690" s="43" t="n">
        <v>45784</v>
      </c>
      <c r="B690" s="29" t="n">
        <f aca="false">COUNTIFS(Trades!$D$2:$D$1146,$A690)</f>
        <v>2</v>
      </c>
      <c r="C690" s="29" t="n">
        <f aca="false">COUNTIFS(Trades!$D$2:$D$1146,$A690,Trades!$Z$2:$Z$1146,"Win")</f>
        <v>0</v>
      </c>
      <c r="D690" s="29" t="n">
        <f aca="false">COUNTIFS(Trades!$D$2:$D$1146,$A690,Trades!$Z$2:$Z$1146,"Loss")</f>
        <v>2</v>
      </c>
      <c r="E690" s="30" t="n">
        <f aca="false">IFERROR(C690/B690,0)</f>
        <v>0</v>
      </c>
      <c r="F690" s="31" t="n">
        <f aca="false">SUMIFS(Trades!$X$2:$X$1146,Trades!$D$2:$D$1146,$A690)</f>
        <v>-202.96</v>
      </c>
      <c r="G690" s="31" t="n">
        <f aca="false">SUMIFS(Trades!$X$2:$X$1146,Trades!$D$2:$D$1146,$A690,Trades!$X$2:$X$1146,"&gt;0")</f>
        <v>0</v>
      </c>
      <c r="H690" s="31" t="n">
        <f aca="false">SUMIFS(Trades!$X$2:$X$1146,Trades!$D$2:$D$1146,$A690,Trades!$X$2:$X$1146,"&lt;0")</f>
        <v>-202.96</v>
      </c>
      <c r="I690" s="32" t="n">
        <f aca="false">IFERROR(G690/-H690,"no loss")</f>
        <v>0</v>
      </c>
      <c r="J690" s="31" t="n">
        <f aca="false">_xlfn.MAXIFS(Trades!$X$2:$X$1146,Trades!$D$2:$D$1146,$A690)</f>
        <v>-1.88</v>
      </c>
      <c r="K690" s="31" t="n">
        <f aca="false">_xlfn.MINIFS(Trades!$X$2:$X$1146,Trades!$D$2:$D$1146,$A690)</f>
        <v>-201.08</v>
      </c>
      <c r="L690" s="33" t="n">
        <f aca="false">SUMIFS(Trades!$Y$2:$Y$1146,Trades!$D$2:$D$1146,$A690)</f>
        <v>-1.02692513559809</v>
      </c>
      <c r="M690" s="31" t="n">
        <f aca="false">P689</f>
        <v>17614.36</v>
      </c>
      <c r="N690" s="30" t="n">
        <f aca="false">IFERROR(F690/M690,0)</f>
        <v>-0.01152241693709</v>
      </c>
      <c r="O690" s="29" t="str">
        <f aca="false">IF(-N690&gt;=Summary!$C$7,"BREACH","")</f>
        <v/>
      </c>
      <c r="P690" s="31" t="n">
        <f aca="false">M690+F690</f>
        <v>17411.4</v>
      </c>
      <c r="Q690" s="31" t="n">
        <f aca="false">P690-Summary!$C$5</f>
        <v>7411.39999999999</v>
      </c>
      <c r="R690" s="2" t="str">
        <f aca="false">TEXT(A690,"ddd")</f>
        <v>Wed</v>
      </c>
    </row>
    <row r="691" customFormat="false" ht="15" hidden="false" customHeight="false" outlineLevel="0" collapsed="false">
      <c r="A691" s="43" t="n">
        <v>45785</v>
      </c>
      <c r="B691" s="29" t="n">
        <f aca="false">COUNTIFS(Trades!$D$2:$D$1146,$A691)</f>
        <v>1</v>
      </c>
      <c r="C691" s="29" t="n">
        <f aca="false">COUNTIFS(Trades!$D$2:$D$1146,$A691,Trades!$Z$2:$Z$1146,"Win")</f>
        <v>1</v>
      </c>
      <c r="D691" s="29" t="n">
        <f aca="false">COUNTIFS(Trades!$D$2:$D$1146,$A691,Trades!$Z$2:$Z$1146,"Loss")</f>
        <v>0</v>
      </c>
      <c r="E691" s="30" t="n">
        <f aca="false">IFERROR(C691/B691,0)</f>
        <v>1</v>
      </c>
      <c r="F691" s="31" t="n">
        <f aca="false">SUMIFS(Trades!$X$2:$X$1146,Trades!$D$2:$D$1146,$A691)</f>
        <v>55.24</v>
      </c>
      <c r="G691" s="31" t="n">
        <f aca="false">SUMIFS(Trades!$X$2:$X$1146,Trades!$D$2:$D$1146,$A691,Trades!$X$2:$X$1146,"&gt;0")</f>
        <v>55.24</v>
      </c>
      <c r="H691" s="31" t="n">
        <f aca="false">SUMIFS(Trades!$X$2:$X$1146,Trades!$D$2:$D$1146,$A691,Trades!$X$2:$X$1146,"&lt;0")</f>
        <v>0</v>
      </c>
      <c r="I691" s="32" t="str">
        <f aca="false">IFERROR(G691/-H691,"no loss")</f>
        <v>no loss</v>
      </c>
      <c r="J691" s="31" t="n">
        <f aca="false">_xlfn.MAXIFS(Trades!$X$2:$X$1146,Trades!$D$2:$D$1146,$A691)</f>
        <v>55.24</v>
      </c>
      <c r="K691" s="31" t="n">
        <f aca="false">_xlfn.MINIFS(Trades!$X$2:$X$1146,Trades!$D$2:$D$1146,$A691)</f>
        <v>55.24</v>
      </c>
      <c r="L691" s="33" t="n">
        <f aca="false">SUMIFS(Trades!$Y$2:$Y$1146,Trades!$D$2:$D$1146,$A691)</f>
        <v>2.5339449541281</v>
      </c>
      <c r="M691" s="31" t="n">
        <f aca="false">P690</f>
        <v>17411.4</v>
      </c>
      <c r="N691" s="30" t="n">
        <f aca="false">IFERROR(F691/M691,0)</f>
        <v>0.00317263402138829</v>
      </c>
      <c r="O691" s="29" t="str">
        <f aca="false">IF(-N691&gt;=Summary!$C$7,"BREACH","")</f>
        <v/>
      </c>
      <c r="P691" s="31" t="n">
        <f aca="false">M691+F691</f>
        <v>17466.64</v>
      </c>
      <c r="Q691" s="31" t="n">
        <f aca="false">P691-Summary!$C$5</f>
        <v>7466.64</v>
      </c>
      <c r="R691" s="2" t="str">
        <f aca="false">TEXT(A691,"ddd")</f>
        <v>Thu</v>
      </c>
    </row>
    <row r="692" customFormat="false" ht="15" hidden="false" customHeight="false" outlineLevel="0" collapsed="false">
      <c r="A692" s="43" t="n">
        <v>45789</v>
      </c>
      <c r="B692" s="29" t="n">
        <f aca="false">COUNTIFS(Trades!$D$2:$D$1146,$A692)</f>
        <v>1</v>
      </c>
      <c r="C692" s="29" t="n">
        <f aca="false">COUNTIFS(Trades!$D$2:$D$1146,$A692,Trades!$Z$2:$Z$1146,"Win")</f>
        <v>1</v>
      </c>
      <c r="D692" s="29" t="n">
        <f aca="false">COUNTIFS(Trades!$D$2:$D$1146,$A692,Trades!$Z$2:$Z$1146,"Loss")</f>
        <v>0</v>
      </c>
      <c r="E692" s="30" t="n">
        <f aca="false">IFERROR(C692/B692,0)</f>
        <v>1</v>
      </c>
      <c r="F692" s="31" t="n">
        <f aca="false">SUMIFS(Trades!$X$2:$X$1146,Trades!$D$2:$D$1146,$A692)</f>
        <v>591.64</v>
      </c>
      <c r="G692" s="31" t="n">
        <f aca="false">SUMIFS(Trades!$X$2:$X$1146,Trades!$D$2:$D$1146,$A692,Trades!$X$2:$X$1146,"&gt;0")</f>
        <v>591.64</v>
      </c>
      <c r="H692" s="31" t="n">
        <f aca="false">SUMIFS(Trades!$X$2:$X$1146,Trades!$D$2:$D$1146,$A692,Trades!$X$2:$X$1146,"&lt;0")</f>
        <v>0</v>
      </c>
      <c r="I692" s="32" t="str">
        <f aca="false">IFERROR(G692/-H692,"no loss")</f>
        <v>no loss</v>
      </c>
      <c r="J692" s="31" t="n">
        <f aca="false">_xlfn.MAXIFS(Trades!$X$2:$X$1146,Trades!$D$2:$D$1146,$A692)</f>
        <v>591.64</v>
      </c>
      <c r="K692" s="31" t="n">
        <f aca="false">_xlfn.MINIFS(Trades!$X$2:$X$1146,Trades!$D$2:$D$1146,$A692)</f>
        <v>591.64</v>
      </c>
      <c r="L692" s="33" t="n">
        <f aca="false">SUMIFS(Trades!$Y$2:$Y$1146,Trades!$D$2:$D$1146,$A692)</f>
        <v>2.46352431712188</v>
      </c>
      <c r="M692" s="31" t="n">
        <f aca="false">P691</f>
        <v>17466.64</v>
      </c>
      <c r="N692" s="30" t="n">
        <f aca="false">IFERROR(F692/M692,0)</f>
        <v>0.033872570797818</v>
      </c>
      <c r="O692" s="29" t="str">
        <f aca="false">IF(-N692&gt;=Summary!$C$7,"BREACH","")</f>
        <v/>
      </c>
      <c r="P692" s="31" t="n">
        <f aca="false">M692+F692</f>
        <v>18058.28</v>
      </c>
      <c r="Q692" s="31" t="n">
        <f aca="false">P692-Summary!$C$5</f>
        <v>8058.28</v>
      </c>
      <c r="R692" s="2" t="str">
        <f aca="false">TEXT(A692,"ddd")</f>
        <v>Mon</v>
      </c>
    </row>
    <row r="693" customFormat="false" ht="15" hidden="false" customHeight="false" outlineLevel="0" collapsed="false">
      <c r="A693" s="43" t="n">
        <v>45790</v>
      </c>
      <c r="B693" s="29" t="n">
        <f aca="false">COUNTIFS(Trades!$D$2:$D$1146,$A693)</f>
        <v>1</v>
      </c>
      <c r="C693" s="29" t="n">
        <f aca="false">COUNTIFS(Trades!$D$2:$D$1146,$A693,Trades!$Z$2:$Z$1146,"Win")</f>
        <v>0</v>
      </c>
      <c r="D693" s="29" t="n">
        <f aca="false">COUNTIFS(Trades!$D$2:$D$1146,$A693,Trades!$Z$2:$Z$1146,"Loss")</f>
        <v>1</v>
      </c>
      <c r="E693" s="30" t="n">
        <f aca="false">IFERROR(C693/B693,0)</f>
        <v>0</v>
      </c>
      <c r="F693" s="31" t="n">
        <f aca="false">SUMIFS(Trades!$X$2:$X$1146,Trades!$D$2:$D$1146,$A693)</f>
        <v>-99.92</v>
      </c>
      <c r="G693" s="31" t="n">
        <f aca="false">SUMIFS(Trades!$X$2:$X$1146,Trades!$D$2:$D$1146,$A693,Trades!$X$2:$X$1146,"&gt;0")</f>
        <v>0</v>
      </c>
      <c r="H693" s="31" t="n">
        <f aca="false">SUMIFS(Trades!$X$2:$X$1146,Trades!$D$2:$D$1146,$A693,Trades!$X$2:$X$1146,"&lt;0")</f>
        <v>-99.92</v>
      </c>
      <c r="I693" s="32" t="n">
        <f aca="false">IFERROR(G693/-H693,"no loss")</f>
        <v>0</v>
      </c>
      <c r="J693" s="31" t="n">
        <f aca="false">_xlfn.MAXIFS(Trades!$X$2:$X$1146,Trades!$D$2:$D$1146,$A693)</f>
        <v>-99.92</v>
      </c>
      <c r="K693" s="31" t="n">
        <f aca="false">_xlfn.MINIFS(Trades!$X$2:$X$1146,Trades!$D$2:$D$1146,$A693)</f>
        <v>-99.92</v>
      </c>
      <c r="L693" s="33" t="n">
        <f aca="false">SUMIFS(Trades!$Y$2:$Y$1146,Trades!$D$2:$D$1146,$A693)</f>
        <v>-1.11767337807614</v>
      </c>
      <c r="M693" s="31" t="n">
        <f aca="false">P692</f>
        <v>18058.28</v>
      </c>
      <c r="N693" s="30" t="n">
        <f aca="false">IFERROR(F693/M693,0)</f>
        <v>-0.00553319585253967</v>
      </c>
      <c r="O693" s="29" t="str">
        <f aca="false">IF(-N693&gt;=Summary!$C$7,"BREACH","")</f>
        <v/>
      </c>
      <c r="P693" s="31" t="n">
        <f aca="false">M693+F693</f>
        <v>17958.36</v>
      </c>
      <c r="Q693" s="31" t="n">
        <f aca="false">P693-Summary!$C$5</f>
        <v>7958.36</v>
      </c>
      <c r="R693" s="2" t="str">
        <f aca="false">TEXT(A693,"ddd")</f>
        <v>Tue</v>
      </c>
    </row>
    <row r="694" customFormat="false" ht="15" hidden="false" customHeight="false" outlineLevel="0" collapsed="false">
      <c r="A694" s="43" t="n">
        <v>45791</v>
      </c>
      <c r="B694" s="29" t="n">
        <f aca="false">COUNTIFS(Trades!$D$2:$D$1146,$A694)</f>
        <v>1</v>
      </c>
      <c r="C694" s="29" t="n">
        <f aca="false">COUNTIFS(Trades!$D$2:$D$1146,$A694,Trades!$Z$2:$Z$1146,"Win")</f>
        <v>0</v>
      </c>
      <c r="D694" s="29" t="n">
        <f aca="false">COUNTIFS(Trades!$D$2:$D$1146,$A694,Trades!$Z$2:$Z$1146,"Loss")</f>
        <v>1</v>
      </c>
      <c r="E694" s="30" t="n">
        <f aca="false">IFERROR(C694/B694,0)</f>
        <v>0</v>
      </c>
      <c r="F694" s="31" t="n">
        <f aca="false">SUMIFS(Trades!$X$2:$X$1146,Trades!$D$2:$D$1146,$A694)</f>
        <v>-31.16</v>
      </c>
      <c r="G694" s="31" t="n">
        <f aca="false">SUMIFS(Trades!$X$2:$X$1146,Trades!$D$2:$D$1146,$A694,Trades!$X$2:$X$1146,"&gt;0")</f>
        <v>0</v>
      </c>
      <c r="H694" s="31" t="n">
        <f aca="false">SUMIFS(Trades!$X$2:$X$1146,Trades!$D$2:$D$1146,$A694,Trades!$X$2:$X$1146,"&lt;0")</f>
        <v>-31.16</v>
      </c>
      <c r="I694" s="32" t="n">
        <f aca="false">IFERROR(G694/-H694,"no loss")</f>
        <v>0</v>
      </c>
      <c r="J694" s="31" t="n">
        <f aca="false">_xlfn.MAXIFS(Trades!$X$2:$X$1146,Trades!$D$2:$D$1146,$A694)</f>
        <v>-31.16</v>
      </c>
      <c r="K694" s="31" t="n">
        <f aca="false">_xlfn.MINIFS(Trades!$X$2:$X$1146,Trades!$D$2:$D$1146,$A694)</f>
        <v>-31.16</v>
      </c>
      <c r="L694" s="33" t="n">
        <f aca="false">SUMIFS(Trades!$Y$2:$Y$1146,Trades!$D$2:$D$1146,$A694)</f>
        <v>-1.0290620871863</v>
      </c>
      <c r="M694" s="31" t="n">
        <f aca="false">P693</f>
        <v>17958.36</v>
      </c>
      <c r="N694" s="30" t="n">
        <f aca="false">IFERROR(F694/M694,0)</f>
        <v>-0.00173512503368905</v>
      </c>
      <c r="O694" s="29" t="str">
        <f aca="false">IF(-N694&gt;=Summary!$C$7,"BREACH","")</f>
        <v/>
      </c>
      <c r="P694" s="31" t="n">
        <f aca="false">M694+F694</f>
        <v>17927.2</v>
      </c>
      <c r="Q694" s="31" t="n">
        <f aca="false">P694-Summary!$C$5</f>
        <v>7927.2</v>
      </c>
      <c r="R694" s="2" t="str">
        <f aca="false">TEXT(A694,"ddd")</f>
        <v>Wed</v>
      </c>
    </row>
    <row r="695" customFormat="false" ht="15" hidden="false" customHeight="false" outlineLevel="0" collapsed="false">
      <c r="A695" s="43" t="n">
        <v>45792</v>
      </c>
      <c r="B695" s="29" t="n">
        <f aca="false">COUNTIFS(Trades!$D$2:$D$1146,$A695)</f>
        <v>2</v>
      </c>
      <c r="C695" s="29" t="n">
        <f aca="false">COUNTIFS(Trades!$D$2:$D$1146,$A695,Trades!$Z$2:$Z$1146,"Win")</f>
        <v>0</v>
      </c>
      <c r="D695" s="29" t="n">
        <f aca="false">COUNTIFS(Trades!$D$2:$D$1146,$A695,Trades!$Z$2:$Z$1146,"Loss")</f>
        <v>2</v>
      </c>
      <c r="E695" s="30" t="n">
        <f aca="false">IFERROR(C695/B695,0)</f>
        <v>0</v>
      </c>
      <c r="F695" s="31" t="n">
        <f aca="false">SUMIFS(Trades!$X$2:$X$1146,Trades!$D$2:$D$1146,$A695)</f>
        <v>-54.6</v>
      </c>
      <c r="G695" s="31" t="n">
        <f aca="false">SUMIFS(Trades!$X$2:$X$1146,Trades!$D$2:$D$1146,$A695,Trades!$X$2:$X$1146,"&gt;0")</f>
        <v>0</v>
      </c>
      <c r="H695" s="31" t="n">
        <f aca="false">SUMIFS(Trades!$X$2:$X$1146,Trades!$D$2:$D$1146,$A695,Trades!$X$2:$X$1146,"&lt;0")</f>
        <v>-54.6</v>
      </c>
      <c r="I695" s="32" t="n">
        <f aca="false">IFERROR(G695/-H695,"no loss")</f>
        <v>0</v>
      </c>
      <c r="J695" s="31" t="n">
        <f aca="false">_xlfn.MAXIFS(Trades!$X$2:$X$1146,Trades!$D$2:$D$1146,$A695)</f>
        <v>-1.48</v>
      </c>
      <c r="K695" s="31" t="n">
        <f aca="false">_xlfn.MINIFS(Trades!$X$2:$X$1146,Trades!$D$2:$D$1146,$A695)</f>
        <v>-53.12</v>
      </c>
      <c r="L695" s="33" t="n">
        <f aca="false">SUMIFS(Trades!$Y$2:$Y$1146,Trades!$D$2:$D$1146,$A695)</f>
        <v>-1.04549709614015</v>
      </c>
      <c r="M695" s="31" t="n">
        <f aca="false">P694</f>
        <v>17927.2</v>
      </c>
      <c r="N695" s="30" t="n">
        <f aca="false">IFERROR(F695/M695,0)</f>
        <v>-0.00304565130081664</v>
      </c>
      <c r="O695" s="29" t="str">
        <f aca="false">IF(-N695&gt;=Summary!$C$7,"BREACH","")</f>
        <v/>
      </c>
      <c r="P695" s="31" t="n">
        <f aca="false">M695+F695</f>
        <v>17872.6</v>
      </c>
      <c r="Q695" s="31" t="n">
        <f aca="false">P695-Summary!$C$5</f>
        <v>7872.6</v>
      </c>
      <c r="R695" s="2" t="str">
        <f aca="false">TEXT(A695,"ddd")</f>
        <v>Thu</v>
      </c>
    </row>
    <row r="696" customFormat="false" ht="15" hidden="false" customHeight="false" outlineLevel="0" collapsed="false">
      <c r="A696" s="43" t="n">
        <v>45796</v>
      </c>
      <c r="B696" s="29" t="n">
        <f aca="false">COUNTIFS(Trades!$D$2:$D$1146,$A696)</f>
        <v>2</v>
      </c>
      <c r="C696" s="29" t="n">
        <f aca="false">COUNTIFS(Trades!$D$2:$D$1146,$A696,Trades!$Z$2:$Z$1146,"Win")</f>
        <v>1</v>
      </c>
      <c r="D696" s="29" t="n">
        <f aca="false">COUNTIFS(Trades!$D$2:$D$1146,$A696,Trades!$Z$2:$Z$1146,"Loss")</f>
        <v>1</v>
      </c>
      <c r="E696" s="30" t="n">
        <f aca="false">IFERROR(C696/B696,0)</f>
        <v>0.5</v>
      </c>
      <c r="F696" s="31" t="n">
        <f aca="false">SUMIFS(Trades!$X$2:$X$1146,Trades!$D$2:$D$1146,$A696)</f>
        <v>41.2</v>
      </c>
      <c r="G696" s="31" t="n">
        <f aca="false">SUMIFS(Trades!$X$2:$X$1146,Trades!$D$2:$D$1146,$A696,Trades!$X$2:$X$1146,"&gt;0")</f>
        <v>85.72</v>
      </c>
      <c r="H696" s="31" t="n">
        <f aca="false">SUMIFS(Trades!$X$2:$X$1146,Trades!$D$2:$D$1146,$A696,Trades!$X$2:$X$1146,"&lt;0")</f>
        <v>-44.52</v>
      </c>
      <c r="I696" s="32" t="n">
        <f aca="false">IFERROR(G696/-H696,"no loss")</f>
        <v>1.92542677448338</v>
      </c>
      <c r="J696" s="31" t="n">
        <f aca="false">_xlfn.MAXIFS(Trades!$X$2:$X$1146,Trades!$D$2:$D$1146,$A696)</f>
        <v>85.72</v>
      </c>
      <c r="K696" s="31" t="n">
        <f aca="false">_xlfn.MINIFS(Trades!$X$2:$X$1146,Trades!$D$2:$D$1146,$A696)</f>
        <v>-44.52</v>
      </c>
      <c r="L696" s="33" t="n">
        <f aca="false">SUMIFS(Trades!$Y$2:$Y$1146,Trades!$D$2:$D$1146,$A696)</f>
        <v>1.23021072224366</v>
      </c>
      <c r="M696" s="31" t="n">
        <f aca="false">P695</f>
        <v>17872.6</v>
      </c>
      <c r="N696" s="30" t="n">
        <f aca="false">IFERROR(F696/M696,0)</f>
        <v>0.00230520461488536</v>
      </c>
      <c r="O696" s="29" t="str">
        <f aca="false">IF(-N696&gt;=Summary!$C$7,"BREACH","")</f>
        <v/>
      </c>
      <c r="P696" s="31" t="n">
        <f aca="false">M696+F696</f>
        <v>17913.8</v>
      </c>
      <c r="Q696" s="31" t="n">
        <f aca="false">P696-Summary!$C$5</f>
        <v>7913.8</v>
      </c>
      <c r="R696" s="2" t="str">
        <f aca="false">TEXT(A696,"ddd")</f>
        <v>Mon</v>
      </c>
    </row>
    <row r="697" customFormat="false" ht="15" hidden="false" customHeight="false" outlineLevel="0" collapsed="false">
      <c r="A697" s="43" t="n">
        <v>45797</v>
      </c>
      <c r="B697" s="29" t="n">
        <f aca="false">COUNTIFS(Trades!$D$2:$D$1146,$A697)</f>
        <v>1</v>
      </c>
      <c r="C697" s="29" t="n">
        <f aca="false">COUNTIFS(Trades!$D$2:$D$1146,$A697,Trades!$Z$2:$Z$1146,"Win")</f>
        <v>1</v>
      </c>
      <c r="D697" s="29" t="n">
        <f aca="false">COUNTIFS(Trades!$D$2:$D$1146,$A697,Trades!$Z$2:$Z$1146,"Loss")</f>
        <v>0</v>
      </c>
      <c r="E697" s="30" t="n">
        <f aca="false">IFERROR(C697/B697,0)</f>
        <v>1</v>
      </c>
      <c r="F697" s="31" t="n">
        <f aca="false">SUMIFS(Trades!$X$2:$X$1146,Trades!$D$2:$D$1146,$A697)</f>
        <v>55.24</v>
      </c>
      <c r="G697" s="31" t="n">
        <f aca="false">SUMIFS(Trades!$X$2:$X$1146,Trades!$D$2:$D$1146,$A697,Trades!$X$2:$X$1146,"&gt;0")</f>
        <v>55.24</v>
      </c>
      <c r="H697" s="31" t="n">
        <f aca="false">SUMIFS(Trades!$X$2:$X$1146,Trades!$D$2:$D$1146,$A697,Trades!$X$2:$X$1146,"&lt;0")</f>
        <v>0</v>
      </c>
      <c r="I697" s="32" t="str">
        <f aca="false">IFERROR(G697/-H697,"no loss")</f>
        <v>no loss</v>
      </c>
      <c r="J697" s="31" t="n">
        <f aca="false">_xlfn.MAXIFS(Trades!$X$2:$X$1146,Trades!$D$2:$D$1146,$A697)</f>
        <v>55.24</v>
      </c>
      <c r="K697" s="31" t="n">
        <f aca="false">_xlfn.MINIFS(Trades!$X$2:$X$1146,Trades!$D$2:$D$1146,$A697)</f>
        <v>55.24</v>
      </c>
      <c r="L697" s="33" t="n">
        <f aca="false">SUMIFS(Trades!$Y$2:$Y$1146,Trades!$D$2:$D$1146,$A697)</f>
        <v>2.47935368043101</v>
      </c>
      <c r="M697" s="31" t="n">
        <f aca="false">P696</f>
        <v>17913.8</v>
      </c>
      <c r="N697" s="30" t="n">
        <f aca="false">IFERROR(F697/M697,0)</f>
        <v>0.00308365617568578</v>
      </c>
      <c r="O697" s="29" t="str">
        <f aca="false">IF(-N697&gt;=Summary!$C$7,"BREACH","")</f>
        <v/>
      </c>
      <c r="P697" s="31" t="n">
        <f aca="false">M697+F697</f>
        <v>17969.04</v>
      </c>
      <c r="Q697" s="31" t="n">
        <f aca="false">P697-Summary!$C$5</f>
        <v>7969.04</v>
      </c>
      <c r="R697" s="2" t="str">
        <f aca="false">TEXT(A697,"ddd")</f>
        <v>Tue</v>
      </c>
    </row>
    <row r="698" customFormat="false" ht="15" hidden="false" customHeight="false" outlineLevel="0" collapsed="false">
      <c r="A698" s="43" t="n">
        <v>45798</v>
      </c>
      <c r="B698" s="29" t="n">
        <f aca="false">COUNTIFS(Trades!$D$2:$D$1146,$A698)</f>
        <v>1</v>
      </c>
      <c r="C698" s="29" t="n">
        <f aca="false">COUNTIFS(Trades!$D$2:$D$1146,$A698,Trades!$Z$2:$Z$1146,"Win")</f>
        <v>0</v>
      </c>
      <c r="D698" s="29" t="n">
        <f aca="false">COUNTIFS(Trades!$D$2:$D$1146,$A698,Trades!$Z$2:$Z$1146,"Loss")</f>
        <v>1</v>
      </c>
      <c r="E698" s="30" t="n">
        <f aca="false">IFERROR(C698/B698,0)</f>
        <v>0</v>
      </c>
      <c r="F698" s="31" t="n">
        <f aca="false">SUMIFS(Trades!$X$2:$X$1146,Trades!$D$2:$D$1146,$A698)</f>
        <v>-35.2</v>
      </c>
      <c r="G698" s="31" t="n">
        <f aca="false">SUMIFS(Trades!$X$2:$X$1146,Trades!$D$2:$D$1146,$A698,Trades!$X$2:$X$1146,"&gt;0")</f>
        <v>0</v>
      </c>
      <c r="H698" s="31" t="n">
        <f aca="false">SUMIFS(Trades!$X$2:$X$1146,Trades!$D$2:$D$1146,$A698,Trades!$X$2:$X$1146,"&lt;0")</f>
        <v>-35.2</v>
      </c>
      <c r="I698" s="32" t="n">
        <f aca="false">IFERROR(G698/-H698,"no loss")</f>
        <v>0</v>
      </c>
      <c r="J698" s="31" t="n">
        <f aca="false">_xlfn.MAXIFS(Trades!$X$2:$X$1146,Trades!$D$2:$D$1146,$A698)</f>
        <v>-35.2</v>
      </c>
      <c r="K698" s="31" t="n">
        <f aca="false">_xlfn.MINIFS(Trades!$X$2:$X$1146,Trades!$D$2:$D$1146,$A698)</f>
        <v>-35.2</v>
      </c>
      <c r="L698" s="33" t="n">
        <f aca="false">SUMIFS(Trades!$Y$2:$Y$1146,Trades!$D$2:$D$1146,$A698)</f>
        <v>-1.05389221556905</v>
      </c>
      <c r="M698" s="31" t="n">
        <f aca="false">P697</f>
        <v>17969.04</v>
      </c>
      <c r="N698" s="30" t="n">
        <f aca="false">IFERROR(F698/M698,0)</f>
        <v>-0.00195892490639455</v>
      </c>
      <c r="O698" s="29" t="str">
        <f aca="false">IF(-N698&gt;=Summary!$C$7,"BREACH","")</f>
        <v/>
      </c>
      <c r="P698" s="31" t="n">
        <f aca="false">M698+F698</f>
        <v>17933.84</v>
      </c>
      <c r="Q698" s="31" t="n">
        <f aca="false">P698-Summary!$C$5</f>
        <v>7933.84</v>
      </c>
      <c r="R698" s="2" t="str">
        <f aca="false">TEXT(A698,"ddd")</f>
        <v>Wed</v>
      </c>
    </row>
    <row r="699" customFormat="false" ht="15" hidden="false" customHeight="false" outlineLevel="0" collapsed="false">
      <c r="A699" s="43" t="n">
        <v>45799</v>
      </c>
      <c r="B699" s="29" t="n">
        <f aca="false">COUNTIFS(Trades!$D$2:$D$1146,$A699)</f>
        <v>1</v>
      </c>
      <c r="C699" s="29" t="n">
        <f aca="false">COUNTIFS(Trades!$D$2:$D$1146,$A699,Trades!$Z$2:$Z$1146,"Win")</f>
        <v>0</v>
      </c>
      <c r="D699" s="29" t="n">
        <f aca="false">COUNTIFS(Trades!$D$2:$D$1146,$A699,Trades!$Z$2:$Z$1146,"Loss")</f>
        <v>1</v>
      </c>
      <c r="E699" s="30" t="n">
        <f aca="false">IFERROR(C699/B699,0)</f>
        <v>0</v>
      </c>
      <c r="F699" s="31" t="n">
        <f aca="false">SUMIFS(Trades!$X$2:$X$1146,Trades!$D$2:$D$1146,$A699)</f>
        <v>-3.12</v>
      </c>
      <c r="G699" s="31" t="n">
        <f aca="false">SUMIFS(Trades!$X$2:$X$1146,Trades!$D$2:$D$1146,$A699,Trades!$X$2:$X$1146,"&gt;0")</f>
        <v>0</v>
      </c>
      <c r="H699" s="31" t="n">
        <f aca="false">SUMIFS(Trades!$X$2:$X$1146,Trades!$D$2:$D$1146,$A699,Trades!$X$2:$X$1146,"&lt;0")</f>
        <v>-3.12</v>
      </c>
      <c r="I699" s="32" t="n">
        <f aca="false">IFERROR(G699/-H699,"no loss")</f>
        <v>0</v>
      </c>
      <c r="J699" s="31" t="n">
        <f aca="false">_xlfn.MAXIFS(Trades!$X$2:$X$1146,Trades!$D$2:$D$1146,$A699)</f>
        <v>-3.12</v>
      </c>
      <c r="K699" s="31" t="n">
        <f aca="false">_xlfn.MINIFS(Trades!$X$2:$X$1146,Trades!$D$2:$D$1146,$A699)</f>
        <v>-3.12</v>
      </c>
      <c r="L699" s="33" t="n">
        <f aca="false">SUMIFS(Trades!$Y$2:$Y$1146,Trades!$D$2:$D$1146,$A699)</f>
        <v>-0.0578635014836814</v>
      </c>
      <c r="M699" s="31" t="n">
        <f aca="false">P698</f>
        <v>17933.84</v>
      </c>
      <c r="N699" s="30" t="n">
        <f aca="false">IFERROR(F699/M699,0)</f>
        <v>-0.000173972779951198</v>
      </c>
      <c r="O699" s="29" t="str">
        <f aca="false">IF(-N699&gt;=Summary!$C$7,"BREACH","")</f>
        <v/>
      </c>
      <c r="P699" s="31" t="n">
        <f aca="false">M699+F699</f>
        <v>17930.72</v>
      </c>
      <c r="Q699" s="31" t="n">
        <f aca="false">P699-Summary!$C$5</f>
        <v>7930.72</v>
      </c>
      <c r="R699" s="2" t="str">
        <f aca="false">TEXT(A699,"ddd")</f>
        <v>Thu</v>
      </c>
    </row>
    <row r="700" customFormat="false" ht="15" hidden="false" customHeight="false" outlineLevel="0" collapsed="false">
      <c r="A700" s="43" t="n">
        <v>45800</v>
      </c>
      <c r="B700" s="29" t="n">
        <f aca="false">COUNTIFS(Trades!$D$2:$D$1146,$A700)</f>
        <v>1</v>
      </c>
      <c r="C700" s="29" t="n">
        <f aca="false">COUNTIFS(Trades!$D$2:$D$1146,$A700,Trades!$Z$2:$Z$1146,"Win")</f>
        <v>1</v>
      </c>
      <c r="D700" s="29" t="n">
        <f aca="false">COUNTIFS(Trades!$D$2:$D$1146,$A700,Trades!$Z$2:$Z$1146,"Loss")</f>
        <v>0</v>
      </c>
      <c r="E700" s="30" t="n">
        <f aca="false">IFERROR(C700/B700,0)</f>
        <v>1</v>
      </c>
      <c r="F700" s="31" t="n">
        <f aca="false">SUMIFS(Trades!$X$2:$X$1146,Trades!$D$2:$D$1146,$A700)</f>
        <v>240.12</v>
      </c>
      <c r="G700" s="31" t="n">
        <f aca="false">SUMIFS(Trades!$X$2:$X$1146,Trades!$D$2:$D$1146,$A700,Trades!$X$2:$X$1146,"&gt;0")</f>
        <v>240.12</v>
      </c>
      <c r="H700" s="31" t="n">
        <f aca="false">SUMIFS(Trades!$X$2:$X$1146,Trades!$D$2:$D$1146,$A700,Trades!$X$2:$X$1146,"&lt;0")</f>
        <v>0</v>
      </c>
      <c r="I700" s="32" t="str">
        <f aca="false">IFERROR(G700/-H700,"no loss")</f>
        <v>no loss</v>
      </c>
      <c r="J700" s="31" t="n">
        <f aca="false">_xlfn.MAXIFS(Trades!$X$2:$X$1146,Trades!$D$2:$D$1146,$A700)</f>
        <v>240.12</v>
      </c>
      <c r="K700" s="31" t="n">
        <f aca="false">_xlfn.MINIFS(Trades!$X$2:$X$1146,Trades!$D$2:$D$1146,$A700)</f>
        <v>240.12</v>
      </c>
      <c r="L700" s="33" t="n">
        <f aca="false">SUMIFS(Trades!$Y$2:$Y$1146,Trades!$D$2:$D$1146,$A700)</f>
        <v>2.49397590361449</v>
      </c>
      <c r="M700" s="31" t="n">
        <f aca="false">P699</f>
        <v>17930.72</v>
      </c>
      <c r="N700" s="30" t="n">
        <f aca="false">IFERROR(F700/M700,0)</f>
        <v>0.0133915425593618</v>
      </c>
      <c r="O700" s="29" t="str">
        <f aca="false">IF(-N700&gt;=Summary!$C$7,"BREACH","")</f>
        <v/>
      </c>
      <c r="P700" s="31" t="n">
        <f aca="false">M700+F700</f>
        <v>18170.84</v>
      </c>
      <c r="Q700" s="31" t="n">
        <f aca="false">P700-Summary!$C$5</f>
        <v>8170.84</v>
      </c>
      <c r="R700" s="2" t="str">
        <f aca="false">TEXT(A700,"ddd")</f>
        <v>Fri</v>
      </c>
    </row>
    <row r="701" customFormat="false" ht="15" hidden="false" customHeight="false" outlineLevel="0" collapsed="false">
      <c r="A701" s="43" t="n">
        <v>45803</v>
      </c>
      <c r="B701" s="29" t="n">
        <f aca="false">COUNTIFS(Trades!$D$2:$D$1146,$A701)</f>
        <v>1</v>
      </c>
      <c r="C701" s="29" t="n">
        <f aca="false">COUNTIFS(Trades!$D$2:$D$1146,$A701,Trades!$Z$2:$Z$1146,"Win")</f>
        <v>0</v>
      </c>
      <c r="D701" s="29" t="n">
        <f aca="false">COUNTIFS(Trades!$D$2:$D$1146,$A701,Trades!$Z$2:$Z$1146,"Loss")</f>
        <v>1</v>
      </c>
      <c r="E701" s="30" t="n">
        <f aca="false">IFERROR(C701/B701,0)</f>
        <v>0</v>
      </c>
      <c r="F701" s="31" t="n">
        <f aca="false">SUMIFS(Trades!$X$2:$X$1146,Trades!$D$2:$D$1146,$A701)</f>
        <v>-0.84</v>
      </c>
      <c r="G701" s="31" t="n">
        <f aca="false">SUMIFS(Trades!$X$2:$X$1146,Trades!$D$2:$D$1146,$A701,Trades!$X$2:$X$1146,"&gt;0")</f>
        <v>0</v>
      </c>
      <c r="H701" s="31" t="n">
        <f aca="false">SUMIFS(Trades!$X$2:$X$1146,Trades!$D$2:$D$1146,$A701,Trades!$X$2:$X$1146,"&lt;0")</f>
        <v>-0.84</v>
      </c>
      <c r="I701" s="32" t="n">
        <f aca="false">IFERROR(G701/-H701,"no loss")</f>
        <v>0</v>
      </c>
      <c r="J701" s="31" t="n">
        <f aca="false">_xlfn.MAXIFS(Trades!$X$2:$X$1146,Trades!$D$2:$D$1146,$A701)</f>
        <v>-0.84</v>
      </c>
      <c r="K701" s="31" t="n">
        <f aca="false">_xlfn.MINIFS(Trades!$X$2:$X$1146,Trades!$D$2:$D$1146,$A701)</f>
        <v>-0.84</v>
      </c>
      <c r="L701" s="33" t="n">
        <f aca="false">SUMIFS(Trades!$Y$2:$Y$1146,Trades!$D$2:$D$1146,$A701)</f>
        <v>-0.0276315789473605</v>
      </c>
      <c r="M701" s="31" t="n">
        <f aca="false">P700</f>
        <v>18170.84</v>
      </c>
      <c r="N701" s="30" t="n">
        <f aca="false">IFERROR(F701/M701,0)</f>
        <v>-4.62279124135153E-005</v>
      </c>
      <c r="O701" s="29" t="str">
        <f aca="false">IF(-N701&gt;=Summary!$C$7,"BREACH","")</f>
        <v/>
      </c>
      <c r="P701" s="31" t="n">
        <f aca="false">M701+F701</f>
        <v>18170</v>
      </c>
      <c r="Q701" s="31" t="n">
        <f aca="false">P701-Summary!$C$5</f>
        <v>8170</v>
      </c>
      <c r="R701" s="2" t="str">
        <f aca="false">TEXT(A701,"ddd")</f>
        <v>Mon</v>
      </c>
    </row>
    <row r="702" customFormat="false" ht="15" hidden="false" customHeight="false" outlineLevel="0" collapsed="false">
      <c r="A702" s="43" t="n">
        <v>45804</v>
      </c>
      <c r="B702" s="29" t="n">
        <f aca="false">COUNTIFS(Trades!$D$2:$D$1146,$A702)</f>
        <v>1</v>
      </c>
      <c r="C702" s="29" t="n">
        <f aca="false">COUNTIFS(Trades!$D$2:$D$1146,$A702,Trades!$Z$2:$Z$1146,"Win")</f>
        <v>1</v>
      </c>
      <c r="D702" s="29" t="n">
        <f aca="false">COUNTIFS(Trades!$D$2:$D$1146,$A702,Trades!$Z$2:$Z$1146,"Loss")</f>
        <v>0</v>
      </c>
      <c r="E702" s="30" t="n">
        <f aca="false">IFERROR(C702/B702,0)</f>
        <v>1</v>
      </c>
      <c r="F702" s="31" t="n">
        <f aca="false">SUMIFS(Trades!$X$2:$X$1146,Trades!$D$2:$D$1146,$A702)</f>
        <v>118.08</v>
      </c>
      <c r="G702" s="31" t="n">
        <f aca="false">SUMIFS(Trades!$X$2:$X$1146,Trades!$D$2:$D$1146,$A702,Trades!$X$2:$X$1146,"&gt;0")</f>
        <v>118.08</v>
      </c>
      <c r="H702" s="31" t="n">
        <f aca="false">SUMIFS(Trades!$X$2:$X$1146,Trades!$D$2:$D$1146,$A702,Trades!$X$2:$X$1146,"&lt;0")</f>
        <v>0</v>
      </c>
      <c r="I702" s="32" t="str">
        <f aca="false">IFERROR(G702/-H702,"no loss")</f>
        <v>no loss</v>
      </c>
      <c r="J702" s="31" t="n">
        <f aca="false">_xlfn.MAXIFS(Trades!$X$2:$X$1146,Trades!$D$2:$D$1146,$A702)</f>
        <v>118.08</v>
      </c>
      <c r="K702" s="31" t="n">
        <f aca="false">_xlfn.MINIFS(Trades!$X$2:$X$1146,Trades!$D$2:$D$1146,$A702)</f>
        <v>118.08</v>
      </c>
      <c r="L702" s="33" t="n">
        <f aca="false">SUMIFS(Trades!$Y$2:$Y$1146,Trades!$D$2:$D$1146,$A702)</f>
        <v>2.47858942065494</v>
      </c>
      <c r="M702" s="31" t="n">
        <f aca="false">P701</f>
        <v>18170</v>
      </c>
      <c r="N702" s="30" t="n">
        <f aca="false">IFERROR(F702/M702,0)</f>
        <v>0.00649862410566868</v>
      </c>
      <c r="O702" s="29" t="str">
        <f aca="false">IF(-N702&gt;=Summary!$C$7,"BREACH","")</f>
        <v/>
      </c>
      <c r="P702" s="31" t="n">
        <f aca="false">M702+F702</f>
        <v>18288.08</v>
      </c>
      <c r="Q702" s="31" t="n">
        <f aca="false">P702-Summary!$C$5</f>
        <v>8288.08</v>
      </c>
      <c r="R702" s="2" t="str">
        <f aca="false">TEXT(A702,"ddd")</f>
        <v>Tue</v>
      </c>
    </row>
    <row r="703" customFormat="false" ht="15" hidden="false" customHeight="false" outlineLevel="0" collapsed="false">
      <c r="A703" s="43" t="n">
        <v>45805</v>
      </c>
      <c r="B703" s="29" t="n">
        <f aca="false">COUNTIFS(Trades!$D$2:$D$1146,$A703)</f>
        <v>1</v>
      </c>
      <c r="C703" s="29" t="n">
        <f aca="false">COUNTIFS(Trades!$D$2:$D$1146,$A703,Trades!$Z$2:$Z$1146,"Win")</f>
        <v>1</v>
      </c>
      <c r="D703" s="29" t="n">
        <f aca="false">COUNTIFS(Trades!$D$2:$D$1146,$A703,Trades!$Z$2:$Z$1146,"Loss")</f>
        <v>0</v>
      </c>
      <c r="E703" s="30" t="n">
        <f aca="false">IFERROR(C703/B703,0)</f>
        <v>1</v>
      </c>
      <c r="F703" s="31" t="n">
        <f aca="false">SUMIFS(Trades!$X$2:$X$1146,Trades!$D$2:$D$1146,$A703)</f>
        <v>77.12</v>
      </c>
      <c r="G703" s="31" t="n">
        <f aca="false">SUMIFS(Trades!$X$2:$X$1146,Trades!$D$2:$D$1146,$A703,Trades!$X$2:$X$1146,"&gt;0")</f>
        <v>77.12</v>
      </c>
      <c r="H703" s="31" t="n">
        <f aca="false">SUMIFS(Trades!$X$2:$X$1146,Trades!$D$2:$D$1146,$A703,Trades!$X$2:$X$1146,"&lt;0")</f>
        <v>0</v>
      </c>
      <c r="I703" s="32" t="str">
        <f aca="false">IFERROR(G703/-H703,"no loss")</f>
        <v>no loss</v>
      </c>
      <c r="J703" s="31" t="n">
        <f aca="false">_xlfn.MAXIFS(Trades!$X$2:$X$1146,Trades!$D$2:$D$1146,$A703)</f>
        <v>77.12</v>
      </c>
      <c r="K703" s="31" t="n">
        <f aca="false">_xlfn.MINIFS(Trades!$X$2:$X$1146,Trades!$D$2:$D$1146,$A703)</f>
        <v>77.12</v>
      </c>
      <c r="L703" s="33" t="n">
        <f aca="false">SUMIFS(Trades!$Y$2:$Y$1146,Trades!$D$2:$D$1146,$A703)</f>
        <v>2.53018372703446</v>
      </c>
      <c r="M703" s="31" t="n">
        <f aca="false">P702</f>
        <v>18288.08</v>
      </c>
      <c r="N703" s="30" t="n">
        <f aca="false">IFERROR(F703/M703,0)</f>
        <v>0.00421695443152042</v>
      </c>
      <c r="O703" s="29" t="str">
        <f aca="false">IF(-N703&gt;=Summary!$C$7,"BREACH","")</f>
        <v/>
      </c>
      <c r="P703" s="31" t="n">
        <f aca="false">M703+F703</f>
        <v>18365.2</v>
      </c>
      <c r="Q703" s="31" t="n">
        <f aca="false">P703-Summary!$C$5</f>
        <v>8365.2</v>
      </c>
      <c r="R703" s="2" t="str">
        <f aca="false">TEXT(A703,"ddd")</f>
        <v>Wed</v>
      </c>
    </row>
    <row r="704" customFormat="false" ht="15" hidden="false" customHeight="false" outlineLevel="0" collapsed="false">
      <c r="A704" s="43" t="n">
        <v>45806</v>
      </c>
      <c r="B704" s="29" t="n">
        <f aca="false">COUNTIFS(Trades!$D$2:$D$1146,$A704)</f>
        <v>2</v>
      </c>
      <c r="C704" s="29" t="n">
        <f aca="false">COUNTIFS(Trades!$D$2:$D$1146,$A704,Trades!$Z$2:$Z$1146,"Win")</f>
        <v>1</v>
      </c>
      <c r="D704" s="29" t="n">
        <f aca="false">COUNTIFS(Trades!$D$2:$D$1146,$A704,Trades!$Z$2:$Z$1146,"Loss")</f>
        <v>1</v>
      </c>
      <c r="E704" s="30" t="n">
        <f aca="false">IFERROR(C704/B704,0)</f>
        <v>0.5</v>
      </c>
      <c r="F704" s="31" t="n">
        <f aca="false">SUMIFS(Trades!$X$2:$X$1146,Trades!$D$2:$D$1146,$A704)</f>
        <v>-69.56</v>
      </c>
      <c r="G704" s="31" t="n">
        <f aca="false">SUMIFS(Trades!$X$2:$X$1146,Trades!$D$2:$D$1146,$A704,Trades!$X$2:$X$1146,"&gt;0")</f>
        <v>91.52</v>
      </c>
      <c r="H704" s="31" t="n">
        <f aca="false">SUMIFS(Trades!$X$2:$X$1146,Trades!$D$2:$D$1146,$A704,Trades!$X$2:$X$1146,"&lt;0")</f>
        <v>-161.08</v>
      </c>
      <c r="I704" s="32" t="n">
        <f aca="false">IFERROR(G704/-H704,"no loss")</f>
        <v>0.568164887012664</v>
      </c>
      <c r="J704" s="31" t="n">
        <f aca="false">_xlfn.MAXIFS(Trades!$X$2:$X$1146,Trades!$D$2:$D$1146,$A704)</f>
        <v>91.52</v>
      </c>
      <c r="K704" s="31" t="n">
        <f aca="false">_xlfn.MINIFS(Trades!$X$2:$X$1146,Trades!$D$2:$D$1146,$A704)</f>
        <v>-161.08</v>
      </c>
      <c r="L704" s="33" t="n">
        <f aca="false">SUMIFS(Trades!$Y$2:$Y$1146,Trades!$D$2:$D$1146,$A704)</f>
        <v>1.58810880501761</v>
      </c>
      <c r="M704" s="31" t="n">
        <f aca="false">P703</f>
        <v>18365.2</v>
      </c>
      <c r="N704" s="30" t="n">
        <f aca="false">IFERROR(F704/M704,0)</f>
        <v>-0.0037875982837105</v>
      </c>
      <c r="O704" s="29" t="str">
        <f aca="false">IF(-N704&gt;=Summary!$C$7,"BREACH","")</f>
        <v/>
      </c>
      <c r="P704" s="31" t="n">
        <f aca="false">M704+F704</f>
        <v>18295.64</v>
      </c>
      <c r="Q704" s="31" t="n">
        <f aca="false">P704-Summary!$C$5</f>
        <v>8295.64</v>
      </c>
      <c r="R704" s="2" t="str">
        <f aca="false">TEXT(A704,"ddd")</f>
        <v>Thu</v>
      </c>
    </row>
    <row r="705" customFormat="false" ht="15" hidden="false" customHeight="false" outlineLevel="0" collapsed="false">
      <c r="A705" s="43" t="n">
        <v>45807</v>
      </c>
      <c r="B705" s="29" t="n">
        <f aca="false">COUNTIFS(Trades!$D$2:$D$1146,$A705)</f>
        <v>1</v>
      </c>
      <c r="C705" s="29" t="n">
        <f aca="false">COUNTIFS(Trades!$D$2:$D$1146,$A705,Trades!$Z$2:$Z$1146,"Win")</f>
        <v>0</v>
      </c>
      <c r="D705" s="29" t="n">
        <f aca="false">COUNTIFS(Trades!$D$2:$D$1146,$A705,Trades!$Z$2:$Z$1146,"Loss")</f>
        <v>1</v>
      </c>
      <c r="E705" s="30" t="n">
        <f aca="false">IFERROR(C705/B705,0)</f>
        <v>0</v>
      </c>
      <c r="F705" s="31" t="n">
        <f aca="false">SUMIFS(Trades!$X$2:$X$1146,Trades!$D$2:$D$1146,$A705)</f>
        <v>-9</v>
      </c>
      <c r="G705" s="31" t="n">
        <f aca="false">SUMIFS(Trades!$X$2:$X$1146,Trades!$D$2:$D$1146,$A705,Trades!$X$2:$X$1146,"&gt;0")</f>
        <v>0</v>
      </c>
      <c r="H705" s="31" t="n">
        <f aca="false">SUMIFS(Trades!$X$2:$X$1146,Trades!$D$2:$D$1146,$A705,Trades!$X$2:$X$1146,"&lt;0")</f>
        <v>-9</v>
      </c>
      <c r="I705" s="32" t="n">
        <f aca="false">IFERROR(G705/-H705,"no loss")</f>
        <v>0</v>
      </c>
      <c r="J705" s="31" t="n">
        <f aca="false">_xlfn.MAXIFS(Trades!$X$2:$X$1146,Trades!$D$2:$D$1146,$A705)</f>
        <v>-9</v>
      </c>
      <c r="K705" s="31" t="n">
        <f aca="false">_xlfn.MINIFS(Trades!$X$2:$X$1146,Trades!$D$2:$D$1146,$A705)</f>
        <v>-9</v>
      </c>
      <c r="L705" s="33" t="n">
        <f aca="false">SUMIFS(Trades!$Y$2:$Y$1146,Trades!$D$2:$D$1146,$A705)</f>
        <v>-0.227043390514635</v>
      </c>
      <c r="M705" s="31" t="n">
        <f aca="false">P704</f>
        <v>18295.64</v>
      </c>
      <c r="N705" s="30" t="n">
        <f aca="false">IFERROR(F705/M705,0)</f>
        <v>-0.000491920479414768</v>
      </c>
      <c r="O705" s="29" t="str">
        <f aca="false">IF(-N705&gt;=Summary!$C$7,"BREACH","")</f>
        <v/>
      </c>
      <c r="P705" s="31" t="n">
        <f aca="false">M705+F705</f>
        <v>18286.64</v>
      </c>
      <c r="Q705" s="31" t="n">
        <f aca="false">P705-Summary!$C$5</f>
        <v>8286.64</v>
      </c>
      <c r="R705" s="2" t="str">
        <f aca="false">TEXT(A705,"ddd")</f>
        <v>Fri</v>
      </c>
    </row>
    <row r="706" customFormat="false" ht="15" hidden="false" customHeight="false" outlineLevel="0" collapsed="false">
      <c r="A706" s="43" t="n">
        <v>45810</v>
      </c>
      <c r="B706" s="29" t="n">
        <f aca="false">COUNTIFS(Trades!$D$2:$D$1146,$A706)</f>
        <v>1</v>
      </c>
      <c r="C706" s="29" t="n">
        <f aca="false">COUNTIFS(Trades!$D$2:$D$1146,$A706,Trades!$Z$2:$Z$1146,"Win")</f>
        <v>0</v>
      </c>
      <c r="D706" s="29" t="n">
        <f aca="false">COUNTIFS(Trades!$D$2:$D$1146,$A706,Trades!$Z$2:$Z$1146,"Loss")</f>
        <v>1</v>
      </c>
      <c r="E706" s="30" t="n">
        <f aca="false">IFERROR(C706/B706,0)</f>
        <v>0</v>
      </c>
      <c r="F706" s="31" t="n">
        <f aca="false">SUMIFS(Trades!$X$2:$X$1146,Trades!$D$2:$D$1146,$A706)</f>
        <v>-92.88</v>
      </c>
      <c r="G706" s="31" t="n">
        <f aca="false">SUMIFS(Trades!$X$2:$X$1146,Trades!$D$2:$D$1146,$A706,Trades!$X$2:$X$1146,"&gt;0")</f>
        <v>0</v>
      </c>
      <c r="H706" s="31" t="n">
        <f aca="false">SUMIFS(Trades!$X$2:$X$1146,Trades!$D$2:$D$1146,$A706,Trades!$X$2:$X$1146,"&lt;0")</f>
        <v>-92.88</v>
      </c>
      <c r="I706" s="32" t="n">
        <f aca="false">IFERROR(G706/-H706,"no loss")</f>
        <v>0</v>
      </c>
      <c r="J706" s="31" t="n">
        <f aca="false">_xlfn.MAXIFS(Trades!$X$2:$X$1146,Trades!$D$2:$D$1146,$A706)</f>
        <v>-92.88</v>
      </c>
      <c r="K706" s="31" t="n">
        <f aca="false">_xlfn.MINIFS(Trades!$X$2:$X$1146,Trades!$D$2:$D$1146,$A706)</f>
        <v>-92.88</v>
      </c>
      <c r="L706" s="33" t="n">
        <f aca="false">SUMIFS(Trades!$Y$2:$Y$1146,Trades!$D$2:$D$1146,$A706)</f>
        <v>-1.00912646675366</v>
      </c>
      <c r="M706" s="31" t="n">
        <f aca="false">P705</f>
        <v>18286.64</v>
      </c>
      <c r="N706" s="30" t="n">
        <f aca="false">IFERROR(F706/M706,0)</f>
        <v>-0.00507911786965785</v>
      </c>
      <c r="O706" s="29" t="str">
        <f aca="false">IF(-N706&gt;=Summary!$C$7,"BREACH","")</f>
        <v/>
      </c>
      <c r="P706" s="31" t="n">
        <f aca="false">M706+F706</f>
        <v>18193.76</v>
      </c>
      <c r="Q706" s="31" t="n">
        <f aca="false">P706-Summary!$C$5</f>
        <v>8193.76</v>
      </c>
      <c r="R706" s="2" t="str">
        <f aca="false">TEXT(A706,"ddd")</f>
        <v>Mon</v>
      </c>
    </row>
    <row r="707" customFormat="false" ht="15" hidden="false" customHeight="false" outlineLevel="0" collapsed="false">
      <c r="A707" s="43" t="n">
        <v>45811</v>
      </c>
      <c r="B707" s="29" t="n">
        <f aca="false">COUNTIFS(Trades!$D$2:$D$1146,$A707)</f>
        <v>1</v>
      </c>
      <c r="C707" s="29" t="n">
        <f aca="false">COUNTIFS(Trades!$D$2:$D$1146,$A707,Trades!$Z$2:$Z$1146,"Win")</f>
        <v>0</v>
      </c>
      <c r="D707" s="29" t="n">
        <f aca="false">COUNTIFS(Trades!$D$2:$D$1146,$A707,Trades!$Z$2:$Z$1146,"Loss")</f>
        <v>1</v>
      </c>
      <c r="E707" s="30" t="n">
        <f aca="false">IFERROR(C707/B707,0)</f>
        <v>0</v>
      </c>
      <c r="F707" s="31" t="n">
        <f aca="false">SUMIFS(Trades!$X$2:$X$1146,Trades!$D$2:$D$1146,$A707)</f>
        <v>-69.68</v>
      </c>
      <c r="G707" s="31" t="n">
        <f aca="false">SUMIFS(Trades!$X$2:$X$1146,Trades!$D$2:$D$1146,$A707,Trades!$X$2:$X$1146,"&gt;0")</f>
        <v>0</v>
      </c>
      <c r="H707" s="31" t="n">
        <f aca="false">SUMIFS(Trades!$X$2:$X$1146,Trades!$D$2:$D$1146,$A707,Trades!$X$2:$X$1146,"&lt;0")</f>
        <v>-69.68</v>
      </c>
      <c r="I707" s="32" t="n">
        <f aca="false">IFERROR(G707/-H707,"no loss")</f>
        <v>0</v>
      </c>
      <c r="J707" s="31" t="n">
        <f aca="false">_xlfn.MAXIFS(Trades!$X$2:$X$1146,Trades!$D$2:$D$1146,$A707)</f>
        <v>-69.68</v>
      </c>
      <c r="K707" s="31" t="n">
        <f aca="false">_xlfn.MINIFS(Trades!$X$2:$X$1146,Trades!$D$2:$D$1146,$A707)</f>
        <v>-69.68</v>
      </c>
      <c r="L707" s="33" t="n">
        <f aca="false">SUMIFS(Trades!$Y$2:$Y$1146,Trades!$D$2:$D$1146,$A707)</f>
        <v>-1.02470588235294</v>
      </c>
      <c r="M707" s="31" t="n">
        <f aca="false">P706</f>
        <v>18193.76</v>
      </c>
      <c r="N707" s="30" t="n">
        <f aca="false">IFERROR(F707/M707,0)</f>
        <v>-0.00382988453183949</v>
      </c>
      <c r="O707" s="29" t="str">
        <f aca="false">IF(-N707&gt;=Summary!$C$7,"BREACH","")</f>
        <v/>
      </c>
      <c r="P707" s="31" t="n">
        <f aca="false">M707+F707</f>
        <v>18124.08</v>
      </c>
      <c r="Q707" s="31" t="n">
        <f aca="false">P707-Summary!$C$5</f>
        <v>8124.08</v>
      </c>
      <c r="R707" s="2" t="str">
        <f aca="false">TEXT(A707,"ddd")</f>
        <v>Tue</v>
      </c>
    </row>
    <row r="708" customFormat="false" ht="15" hidden="false" customHeight="false" outlineLevel="0" collapsed="false">
      <c r="A708" s="43" t="n">
        <v>45812</v>
      </c>
      <c r="B708" s="29" t="n">
        <f aca="false">COUNTIFS(Trades!$D$2:$D$1146,$A708)</f>
        <v>1</v>
      </c>
      <c r="C708" s="29" t="n">
        <f aca="false">COUNTIFS(Trades!$D$2:$D$1146,$A708,Trades!$Z$2:$Z$1146,"Win")</f>
        <v>0</v>
      </c>
      <c r="D708" s="29" t="n">
        <f aca="false">COUNTIFS(Trades!$D$2:$D$1146,$A708,Trades!$Z$2:$Z$1146,"Loss")</f>
        <v>1</v>
      </c>
      <c r="E708" s="30" t="n">
        <f aca="false">IFERROR(C708/B708,0)</f>
        <v>0</v>
      </c>
      <c r="F708" s="31" t="n">
        <f aca="false">SUMIFS(Trades!$X$2:$X$1146,Trades!$D$2:$D$1146,$A708)</f>
        <v>-0.24</v>
      </c>
      <c r="G708" s="31" t="n">
        <f aca="false">SUMIFS(Trades!$X$2:$X$1146,Trades!$D$2:$D$1146,$A708,Trades!$X$2:$X$1146,"&gt;0")</f>
        <v>0</v>
      </c>
      <c r="H708" s="31" t="n">
        <f aca="false">SUMIFS(Trades!$X$2:$X$1146,Trades!$D$2:$D$1146,$A708,Trades!$X$2:$X$1146,"&lt;0")</f>
        <v>-0.24</v>
      </c>
      <c r="I708" s="32" t="n">
        <f aca="false">IFERROR(G708/-H708,"no loss")</f>
        <v>0</v>
      </c>
      <c r="J708" s="31" t="n">
        <f aca="false">_xlfn.MAXIFS(Trades!$X$2:$X$1146,Trades!$D$2:$D$1146,$A708)</f>
        <v>-0.24</v>
      </c>
      <c r="K708" s="31" t="n">
        <f aca="false">_xlfn.MINIFS(Trades!$X$2:$X$1146,Trades!$D$2:$D$1146,$A708)</f>
        <v>-0.24</v>
      </c>
      <c r="L708" s="33" t="n">
        <f aca="false">SUMIFS(Trades!$Y$2:$Y$1146,Trades!$D$2:$D$1146,$A708)</f>
        <v>-0.0114285714285714</v>
      </c>
      <c r="M708" s="31" t="n">
        <f aca="false">P707</f>
        <v>18124.08</v>
      </c>
      <c r="N708" s="30" t="n">
        <f aca="false">IFERROR(F708/M708,0)</f>
        <v>-1.3242051458612E-005</v>
      </c>
      <c r="O708" s="29" t="str">
        <f aca="false">IF(-N708&gt;=Summary!$C$7,"BREACH","")</f>
        <v/>
      </c>
      <c r="P708" s="31" t="n">
        <f aca="false">M708+F708</f>
        <v>18123.84</v>
      </c>
      <c r="Q708" s="31" t="n">
        <f aca="false">P708-Summary!$C$5</f>
        <v>8123.84</v>
      </c>
      <c r="R708" s="2" t="str">
        <f aca="false">TEXT(A708,"ddd")</f>
        <v>Wed</v>
      </c>
    </row>
    <row r="709" customFormat="false" ht="15" hidden="false" customHeight="false" outlineLevel="0" collapsed="false">
      <c r="A709" s="43" t="n">
        <v>45813</v>
      </c>
      <c r="B709" s="29" t="n">
        <f aca="false">COUNTIFS(Trades!$D$2:$D$1146,$A709)</f>
        <v>2</v>
      </c>
      <c r="C709" s="29" t="n">
        <f aca="false">COUNTIFS(Trades!$D$2:$D$1146,$A709,Trades!$Z$2:$Z$1146,"Win")</f>
        <v>0</v>
      </c>
      <c r="D709" s="29" t="n">
        <f aca="false">COUNTIFS(Trades!$D$2:$D$1146,$A709,Trades!$Z$2:$Z$1146,"Loss")</f>
        <v>2</v>
      </c>
      <c r="E709" s="30" t="n">
        <f aca="false">IFERROR(C709/B709,0)</f>
        <v>0</v>
      </c>
      <c r="F709" s="31" t="n">
        <f aca="false">SUMIFS(Trades!$X$2:$X$1146,Trades!$D$2:$D$1146,$A709)</f>
        <v>-88.12</v>
      </c>
      <c r="G709" s="31" t="n">
        <f aca="false">SUMIFS(Trades!$X$2:$X$1146,Trades!$D$2:$D$1146,$A709,Trades!$X$2:$X$1146,"&gt;0")</f>
        <v>0</v>
      </c>
      <c r="H709" s="31" t="n">
        <f aca="false">SUMIFS(Trades!$X$2:$X$1146,Trades!$D$2:$D$1146,$A709,Trades!$X$2:$X$1146,"&lt;0")</f>
        <v>-88.12</v>
      </c>
      <c r="I709" s="32" t="n">
        <f aca="false">IFERROR(G709/-H709,"no loss")</f>
        <v>0</v>
      </c>
      <c r="J709" s="31" t="n">
        <f aca="false">_xlfn.MAXIFS(Trades!$X$2:$X$1146,Trades!$D$2:$D$1146,$A709)</f>
        <v>-0.24</v>
      </c>
      <c r="K709" s="31" t="n">
        <f aca="false">_xlfn.MINIFS(Trades!$X$2:$X$1146,Trades!$D$2:$D$1146,$A709)</f>
        <v>-87.88</v>
      </c>
      <c r="L709" s="33" t="n">
        <f aca="false">SUMIFS(Trades!$Y$2:$Y$1146,Trades!$D$2:$D$1146,$A709)</f>
        <v>-1.01542912881345</v>
      </c>
      <c r="M709" s="31" t="n">
        <f aca="false">P708</f>
        <v>18123.84</v>
      </c>
      <c r="N709" s="30" t="n">
        <f aca="false">IFERROR(F709/M709,0)</f>
        <v>-0.00486210427812208</v>
      </c>
      <c r="O709" s="29" t="str">
        <f aca="false">IF(-N709&gt;=Summary!$C$7,"BREACH","")</f>
        <v/>
      </c>
      <c r="P709" s="31" t="n">
        <f aca="false">M709+F709</f>
        <v>18035.72</v>
      </c>
      <c r="Q709" s="31" t="n">
        <f aca="false">P709-Summary!$C$5</f>
        <v>8035.72</v>
      </c>
      <c r="R709" s="2" t="str">
        <f aca="false">TEXT(A709,"ddd")</f>
        <v>Thu</v>
      </c>
    </row>
    <row r="710" customFormat="false" ht="15" hidden="false" customHeight="false" outlineLevel="0" collapsed="false">
      <c r="A710" s="43" t="n">
        <v>45814</v>
      </c>
      <c r="B710" s="29" t="n">
        <f aca="false">COUNTIFS(Trades!$D$2:$D$1146,$A710)</f>
        <v>1</v>
      </c>
      <c r="C710" s="29" t="n">
        <f aca="false">COUNTIFS(Trades!$D$2:$D$1146,$A710,Trades!$Z$2:$Z$1146,"Win")</f>
        <v>0</v>
      </c>
      <c r="D710" s="29" t="n">
        <f aca="false">COUNTIFS(Trades!$D$2:$D$1146,$A710,Trades!$Z$2:$Z$1146,"Loss")</f>
        <v>1</v>
      </c>
      <c r="E710" s="30" t="n">
        <f aca="false">IFERROR(C710/B710,0)</f>
        <v>0</v>
      </c>
      <c r="F710" s="31" t="n">
        <f aca="false">SUMIFS(Trades!$X$2:$X$1146,Trades!$D$2:$D$1146,$A710)</f>
        <v>-99.2</v>
      </c>
      <c r="G710" s="31" t="n">
        <f aca="false">SUMIFS(Trades!$X$2:$X$1146,Trades!$D$2:$D$1146,$A710,Trades!$X$2:$X$1146,"&gt;0")</f>
        <v>0</v>
      </c>
      <c r="H710" s="31" t="n">
        <f aca="false">SUMIFS(Trades!$X$2:$X$1146,Trades!$D$2:$D$1146,$A710,Trades!$X$2:$X$1146,"&lt;0")</f>
        <v>-99.2</v>
      </c>
      <c r="I710" s="32" t="n">
        <f aca="false">IFERROR(G710/-H710,"no loss")</f>
        <v>0</v>
      </c>
      <c r="J710" s="31" t="n">
        <f aca="false">_xlfn.MAXIFS(Trades!$X$2:$X$1146,Trades!$D$2:$D$1146,$A710)</f>
        <v>-99.2</v>
      </c>
      <c r="K710" s="31" t="n">
        <f aca="false">_xlfn.MINIFS(Trades!$X$2:$X$1146,Trades!$D$2:$D$1146,$A710)</f>
        <v>-99.2</v>
      </c>
      <c r="L710" s="33" t="n">
        <f aca="false">SUMIFS(Trades!$Y$2:$Y$1146,Trades!$D$2:$D$1146,$A710)</f>
        <v>-1.00364225010121</v>
      </c>
      <c r="M710" s="31" t="n">
        <f aca="false">P709</f>
        <v>18035.72</v>
      </c>
      <c r="N710" s="30" t="n">
        <f aca="false">IFERROR(F710/M710,0)</f>
        <v>-0.00550019627716554</v>
      </c>
      <c r="O710" s="29" t="str">
        <f aca="false">IF(-N710&gt;=Summary!$C$7,"BREACH","")</f>
        <v/>
      </c>
      <c r="P710" s="31" t="n">
        <f aca="false">M710+F710</f>
        <v>17936.52</v>
      </c>
      <c r="Q710" s="31" t="n">
        <f aca="false">P710-Summary!$C$5</f>
        <v>7936.52</v>
      </c>
      <c r="R710" s="2" t="str">
        <f aca="false">TEXT(A710,"ddd")</f>
        <v>Fri</v>
      </c>
    </row>
    <row r="711" customFormat="false" ht="15" hidden="false" customHeight="false" outlineLevel="0" collapsed="false">
      <c r="A711" s="43" t="n">
        <v>45817</v>
      </c>
      <c r="B711" s="29" t="n">
        <f aca="false">COUNTIFS(Trades!$D$2:$D$1146,$A711)</f>
        <v>1</v>
      </c>
      <c r="C711" s="29" t="n">
        <f aca="false">COUNTIFS(Trades!$D$2:$D$1146,$A711,Trades!$Z$2:$Z$1146,"Win")</f>
        <v>0</v>
      </c>
      <c r="D711" s="29" t="n">
        <f aca="false">COUNTIFS(Trades!$D$2:$D$1146,$A711,Trades!$Z$2:$Z$1146,"Loss")</f>
        <v>1</v>
      </c>
      <c r="E711" s="30" t="n">
        <f aca="false">IFERROR(C711/B711,0)</f>
        <v>0</v>
      </c>
      <c r="F711" s="31" t="n">
        <f aca="false">SUMIFS(Trades!$X$2:$X$1146,Trades!$D$2:$D$1146,$A711)</f>
        <v>-66.16</v>
      </c>
      <c r="G711" s="31" t="n">
        <f aca="false">SUMIFS(Trades!$X$2:$X$1146,Trades!$D$2:$D$1146,$A711,Trades!$X$2:$X$1146,"&gt;0")</f>
        <v>0</v>
      </c>
      <c r="H711" s="31" t="n">
        <f aca="false">SUMIFS(Trades!$X$2:$X$1146,Trades!$D$2:$D$1146,$A711,Trades!$X$2:$X$1146,"&lt;0")</f>
        <v>-66.16</v>
      </c>
      <c r="I711" s="32" t="n">
        <f aca="false">IFERROR(G711/-H711,"no loss")</f>
        <v>0</v>
      </c>
      <c r="J711" s="31" t="n">
        <f aca="false">_xlfn.MAXIFS(Trades!$X$2:$X$1146,Trades!$D$2:$D$1146,$A711)</f>
        <v>-66.16</v>
      </c>
      <c r="K711" s="31" t="n">
        <f aca="false">_xlfn.MINIFS(Trades!$X$2:$X$1146,Trades!$D$2:$D$1146,$A711)</f>
        <v>-66.16</v>
      </c>
      <c r="L711" s="33" t="n">
        <f aca="false">SUMIFS(Trades!$Y$2:$Y$1146,Trades!$D$2:$D$1146,$A711)</f>
        <v>-1.03569192235457</v>
      </c>
      <c r="M711" s="31" t="n">
        <f aca="false">P710</f>
        <v>17936.52</v>
      </c>
      <c r="N711" s="30" t="n">
        <f aca="false">IFERROR(F711/M711,0)</f>
        <v>-0.00368856389087738</v>
      </c>
      <c r="O711" s="29" t="str">
        <f aca="false">IF(-N711&gt;=Summary!$C$7,"BREACH","")</f>
        <v/>
      </c>
      <c r="P711" s="31" t="n">
        <f aca="false">M711+F711</f>
        <v>17870.36</v>
      </c>
      <c r="Q711" s="31" t="n">
        <f aca="false">P711-Summary!$C$5</f>
        <v>7870.36</v>
      </c>
      <c r="R711" s="2" t="str">
        <f aca="false">TEXT(A711,"ddd")</f>
        <v>Mon</v>
      </c>
    </row>
    <row r="712" customFormat="false" ht="15" hidden="false" customHeight="false" outlineLevel="0" collapsed="false">
      <c r="A712" s="43" t="n">
        <v>45818</v>
      </c>
      <c r="B712" s="29" t="n">
        <f aca="false">COUNTIFS(Trades!$D$2:$D$1146,$A712)</f>
        <v>1</v>
      </c>
      <c r="C712" s="29" t="n">
        <f aca="false">COUNTIFS(Trades!$D$2:$D$1146,$A712,Trades!$Z$2:$Z$1146,"Win")</f>
        <v>1</v>
      </c>
      <c r="D712" s="29" t="n">
        <f aca="false">COUNTIFS(Trades!$D$2:$D$1146,$A712,Trades!$Z$2:$Z$1146,"Loss")</f>
        <v>0</v>
      </c>
      <c r="E712" s="30" t="n">
        <f aca="false">IFERROR(C712/B712,0)</f>
        <v>1</v>
      </c>
      <c r="F712" s="31" t="n">
        <f aca="false">SUMIFS(Trades!$X$2:$X$1146,Trades!$D$2:$D$1146,$A712)</f>
        <v>63.32</v>
      </c>
      <c r="G712" s="31" t="n">
        <f aca="false">SUMIFS(Trades!$X$2:$X$1146,Trades!$D$2:$D$1146,$A712,Trades!$X$2:$X$1146,"&gt;0")</f>
        <v>63.32</v>
      </c>
      <c r="H712" s="31" t="n">
        <f aca="false">SUMIFS(Trades!$X$2:$X$1146,Trades!$D$2:$D$1146,$A712,Trades!$X$2:$X$1146,"&lt;0")</f>
        <v>0</v>
      </c>
      <c r="I712" s="32" t="str">
        <f aca="false">IFERROR(G712/-H712,"no loss")</f>
        <v>no loss</v>
      </c>
      <c r="J712" s="31" t="n">
        <f aca="false">_xlfn.MAXIFS(Trades!$X$2:$X$1146,Trades!$D$2:$D$1146,$A712)</f>
        <v>63.32</v>
      </c>
      <c r="K712" s="31" t="n">
        <f aca="false">_xlfn.MINIFS(Trades!$X$2:$X$1146,Trades!$D$2:$D$1146,$A712)</f>
        <v>63.32</v>
      </c>
      <c r="L712" s="33" t="n">
        <f aca="false">SUMIFS(Trades!$Y$2:$Y$1146,Trades!$D$2:$D$1146,$A712)</f>
        <v>2.52875399361087</v>
      </c>
      <c r="M712" s="31" t="n">
        <f aca="false">P711</f>
        <v>17870.36</v>
      </c>
      <c r="N712" s="30" t="n">
        <f aca="false">IFERROR(F712/M712,0)</f>
        <v>0.0035432973930016</v>
      </c>
      <c r="O712" s="29" t="str">
        <f aca="false">IF(-N712&gt;=Summary!$C$7,"BREACH","")</f>
        <v/>
      </c>
      <c r="P712" s="31" t="n">
        <f aca="false">M712+F712</f>
        <v>17933.68</v>
      </c>
      <c r="Q712" s="31" t="n">
        <f aca="false">P712-Summary!$C$5</f>
        <v>7933.68</v>
      </c>
      <c r="R712" s="2" t="str">
        <f aca="false">TEXT(A712,"ddd")</f>
        <v>Tue</v>
      </c>
    </row>
    <row r="713" customFormat="false" ht="15" hidden="false" customHeight="false" outlineLevel="0" collapsed="false">
      <c r="A713" s="43" t="n">
        <v>45819</v>
      </c>
      <c r="B713" s="29" t="n">
        <f aca="false">COUNTIFS(Trades!$D$2:$D$1146,$A713)</f>
        <v>1</v>
      </c>
      <c r="C713" s="29" t="n">
        <f aca="false">COUNTIFS(Trades!$D$2:$D$1146,$A713,Trades!$Z$2:$Z$1146,"Win")</f>
        <v>0</v>
      </c>
      <c r="D713" s="29" t="n">
        <f aca="false">COUNTIFS(Trades!$D$2:$D$1146,$A713,Trades!$Z$2:$Z$1146,"Loss")</f>
        <v>1</v>
      </c>
      <c r="E713" s="30" t="n">
        <f aca="false">IFERROR(C713/B713,0)</f>
        <v>0</v>
      </c>
      <c r="F713" s="31" t="n">
        <f aca="false">SUMIFS(Trades!$X$2:$X$1146,Trades!$D$2:$D$1146,$A713)</f>
        <v>-54.4</v>
      </c>
      <c r="G713" s="31" t="n">
        <f aca="false">SUMIFS(Trades!$X$2:$X$1146,Trades!$D$2:$D$1146,$A713,Trades!$X$2:$X$1146,"&gt;0")</f>
        <v>0</v>
      </c>
      <c r="H713" s="31" t="n">
        <f aca="false">SUMIFS(Trades!$X$2:$X$1146,Trades!$D$2:$D$1146,$A713,Trades!$X$2:$X$1146,"&lt;0")</f>
        <v>-54.4</v>
      </c>
      <c r="I713" s="32" t="n">
        <f aca="false">IFERROR(G713/-H713,"no loss")</f>
        <v>0</v>
      </c>
      <c r="J713" s="31" t="n">
        <f aca="false">_xlfn.MAXIFS(Trades!$X$2:$X$1146,Trades!$D$2:$D$1146,$A713)</f>
        <v>-54.4</v>
      </c>
      <c r="K713" s="31" t="n">
        <f aca="false">_xlfn.MINIFS(Trades!$X$2:$X$1146,Trades!$D$2:$D$1146,$A713)</f>
        <v>-54.4</v>
      </c>
      <c r="L713" s="33" t="n">
        <f aca="false">SUMIFS(Trades!$Y$2:$Y$1146,Trades!$D$2:$D$1146,$A713)</f>
        <v>-1.01341281669164</v>
      </c>
      <c r="M713" s="31" t="n">
        <f aca="false">P712</f>
        <v>17933.68</v>
      </c>
      <c r="N713" s="30" t="n">
        <f aca="false">IFERROR(F713/M713,0)</f>
        <v>-0.00303339861088187</v>
      </c>
      <c r="O713" s="29" t="str">
        <f aca="false">IF(-N713&gt;=Summary!$C$7,"BREACH","")</f>
        <v/>
      </c>
      <c r="P713" s="31" t="n">
        <f aca="false">M713+F713</f>
        <v>17879.28</v>
      </c>
      <c r="Q713" s="31" t="n">
        <f aca="false">P713-Summary!$C$5</f>
        <v>7879.28</v>
      </c>
      <c r="R713" s="2" t="str">
        <f aca="false">TEXT(A713,"ddd")</f>
        <v>Wed</v>
      </c>
    </row>
    <row r="714" customFormat="false" ht="15" hidden="false" customHeight="false" outlineLevel="0" collapsed="false">
      <c r="A714" s="43" t="n">
        <v>45820</v>
      </c>
      <c r="B714" s="29" t="n">
        <f aca="false">COUNTIFS(Trades!$D$2:$D$1146,$A714)</f>
        <v>1</v>
      </c>
      <c r="C714" s="29" t="n">
        <f aca="false">COUNTIFS(Trades!$D$2:$D$1146,$A714,Trades!$Z$2:$Z$1146,"Win")</f>
        <v>1</v>
      </c>
      <c r="D714" s="29" t="n">
        <f aca="false">COUNTIFS(Trades!$D$2:$D$1146,$A714,Trades!$Z$2:$Z$1146,"Loss")</f>
        <v>0</v>
      </c>
      <c r="E714" s="30" t="n">
        <f aca="false">IFERROR(C714/B714,0)</f>
        <v>1</v>
      </c>
      <c r="F714" s="31" t="n">
        <f aca="false">SUMIFS(Trades!$X$2:$X$1146,Trades!$D$2:$D$1146,$A714)</f>
        <v>91.72</v>
      </c>
      <c r="G714" s="31" t="n">
        <f aca="false">SUMIFS(Trades!$X$2:$X$1146,Trades!$D$2:$D$1146,$A714,Trades!$X$2:$X$1146,"&gt;0")</f>
        <v>91.72</v>
      </c>
      <c r="H714" s="31" t="n">
        <f aca="false">SUMIFS(Trades!$X$2:$X$1146,Trades!$D$2:$D$1146,$A714,Trades!$X$2:$X$1146,"&lt;0")</f>
        <v>0</v>
      </c>
      <c r="I714" s="32" t="str">
        <f aca="false">IFERROR(G714/-H714,"no loss")</f>
        <v>no loss</v>
      </c>
      <c r="J714" s="31" t="n">
        <f aca="false">_xlfn.MAXIFS(Trades!$X$2:$X$1146,Trades!$D$2:$D$1146,$A714)</f>
        <v>91.72</v>
      </c>
      <c r="K714" s="31" t="n">
        <f aca="false">_xlfn.MINIFS(Trades!$X$2:$X$1146,Trades!$D$2:$D$1146,$A714)</f>
        <v>91.72</v>
      </c>
      <c r="L714" s="33" t="n">
        <f aca="false">SUMIFS(Trades!$Y$2:$Y$1146,Trades!$D$2:$D$1146,$A714)</f>
        <v>2.82737361282474</v>
      </c>
      <c r="M714" s="31" t="n">
        <f aca="false">P713</f>
        <v>17879.28</v>
      </c>
      <c r="N714" s="30" t="n">
        <f aca="false">IFERROR(F714/M714,0)</f>
        <v>0.00512996049057904</v>
      </c>
      <c r="O714" s="29" t="str">
        <f aca="false">IF(-N714&gt;=Summary!$C$7,"BREACH","")</f>
        <v/>
      </c>
      <c r="P714" s="31" t="n">
        <f aca="false">M714+F714</f>
        <v>17971</v>
      </c>
      <c r="Q714" s="31" t="n">
        <f aca="false">P714-Summary!$C$5</f>
        <v>7971</v>
      </c>
      <c r="R714" s="2" t="str">
        <f aca="false">TEXT(A714,"ddd")</f>
        <v>Thu</v>
      </c>
    </row>
    <row r="715" customFormat="false" ht="15" hidden="false" customHeight="false" outlineLevel="0" collapsed="false">
      <c r="A715" s="43" t="n">
        <v>45821</v>
      </c>
      <c r="B715" s="29" t="n">
        <f aca="false">COUNTIFS(Trades!$D$2:$D$1146,$A715)</f>
        <v>1</v>
      </c>
      <c r="C715" s="29" t="n">
        <f aca="false">COUNTIFS(Trades!$D$2:$D$1146,$A715,Trades!$Z$2:$Z$1146,"Win")</f>
        <v>0</v>
      </c>
      <c r="D715" s="29" t="n">
        <f aca="false">COUNTIFS(Trades!$D$2:$D$1146,$A715,Trades!$Z$2:$Z$1146,"Loss")</f>
        <v>1</v>
      </c>
      <c r="E715" s="30" t="n">
        <f aca="false">IFERROR(C715/B715,0)</f>
        <v>0</v>
      </c>
      <c r="F715" s="31" t="n">
        <f aca="false">SUMIFS(Trades!$X$2:$X$1146,Trades!$D$2:$D$1146,$A715)</f>
        <v>-5.16</v>
      </c>
      <c r="G715" s="31" t="n">
        <f aca="false">SUMIFS(Trades!$X$2:$X$1146,Trades!$D$2:$D$1146,$A715,Trades!$X$2:$X$1146,"&gt;0")</f>
        <v>0</v>
      </c>
      <c r="H715" s="31" t="n">
        <f aca="false">SUMIFS(Trades!$X$2:$X$1146,Trades!$D$2:$D$1146,$A715,Trades!$X$2:$X$1146,"&lt;0")</f>
        <v>-5.16</v>
      </c>
      <c r="I715" s="32" t="n">
        <f aca="false">IFERROR(G715/-H715,"no loss")</f>
        <v>0</v>
      </c>
      <c r="J715" s="31" t="n">
        <f aca="false">_xlfn.MAXIFS(Trades!$X$2:$X$1146,Trades!$D$2:$D$1146,$A715)</f>
        <v>-5.16</v>
      </c>
      <c r="K715" s="31" t="n">
        <f aca="false">_xlfn.MINIFS(Trades!$X$2:$X$1146,Trades!$D$2:$D$1146,$A715)</f>
        <v>-5.16</v>
      </c>
      <c r="L715" s="33" t="n">
        <f aca="false">SUMIFS(Trades!$Y$2:$Y$1146,Trades!$D$2:$D$1146,$A715)</f>
        <v>-0.0260922330097075</v>
      </c>
      <c r="M715" s="31" t="n">
        <f aca="false">P714</f>
        <v>17971</v>
      </c>
      <c r="N715" s="30" t="n">
        <f aca="false">IFERROR(F715/M715,0)</f>
        <v>-0.000287129263813923</v>
      </c>
      <c r="O715" s="29" t="str">
        <f aca="false">IF(-N715&gt;=Summary!$C$7,"BREACH","")</f>
        <v/>
      </c>
      <c r="P715" s="31" t="n">
        <f aca="false">M715+F715</f>
        <v>17965.84</v>
      </c>
      <c r="Q715" s="31" t="n">
        <f aca="false">P715-Summary!$C$5</f>
        <v>7965.84</v>
      </c>
      <c r="R715" s="2" t="str">
        <f aca="false">TEXT(A715,"ddd")</f>
        <v>Fri</v>
      </c>
    </row>
    <row r="716" customFormat="false" ht="15" hidden="false" customHeight="false" outlineLevel="0" collapsed="false">
      <c r="A716" s="43" t="n">
        <v>45824</v>
      </c>
      <c r="B716" s="29" t="n">
        <f aca="false">COUNTIFS(Trades!$D$2:$D$1146,$A716)</f>
        <v>1</v>
      </c>
      <c r="C716" s="29" t="n">
        <f aca="false">COUNTIFS(Trades!$D$2:$D$1146,$A716,Trades!$Z$2:$Z$1146,"Win")</f>
        <v>1</v>
      </c>
      <c r="D716" s="29" t="n">
        <f aca="false">COUNTIFS(Trades!$D$2:$D$1146,$A716,Trades!$Z$2:$Z$1146,"Loss")</f>
        <v>0</v>
      </c>
      <c r="E716" s="30" t="n">
        <f aca="false">IFERROR(C716/B716,0)</f>
        <v>1</v>
      </c>
      <c r="F716" s="31" t="n">
        <f aca="false">SUMIFS(Trades!$X$2:$X$1146,Trades!$D$2:$D$1146,$A716)</f>
        <v>236.12</v>
      </c>
      <c r="G716" s="31" t="n">
        <f aca="false">SUMIFS(Trades!$X$2:$X$1146,Trades!$D$2:$D$1146,$A716,Trades!$X$2:$X$1146,"&gt;0")</f>
        <v>236.12</v>
      </c>
      <c r="H716" s="31" t="n">
        <f aca="false">SUMIFS(Trades!$X$2:$X$1146,Trades!$D$2:$D$1146,$A716,Trades!$X$2:$X$1146,"&lt;0")</f>
        <v>0</v>
      </c>
      <c r="I716" s="32" t="str">
        <f aca="false">IFERROR(G716/-H716,"no loss")</f>
        <v>no loss</v>
      </c>
      <c r="J716" s="31" t="n">
        <f aca="false">_xlfn.MAXIFS(Trades!$X$2:$X$1146,Trades!$D$2:$D$1146,$A716)</f>
        <v>236.12</v>
      </c>
      <c r="K716" s="31" t="n">
        <f aca="false">_xlfn.MINIFS(Trades!$X$2:$X$1146,Trades!$D$2:$D$1146,$A716)</f>
        <v>236.12</v>
      </c>
      <c r="L716" s="33" t="n">
        <f aca="false">SUMIFS(Trades!$Y$2:$Y$1146,Trades!$D$2:$D$1146,$A716)</f>
        <v>3.04121586810924</v>
      </c>
      <c r="M716" s="31" t="n">
        <f aca="false">P715</f>
        <v>17965.84</v>
      </c>
      <c r="N716" s="30" t="n">
        <f aca="false">IFERROR(F716/M716,0)</f>
        <v>0.0131427197392385</v>
      </c>
      <c r="O716" s="29" t="str">
        <f aca="false">IF(-N716&gt;=Summary!$C$7,"BREACH","")</f>
        <v/>
      </c>
      <c r="P716" s="31" t="n">
        <f aca="false">M716+F716</f>
        <v>18201.96</v>
      </c>
      <c r="Q716" s="31" t="n">
        <f aca="false">P716-Summary!$C$5</f>
        <v>8201.96</v>
      </c>
      <c r="R716" s="2" t="str">
        <f aca="false">TEXT(A716,"ddd")</f>
        <v>Mon</v>
      </c>
    </row>
    <row r="717" customFormat="false" ht="15" hidden="false" customHeight="false" outlineLevel="0" collapsed="false">
      <c r="A717" s="43" t="n">
        <v>45826</v>
      </c>
      <c r="B717" s="29" t="n">
        <f aca="false">COUNTIFS(Trades!$D$2:$D$1146,$A717)</f>
        <v>1</v>
      </c>
      <c r="C717" s="29" t="n">
        <f aca="false">COUNTIFS(Trades!$D$2:$D$1146,$A717,Trades!$Z$2:$Z$1146,"Win")</f>
        <v>1</v>
      </c>
      <c r="D717" s="29" t="n">
        <f aca="false">COUNTIFS(Trades!$D$2:$D$1146,$A717,Trades!$Z$2:$Z$1146,"Loss")</f>
        <v>0</v>
      </c>
      <c r="E717" s="30" t="n">
        <f aca="false">IFERROR(C717/B717,0)</f>
        <v>1</v>
      </c>
      <c r="F717" s="31" t="n">
        <f aca="false">SUMIFS(Trades!$X$2:$X$1146,Trades!$D$2:$D$1146,$A717)</f>
        <v>73.08</v>
      </c>
      <c r="G717" s="31" t="n">
        <f aca="false">SUMIFS(Trades!$X$2:$X$1146,Trades!$D$2:$D$1146,$A717,Trades!$X$2:$X$1146,"&gt;0")</f>
        <v>73.08</v>
      </c>
      <c r="H717" s="31" t="n">
        <f aca="false">SUMIFS(Trades!$X$2:$X$1146,Trades!$D$2:$D$1146,$A717,Trades!$X$2:$X$1146,"&lt;0")</f>
        <v>0</v>
      </c>
      <c r="I717" s="32" t="str">
        <f aca="false">IFERROR(G717/-H717,"no loss")</f>
        <v>no loss</v>
      </c>
      <c r="J717" s="31" t="n">
        <f aca="false">_xlfn.MAXIFS(Trades!$X$2:$X$1146,Trades!$D$2:$D$1146,$A717)</f>
        <v>73.08</v>
      </c>
      <c r="K717" s="31" t="n">
        <f aca="false">_xlfn.MINIFS(Trades!$X$2:$X$1146,Trades!$D$2:$D$1146,$A717)</f>
        <v>73.08</v>
      </c>
      <c r="L717" s="33" t="n">
        <f aca="false">SUMIFS(Trades!$Y$2:$Y$1146,Trades!$D$2:$D$1146,$A717)</f>
        <v>2.50617283950587</v>
      </c>
      <c r="M717" s="31" t="n">
        <f aca="false">P716</f>
        <v>18201.96</v>
      </c>
      <c r="N717" s="30" t="n">
        <f aca="false">IFERROR(F717/M717,0)</f>
        <v>0.00401495223591306</v>
      </c>
      <c r="O717" s="29" t="str">
        <f aca="false">IF(-N717&gt;=Summary!$C$7,"BREACH","")</f>
        <v/>
      </c>
      <c r="P717" s="31" t="n">
        <f aca="false">M717+F717</f>
        <v>18275.04</v>
      </c>
      <c r="Q717" s="31" t="n">
        <f aca="false">P717-Summary!$C$5</f>
        <v>8275.04</v>
      </c>
      <c r="R717" s="2" t="str">
        <f aca="false">TEXT(A717,"ddd")</f>
        <v>Wed</v>
      </c>
    </row>
    <row r="718" customFormat="false" ht="15" hidden="false" customHeight="false" outlineLevel="0" collapsed="false">
      <c r="A718" s="43" t="n">
        <v>45827</v>
      </c>
      <c r="B718" s="29" t="n">
        <f aca="false">COUNTIFS(Trades!$D$2:$D$1146,$A718)</f>
        <v>1</v>
      </c>
      <c r="C718" s="29" t="n">
        <f aca="false">COUNTIFS(Trades!$D$2:$D$1146,$A718,Trades!$Z$2:$Z$1146,"Win")</f>
        <v>0</v>
      </c>
      <c r="D718" s="29" t="n">
        <f aca="false">COUNTIFS(Trades!$D$2:$D$1146,$A718,Trades!$Z$2:$Z$1146,"Loss")</f>
        <v>1</v>
      </c>
      <c r="E718" s="30" t="n">
        <f aca="false">IFERROR(C718/B718,0)</f>
        <v>0</v>
      </c>
      <c r="F718" s="31" t="n">
        <f aca="false">SUMIFS(Trades!$X$2:$X$1146,Trades!$D$2:$D$1146,$A718)</f>
        <v>-62.4</v>
      </c>
      <c r="G718" s="31" t="n">
        <f aca="false">SUMIFS(Trades!$X$2:$X$1146,Trades!$D$2:$D$1146,$A718,Trades!$X$2:$X$1146,"&gt;0")</f>
        <v>0</v>
      </c>
      <c r="H718" s="31" t="n">
        <f aca="false">SUMIFS(Trades!$X$2:$X$1146,Trades!$D$2:$D$1146,$A718,Trades!$X$2:$X$1146,"&lt;0")</f>
        <v>-62.4</v>
      </c>
      <c r="I718" s="32" t="n">
        <f aca="false">IFERROR(G718/-H718,"no loss")</f>
        <v>0</v>
      </c>
      <c r="J718" s="31" t="n">
        <f aca="false">_xlfn.MAXIFS(Trades!$X$2:$X$1146,Trades!$D$2:$D$1146,$A718)</f>
        <v>-62.4</v>
      </c>
      <c r="K718" s="31" t="n">
        <f aca="false">_xlfn.MINIFS(Trades!$X$2:$X$1146,Trades!$D$2:$D$1146,$A718)</f>
        <v>-62.4</v>
      </c>
      <c r="L718" s="33" t="n">
        <f aca="false">SUMIFS(Trades!$Y$2:$Y$1146,Trades!$D$2:$D$1146,$A718)</f>
        <v>-1.0196078431373</v>
      </c>
      <c r="M718" s="31" t="n">
        <f aca="false">P717</f>
        <v>18275.04</v>
      </c>
      <c r="N718" s="30" t="n">
        <f aca="false">IFERROR(F718/M718,0)</f>
        <v>-0.00341449321041158</v>
      </c>
      <c r="O718" s="29" t="str">
        <f aca="false">IF(-N718&gt;=Summary!$C$7,"BREACH","")</f>
        <v/>
      </c>
      <c r="P718" s="31" t="n">
        <f aca="false">M718+F718</f>
        <v>18212.64</v>
      </c>
      <c r="Q718" s="31" t="n">
        <f aca="false">P718-Summary!$C$5</f>
        <v>8212.64</v>
      </c>
      <c r="R718" s="2" t="str">
        <f aca="false">TEXT(A718,"ddd")</f>
        <v>Thu</v>
      </c>
    </row>
    <row r="719" customFormat="false" ht="15" hidden="false" customHeight="false" outlineLevel="0" collapsed="false">
      <c r="A719" s="43" t="n">
        <v>45828</v>
      </c>
      <c r="B719" s="29" t="n">
        <f aca="false">COUNTIFS(Trades!$D$2:$D$1146,$A719)</f>
        <v>1</v>
      </c>
      <c r="C719" s="29" t="n">
        <f aca="false">COUNTIFS(Trades!$D$2:$D$1146,$A719,Trades!$Z$2:$Z$1146,"Win")</f>
        <v>1</v>
      </c>
      <c r="D719" s="29" t="n">
        <f aca="false">COUNTIFS(Trades!$D$2:$D$1146,$A719,Trades!$Z$2:$Z$1146,"Loss")</f>
        <v>0</v>
      </c>
      <c r="E719" s="30" t="n">
        <f aca="false">IFERROR(C719/B719,0)</f>
        <v>1</v>
      </c>
      <c r="F719" s="31" t="n">
        <f aca="false">SUMIFS(Trades!$X$2:$X$1146,Trades!$D$2:$D$1146,$A719)</f>
        <v>79.08</v>
      </c>
      <c r="G719" s="31" t="n">
        <f aca="false">SUMIFS(Trades!$X$2:$X$1146,Trades!$D$2:$D$1146,$A719,Trades!$X$2:$X$1146,"&gt;0")</f>
        <v>79.08</v>
      </c>
      <c r="H719" s="31" t="n">
        <f aca="false">SUMIFS(Trades!$X$2:$X$1146,Trades!$D$2:$D$1146,$A719,Trades!$X$2:$X$1146,"&lt;0")</f>
        <v>0</v>
      </c>
      <c r="I719" s="32" t="str">
        <f aca="false">IFERROR(G719/-H719,"no loss")</f>
        <v>no loss</v>
      </c>
      <c r="J719" s="31" t="n">
        <f aca="false">_xlfn.MAXIFS(Trades!$X$2:$X$1146,Trades!$D$2:$D$1146,$A719)</f>
        <v>79.08</v>
      </c>
      <c r="K719" s="31" t="n">
        <f aca="false">_xlfn.MINIFS(Trades!$X$2:$X$1146,Trades!$D$2:$D$1146,$A719)</f>
        <v>79.08</v>
      </c>
      <c r="L719" s="33" t="n">
        <f aca="false">SUMIFS(Trades!$Y$2:$Y$1146,Trades!$D$2:$D$1146,$A719)</f>
        <v>1.28210116731532</v>
      </c>
      <c r="M719" s="31" t="n">
        <f aca="false">P718</f>
        <v>18212.64</v>
      </c>
      <c r="N719" s="30" t="n">
        <f aca="false">IFERROR(F719/M719,0)</f>
        <v>0.00434203937485175</v>
      </c>
      <c r="O719" s="29" t="str">
        <f aca="false">IF(-N719&gt;=Summary!$C$7,"BREACH","")</f>
        <v/>
      </c>
      <c r="P719" s="31" t="n">
        <f aca="false">M719+F719</f>
        <v>18291.72</v>
      </c>
      <c r="Q719" s="31" t="n">
        <f aca="false">P719-Summary!$C$5</f>
        <v>8291.72</v>
      </c>
      <c r="R719" s="2" t="str">
        <f aca="false">TEXT(A719,"ddd")</f>
        <v>Fri</v>
      </c>
    </row>
    <row r="720" customFormat="false" ht="15" hidden="false" customHeight="false" outlineLevel="0" collapsed="false">
      <c r="A720" s="43" t="n">
        <v>45831</v>
      </c>
      <c r="B720" s="29" t="n">
        <f aca="false">COUNTIFS(Trades!$D$2:$D$1146,$A720)</f>
        <v>1</v>
      </c>
      <c r="C720" s="29" t="n">
        <f aca="false">COUNTIFS(Trades!$D$2:$D$1146,$A720,Trades!$Z$2:$Z$1146,"Win")</f>
        <v>0</v>
      </c>
      <c r="D720" s="29" t="n">
        <f aca="false">COUNTIFS(Trades!$D$2:$D$1146,$A720,Trades!$Z$2:$Z$1146,"Loss")</f>
        <v>1</v>
      </c>
      <c r="E720" s="30" t="n">
        <f aca="false">IFERROR(C720/B720,0)</f>
        <v>0</v>
      </c>
      <c r="F720" s="31" t="n">
        <f aca="false">SUMIFS(Trades!$X$2:$X$1146,Trades!$D$2:$D$1146,$A720)</f>
        <v>-134.72</v>
      </c>
      <c r="G720" s="31" t="n">
        <f aca="false">SUMIFS(Trades!$X$2:$X$1146,Trades!$D$2:$D$1146,$A720,Trades!$X$2:$X$1146,"&gt;0")</f>
        <v>0</v>
      </c>
      <c r="H720" s="31" t="n">
        <f aca="false">SUMIFS(Trades!$X$2:$X$1146,Trades!$D$2:$D$1146,$A720,Trades!$X$2:$X$1146,"&lt;0")</f>
        <v>-134.72</v>
      </c>
      <c r="I720" s="32" t="n">
        <f aca="false">IFERROR(G720/-H720,"no loss")</f>
        <v>0</v>
      </c>
      <c r="J720" s="31" t="n">
        <f aca="false">_xlfn.MAXIFS(Trades!$X$2:$X$1146,Trades!$D$2:$D$1146,$A720)</f>
        <v>-134.72</v>
      </c>
      <c r="K720" s="31" t="n">
        <f aca="false">_xlfn.MINIFS(Trades!$X$2:$X$1146,Trades!$D$2:$D$1146,$A720)</f>
        <v>-134.72</v>
      </c>
      <c r="L720" s="33" t="n">
        <f aca="false">SUMIFS(Trades!$Y$2:$Y$1146,Trades!$D$2:$D$1146,$A720)</f>
        <v>-1.03217897640217</v>
      </c>
      <c r="M720" s="31" t="n">
        <f aca="false">P719</f>
        <v>18291.72</v>
      </c>
      <c r="N720" s="30" t="n">
        <f aca="false">IFERROR(F720/M720,0)</f>
        <v>-0.00736508103119882</v>
      </c>
      <c r="O720" s="29" t="str">
        <f aca="false">IF(-N720&gt;=Summary!$C$7,"BREACH","")</f>
        <v/>
      </c>
      <c r="P720" s="31" t="n">
        <f aca="false">M720+F720</f>
        <v>18157</v>
      </c>
      <c r="Q720" s="31" t="n">
        <f aca="false">P720-Summary!$C$5</f>
        <v>8157</v>
      </c>
      <c r="R720" s="2" t="str">
        <f aca="false">TEXT(A720,"ddd")</f>
        <v>Mon</v>
      </c>
    </row>
    <row r="721" customFormat="false" ht="15" hidden="false" customHeight="false" outlineLevel="0" collapsed="false">
      <c r="A721" s="43" t="n">
        <v>45832</v>
      </c>
      <c r="B721" s="29" t="n">
        <f aca="false">COUNTIFS(Trades!$D$2:$D$1146,$A721)</f>
        <v>1</v>
      </c>
      <c r="C721" s="29" t="n">
        <f aca="false">COUNTIFS(Trades!$D$2:$D$1146,$A721,Trades!$Z$2:$Z$1146,"Win")</f>
        <v>1</v>
      </c>
      <c r="D721" s="29" t="n">
        <f aca="false">COUNTIFS(Trades!$D$2:$D$1146,$A721,Trades!$Z$2:$Z$1146,"Loss")</f>
        <v>0</v>
      </c>
      <c r="E721" s="30" t="n">
        <f aca="false">IFERROR(C721/B721,0)</f>
        <v>1</v>
      </c>
      <c r="F721" s="31" t="n">
        <f aca="false">SUMIFS(Trades!$X$2:$X$1146,Trades!$D$2:$D$1146,$A721)</f>
        <v>156</v>
      </c>
      <c r="G721" s="31" t="n">
        <f aca="false">SUMIFS(Trades!$X$2:$X$1146,Trades!$D$2:$D$1146,$A721,Trades!$X$2:$X$1146,"&gt;0")</f>
        <v>156</v>
      </c>
      <c r="H721" s="31" t="n">
        <f aca="false">SUMIFS(Trades!$X$2:$X$1146,Trades!$D$2:$D$1146,$A721,Trades!$X$2:$X$1146,"&lt;0")</f>
        <v>0</v>
      </c>
      <c r="I721" s="32" t="str">
        <f aca="false">IFERROR(G721/-H721,"no loss")</f>
        <v>no loss</v>
      </c>
      <c r="J721" s="31" t="n">
        <f aca="false">_xlfn.MAXIFS(Trades!$X$2:$X$1146,Trades!$D$2:$D$1146,$A721)</f>
        <v>156</v>
      </c>
      <c r="K721" s="31" t="n">
        <f aca="false">_xlfn.MINIFS(Trades!$X$2:$X$1146,Trades!$D$2:$D$1146,$A721)</f>
        <v>156</v>
      </c>
      <c r="L721" s="33" t="n">
        <f aca="false">SUMIFS(Trades!$Y$2:$Y$1146,Trades!$D$2:$D$1146,$A721)</f>
        <v>2.45746691871471</v>
      </c>
      <c r="M721" s="31" t="n">
        <f aca="false">P720</f>
        <v>18157</v>
      </c>
      <c r="N721" s="30" t="n">
        <f aca="false">IFERROR(F721/M721,0)</f>
        <v>0.00859172770832186</v>
      </c>
      <c r="O721" s="29" t="str">
        <f aca="false">IF(-N721&gt;=Summary!$C$7,"BREACH","")</f>
        <v/>
      </c>
      <c r="P721" s="31" t="n">
        <f aca="false">M721+F721</f>
        <v>18313</v>
      </c>
      <c r="Q721" s="31" t="n">
        <f aca="false">P721-Summary!$C$5</f>
        <v>8313</v>
      </c>
      <c r="R721" s="2" t="str">
        <f aca="false">TEXT(A721,"ddd")</f>
        <v>Tue</v>
      </c>
    </row>
    <row r="722" customFormat="false" ht="15" hidden="false" customHeight="false" outlineLevel="0" collapsed="false">
      <c r="A722" s="43" t="n">
        <v>45833</v>
      </c>
      <c r="B722" s="29" t="n">
        <f aca="false">COUNTIFS(Trades!$D$2:$D$1146,$A722)</f>
        <v>1</v>
      </c>
      <c r="C722" s="29" t="n">
        <f aca="false">COUNTIFS(Trades!$D$2:$D$1146,$A722,Trades!$Z$2:$Z$1146,"Win")</f>
        <v>0</v>
      </c>
      <c r="D722" s="29" t="n">
        <f aca="false">COUNTIFS(Trades!$D$2:$D$1146,$A722,Trades!$Z$2:$Z$1146,"Loss")</f>
        <v>1</v>
      </c>
      <c r="E722" s="30" t="n">
        <f aca="false">IFERROR(C722/B722,0)</f>
        <v>0</v>
      </c>
      <c r="F722" s="31" t="n">
        <f aca="false">SUMIFS(Trades!$X$2:$X$1146,Trades!$D$2:$D$1146,$A722)</f>
        <v>-1.48</v>
      </c>
      <c r="G722" s="31" t="n">
        <f aca="false">SUMIFS(Trades!$X$2:$X$1146,Trades!$D$2:$D$1146,$A722,Trades!$X$2:$X$1146,"&gt;0")</f>
        <v>0</v>
      </c>
      <c r="H722" s="31" t="n">
        <f aca="false">SUMIFS(Trades!$X$2:$X$1146,Trades!$D$2:$D$1146,$A722,Trades!$X$2:$X$1146,"&lt;0")</f>
        <v>-1.48</v>
      </c>
      <c r="I722" s="32" t="n">
        <f aca="false">IFERROR(G722/-H722,"no loss")</f>
        <v>0</v>
      </c>
      <c r="J722" s="31" t="n">
        <f aca="false">_xlfn.MAXIFS(Trades!$X$2:$X$1146,Trades!$D$2:$D$1146,$A722)</f>
        <v>-1.48</v>
      </c>
      <c r="K722" s="31" t="n">
        <f aca="false">_xlfn.MINIFS(Trades!$X$2:$X$1146,Trades!$D$2:$D$1146,$A722)</f>
        <v>-1.48</v>
      </c>
      <c r="L722" s="33" t="n">
        <f aca="false">SUMIFS(Trades!$Y$2:$Y$1146,Trades!$D$2:$D$1146,$A722)</f>
        <v>-0.0913580246913744</v>
      </c>
      <c r="M722" s="31" t="n">
        <f aca="false">P721</f>
        <v>18313</v>
      </c>
      <c r="N722" s="30" t="n">
        <f aca="false">IFERROR(F722/M722,0)</f>
        <v>-8.08169060230438E-005</v>
      </c>
      <c r="O722" s="29" t="str">
        <f aca="false">IF(-N722&gt;=Summary!$C$7,"BREACH","")</f>
        <v/>
      </c>
      <c r="P722" s="31" t="n">
        <f aca="false">M722+F722</f>
        <v>18311.52</v>
      </c>
      <c r="Q722" s="31" t="n">
        <f aca="false">P722-Summary!$C$5</f>
        <v>8311.52</v>
      </c>
      <c r="R722" s="2" t="str">
        <f aca="false">TEXT(A722,"ddd")</f>
        <v>Wed</v>
      </c>
    </row>
    <row r="723" customFormat="false" ht="15" hidden="false" customHeight="false" outlineLevel="0" collapsed="false">
      <c r="A723" s="43" t="n">
        <v>45834</v>
      </c>
      <c r="B723" s="29" t="n">
        <f aca="false">COUNTIFS(Trades!$D$2:$D$1146,$A723)</f>
        <v>1</v>
      </c>
      <c r="C723" s="29" t="n">
        <f aca="false">COUNTIFS(Trades!$D$2:$D$1146,$A723,Trades!$Z$2:$Z$1146,"Win")</f>
        <v>0</v>
      </c>
      <c r="D723" s="29" t="n">
        <f aca="false">COUNTIFS(Trades!$D$2:$D$1146,$A723,Trades!$Z$2:$Z$1146,"Loss")</f>
        <v>1</v>
      </c>
      <c r="E723" s="30" t="n">
        <f aca="false">IFERROR(C723/B723,0)</f>
        <v>0</v>
      </c>
      <c r="F723" s="31" t="n">
        <f aca="false">SUMIFS(Trades!$X$2:$X$1146,Trades!$D$2:$D$1146,$A723)</f>
        <v>-0.12</v>
      </c>
      <c r="G723" s="31" t="n">
        <f aca="false">SUMIFS(Trades!$X$2:$X$1146,Trades!$D$2:$D$1146,$A723,Trades!$X$2:$X$1146,"&gt;0")</f>
        <v>0</v>
      </c>
      <c r="H723" s="31" t="n">
        <f aca="false">SUMIFS(Trades!$X$2:$X$1146,Trades!$D$2:$D$1146,$A723,Trades!$X$2:$X$1146,"&lt;0")</f>
        <v>-0.12</v>
      </c>
      <c r="I723" s="32" t="n">
        <f aca="false">IFERROR(G723/-H723,"no loss")</f>
        <v>0</v>
      </c>
      <c r="J723" s="31" t="n">
        <f aca="false">_xlfn.MAXIFS(Trades!$X$2:$X$1146,Trades!$D$2:$D$1146,$A723)</f>
        <v>-0.12</v>
      </c>
      <c r="K723" s="31" t="n">
        <f aca="false">_xlfn.MINIFS(Trades!$X$2:$X$1146,Trades!$D$2:$D$1146,$A723)</f>
        <v>-0.12</v>
      </c>
      <c r="L723" s="33" t="n">
        <f aca="false">SUMIFS(Trades!$Y$2:$Y$1146,Trades!$D$2:$D$1146,$A723)</f>
        <v>-0.00587084148727917</v>
      </c>
      <c r="M723" s="31" t="n">
        <f aca="false">P722</f>
        <v>18311.52</v>
      </c>
      <c r="N723" s="30" t="n">
        <f aca="false">IFERROR(F723/M723,0)</f>
        <v>-6.5532517235052E-006</v>
      </c>
      <c r="O723" s="29" t="str">
        <f aca="false">IF(-N723&gt;=Summary!$C$7,"BREACH","")</f>
        <v/>
      </c>
      <c r="P723" s="31" t="n">
        <f aca="false">M723+F723</f>
        <v>18311.4</v>
      </c>
      <c r="Q723" s="31" t="n">
        <f aca="false">P723-Summary!$C$5</f>
        <v>8311.4</v>
      </c>
      <c r="R723" s="2" t="str">
        <f aca="false">TEXT(A723,"ddd")</f>
        <v>Thu</v>
      </c>
    </row>
    <row r="724" customFormat="false" ht="15" hidden="false" customHeight="false" outlineLevel="0" collapsed="false">
      <c r="A724" s="43" t="n">
        <v>45835</v>
      </c>
      <c r="B724" s="29" t="n">
        <f aca="false">COUNTIFS(Trades!$D$2:$D$1146,$A724)</f>
        <v>1</v>
      </c>
      <c r="C724" s="29" t="n">
        <f aca="false">COUNTIFS(Trades!$D$2:$D$1146,$A724,Trades!$Z$2:$Z$1146,"Win")</f>
        <v>0</v>
      </c>
      <c r="D724" s="29" t="n">
        <f aca="false">COUNTIFS(Trades!$D$2:$D$1146,$A724,Trades!$Z$2:$Z$1146,"Loss")</f>
        <v>1</v>
      </c>
      <c r="E724" s="30" t="n">
        <f aca="false">IFERROR(C724/B724,0)</f>
        <v>0</v>
      </c>
      <c r="F724" s="31" t="n">
        <f aca="false">SUMIFS(Trades!$X$2:$X$1146,Trades!$D$2:$D$1146,$A724)</f>
        <v>-49.72</v>
      </c>
      <c r="G724" s="31" t="n">
        <f aca="false">SUMIFS(Trades!$X$2:$X$1146,Trades!$D$2:$D$1146,$A724,Trades!$X$2:$X$1146,"&gt;0")</f>
        <v>0</v>
      </c>
      <c r="H724" s="31" t="n">
        <f aca="false">SUMIFS(Trades!$X$2:$X$1146,Trades!$D$2:$D$1146,$A724,Trades!$X$2:$X$1146,"&lt;0")</f>
        <v>-49.72</v>
      </c>
      <c r="I724" s="32" t="n">
        <f aca="false">IFERROR(G724/-H724,"no loss")</f>
        <v>0</v>
      </c>
      <c r="J724" s="31" t="n">
        <f aca="false">_xlfn.MAXIFS(Trades!$X$2:$X$1146,Trades!$D$2:$D$1146,$A724)</f>
        <v>-49.72</v>
      </c>
      <c r="K724" s="31" t="n">
        <f aca="false">_xlfn.MINIFS(Trades!$X$2:$X$1146,Trades!$D$2:$D$1146,$A724)</f>
        <v>-49.72</v>
      </c>
      <c r="L724" s="33" t="n">
        <f aca="false">SUMIFS(Trades!$Y$2:$Y$1146,Trades!$D$2:$D$1146,$A724)</f>
        <v>-1.04806070826302</v>
      </c>
      <c r="M724" s="31" t="n">
        <f aca="false">P723</f>
        <v>18311.4</v>
      </c>
      <c r="N724" s="30" t="n">
        <f aca="false">IFERROR(F724/M724,0)</f>
        <v>-0.00271524842447874</v>
      </c>
      <c r="O724" s="29" t="str">
        <f aca="false">IF(-N724&gt;=Summary!$C$7,"BREACH","")</f>
        <v/>
      </c>
      <c r="P724" s="31" t="n">
        <f aca="false">M724+F724</f>
        <v>18261.68</v>
      </c>
      <c r="Q724" s="31" t="n">
        <f aca="false">P724-Summary!$C$5</f>
        <v>8261.68</v>
      </c>
      <c r="R724" s="2" t="str">
        <f aca="false">TEXT(A724,"ddd")</f>
        <v>Fri</v>
      </c>
    </row>
    <row r="725" customFormat="false" ht="15" hidden="false" customHeight="false" outlineLevel="0" collapsed="false">
      <c r="A725" s="43" t="n">
        <v>45838</v>
      </c>
      <c r="B725" s="29" t="n">
        <f aca="false">COUNTIFS(Trades!$D$2:$D$1146,$A725)</f>
        <v>1</v>
      </c>
      <c r="C725" s="29" t="n">
        <f aca="false">COUNTIFS(Trades!$D$2:$D$1146,$A725,Trades!$Z$2:$Z$1146,"Win")</f>
        <v>0</v>
      </c>
      <c r="D725" s="29" t="n">
        <f aca="false">COUNTIFS(Trades!$D$2:$D$1146,$A725,Trades!$Z$2:$Z$1146,"Loss")</f>
        <v>1</v>
      </c>
      <c r="E725" s="30" t="n">
        <f aca="false">IFERROR(C725/B725,0)</f>
        <v>0</v>
      </c>
      <c r="F725" s="31" t="n">
        <f aca="false">SUMIFS(Trades!$X$2:$X$1146,Trades!$D$2:$D$1146,$A725)</f>
        <v>-38.4</v>
      </c>
      <c r="G725" s="31" t="n">
        <f aca="false">SUMIFS(Trades!$X$2:$X$1146,Trades!$D$2:$D$1146,$A725,Trades!$X$2:$X$1146,"&gt;0")</f>
        <v>0</v>
      </c>
      <c r="H725" s="31" t="n">
        <f aca="false">SUMIFS(Trades!$X$2:$X$1146,Trades!$D$2:$D$1146,$A725,Trades!$X$2:$X$1146,"&lt;0")</f>
        <v>-38.4</v>
      </c>
      <c r="I725" s="32" t="n">
        <f aca="false">IFERROR(G725/-H725,"no loss")</f>
        <v>0</v>
      </c>
      <c r="J725" s="31" t="n">
        <f aca="false">_xlfn.MAXIFS(Trades!$X$2:$X$1146,Trades!$D$2:$D$1146,$A725)</f>
        <v>-38.4</v>
      </c>
      <c r="K725" s="31" t="n">
        <f aca="false">_xlfn.MINIFS(Trades!$X$2:$X$1146,Trades!$D$2:$D$1146,$A725)</f>
        <v>-38.4</v>
      </c>
      <c r="L725" s="33" t="n">
        <f aca="false">SUMIFS(Trades!$Y$2:$Y$1146,Trades!$D$2:$D$1146,$A725)</f>
        <v>-1.0073452256031</v>
      </c>
      <c r="M725" s="31" t="n">
        <f aca="false">P724</f>
        <v>18261.68</v>
      </c>
      <c r="N725" s="30" t="n">
        <f aca="false">IFERROR(F725/M725,0)</f>
        <v>-0.00210276382019617</v>
      </c>
      <c r="O725" s="29" t="str">
        <f aca="false">IF(-N725&gt;=Summary!$C$7,"BREACH","")</f>
        <v/>
      </c>
      <c r="P725" s="31" t="n">
        <f aca="false">M725+F725</f>
        <v>18223.28</v>
      </c>
      <c r="Q725" s="31" t="n">
        <f aca="false">P725-Summary!$C$5</f>
        <v>8223.28</v>
      </c>
      <c r="R725" s="2" t="str">
        <f aca="false">TEXT(A725,"ddd")</f>
        <v>Mon</v>
      </c>
    </row>
    <row r="726" customFormat="false" ht="15" hidden="false" customHeight="false" outlineLevel="0" collapsed="false">
      <c r="A726" s="43" t="n">
        <v>45839</v>
      </c>
      <c r="B726" s="29" t="n">
        <f aca="false">COUNTIFS(Trades!$D$2:$D$1146,$A726)</f>
        <v>1</v>
      </c>
      <c r="C726" s="29" t="n">
        <f aca="false">COUNTIFS(Trades!$D$2:$D$1146,$A726,Trades!$Z$2:$Z$1146,"Win")</f>
        <v>1</v>
      </c>
      <c r="D726" s="29" t="n">
        <f aca="false">COUNTIFS(Trades!$D$2:$D$1146,$A726,Trades!$Z$2:$Z$1146,"Loss")</f>
        <v>0</v>
      </c>
      <c r="E726" s="30" t="n">
        <f aca="false">IFERROR(C726/B726,0)</f>
        <v>1</v>
      </c>
      <c r="F726" s="31" t="n">
        <f aca="false">SUMIFS(Trades!$X$2:$X$1146,Trades!$D$2:$D$1146,$A726)</f>
        <v>170.04</v>
      </c>
      <c r="G726" s="31" t="n">
        <f aca="false">SUMIFS(Trades!$X$2:$X$1146,Trades!$D$2:$D$1146,$A726,Trades!$X$2:$X$1146,"&gt;0")</f>
        <v>170.04</v>
      </c>
      <c r="H726" s="31" t="n">
        <f aca="false">SUMIFS(Trades!$X$2:$X$1146,Trades!$D$2:$D$1146,$A726,Trades!$X$2:$X$1146,"&lt;0")</f>
        <v>0</v>
      </c>
      <c r="I726" s="32" t="str">
        <f aca="false">IFERROR(G726/-H726,"no loss")</f>
        <v>no loss</v>
      </c>
      <c r="J726" s="31" t="n">
        <f aca="false">_xlfn.MAXIFS(Trades!$X$2:$X$1146,Trades!$D$2:$D$1146,$A726)</f>
        <v>170.04</v>
      </c>
      <c r="K726" s="31" t="n">
        <f aca="false">_xlfn.MINIFS(Trades!$X$2:$X$1146,Trades!$D$2:$D$1146,$A726)</f>
        <v>170.04</v>
      </c>
      <c r="L726" s="33" t="n">
        <f aca="false">SUMIFS(Trades!$Y$2:$Y$1146,Trades!$D$2:$D$1146,$A726)</f>
        <v>2.5857664233573</v>
      </c>
      <c r="M726" s="31" t="n">
        <f aca="false">P725</f>
        <v>18223.28</v>
      </c>
      <c r="N726" s="30" t="n">
        <f aca="false">IFERROR(F726/M726,0)</f>
        <v>0.00933092176600481</v>
      </c>
      <c r="O726" s="29" t="str">
        <f aca="false">IF(-N726&gt;=Summary!$C$7,"BREACH","")</f>
        <v/>
      </c>
      <c r="P726" s="31" t="n">
        <f aca="false">M726+F726</f>
        <v>18393.32</v>
      </c>
      <c r="Q726" s="31" t="n">
        <f aca="false">P726-Summary!$C$5</f>
        <v>8393.32</v>
      </c>
      <c r="R726" s="2" t="str">
        <f aca="false">TEXT(A726,"ddd")</f>
        <v>Tue</v>
      </c>
    </row>
    <row r="727" customFormat="false" ht="15" hidden="false" customHeight="false" outlineLevel="0" collapsed="false">
      <c r="A727" s="43" t="n">
        <v>45840</v>
      </c>
      <c r="B727" s="29" t="n">
        <f aca="false">COUNTIFS(Trades!$D$2:$D$1146,$A727)</f>
        <v>1</v>
      </c>
      <c r="C727" s="29" t="n">
        <f aca="false">COUNTIFS(Trades!$D$2:$D$1146,$A727,Trades!$Z$2:$Z$1146,"Win")</f>
        <v>0</v>
      </c>
      <c r="D727" s="29" t="n">
        <f aca="false">COUNTIFS(Trades!$D$2:$D$1146,$A727,Trades!$Z$2:$Z$1146,"Loss")</f>
        <v>1</v>
      </c>
      <c r="E727" s="30" t="n">
        <f aca="false">IFERROR(C727/B727,0)</f>
        <v>0</v>
      </c>
      <c r="F727" s="31" t="n">
        <f aca="false">SUMIFS(Trades!$X$2:$X$1146,Trades!$D$2:$D$1146,$A727)</f>
        <v>-48.6</v>
      </c>
      <c r="G727" s="31" t="n">
        <f aca="false">SUMIFS(Trades!$X$2:$X$1146,Trades!$D$2:$D$1146,$A727,Trades!$X$2:$X$1146,"&gt;0")</f>
        <v>0</v>
      </c>
      <c r="H727" s="31" t="n">
        <f aca="false">SUMIFS(Trades!$X$2:$X$1146,Trades!$D$2:$D$1146,$A727,Trades!$X$2:$X$1146,"&lt;0")</f>
        <v>-48.6</v>
      </c>
      <c r="I727" s="32" t="n">
        <f aca="false">IFERROR(G727/-H727,"no loss")</f>
        <v>0</v>
      </c>
      <c r="J727" s="31" t="n">
        <f aca="false">_xlfn.MAXIFS(Trades!$X$2:$X$1146,Trades!$D$2:$D$1146,$A727)</f>
        <v>-48.6</v>
      </c>
      <c r="K727" s="31" t="n">
        <f aca="false">_xlfn.MINIFS(Trades!$X$2:$X$1146,Trades!$D$2:$D$1146,$A727)</f>
        <v>-48.6</v>
      </c>
      <c r="L727" s="33" t="n">
        <f aca="false">SUMIFS(Trades!$Y$2:$Y$1146,Trades!$D$2:$D$1146,$A727)</f>
        <v>-1.0125</v>
      </c>
      <c r="M727" s="31" t="n">
        <f aca="false">P726</f>
        <v>18393.32</v>
      </c>
      <c r="N727" s="30" t="n">
        <f aca="false">IFERROR(F727/M727,0)</f>
        <v>-0.00264226360439551</v>
      </c>
      <c r="O727" s="29" t="str">
        <f aca="false">IF(-N727&gt;=Summary!$C$7,"BREACH","")</f>
        <v/>
      </c>
      <c r="P727" s="31" t="n">
        <f aca="false">M727+F727</f>
        <v>18344.72</v>
      </c>
      <c r="Q727" s="31" t="n">
        <f aca="false">P727-Summary!$C$5</f>
        <v>8344.72</v>
      </c>
      <c r="R727" s="2" t="str">
        <f aca="false">TEXT(A727,"ddd")</f>
        <v>Wed</v>
      </c>
    </row>
    <row r="728" customFormat="false" ht="15" hidden="false" customHeight="false" outlineLevel="0" collapsed="false">
      <c r="A728" s="43" t="n">
        <v>45841</v>
      </c>
      <c r="B728" s="29" t="n">
        <f aca="false">COUNTIFS(Trades!$D$2:$D$1146,$A728)</f>
        <v>1</v>
      </c>
      <c r="C728" s="29" t="n">
        <f aca="false">COUNTIFS(Trades!$D$2:$D$1146,$A728,Trades!$Z$2:$Z$1146,"Win")</f>
        <v>0</v>
      </c>
      <c r="D728" s="29" t="n">
        <f aca="false">COUNTIFS(Trades!$D$2:$D$1146,$A728,Trades!$Z$2:$Z$1146,"Loss")</f>
        <v>1</v>
      </c>
      <c r="E728" s="30" t="n">
        <f aca="false">IFERROR(C728/B728,0)</f>
        <v>0</v>
      </c>
      <c r="F728" s="31" t="n">
        <f aca="false">SUMIFS(Trades!$X$2:$X$1146,Trades!$D$2:$D$1146,$A728)</f>
        <v>-21.76</v>
      </c>
      <c r="G728" s="31" t="n">
        <f aca="false">SUMIFS(Trades!$X$2:$X$1146,Trades!$D$2:$D$1146,$A728,Trades!$X$2:$X$1146,"&gt;0")</f>
        <v>0</v>
      </c>
      <c r="H728" s="31" t="n">
        <f aca="false">SUMIFS(Trades!$X$2:$X$1146,Trades!$D$2:$D$1146,$A728,Trades!$X$2:$X$1146,"&lt;0")</f>
        <v>-21.76</v>
      </c>
      <c r="I728" s="32" t="n">
        <f aca="false">IFERROR(G728/-H728,"no loss")</f>
        <v>0</v>
      </c>
      <c r="J728" s="31" t="n">
        <f aca="false">_xlfn.MAXIFS(Trades!$X$2:$X$1146,Trades!$D$2:$D$1146,$A728)</f>
        <v>-21.76</v>
      </c>
      <c r="K728" s="31" t="n">
        <f aca="false">_xlfn.MINIFS(Trades!$X$2:$X$1146,Trades!$D$2:$D$1146,$A728)</f>
        <v>-21.76</v>
      </c>
      <c r="L728" s="33" t="n">
        <f aca="false">SUMIFS(Trades!$Y$2:$Y$1146,Trades!$D$2:$D$1146,$A728)</f>
        <v>-1.04615384615443</v>
      </c>
      <c r="M728" s="31" t="n">
        <f aca="false">P727</f>
        <v>18344.72</v>
      </c>
      <c r="N728" s="30" t="n">
        <f aca="false">IFERROR(F728/M728,0)</f>
        <v>-0.00118617237003345</v>
      </c>
      <c r="O728" s="29" t="str">
        <f aca="false">IF(-N728&gt;=Summary!$C$7,"BREACH","")</f>
        <v/>
      </c>
      <c r="P728" s="31" t="n">
        <f aca="false">M728+F728</f>
        <v>18322.96</v>
      </c>
      <c r="Q728" s="31" t="n">
        <f aca="false">P728-Summary!$C$5</f>
        <v>8322.96</v>
      </c>
      <c r="R728" s="2" t="str">
        <f aca="false">TEXT(A728,"ddd")</f>
        <v>Thu</v>
      </c>
    </row>
    <row r="729" customFormat="false" ht="15" hidden="false" customHeight="false" outlineLevel="0" collapsed="false">
      <c r="A729" s="43" t="n">
        <v>45845</v>
      </c>
      <c r="B729" s="29" t="n">
        <f aca="false">COUNTIFS(Trades!$D$2:$D$1146,$A729)</f>
        <v>1</v>
      </c>
      <c r="C729" s="29" t="n">
        <f aca="false">COUNTIFS(Trades!$D$2:$D$1146,$A729,Trades!$Z$2:$Z$1146,"Win")</f>
        <v>0</v>
      </c>
      <c r="D729" s="29" t="n">
        <f aca="false">COUNTIFS(Trades!$D$2:$D$1146,$A729,Trades!$Z$2:$Z$1146,"Loss")</f>
        <v>1</v>
      </c>
      <c r="E729" s="30" t="n">
        <f aca="false">IFERROR(C729/B729,0)</f>
        <v>0</v>
      </c>
      <c r="F729" s="31" t="n">
        <f aca="false">SUMIFS(Trades!$X$2:$X$1146,Trades!$D$2:$D$1146,$A729)</f>
        <v>-0.64</v>
      </c>
      <c r="G729" s="31" t="n">
        <f aca="false">SUMIFS(Trades!$X$2:$X$1146,Trades!$D$2:$D$1146,$A729,Trades!$X$2:$X$1146,"&gt;0")</f>
        <v>0</v>
      </c>
      <c r="H729" s="31" t="n">
        <f aca="false">SUMIFS(Trades!$X$2:$X$1146,Trades!$D$2:$D$1146,$A729,Trades!$X$2:$X$1146,"&lt;0")</f>
        <v>-0.64</v>
      </c>
      <c r="I729" s="32" t="n">
        <f aca="false">IFERROR(G729/-H729,"no loss")</f>
        <v>0</v>
      </c>
      <c r="J729" s="31" t="n">
        <f aca="false">_xlfn.MAXIFS(Trades!$X$2:$X$1146,Trades!$D$2:$D$1146,$A729)</f>
        <v>-0.64</v>
      </c>
      <c r="K729" s="31" t="n">
        <f aca="false">_xlfn.MINIFS(Trades!$X$2:$X$1146,Trades!$D$2:$D$1146,$A729)</f>
        <v>-0.64</v>
      </c>
      <c r="L729" s="33" t="n">
        <f aca="false">SUMIFS(Trades!$Y$2:$Y$1146,Trades!$D$2:$D$1146,$A729)</f>
        <v>-0.00515962592712055</v>
      </c>
      <c r="M729" s="31" t="n">
        <f aca="false">P728</f>
        <v>18322.96</v>
      </c>
      <c r="N729" s="30" t="n">
        <f aca="false">IFERROR(F729/M729,0)</f>
        <v>-3.49288542899182E-005</v>
      </c>
      <c r="O729" s="29" t="str">
        <f aca="false">IF(-N729&gt;=Summary!$C$7,"BREACH","")</f>
        <v/>
      </c>
      <c r="P729" s="31" t="n">
        <f aca="false">M729+F729</f>
        <v>18322.32</v>
      </c>
      <c r="Q729" s="31" t="n">
        <f aca="false">P729-Summary!$C$5</f>
        <v>8322.32</v>
      </c>
      <c r="R729" s="2" t="str">
        <f aca="false">TEXT(A729,"ddd")</f>
        <v>Mon</v>
      </c>
    </row>
    <row r="730" customFormat="false" ht="15" hidden="false" customHeight="false" outlineLevel="0" collapsed="false">
      <c r="A730" s="43" t="n">
        <v>45847</v>
      </c>
      <c r="B730" s="29" t="n">
        <f aca="false">COUNTIFS(Trades!$D$2:$D$1146,$A730)</f>
        <v>1</v>
      </c>
      <c r="C730" s="29" t="n">
        <f aca="false">COUNTIFS(Trades!$D$2:$D$1146,$A730,Trades!$Z$2:$Z$1146,"Win")</f>
        <v>1</v>
      </c>
      <c r="D730" s="29" t="n">
        <f aca="false">COUNTIFS(Trades!$D$2:$D$1146,$A730,Trades!$Z$2:$Z$1146,"Loss")</f>
        <v>0</v>
      </c>
      <c r="E730" s="30" t="n">
        <f aca="false">IFERROR(C730/B730,0)</f>
        <v>1</v>
      </c>
      <c r="F730" s="31" t="n">
        <f aca="false">SUMIFS(Trades!$X$2:$X$1146,Trades!$D$2:$D$1146,$A730)</f>
        <v>65.44</v>
      </c>
      <c r="G730" s="31" t="n">
        <f aca="false">SUMIFS(Trades!$X$2:$X$1146,Trades!$D$2:$D$1146,$A730,Trades!$X$2:$X$1146,"&gt;0")</f>
        <v>65.44</v>
      </c>
      <c r="H730" s="31" t="n">
        <f aca="false">SUMIFS(Trades!$X$2:$X$1146,Trades!$D$2:$D$1146,$A730,Trades!$X$2:$X$1146,"&lt;0")</f>
        <v>0</v>
      </c>
      <c r="I730" s="32" t="str">
        <f aca="false">IFERROR(G730/-H730,"no loss")</f>
        <v>no loss</v>
      </c>
      <c r="J730" s="31" t="n">
        <f aca="false">_xlfn.MAXIFS(Trades!$X$2:$X$1146,Trades!$D$2:$D$1146,$A730)</f>
        <v>65.44</v>
      </c>
      <c r="K730" s="31" t="n">
        <f aca="false">_xlfn.MINIFS(Trades!$X$2:$X$1146,Trades!$D$2:$D$1146,$A730)</f>
        <v>65.44</v>
      </c>
      <c r="L730" s="33" t="n">
        <f aca="false">SUMIFS(Trades!$Y$2:$Y$1146,Trades!$D$2:$D$1146,$A730)</f>
        <v>2.01477832512341</v>
      </c>
      <c r="M730" s="31" t="n">
        <f aca="false">P729</f>
        <v>18322.32</v>
      </c>
      <c r="N730" s="30" t="n">
        <f aca="false">IFERROR(F730/M730,0)</f>
        <v>0.00357160010304372</v>
      </c>
      <c r="O730" s="29" t="str">
        <f aca="false">IF(-N730&gt;=Summary!$C$7,"BREACH","")</f>
        <v/>
      </c>
      <c r="P730" s="31" t="n">
        <f aca="false">M730+F730</f>
        <v>18387.76</v>
      </c>
      <c r="Q730" s="31" t="n">
        <f aca="false">P730-Summary!$C$5</f>
        <v>8387.76</v>
      </c>
      <c r="R730" s="2" t="str">
        <f aca="false">TEXT(A730,"ddd")</f>
        <v>Wed</v>
      </c>
    </row>
    <row r="731" customFormat="false" ht="15" hidden="false" customHeight="false" outlineLevel="0" collapsed="false">
      <c r="A731" s="43" t="n">
        <v>45849</v>
      </c>
      <c r="B731" s="29" t="n">
        <f aca="false">COUNTIFS(Trades!$D$2:$D$1146,$A731)</f>
        <v>1</v>
      </c>
      <c r="C731" s="29" t="n">
        <f aca="false">COUNTIFS(Trades!$D$2:$D$1146,$A731,Trades!$Z$2:$Z$1146,"Win")</f>
        <v>1</v>
      </c>
      <c r="D731" s="29" t="n">
        <f aca="false">COUNTIFS(Trades!$D$2:$D$1146,$A731,Trades!$Z$2:$Z$1146,"Loss")</f>
        <v>0</v>
      </c>
      <c r="E731" s="30" t="n">
        <f aca="false">IFERROR(C731/B731,0)</f>
        <v>1</v>
      </c>
      <c r="F731" s="31" t="n">
        <f aca="false">SUMIFS(Trades!$X$2:$X$1146,Trades!$D$2:$D$1146,$A731)</f>
        <v>187.4</v>
      </c>
      <c r="G731" s="31" t="n">
        <f aca="false">SUMIFS(Trades!$X$2:$X$1146,Trades!$D$2:$D$1146,$A731,Trades!$X$2:$X$1146,"&gt;0")</f>
        <v>187.4</v>
      </c>
      <c r="H731" s="31" t="n">
        <f aca="false">SUMIFS(Trades!$X$2:$X$1146,Trades!$D$2:$D$1146,$A731,Trades!$X$2:$X$1146,"&lt;0")</f>
        <v>0</v>
      </c>
      <c r="I731" s="32" t="str">
        <f aca="false">IFERROR(G731/-H731,"no loss")</f>
        <v>no loss</v>
      </c>
      <c r="J731" s="31" t="n">
        <f aca="false">_xlfn.MAXIFS(Trades!$X$2:$X$1146,Trades!$D$2:$D$1146,$A731)</f>
        <v>187.4</v>
      </c>
      <c r="K731" s="31" t="n">
        <f aca="false">_xlfn.MINIFS(Trades!$X$2:$X$1146,Trades!$D$2:$D$1146,$A731)</f>
        <v>187.4</v>
      </c>
      <c r="L731" s="33" t="n">
        <f aca="false">SUMIFS(Trades!$Y$2:$Y$1146,Trades!$D$2:$D$1146,$A731)</f>
        <v>2.52833243389065</v>
      </c>
      <c r="M731" s="31" t="n">
        <f aca="false">P730</f>
        <v>18387.76</v>
      </c>
      <c r="N731" s="30" t="n">
        <f aca="false">IFERROR(F731/M731,0)</f>
        <v>0.0101915622131244</v>
      </c>
      <c r="O731" s="29" t="str">
        <f aca="false">IF(-N731&gt;=Summary!$C$7,"BREACH","")</f>
        <v/>
      </c>
      <c r="P731" s="31" t="n">
        <f aca="false">M731+F731</f>
        <v>18575.16</v>
      </c>
      <c r="Q731" s="31" t="n">
        <f aca="false">P731-Summary!$C$5</f>
        <v>8575.16</v>
      </c>
      <c r="R731" s="2" t="str">
        <f aca="false">TEXT(A731,"ddd")</f>
        <v>Fri</v>
      </c>
    </row>
    <row r="732" customFormat="false" ht="15" hidden="false" customHeight="false" outlineLevel="0" collapsed="false">
      <c r="A732" s="43" t="n">
        <v>45852</v>
      </c>
      <c r="B732" s="29" t="n">
        <f aca="false">COUNTIFS(Trades!$D$2:$D$1146,$A732)</f>
        <v>2</v>
      </c>
      <c r="C732" s="29" t="n">
        <f aca="false">COUNTIFS(Trades!$D$2:$D$1146,$A732,Trades!$Z$2:$Z$1146,"Win")</f>
        <v>0</v>
      </c>
      <c r="D732" s="29" t="n">
        <f aca="false">COUNTIFS(Trades!$D$2:$D$1146,$A732,Trades!$Z$2:$Z$1146,"Loss")</f>
        <v>1</v>
      </c>
      <c r="E732" s="30" t="n">
        <f aca="false">IFERROR(C732/B732,0)</f>
        <v>0</v>
      </c>
      <c r="F732" s="31" t="n">
        <f aca="false">SUMIFS(Trades!$X$2:$X$1146,Trades!$D$2:$D$1146,$A732)</f>
        <v>-55.16</v>
      </c>
      <c r="G732" s="31" t="n">
        <f aca="false">SUMIFS(Trades!$X$2:$X$1146,Trades!$D$2:$D$1146,$A732,Trades!$X$2:$X$1146,"&gt;0")</f>
        <v>0</v>
      </c>
      <c r="H732" s="31" t="n">
        <f aca="false">SUMIFS(Trades!$X$2:$X$1146,Trades!$D$2:$D$1146,$A732,Trades!$X$2:$X$1146,"&lt;0")</f>
        <v>-55.16</v>
      </c>
      <c r="I732" s="32" t="n">
        <f aca="false">IFERROR(G732/-H732,"no loss")</f>
        <v>0</v>
      </c>
      <c r="J732" s="31" t="n">
        <f aca="false">_xlfn.MAXIFS(Trades!$X$2:$X$1146,Trades!$D$2:$D$1146,$A732)</f>
        <v>0</v>
      </c>
      <c r="K732" s="31" t="n">
        <f aca="false">_xlfn.MINIFS(Trades!$X$2:$X$1146,Trades!$D$2:$D$1146,$A732)</f>
        <v>-55.16</v>
      </c>
      <c r="L732" s="33" t="n">
        <f aca="false">SUMIFS(Trades!$Y$2:$Y$1146,Trades!$D$2:$D$1146,$A732)</f>
        <v>-1.09011857707529</v>
      </c>
      <c r="M732" s="31" t="n">
        <f aca="false">P731</f>
        <v>18575.16</v>
      </c>
      <c r="N732" s="30" t="n">
        <f aca="false">IFERROR(F732/M732,0)</f>
        <v>-0.00296955719358541</v>
      </c>
      <c r="O732" s="29" t="str">
        <f aca="false">IF(-N732&gt;=Summary!$C$7,"BREACH","")</f>
        <v/>
      </c>
      <c r="P732" s="31" t="n">
        <f aca="false">M732+F732</f>
        <v>18520</v>
      </c>
      <c r="Q732" s="31" t="n">
        <f aca="false">P732-Summary!$C$5</f>
        <v>8520</v>
      </c>
      <c r="R732" s="2" t="str">
        <f aca="false">TEXT(A732,"ddd")</f>
        <v>Mon</v>
      </c>
    </row>
    <row r="733" customFormat="false" ht="15" hidden="false" customHeight="false" outlineLevel="0" collapsed="false">
      <c r="A733" s="43" t="n">
        <v>45853</v>
      </c>
      <c r="B733" s="29" t="n">
        <f aca="false">COUNTIFS(Trades!$D$2:$D$1146,$A733)</f>
        <v>1</v>
      </c>
      <c r="C733" s="29" t="n">
        <f aca="false">COUNTIFS(Trades!$D$2:$D$1146,$A733,Trades!$Z$2:$Z$1146,"Win")</f>
        <v>1</v>
      </c>
      <c r="D733" s="29" t="n">
        <f aca="false">COUNTIFS(Trades!$D$2:$D$1146,$A733,Trades!$Z$2:$Z$1146,"Loss")</f>
        <v>0</v>
      </c>
      <c r="E733" s="30" t="n">
        <f aca="false">IFERROR(C733/B733,0)</f>
        <v>1</v>
      </c>
      <c r="F733" s="31" t="n">
        <f aca="false">SUMIFS(Trades!$X$2:$X$1146,Trades!$D$2:$D$1146,$A733)</f>
        <v>155.72</v>
      </c>
      <c r="G733" s="31" t="n">
        <f aca="false">SUMIFS(Trades!$X$2:$X$1146,Trades!$D$2:$D$1146,$A733,Trades!$X$2:$X$1146,"&gt;0")</f>
        <v>155.72</v>
      </c>
      <c r="H733" s="31" t="n">
        <f aca="false">SUMIFS(Trades!$X$2:$X$1146,Trades!$D$2:$D$1146,$A733,Trades!$X$2:$X$1146,"&lt;0")</f>
        <v>0</v>
      </c>
      <c r="I733" s="32" t="str">
        <f aca="false">IFERROR(G733/-H733,"no loss")</f>
        <v>no loss</v>
      </c>
      <c r="J733" s="31" t="n">
        <f aca="false">_xlfn.MAXIFS(Trades!$X$2:$X$1146,Trades!$D$2:$D$1146,$A733)</f>
        <v>155.72</v>
      </c>
      <c r="K733" s="31" t="n">
        <f aca="false">_xlfn.MINIFS(Trades!$X$2:$X$1146,Trades!$D$2:$D$1146,$A733)</f>
        <v>155.72</v>
      </c>
      <c r="L733" s="33" t="n">
        <f aca="false">SUMIFS(Trades!$Y$2:$Y$1146,Trades!$D$2:$D$1146,$A733)</f>
        <v>2.49551282051305</v>
      </c>
      <c r="M733" s="31" t="n">
        <f aca="false">P732</f>
        <v>18520</v>
      </c>
      <c r="N733" s="30" t="n">
        <f aca="false">IFERROR(F733/M733,0)</f>
        <v>0.00840820734341253</v>
      </c>
      <c r="O733" s="29" t="str">
        <f aca="false">IF(-N733&gt;=Summary!$C$7,"BREACH","")</f>
        <v/>
      </c>
      <c r="P733" s="31" t="n">
        <f aca="false">M733+F733</f>
        <v>18675.72</v>
      </c>
      <c r="Q733" s="31" t="n">
        <f aca="false">P733-Summary!$C$5</f>
        <v>8675.72</v>
      </c>
      <c r="R733" s="2" t="str">
        <f aca="false">TEXT(A733,"ddd")</f>
        <v>Tue</v>
      </c>
    </row>
    <row r="734" customFormat="false" ht="15" hidden="false" customHeight="false" outlineLevel="0" collapsed="false">
      <c r="A734" s="43" t="n">
        <v>45854</v>
      </c>
      <c r="B734" s="29" t="n">
        <f aca="false">COUNTIFS(Trades!$D$2:$D$1146,$A734)</f>
        <v>1</v>
      </c>
      <c r="C734" s="29" t="n">
        <f aca="false">COUNTIFS(Trades!$D$2:$D$1146,$A734,Trades!$Z$2:$Z$1146,"Win")</f>
        <v>0</v>
      </c>
      <c r="D734" s="29" t="n">
        <f aca="false">COUNTIFS(Trades!$D$2:$D$1146,$A734,Trades!$Z$2:$Z$1146,"Loss")</f>
        <v>1</v>
      </c>
      <c r="E734" s="30" t="n">
        <f aca="false">IFERROR(C734/B734,0)</f>
        <v>0</v>
      </c>
      <c r="F734" s="31" t="n">
        <f aca="false">SUMIFS(Trades!$X$2:$X$1146,Trades!$D$2:$D$1146,$A734)</f>
        <v>-42.52</v>
      </c>
      <c r="G734" s="31" t="n">
        <f aca="false">SUMIFS(Trades!$X$2:$X$1146,Trades!$D$2:$D$1146,$A734,Trades!$X$2:$X$1146,"&gt;0")</f>
        <v>0</v>
      </c>
      <c r="H734" s="31" t="n">
        <f aca="false">SUMIFS(Trades!$X$2:$X$1146,Trades!$D$2:$D$1146,$A734,Trades!$X$2:$X$1146,"&lt;0")</f>
        <v>-42.52</v>
      </c>
      <c r="I734" s="32" t="n">
        <f aca="false">IFERROR(G734/-H734,"no loss")</f>
        <v>0</v>
      </c>
      <c r="J734" s="31" t="n">
        <f aca="false">_xlfn.MAXIFS(Trades!$X$2:$X$1146,Trades!$D$2:$D$1146,$A734)</f>
        <v>-42.52</v>
      </c>
      <c r="K734" s="31" t="n">
        <f aca="false">_xlfn.MINIFS(Trades!$X$2:$X$1146,Trades!$D$2:$D$1146,$A734)</f>
        <v>-42.52</v>
      </c>
      <c r="L734" s="33" t="n">
        <f aca="false">SUMIFS(Trades!$Y$2:$Y$1146,Trades!$D$2:$D$1146,$A734)</f>
        <v>-1.15669205658341</v>
      </c>
      <c r="M734" s="31" t="n">
        <f aca="false">P733</f>
        <v>18675.72</v>
      </c>
      <c r="N734" s="30" t="n">
        <f aca="false">IFERROR(F734/M734,0)</f>
        <v>-0.00227675291769206</v>
      </c>
      <c r="O734" s="29" t="str">
        <f aca="false">IF(-N734&gt;=Summary!$C$7,"BREACH","")</f>
        <v/>
      </c>
      <c r="P734" s="31" t="n">
        <f aca="false">M734+F734</f>
        <v>18633.2</v>
      </c>
      <c r="Q734" s="31" t="n">
        <f aca="false">P734-Summary!$C$5</f>
        <v>8633.2</v>
      </c>
      <c r="R734" s="2" t="str">
        <f aca="false">TEXT(A734,"ddd")</f>
        <v>Wed</v>
      </c>
    </row>
    <row r="735" customFormat="false" ht="15" hidden="false" customHeight="false" outlineLevel="0" collapsed="false">
      <c r="A735" s="43" t="n">
        <v>45855</v>
      </c>
      <c r="B735" s="29" t="n">
        <f aca="false">COUNTIFS(Trades!$D$2:$D$1146,$A735)</f>
        <v>1</v>
      </c>
      <c r="C735" s="29" t="n">
        <f aca="false">COUNTIFS(Trades!$D$2:$D$1146,$A735,Trades!$Z$2:$Z$1146,"Win")</f>
        <v>1</v>
      </c>
      <c r="D735" s="29" t="n">
        <f aca="false">COUNTIFS(Trades!$D$2:$D$1146,$A735,Trades!$Z$2:$Z$1146,"Loss")</f>
        <v>0</v>
      </c>
      <c r="E735" s="30" t="n">
        <f aca="false">IFERROR(C735/B735,0)</f>
        <v>1</v>
      </c>
      <c r="F735" s="31" t="n">
        <f aca="false">SUMIFS(Trades!$X$2:$X$1146,Trades!$D$2:$D$1146,$A735)</f>
        <v>52.52</v>
      </c>
      <c r="G735" s="31" t="n">
        <f aca="false">SUMIFS(Trades!$X$2:$X$1146,Trades!$D$2:$D$1146,$A735,Trades!$X$2:$X$1146,"&gt;0")</f>
        <v>52.52</v>
      </c>
      <c r="H735" s="31" t="n">
        <f aca="false">SUMIFS(Trades!$X$2:$X$1146,Trades!$D$2:$D$1146,$A735,Trades!$X$2:$X$1146,"&lt;0")</f>
        <v>0</v>
      </c>
      <c r="I735" s="32" t="str">
        <f aca="false">IFERROR(G735/-H735,"no loss")</f>
        <v>no loss</v>
      </c>
      <c r="J735" s="31" t="n">
        <f aca="false">_xlfn.MAXIFS(Trades!$X$2:$X$1146,Trades!$D$2:$D$1146,$A735)</f>
        <v>52.52</v>
      </c>
      <c r="K735" s="31" t="n">
        <f aca="false">_xlfn.MINIFS(Trades!$X$2:$X$1146,Trades!$D$2:$D$1146,$A735)</f>
        <v>52.52</v>
      </c>
      <c r="L735" s="33" t="n">
        <f aca="false">SUMIFS(Trades!$Y$2:$Y$1146,Trades!$D$2:$D$1146,$A735)</f>
        <v>2.77589852008482</v>
      </c>
      <c r="M735" s="31" t="n">
        <f aca="false">P734</f>
        <v>18633.2</v>
      </c>
      <c r="N735" s="30" t="n">
        <f aca="false">IFERROR(F735/M735,0)</f>
        <v>0.00281862482021338</v>
      </c>
      <c r="O735" s="29" t="str">
        <f aca="false">IF(-N735&gt;=Summary!$C$7,"BREACH","")</f>
        <v/>
      </c>
      <c r="P735" s="31" t="n">
        <f aca="false">M735+F735</f>
        <v>18685.72</v>
      </c>
      <c r="Q735" s="31" t="n">
        <f aca="false">P735-Summary!$C$5</f>
        <v>8685.72</v>
      </c>
      <c r="R735" s="2" t="str">
        <f aca="false">TEXT(A735,"ddd")</f>
        <v>Thu</v>
      </c>
    </row>
    <row r="736" customFormat="false" ht="15" hidden="false" customHeight="false" outlineLevel="0" collapsed="false">
      <c r="A736" s="43" t="n">
        <v>45856</v>
      </c>
      <c r="B736" s="29" t="n">
        <f aca="false">COUNTIFS(Trades!$D$2:$D$1146,$A736)</f>
        <v>1</v>
      </c>
      <c r="C736" s="29" t="n">
        <f aca="false">COUNTIFS(Trades!$D$2:$D$1146,$A736,Trades!$Z$2:$Z$1146,"Win")</f>
        <v>0</v>
      </c>
      <c r="D736" s="29" t="n">
        <f aca="false">COUNTIFS(Trades!$D$2:$D$1146,$A736,Trades!$Z$2:$Z$1146,"Loss")</f>
        <v>1</v>
      </c>
      <c r="E736" s="30" t="n">
        <f aca="false">IFERROR(C736/B736,0)</f>
        <v>0</v>
      </c>
      <c r="F736" s="31" t="n">
        <f aca="false">SUMIFS(Trades!$X$2:$X$1146,Trades!$D$2:$D$1146,$A736)</f>
        <v>-12</v>
      </c>
      <c r="G736" s="31" t="n">
        <f aca="false">SUMIFS(Trades!$X$2:$X$1146,Trades!$D$2:$D$1146,$A736,Trades!$X$2:$X$1146,"&gt;0")</f>
        <v>0</v>
      </c>
      <c r="H736" s="31" t="n">
        <f aca="false">SUMIFS(Trades!$X$2:$X$1146,Trades!$D$2:$D$1146,$A736,Trades!$X$2:$X$1146,"&lt;0")</f>
        <v>-12</v>
      </c>
      <c r="I736" s="32" t="n">
        <f aca="false">IFERROR(G736/-H736,"no loss")</f>
        <v>0</v>
      </c>
      <c r="J736" s="31" t="n">
        <f aca="false">_xlfn.MAXIFS(Trades!$X$2:$X$1146,Trades!$D$2:$D$1146,$A736)</f>
        <v>-12</v>
      </c>
      <c r="K736" s="31" t="n">
        <f aca="false">_xlfn.MINIFS(Trades!$X$2:$X$1146,Trades!$D$2:$D$1146,$A736)</f>
        <v>-12</v>
      </c>
      <c r="L736" s="33" t="n">
        <f aca="false">SUMIFS(Trades!$Y$2:$Y$1146,Trades!$D$2:$D$1146,$A736)</f>
        <v>-1.00334448160481</v>
      </c>
      <c r="M736" s="31" t="n">
        <f aca="false">P735</f>
        <v>18685.72</v>
      </c>
      <c r="N736" s="30" t="n">
        <f aca="false">IFERROR(F736/M736,0)</f>
        <v>-0.000642201638470447</v>
      </c>
      <c r="O736" s="29" t="str">
        <f aca="false">IF(-N736&gt;=Summary!$C$7,"BREACH","")</f>
        <v/>
      </c>
      <c r="P736" s="31" t="n">
        <f aca="false">M736+F736</f>
        <v>18673.72</v>
      </c>
      <c r="Q736" s="31" t="n">
        <f aca="false">P736-Summary!$C$5</f>
        <v>8673.72</v>
      </c>
      <c r="R736" s="2" t="str">
        <f aca="false">TEXT(A736,"ddd")</f>
        <v>Fri</v>
      </c>
    </row>
    <row r="737" customFormat="false" ht="15" hidden="false" customHeight="false" outlineLevel="0" collapsed="false">
      <c r="A737" s="43" t="n">
        <v>45859</v>
      </c>
      <c r="B737" s="29" t="n">
        <f aca="false">COUNTIFS(Trades!$D$2:$D$1146,$A737)</f>
        <v>1</v>
      </c>
      <c r="C737" s="29" t="n">
        <f aca="false">COUNTIFS(Trades!$D$2:$D$1146,$A737,Trades!$Z$2:$Z$1146,"Win")</f>
        <v>0</v>
      </c>
      <c r="D737" s="29" t="n">
        <f aca="false">COUNTIFS(Trades!$D$2:$D$1146,$A737,Trades!$Z$2:$Z$1146,"Loss")</f>
        <v>1</v>
      </c>
      <c r="E737" s="30" t="n">
        <f aca="false">IFERROR(C737/B737,0)</f>
        <v>0</v>
      </c>
      <c r="F737" s="31" t="n">
        <f aca="false">SUMIFS(Trades!$X$2:$X$1146,Trades!$D$2:$D$1146,$A737)</f>
        <v>-49.88</v>
      </c>
      <c r="G737" s="31" t="n">
        <f aca="false">SUMIFS(Trades!$X$2:$X$1146,Trades!$D$2:$D$1146,$A737,Trades!$X$2:$X$1146,"&gt;0")</f>
        <v>0</v>
      </c>
      <c r="H737" s="31" t="n">
        <f aca="false">SUMIFS(Trades!$X$2:$X$1146,Trades!$D$2:$D$1146,$A737,Trades!$X$2:$X$1146,"&lt;0")</f>
        <v>-49.88</v>
      </c>
      <c r="I737" s="32" t="n">
        <f aca="false">IFERROR(G737/-H737,"no loss")</f>
        <v>0</v>
      </c>
      <c r="J737" s="31" t="n">
        <f aca="false">_xlfn.MAXIFS(Trades!$X$2:$X$1146,Trades!$D$2:$D$1146,$A737)</f>
        <v>-49.88</v>
      </c>
      <c r="K737" s="31" t="n">
        <f aca="false">_xlfn.MINIFS(Trades!$X$2:$X$1146,Trades!$D$2:$D$1146,$A737)</f>
        <v>-49.88</v>
      </c>
      <c r="L737" s="33" t="n">
        <f aca="false">SUMIFS(Trades!$Y$2:$Y$1146,Trades!$D$2:$D$1146,$A737)</f>
        <v>-1.04438860971536</v>
      </c>
      <c r="M737" s="31" t="n">
        <f aca="false">P736</f>
        <v>18673.72</v>
      </c>
      <c r="N737" s="30" t="n">
        <f aca="false">IFERROR(F737/M737,0)</f>
        <v>-0.00267113355025137</v>
      </c>
      <c r="O737" s="29" t="str">
        <f aca="false">IF(-N737&gt;=Summary!$C$7,"BREACH","")</f>
        <v/>
      </c>
      <c r="P737" s="31" t="n">
        <f aca="false">M737+F737</f>
        <v>18623.84</v>
      </c>
      <c r="Q737" s="31" t="n">
        <f aca="false">P737-Summary!$C$5</f>
        <v>8623.84</v>
      </c>
      <c r="R737" s="2" t="str">
        <f aca="false">TEXT(A737,"ddd")</f>
        <v>Mon</v>
      </c>
    </row>
    <row r="738" customFormat="false" ht="15" hidden="false" customHeight="false" outlineLevel="0" collapsed="false">
      <c r="A738" s="43" t="n">
        <v>45860</v>
      </c>
      <c r="B738" s="29" t="n">
        <f aca="false">COUNTIFS(Trades!$D$2:$D$1146,$A738)</f>
        <v>1</v>
      </c>
      <c r="C738" s="29" t="n">
        <f aca="false">COUNTIFS(Trades!$D$2:$D$1146,$A738,Trades!$Z$2:$Z$1146,"Win")</f>
        <v>1</v>
      </c>
      <c r="D738" s="29" t="n">
        <f aca="false">COUNTIFS(Trades!$D$2:$D$1146,$A738,Trades!$Z$2:$Z$1146,"Loss")</f>
        <v>0</v>
      </c>
      <c r="E738" s="30" t="n">
        <f aca="false">IFERROR(C738/B738,0)</f>
        <v>1</v>
      </c>
      <c r="F738" s="31" t="n">
        <f aca="false">SUMIFS(Trades!$X$2:$X$1146,Trades!$D$2:$D$1146,$A738)</f>
        <v>184.32</v>
      </c>
      <c r="G738" s="31" t="n">
        <f aca="false">SUMIFS(Trades!$X$2:$X$1146,Trades!$D$2:$D$1146,$A738,Trades!$X$2:$X$1146,"&gt;0")</f>
        <v>184.32</v>
      </c>
      <c r="H738" s="31" t="n">
        <f aca="false">SUMIFS(Trades!$X$2:$X$1146,Trades!$D$2:$D$1146,$A738,Trades!$X$2:$X$1146,"&lt;0")</f>
        <v>0</v>
      </c>
      <c r="I738" s="32" t="str">
        <f aca="false">IFERROR(G738/-H738,"no loss")</f>
        <v>no loss</v>
      </c>
      <c r="J738" s="31" t="n">
        <f aca="false">_xlfn.MAXIFS(Trades!$X$2:$X$1146,Trades!$D$2:$D$1146,$A738)</f>
        <v>184.32</v>
      </c>
      <c r="K738" s="31" t="n">
        <f aca="false">_xlfn.MINIFS(Trades!$X$2:$X$1146,Trades!$D$2:$D$1146,$A738)</f>
        <v>184.32</v>
      </c>
      <c r="L738" s="33" t="n">
        <f aca="false">SUMIFS(Trades!$Y$2:$Y$1146,Trades!$D$2:$D$1146,$A738)</f>
        <v>2.46417112299456</v>
      </c>
      <c r="M738" s="31" t="n">
        <f aca="false">P737</f>
        <v>18623.84</v>
      </c>
      <c r="N738" s="30" t="n">
        <f aca="false">IFERROR(F738/M738,0)</f>
        <v>0.00989699224220139</v>
      </c>
      <c r="O738" s="29" t="str">
        <f aca="false">IF(-N738&gt;=Summary!$C$7,"BREACH","")</f>
        <v/>
      </c>
      <c r="P738" s="31" t="n">
        <f aca="false">M738+F738</f>
        <v>18808.16</v>
      </c>
      <c r="Q738" s="31" t="n">
        <f aca="false">P738-Summary!$C$5</f>
        <v>8808.16</v>
      </c>
      <c r="R738" s="2" t="str">
        <f aca="false">TEXT(A738,"ddd")</f>
        <v>Tue</v>
      </c>
    </row>
    <row r="739" customFormat="false" ht="15" hidden="false" customHeight="false" outlineLevel="0" collapsed="false">
      <c r="A739" s="43" t="n">
        <v>45861</v>
      </c>
      <c r="B739" s="29" t="n">
        <f aca="false">COUNTIFS(Trades!$D$2:$D$1146,$A739)</f>
        <v>1</v>
      </c>
      <c r="C739" s="29" t="n">
        <f aca="false">COUNTIFS(Trades!$D$2:$D$1146,$A739,Trades!$Z$2:$Z$1146,"Win")</f>
        <v>0</v>
      </c>
      <c r="D739" s="29" t="n">
        <f aca="false">COUNTIFS(Trades!$D$2:$D$1146,$A739,Trades!$Z$2:$Z$1146,"Loss")</f>
        <v>1</v>
      </c>
      <c r="E739" s="30" t="n">
        <f aca="false">IFERROR(C739/B739,0)</f>
        <v>0</v>
      </c>
      <c r="F739" s="31" t="n">
        <f aca="false">SUMIFS(Trades!$X$2:$X$1146,Trades!$D$2:$D$1146,$A739)</f>
        <v>-116.68</v>
      </c>
      <c r="G739" s="31" t="n">
        <f aca="false">SUMIFS(Trades!$X$2:$X$1146,Trades!$D$2:$D$1146,$A739,Trades!$X$2:$X$1146,"&gt;0")</f>
        <v>0</v>
      </c>
      <c r="H739" s="31" t="n">
        <f aca="false">SUMIFS(Trades!$X$2:$X$1146,Trades!$D$2:$D$1146,$A739,Trades!$X$2:$X$1146,"&lt;0")</f>
        <v>-116.68</v>
      </c>
      <c r="I739" s="32" t="n">
        <f aca="false">IFERROR(G739/-H739,"no loss")</f>
        <v>0</v>
      </c>
      <c r="J739" s="31" t="n">
        <f aca="false">_xlfn.MAXIFS(Trades!$X$2:$X$1146,Trades!$D$2:$D$1146,$A739)</f>
        <v>-116.68</v>
      </c>
      <c r="K739" s="31" t="n">
        <f aca="false">_xlfn.MINIFS(Trades!$X$2:$X$1146,Trades!$D$2:$D$1146,$A739)</f>
        <v>-116.68</v>
      </c>
      <c r="L739" s="33" t="n">
        <f aca="false">SUMIFS(Trades!$Y$2:$Y$1146,Trades!$D$2:$D$1146,$A739)</f>
        <v>-1.02819880155084</v>
      </c>
      <c r="M739" s="31" t="n">
        <f aca="false">P738</f>
        <v>18808.16</v>
      </c>
      <c r="N739" s="30" t="n">
        <f aca="false">IFERROR(F739/M739,0)</f>
        <v>-0.00620369031314068</v>
      </c>
      <c r="O739" s="29" t="str">
        <f aca="false">IF(-N739&gt;=Summary!$C$7,"BREACH","")</f>
        <v/>
      </c>
      <c r="P739" s="31" t="n">
        <f aca="false">M739+F739</f>
        <v>18691.48</v>
      </c>
      <c r="Q739" s="31" t="n">
        <f aca="false">P739-Summary!$C$5</f>
        <v>8691.48</v>
      </c>
      <c r="R739" s="2" t="str">
        <f aca="false">TEXT(A739,"ddd")</f>
        <v>Wed</v>
      </c>
    </row>
    <row r="740" customFormat="false" ht="15" hidden="false" customHeight="false" outlineLevel="0" collapsed="false">
      <c r="A740" s="43" t="n">
        <v>45862</v>
      </c>
      <c r="B740" s="29" t="n">
        <f aca="false">COUNTIFS(Trades!$D$2:$D$1146,$A740)</f>
        <v>1</v>
      </c>
      <c r="C740" s="29" t="n">
        <f aca="false">COUNTIFS(Trades!$D$2:$D$1146,$A740,Trades!$Z$2:$Z$1146,"Win")</f>
        <v>0</v>
      </c>
      <c r="D740" s="29" t="n">
        <f aca="false">COUNTIFS(Trades!$D$2:$D$1146,$A740,Trades!$Z$2:$Z$1146,"Loss")</f>
        <v>1</v>
      </c>
      <c r="E740" s="30" t="n">
        <f aca="false">IFERROR(C740/B740,0)</f>
        <v>0</v>
      </c>
      <c r="F740" s="31" t="n">
        <f aca="false">SUMIFS(Trades!$X$2:$X$1146,Trades!$D$2:$D$1146,$A740)</f>
        <v>-9.72</v>
      </c>
      <c r="G740" s="31" t="n">
        <f aca="false">SUMIFS(Trades!$X$2:$X$1146,Trades!$D$2:$D$1146,$A740,Trades!$X$2:$X$1146,"&gt;0")</f>
        <v>0</v>
      </c>
      <c r="H740" s="31" t="n">
        <f aca="false">SUMIFS(Trades!$X$2:$X$1146,Trades!$D$2:$D$1146,$A740,Trades!$X$2:$X$1146,"&lt;0")</f>
        <v>-9.72</v>
      </c>
      <c r="I740" s="32" t="n">
        <f aca="false">IFERROR(G740/-H740,"no loss")</f>
        <v>0</v>
      </c>
      <c r="J740" s="31" t="n">
        <f aca="false">_xlfn.MAXIFS(Trades!$X$2:$X$1146,Trades!$D$2:$D$1146,$A740)</f>
        <v>-9.72</v>
      </c>
      <c r="K740" s="31" t="n">
        <f aca="false">_xlfn.MINIFS(Trades!$X$2:$X$1146,Trades!$D$2:$D$1146,$A740)</f>
        <v>-9.72</v>
      </c>
      <c r="L740" s="33" t="n">
        <f aca="false">SUMIFS(Trades!$Y$2:$Y$1146,Trades!$D$2:$D$1146,$A740)</f>
        <v>-1.03404255319213</v>
      </c>
      <c r="M740" s="31" t="n">
        <f aca="false">P739</f>
        <v>18691.48</v>
      </c>
      <c r="N740" s="30" t="n">
        <f aca="false">IFERROR(F740/M740,0)</f>
        <v>-0.000520023026534015</v>
      </c>
      <c r="O740" s="29" t="str">
        <f aca="false">IF(-N740&gt;=Summary!$C$7,"BREACH","")</f>
        <v/>
      </c>
      <c r="P740" s="31" t="n">
        <f aca="false">M740+F740</f>
        <v>18681.76</v>
      </c>
      <c r="Q740" s="31" t="n">
        <f aca="false">P740-Summary!$C$5</f>
        <v>8681.76</v>
      </c>
      <c r="R740" s="2" t="str">
        <f aca="false">TEXT(A740,"ddd")</f>
        <v>Thu</v>
      </c>
    </row>
    <row r="741" customFormat="false" ht="15" hidden="false" customHeight="false" outlineLevel="0" collapsed="false">
      <c r="A741" s="43" t="n">
        <v>45863</v>
      </c>
      <c r="B741" s="29" t="n">
        <f aca="false">COUNTIFS(Trades!$D$2:$D$1146,$A741)</f>
        <v>1</v>
      </c>
      <c r="C741" s="29" t="n">
        <f aca="false">COUNTIFS(Trades!$D$2:$D$1146,$A741,Trades!$Z$2:$Z$1146,"Win")</f>
        <v>0</v>
      </c>
      <c r="D741" s="29" t="n">
        <f aca="false">COUNTIFS(Trades!$D$2:$D$1146,$A741,Trades!$Z$2:$Z$1146,"Loss")</f>
        <v>1</v>
      </c>
      <c r="E741" s="30" t="n">
        <f aca="false">IFERROR(C741/B741,0)</f>
        <v>0</v>
      </c>
      <c r="F741" s="31" t="n">
        <f aca="false">SUMIFS(Trades!$X$2:$X$1146,Trades!$D$2:$D$1146,$A741)</f>
        <v>-0.28</v>
      </c>
      <c r="G741" s="31" t="n">
        <f aca="false">SUMIFS(Trades!$X$2:$X$1146,Trades!$D$2:$D$1146,$A741,Trades!$X$2:$X$1146,"&gt;0")</f>
        <v>0</v>
      </c>
      <c r="H741" s="31" t="n">
        <f aca="false">SUMIFS(Trades!$X$2:$X$1146,Trades!$D$2:$D$1146,$A741,Trades!$X$2:$X$1146,"&lt;0")</f>
        <v>-0.28</v>
      </c>
      <c r="I741" s="32" t="n">
        <f aca="false">IFERROR(G741/-H741,"no loss")</f>
        <v>0</v>
      </c>
      <c r="J741" s="31" t="n">
        <f aca="false">_xlfn.MAXIFS(Trades!$X$2:$X$1146,Trades!$D$2:$D$1146,$A741)</f>
        <v>-0.28</v>
      </c>
      <c r="K741" s="31" t="n">
        <f aca="false">_xlfn.MINIFS(Trades!$X$2:$X$1146,Trades!$D$2:$D$1146,$A741)</f>
        <v>-0.28</v>
      </c>
      <c r="L741" s="33" t="n">
        <f aca="false">SUMIFS(Trades!$Y$2:$Y$1146,Trades!$D$2:$D$1146,$A741)</f>
        <v>-0.0154867256637153</v>
      </c>
      <c r="M741" s="31" t="n">
        <f aca="false">P740</f>
        <v>18681.76</v>
      </c>
      <c r="N741" s="30" t="n">
        <f aca="false">IFERROR(F741/M741,0)</f>
        <v>-1.49878812274647E-005</v>
      </c>
      <c r="O741" s="29" t="str">
        <f aca="false">IF(-N741&gt;=Summary!$C$7,"BREACH","")</f>
        <v/>
      </c>
      <c r="P741" s="31" t="n">
        <f aca="false">M741+F741</f>
        <v>18681.48</v>
      </c>
      <c r="Q741" s="31" t="n">
        <f aca="false">P741-Summary!$C$5</f>
        <v>8681.48</v>
      </c>
      <c r="R741" s="2" t="str">
        <f aca="false">TEXT(A741,"ddd")</f>
        <v>Fri</v>
      </c>
    </row>
    <row r="742" customFormat="false" ht="15" hidden="false" customHeight="false" outlineLevel="0" collapsed="false">
      <c r="A742" s="43" t="n">
        <v>45866</v>
      </c>
      <c r="B742" s="29" t="n">
        <f aca="false">COUNTIFS(Trades!$D$2:$D$1146,$A742)</f>
        <v>1</v>
      </c>
      <c r="C742" s="29" t="n">
        <f aca="false">COUNTIFS(Trades!$D$2:$D$1146,$A742,Trades!$Z$2:$Z$1146,"Win")</f>
        <v>1</v>
      </c>
      <c r="D742" s="29" t="n">
        <f aca="false">COUNTIFS(Trades!$D$2:$D$1146,$A742,Trades!$Z$2:$Z$1146,"Loss")</f>
        <v>0</v>
      </c>
      <c r="E742" s="30" t="n">
        <f aca="false">IFERROR(C742/B742,0)</f>
        <v>1</v>
      </c>
      <c r="F742" s="31" t="n">
        <f aca="false">SUMIFS(Trades!$X$2:$X$1146,Trades!$D$2:$D$1146,$A742)</f>
        <v>169.2</v>
      </c>
      <c r="G742" s="31" t="n">
        <f aca="false">SUMIFS(Trades!$X$2:$X$1146,Trades!$D$2:$D$1146,$A742,Trades!$X$2:$X$1146,"&gt;0")</f>
        <v>169.2</v>
      </c>
      <c r="H742" s="31" t="n">
        <f aca="false">SUMIFS(Trades!$X$2:$X$1146,Trades!$D$2:$D$1146,$A742,Trades!$X$2:$X$1146,"&lt;0")</f>
        <v>0</v>
      </c>
      <c r="I742" s="32" t="str">
        <f aca="false">IFERROR(G742/-H742,"no loss")</f>
        <v>no loss</v>
      </c>
      <c r="J742" s="31" t="n">
        <f aca="false">_xlfn.MAXIFS(Trades!$X$2:$X$1146,Trades!$D$2:$D$1146,$A742)</f>
        <v>169.2</v>
      </c>
      <c r="K742" s="31" t="n">
        <f aca="false">_xlfn.MINIFS(Trades!$X$2:$X$1146,Trades!$D$2:$D$1146,$A742)</f>
        <v>169.2</v>
      </c>
      <c r="L742" s="33" t="n">
        <f aca="false">SUMIFS(Trades!$Y$2:$Y$1146,Trades!$D$2:$D$1146,$A742)</f>
        <v>2.45217391304348</v>
      </c>
      <c r="M742" s="31" t="n">
        <f aca="false">P741</f>
        <v>18681.48</v>
      </c>
      <c r="N742" s="30" t="n">
        <f aca="false">IFERROR(F742/M742,0)</f>
        <v>0.00905709825988091</v>
      </c>
      <c r="O742" s="29" t="str">
        <f aca="false">IF(-N742&gt;=Summary!$C$7,"BREACH","")</f>
        <v/>
      </c>
      <c r="P742" s="31" t="n">
        <f aca="false">M742+F742</f>
        <v>18850.68</v>
      </c>
      <c r="Q742" s="31" t="n">
        <f aca="false">P742-Summary!$C$5</f>
        <v>8850.68</v>
      </c>
      <c r="R742" s="2" t="str">
        <f aca="false">TEXT(A742,"ddd")</f>
        <v>Mon</v>
      </c>
    </row>
    <row r="743" customFormat="false" ht="15" hidden="false" customHeight="false" outlineLevel="0" collapsed="false">
      <c r="A743" s="43" t="n">
        <v>45867</v>
      </c>
      <c r="B743" s="29" t="n">
        <f aca="false">COUNTIFS(Trades!$D$2:$D$1146,$A743)</f>
        <v>2</v>
      </c>
      <c r="C743" s="29" t="n">
        <f aca="false">COUNTIFS(Trades!$D$2:$D$1146,$A743,Trades!$Z$2:$Z$1146,"Win")</f>
        <v>1</v>
      </c>
      <c r="D743" s="29" t="n">
        <f aca="false">COUNTIFS(Trades!$D$2:$D$1146,$A743,Trades!$Z$2:$Z$1146,"Loss")</f>
        <v>1</v>
      </c>
      <c r="E743" s="30" t="n">
        <f aca="false">IFERROR(C743/B743,0)</f>
        <v>0.5</v>
      </c>
      <c r="F743" s="31" t="n">
        <f aca="false">SUMIFS(Trades!$X$2:$X$1146,Trades!$D$2:$D$1146,$A743)</f>
        <v>1</v>
      </c>
      <c r="G743" s="31" t="n">
        <f aca="false">SUMIFS(Trades!$X$2:$X$1146,Trades!$D$2:$D$1146,$A743,Trades!$X$2:$X$1146,"&gt;0")</f>
        <v>39.92</v>
      </c>
      <c r="H743" s="31" t="n">
        <f aca="false">SUMIFS(Trades!$X$2:$X$1146,Trades!$D$2:$D$1146,$A743,Trades!$X$2:$X$1146,"&lt;0")</f>
        <v>-38.92</v>
      </c>
      <c r="I743" s="32" t="n">
        <f aca="false">IFERROR(G743/-H743,"no loss")</f>
        <v>1.0256937307297</v>
      </c>
      <c r="J743" s="31" t="n">
        <f aca="false">_xlfn.MAXIFS(Trades!$X$2:$X$1146,Trades!$D$2:$D$1146,$A743)</f>
        <v>39.92</v>
      </c>
      <c r="K743" s="31" t="n">
        <f aca="false">_xlfn.MINIFS(Trades!$X$2:$X$1146,Trades!$D$2:$D$1146,$A743)</f>
        <v>-38.92</v>
      </c>
      <c r="L743" s="33" t="n">
        <f aca="false">SUMIFS(Trades!$Y$2:$Y$1146,Trades!$D$2:$D$1146,$A743)</f>
        <v>1.36961829667078</v>
      </c>
      <c r="M743" s="31" t="n">
        <f aca="false">P742</f>
        <v>18850.68</v>
      </c>
      <c r="N743" s="30" t="n">
        <f aca="false">IFERROR(F743/M743,0)</f>
        <v>5.30484841926127E-005</v>
      </c>
      <c r="O743" s="29" t="str">
        <f aca="false">IF(-N743&gt;=Summary!$C$7,"BREACH","")</f>
        <v/>
      </c>
      <c r="P743" s="31" t="n">
        <f aca="false">M743+F743</f>
        <v>18851.68</v>
      </c>
      <c r="Q743" s="31" t="n">
        <f aca="false">P743-Summary!$C$5</f>
        <v>8851.68</v>
      </c>
      <c r="R743" s="2" t="str">
        <f aca="false">TEXT(A743,"ddd")</f>
        <v>Tue</v>
      </c>
    </row>
    <row r="744" customFormat="false" ht="15" hidden="false" customHeight="false" outlineLevel="0" collapsed="false">
      <c r="A744" s="43" t="n">
        <v>45868</v>
      </c>
      <c r="B744" s="29" t="n">
        <f aca="false">COUNTIFS(Trades!$D$2:$D$1146,$A744)</f>
        <v>1</v>
      </c>
      <c r="C744" s="29" t="n">
        <f aca="false">COUNTIFS(Trades!$D$2:$D$1146,$A744,Trades!$Z$2:$Z$1146,"Win")</f>
        <v>0</v>
      </c>
      <c r="D744" s="29" t="n">
        <f aca="false">COUNTIFS(Trades!$D$2:$D$1146,$A744,Trades!$Z$2:$Z$1146,"Loss")</f>
        <v>1</v>
      </c>
      <c r="E744" s="30" t="n">
        <f aca="false">IFERROR(C744/B744,0)</f>
        <v>0</v>
      </c>
      <c r="F744" s="31" t="n">
        <f aca="false">SUMIFS(Trades!$X$2:$X$1146,Trades!$D$2:$D$1146,$A744)</f>
        <v>-1.6</v>
      </c>
      <c r="G744" s="31" t="n">
        <f aca="false">SUMIFS(Trades!$X$2:$X$1146,Trades!$D$2:$D$1146,$A744,Trades!$X$2:$X$1146,"&gt;0")</f>
        <v>0</v>
      </c>
      <c r="H744" s="31" t="n">
        <f aca="false">SUMIFS(Trades!$X$2:$X$1146,Trades!$D$2:$D$1146,$A744,Trades!$X$2:$X$1146,"&lt;0")</f>
        <v>-1.6</v>
      </c>
      <c r="I744" s="32" t="n">
        <f aca="false">IFERROR(G744/-H744,"no loss")</f>
        <v>0</v>
      </c>
      <c r="J744" s="31" t="n">
        <f aca="false">_xlfn.MAXIFS(Trades!$X$2:$X$1146,Trades!$D$2:$D$1146,$A744)</f>
        <v>-1.6</v>
      </c>
      <c r="K744" s="31" t="n">
        <f aca="false">_xlfn.MINIFS(Trades!$X$2:$X$1146,Trades!$D$2:$D$1146,$A744)</f>
        <v>-1.6</v>
      </c>
      <c r="L744" s="33" t="n">
        <f aca="false">SUMIFS(Trades!$Y$2:$Y$1146,Trades!$D$2:$D$1146,$A744)</f>
        <v>-0.0136565380675995</v>
      </c>
      <c r="M744" s="31" t="n">
        <f aca="false">P743</f>
        <v>18851.68</v>
      </c>
      <c r="N744" s="30" t="n">
        <f aca="false">IFERROR(F744/M744,0)</f>
        <v>-8.48730723203449E-005</v>
      </c>
      <c r="O744" s="29" t="str">
        <f aca="false">IF(-N744&gt;=Summary!$C$7,"BREACH","")</f>
        <v/>
      </c>
      <c r="P744" s="31" t="n">
        <f aca="false">M744+F744</f>
        <v>18850.08</v>
      </c>
      <c r="Q744" s="31" t="n">
        <f aca="false">P744-Summary!$C$5</f>
        <v>8850.08</v>
      </c>
      <c r="R744" s="2" t="str">
        <f aca="false">TEXT(A744,"ddd")</f>
        <v>Wed</v>
      </c>
    </row>
    <row r="745" customFormat="false" ht="15" hidden="false" customHeight="false" outlineLevel="0" collapsed="false">
      <c r="A745" s="43" t="n">
        <v>45869</v>
      </c>
      <c r="B745" s="29" t="n">
        <f aca="false">COUNTIFS(Trades!$D$2:$D$1146,$A745)</f>
        <v>2</v>
      </c>
      <c r="C745" s="29" t="n">
        <f aca="false">COUNTIFS(Trades!$D$2:$D$1146,$A745,Trades!$Z$2:$Z$1146,"Win")</f>
        <v>1</v>
      </c>
      <c r="D745" s="29" t="n">
        <f aca="false">COUNTIFS(Trades!$D$2:$D$1146,$A745,Trades!$Z$2:$Z$1146,"Loss")</f>
        <v>1</v>
      </c>
      <c r="E745" s="30" t="n">
        <f aca="false">IFERROR(C745/B745,0)</f>
        <v>0.5</v>
      </c>
      <c r="F745" s="31" t="n">
        <f aca="false">SUMIFS(Trades!$X$2:$X$1146,Trades!$D$2:$D$1146,$A745)</f>
        <v>261.44</v>
      </c>
      <c r="G745" s="31" t="n">
        <f aca="false">SUMIFS(Trades!$X$2:$X$1146,Trades!$D$2:$D$1146,$A745,Trades!$X$2:$X$1146,"&gt;0")</f>
        <v>262.68</v>
      </c>
      <c r="H745" s="31" t="n">
        <f aca="false">SUMIFS(Trades!$X$2:$X$1146,Trades!$D$2:$D$1146,$A745,Trades!$X$2:$X$1146,"&lt;0")</f>
        <v>-1.24</v>
      </c>
      <c r="I745" s="32" t="n">
        <f aca="false">IFERROR(G745/-H745,"no loss")</f>
        <v>211.838709677419</v>
      </c>
      <c r="J745" s="31" t="n">
        <f aca="false">_xlfn.MAXIFS(Trades!$X$2:$X$1146,Trades!$D$2:$D$1146,$A745)</f>
        <v>262.68</v>
      </c>
      <c r="K745" s="31" t="n">
        <f aca="false">_xlfn.MINIFS(Trades!$X$2:$X$1146,Trades!$D$2:$D$1146,$A745)</f>
        <v>-1.24</v>
      </c>
      <c r="L745" s="33" t="n">
        <f aca="false">SUMIFS(Trades!$Y$2:$Y$1146,Trades!$D$2:$D$1146,$A745)</f>
        <v>2.43391004351589</v>
      </c>
      <c r="M745" s="31" t="n">
        <f aca="false">P744</f>
        <v>18850.08</v>
      </c>
      <c r="N745" s="30" t="n">
        <f aca="false">IFERROR(F745/M745,0)</f>
        <v>0.0138694371588874</v>
      </c>
      <c r="O745" s="29" t="str">
        <f aca="false">IF(-N745&gt;=Summary!$C$7,"BREACH","")</f>
        <v/>
      </c>
      <c r="P745" s="31" t="n">
        <f aca="false">M745+F745</f>
        <v>19111.52</v>
      </c>
      <c r="Q745" s="31" t="n">
        <f aca="false">P745-Summary!$C$5</f>
        <v>9111.52</v>
      </c>
      <c r="R745" s="2" t="str">
        <f aca="false">TEXT(A745,"ddd")</f>
        <v>Thu</v>
      </c>
    </row>
    <row r="746" customFormat="false" ht="15" hidden="false" customHeight="false" outlineLevel="0" collapsed="false">
      <c r="A746" s="43" t="n">
        <v>45870</v>
      </c>
      <c r="B746" s="29" t="n">
        <f aca="false">COUNTIFS(Trades!$D$2:$D$1146,$A746)</f>
        <v>1</v>
      </c>
      <c r="C746" s="29" t="n">
        <f aca="false">COUNTIFS(Trades!$D$2:$D$1146,$A746,Trades!$Z$2:$Z$1146,"Win")</f>
        <v>0</v>
      </c>
      <c r="D746" s="29" t="n">
        <f aca="false">COUNTIFS(Trades!$D$2:$D$1146,$A746,Trades!$Z$2:$Z$1146,"Loss")</f>
        <v>1</v>
      </c>
      <c r="E746" s="30" t="n">
        <f aca="false">IFERROR(C746/B746,0)</f>
        <v>0</v>
      </c>
      <c r="F746" s="31" t="n">
        <f aca="false">SUMIFS(Trades!$X$2:$X$1146,Trades!$D$2:$D$1146,$A746)</f>
        <v>-28.32</v>
      </c>
      <c r="G746" s="31" t="n">
        <f aca="false">SUMIFS(Trades!$X$2:$X$1146,Trades!$D$2:$D$1146,$A746,Trades!$X$2:$X$1146,"&gt;0")</f>
        <v>0</v>
      </c>
      <c r="H746" s="31" t="n">
        <f aca="false">SUMIFS(Trades!$X$2:$X$1146,Trades!$D$2:$D$1146,$A746,Trades!$X$2:$X$1146,"&lt;0")</f>
        <v>-28.32</v>
      </c>
      <c r="I746" s="32" t="n">
        <f aca="false">IFERROR(G746/-H746,"no loss")</f>
        <v>0</v>
      </c>
      <c r="J746" s="31" t="n">
        <f aca="false">_xlfn.MAXIFS(Trades!$X$2:$X$1146,Trades!$D$2:$D$1146,$A746)</f>
        <v>-28.32</v>
      </c>
      <c r="K746" s="31" t="n">
        <f aca="false">_xlfn.MINIFS(Trades!$X$2:$X$1146,Trades!$D$2:$D$1146,$A746)</f>
        <v>-28.32</v>
      </c>
      <c r="L746" s="33" t="n">
        <f aca="false">SUMIFS(Trades!$Y$2:$Y$1146,Trades!$D$2:$D$1146,$A746)</f>
        <v>-1.09767441860515</v>
      </c>
      <c r="M746" s="31" t="n">
        <f aca="false">P745</f>
        <v>19111.52</v>
      </c>
      <c r="N746" s="30" t="n">
        <f aca="false">IFERROR(F746/M746,0)</f>
        <v>-0.00148182876087302</v>
      </c>
      <c r="O746" s="29" t="str">
        <f aca="false">IF(-N746&gt;=Summary!$C$7,"BREACH","")</f>
        <v/>
      </c>
      <c r="P746" s="31" t="n">
        <f aca="false">M746+F746</f>
        <v>19083.2</v>
      </c>
      <c r="Q746" s="31" t="n">
        <f aca="false">P746-Summary!$C$5</f>
        <v>9083.2</v>
      </c>
      <c r="R746" s="2" t="str">
        <f aca="false">TEXT(A746,"ddd")</f>
        <v>Fri</v>
      </c>
    </row>
    <row r="747" customFormat="false" ht="15" hidden="false" customHeight="false" outlineLevel="0" collapsed="false">
      <c r="A747" s="43" t="n">
        <v>45874</v>
      </c>
      <c r="B747" s="29" t="n">
        <f aca="false">COUNTIFS(Trades!$D$2:$D$1146,$A747)</f>
        <v>1</v>
      </c>
      <c r="C747" s="29" t="n">
        <f aca="false">COUNTIFS(Trades!$D$2:$D$1146,$A747,Trades!$Z$2:$Z$1146,"Win")</f>
        <v>0</v>
      </c>
      <c r="D747" s="29" t="n">
        <f aca="false">COUNTIFS(Trades!$D$2:$D$1146,$A747,Trades!$Z$2:$Z$1146,"Loss")</f>
        <v>1</v>
      </c>
      <c r="E747" s="30" t="n">
        <f aca="false">IFERROR(C747/B747,0)</f>
        <v>0</v>
      </c>
      <c r="F747" s="31" t="n">
        <f aca="false">SUMIFS(Trades!$X$2:$X$1146,Trades!$D$2:$D$1146,$A747)</f>
        <v>-69.64</v>
      </c>
      <c r="G747" s="31" t="n">
        <f aca="false">SUMIFS(Trades!$X$2:$X$1146,Trades!$D$2:$D$1146,$A747,Trades!$X$2:$X$1146,"&gt;0")</f>
        <v>0</v>
      </c>
      <c r="H747" s="31" t="n">
        <f aca="false">SUMIFS(Trades!$X$2:$X$1146,Trades!$D$2:$D$1146,$A747,Trades!$X$2:$X$1146,"&lt;0")</f>
        <v>-69.64</v>
      </c>
      <c r="I747" s="32" t="n">
        <f aca="false">IFERROR(G747/-H747,"no loss")</f>
        <v>0</v>
      </c>
      <c r="J747" s="31" t="n">
        <f aca="false">_xlfn.MAXIFS(Trades!$X$2:$X$1146,Trades!$D$2:$D$1146,$A747)</f>
        <v>-69.64</v>
      </c>
      <c r="K747" s="31" t="n">
        <f aca="false">_xlfn.MINIFS(Trades!$X$2:$X$1146,Trades!$D$2:$D$1146,$A747)</f>
        <v>-69.64</v>
      </c>
      <c r="L747" s="33" t="n">
        <f aca="false">SUMIFS(Trades!$Y$2:$Y$1146,Trades!$D$2:$D$1146,$A747)</f>
        <v>-1.00345821325657</v>
      </c>
      <c r="M747" s="31" t="n">
        <f aca="false">P746</f>
        <v>19083.2</v>
      </c>
      <c r="N747" s="30" t="n">
        <f aca="false">IFERROR(F747/M747,0)</f>
        <v>-0.00364928313909617</v>
      </c>
      <c r="O747" s="29" t="str">
        <f aca="false">IF(-N747&gt;=Summary!$C$7,"BREACH","")</f>
        <v/>
      </c>
      <c r="P747" s="31" t="n">
        <f aca="false">M747+F747</f>
        <v>19013.56</v>
      </c>
      <c r="Q747" s="31" t="n">
        <f aca="false">P747-Summary!$C$5</f>
        <v>9013.56</v>
      </c>
      <c r="R747" s="2" t="str">
        <f aca="false">TEXT(A747,"ddd")</f>
        <v>Tue</v>
      </c>
    </row>
    <row r="748" customFormat="false" ht="15" hidden="false" customHeight="false" outlineLevel="0" collapsed="false">
      <c r="A748" s="43" t="n">
        <v>45875</v>
      </c>
      <c r="B748" s="29" t="n">
        <f aca="false">COUNTIFS(Trades!$D$2:$D$1146,$A748)</f>
        <v>2</v>
      </c>
      <c r="C748" s="29" t="n">
        <f aca="false">COUNTIFS(Trades!$D$2:$D$1146,$A748,Trades!$Z$2:$Z$1146,"Win")</f>
        <v>0</v>
      </c>
      <c r="D748" s="29" t="n">
        <f aca="false">COUNTIFS(Trades!$D$2:$D$1146,$A748,Trades!$Z$2:$Z$1146,"Loss")</f>
        <v>2</v>
      </c>
      <c r="E748" s="30" t="n">
        <f aca="false">IFERROR(C748/B748,0)</f>
        <v>0</v>
      </c>
      <c r="F748" s="31" t="n">
        <f aca="false">SUMIFS(Trades!$X$2:$X$1146,Trades!$D$2:$D$1146,$A748)</f>
        <v>-0.72</v>
      </c>
      <c r="G748" s="31" t="n">
        <f aca="false">SUMIFS(Trades!$X$2:$X$1146,Trades!$D$2:$D$1146,$A748,Trades!$X$2:$X$1146,"&gt;0")</f>
        <v>0</v>
      </c>
      <c r="H748" s="31" t="n">
        <f aca="false">SUMIFS(Trades!$X$2:$X$1146,Trades!$D$2:$D$1146,$A748,Trades!$X$2:$X$1146,"&lt;0")</f>
        <v>-0.72</v>
      </c>
      <c r="I748" s="32" t="n">
        <f aca="false">IFERROR(G748/-H748,"no loss")</f>
        <v>0</v>
      </c>
      <c r="J748" s="31" t="n">
        <f aca="false">_xlfn.MAXIFS(Trades!$X$2:$X$1146,Trades!$D$2:$D$1146,$A748)</f>
        <v>-0.32</v>
      </c>
      <c r="K748" s="31" t="n">
        <f aca="false">_xlfn.MINIFS(Trades!$X$2:$X$1146,Trades!$D$2:$D$1146,$A748)</f>
        <v>-0.4</v>
      </c>
      <c r="L748" s="33" t="n">
        <f aca="false">SUMIFS(Trades!$Y$2:$Y$1146,Trades!$D$2:$D$1146,$A748)</f>
        <v>-0.0150473374208599</v>
      </c>
      <c r="M748" s="31" t="n">
        <f aca="false">P747</f>
        <v>19013.56</v>
      </c>
      <c r="N748" s="30" t="n">
        <f aca="false">IFERROR(F748/M748,0)</f>
        <v>-3.78677112544942E-005</v>
      </c>
      <c r="O748" s="29" t="str">
        <f aca="false">IF(-N748&gt;=Summary!$C$7,"BREACH","")</f>
        <v/>
      </c>
      <c r="P748" s="31" t="n">
        <f aca="false">M748+F748</f>
        <v>19012.84</v>
      </c>
      <c r="Q748" s="31" t="n">
        <f aca="false">P748-Summary!$C$5</f>
        <v>9012.84</v>
      </c>
      <c r="R748" s="2" t="str">
        <f aca="false">TEXT(A748,"ddd")</f>
        <v>Wed</v>
      </c>
    </row>
    <row r="749" customFormat="false" ht="15" hidden="false" customHeight="false" outlineLevel="0" collapsed="false">
      <c r="A749" s="43" t="n">
        <v>45876</v>
      </c>
      <c r="B749" s="29" t="n">
        <f aca="false">COUNTIFS(Trades!$D$2:$D$1146,$A749)</f>
        <v>1</v>
      </c>
      <c r="C749" s="29" t="n">
        <f aca="false">COUNTIFS(Trades!$D$2:$D$1146,$A749,Trades!$Z$2:$Z$1146,"Win")</f>
        <v>1</v>
      </c>
      <c r="D749" s="29" t="n">
        <f aca="false">COUNTIFS(Trades!$D$2:$D$1146,$A749,Trades!$Z$2:$Z$1146,"Loss")</f>
        <v>0</v>
      </c>
      <c r="E749" s="30" t="n">
        <f aca="false">IFERROR(C749/B749,0)</f>
        <v>1</v>
      </c>
      <c r="F749" s="31" t="n">
        <f aca="false">SUMIFS(Trades!$X$2:$X$1146,Trades!$D$2:$D$1146,$A749)</f>
        <v>75.16</v>
      </c>
      <c r="G749" s="31" t="n">
        <f aca="false">SUMIFS(Trades!$X$2:$X$1146,Trades!$D$2:$D$1146,$A749,Trades!$X$2:$X$1146,"&gt;0")</f>
        <v>75.16</v>
      </c>
      <c r="H749" s="31" t="n">
        <f aca="false">SUMIFS(Trades!$X$2:$X$1146,Trades!$D$2:$D$1146,$A749,Trades!$X$2:$X$1146,"&lt;0")</f>
        <v>0</v>
      </c>
      <c r="I749" s="32" t="str">
        <f aca="false">IFERROR(G749/-H749,"no loss")</f>
        <v>no loss</v>
      </c>
      <c r="J749" s="31" t="n">
        <f aca="false">_xlfn.MAXIFS(Trades!$X$2:$X$1146,Trades!$D$2:$D$1146,$A749)</f>
        <v>75.16</v>
      </c>
      <c r="K749" s="31" t="n">
        <f aca="false">_xlfn.MINIFS(Trades!$X$2:$X$1146,Trades!$D$2:$D$1146,$A749)</f>
        <v>75.16</v>
      </c>
      <c r="L749" s="33" t="n">
        <f aca="false">SUMIFS(Trades!$Y$2:$Y$1146,Trades!$D$2:$D$1146,$A749)</f>
        <v>2.46264744429967</v>
      </c>
      <c r="M749" s="31" t="n">
        <f aca="false">P748</f>
        <v>19012.84</v>
      </c>
      <c r="N749" s="30" t="n">
        <f aca="false">IFERROR(F749/M749,0)</f>
        <v>0.00395311799815283</v>
      </c>
      <c r="O749" s="29" t="str">
        <f aca="false">IF(-N749&gt;=Summary!$C$7,"BREACH","")</f>
        <v/>
      </c>
      <c r="P749" s="31" t="n">
        <f aca="false">M749+F749</f>
        <v>19088</v>
      </c>
      <c r="Q749" s="31" t="n">
        <f aca="false">P749-Summary!$C$5</f>
        <v>9088</v>
      </c>
      <c r="R749" s="2" t="str">
        <f aca="false">TEXT(A749,"ddd")</f>
        <v>Thu</v>
      </c>
    </row>
    <row r="750" customFormat="false" ht="15" hidden="false" customHeight="false" outlineLevel="0" collapsed="false">
      <c r="A750" s="43" t="n">
        <v>45877</v>
      </c>
      <c r="B750" s="29" t="n">
        <f aca="false">COUNTIFS(Trades!$D$2:$D$1146,$A750)</f>
        <v>1</v>
      </c>
      <c r="C750" s="29" t="n">
        <f aca="false">COUNTIFS(Trades!$D$2:$D$1146,$A750,Trades!$Z$2:$Z$1146,"Win")</f>
        <v>0</v>
      </c>
      <c r="D750" s="29" t="n">
        <f aca="false">COUNTIFS(Trades!$D$2:$D$1146,$A750,Trades!$Z$2:$Z$1146,"Loss")</f>
        <v>1</v>
      </c>
      <c r="E750" s="30" t="n">
        <f aca="false">IFERROR(C750/B750,0)</f>
        <v>0</v>
      </c>
      <c r="F750" s="31" t="n">
        <f aca="false">SUMIFS(Trades!$X$2:$X$1146,Trades!$D$2:$D$1146,$A750)</f>
        <v>-57.84</v>
      </c>
      <c r="G750" s="31" t="n">
        <f aca="false">SUMIFS(Trades!$X$2:$X$1146,Trades!$D$2:$D$1146,$A750,Trades!$X$2:$X$1146,"&gt;0")</f>
        <v>0</v>
      </c>
      <c r="H750" s="31" t="n">
        <f aca="false">SUMIFS(Trades!$X$2:$X$1146,Trades!$D$2:$D$1146,$A750,Trades!$X$2:$X$1146,"&lt;0")</f>
        <v>-57.84</v>
      </c>
      <c r="I750" s="32" t="n">
        <f aca="false">IFERROR(G750/-H750,"no loss")</f>
        <v>0</v>
      </c>
      <c r="J750" s="31" t="n">
        <f aca="false">_xlfn.MAXIFS(Trades!$X$2:$X$1146,Trades!$D$2:$D$1146,$A750)</f>
        <v>-57.84</v>
      </c>
      <c r="K750" s="31" t="n">
        <f aca="false">_xlfn.MINIFS(Trades!$X$2:$X$1146,Trades!$D$2:$D$1146,$A750)</f>
        <v>-57.84</v>
      </c>
      <c r="L750" s="33" t="n">
        <f aca="false">SUMIFS(Trades!$Y$2:$Y$1146,Trades!$D$2:$D$1146,$A750)</f>
        <v>-1.05010893246184</v>
      </c>
      <c r="M750" s="31" t="n">
        <f aca="false">P749</f>
        <v>19088</v>
      </c>
      <c r="N750" s="30" t="n">
        <f aca="false">IFERROR(F750/M750,0)</f>
        <v>-0.00303017602682314</v>
      </c>
      <c r="O750" s="29" t="str">
        <f aca="false">IF(-N750&gt;=Summary!$C$7,"BREACH","")</f>
        <v/>
      </c>
      <c r="P750" s="31" t="n">
        <f aca="false">M750+F750</f>
        <v>19030.16</v>
      </c>
      <c r="Q750" s="31" t="n">
        <f aca="false">P750-Summary!$C$5</f>
        <v>9030.16</v>
      </c>
      <c r="R750" s="2" t="str">
        <f aca="false">TEXT(A750,"ddd")</f>
        <v>Fri</v>
      </c>
    </row>
    <row r="751" customFormat="false" ht="15" hidden="false" customHeight="false" outlineLevel="0" collapsed="false">
      <c r="A751" s="43" t="n">
        <v>45880</v>
      </c>
      <c r="B751" s="29" t="n">
        <f aca="false">COUNTIFS(Trades!$D$2:$D$1146,$A751)</f>
        <v>1</v>
      </c>
      <c r="C751" s="29" t="n">
        <f aca="false">COUNTIFS(Trades!$D$2:$D$1146,$A751,Trades!$Z$2:$Z$1146,"Win")</f>
        <v>0</v>
      </c>
      <c r="D751" s="29" t="n">
        <f aca="false">COUNTIFS(Trades!$D$2:$D$1146,$A751,Trades!$Z$2:$Z$1146,"Loss")</f>
        <v>1</v>
      </c>
      <c r="E751" s="30" t="n">
        <f aca="false">IFERROR(C751/B751,0)</f>
        <v>0</v>
      </c>
      <c r="F751" s="31" t="n">
        <f aca="false">SUMIFS(Trades!$X$2:$X$1146,Trades!$D$2:$D$1146,$A751)</f>
        <v>-13.04</v>
      </c>
      <c r="G751" s="31" t="n">
        <f aca="false">SUMIFS(Trades!$X$2:$X$1146,Trades!$D$2:$D$1146,$A751,Trades!$X$2:$X$1146,"&gt;0")</f>
        <v>0</v>
      </c>
      <c r="H751" s="31" t="n">
        <f aca="false">SUMIFS(Trades!$X$2:$X$1146,Trades!$D$2:$D$1146,$A751,Trades!$X$2:$X$1146,"&lt;0")</f>
        <v>-13.04</v>
      </c>
      <c r="I751" s="32" t="n">
        <f aca="false">IFERROR(G751/-H751,"no loss")</f>
        <v>0</v>
      </c>
      <c r="J751" s="31" t="n">
        <f aca="false">_xlfn.MAXIFS(Trades!$X$2:$X$1146,Trades!$D$2:$D$1146,$A751)</f>
        <v>-13.04</v>
      </c>
      <c r="K751" s="31" t="n">
        <f aca="false">_xlfn.MINIFS(Trades!$X$2:$X$1146,Trades!$D$2:$D$1146,$A751)</f>
        <v>-13.04</v>
      </c>
      <c r="L751" s="33" t="n">
        <f aca="false">SUMIFS(Trades!$Y$2:$Y$1146,Trades!$D$2:$D$1146,$A751)</f>
        <v>-1.07947019867534</v>
      </c>
      <c r="M751" s="31" t="n">
        <f aca="false">P750</f>
        <v>19030.16</v>
      </c>
      <c r="N751" s="30" t="n">
        <f aca="false">IFERROR(F751/M751,0)</f>
        <v>-0.000685228080058181</v>
      </c>
      <c r="O751" s="29" t="str">
        <f aca="false">IF(-N751&gt;=Summary!$C$7,"BREACH","")</f>
        <v/>
      </c>
      <c r="P751" s="31" t="n">
        <f aca="false">M751+F751</f>
        <v>19017.12</v>
      </c>
      <c r="Q751" s="31" t="n">
        <f aca="false">P751-Summary!$C$5</f>
        <v>9017.12</v>
      </c>
      <c r="R751" s="2" t="str">
        <f aca="false">TEXT(A751,"ddd")</f>
        <v>Mon</v>
      </c>
    </row>
    <row r="752" customFormat="false" ht="15" hidden="false" customHeight="false" outlineLevel="0" collapsed="false">
      <c r="A752" s="43" t="n">
        <v>45881</v>
      </c>
      <c r="B752" s="29" t="n">
        <f aca="false">COUNTIFS(Trades!$D$2:$D$1146,$A752)</f>
        <v>1</v>
      </c>
      <c r="C752" s="29" t="n">
        <f aca="false">COUNTIFS(Trades!$D$2:$D$1146,$A752,Trades!$Z$2:$Z$1146,"Win")</f>
        <v>0</v>
      </c>
      <c r="D752" s="29" t="n">
        <f aca="false">COUNTIFS(Trades!$D$2:$D$1146,$A752,Trades!$Z$2:$Z$1146,"Loss")</f>
        <v>1</v>
      </c>
      <c r="E752" s="30" t="n">
        <f aca="false">IFERROR(C752/B752,0)</f>
        <v>0</v>
      </c>
      <c r="F752" s="31" t="n">
        <f aca="false">SUMIFS(Trades!$X$2:$X$1146,Trades!$D$2:$D$1146,$A752)</f>
        <v>-56.72</v>
      </c>
      <c r="G752" s="31" t="n">
        <f aca="false">SUMIFS(Trades!$X$2:$X$1146,Trades!$D$2:$D$1146,$A752,Trades!$X$2:$X$1146,"&gt;0")</f>
        <v>0</v>
      </c>
      <c r="H752" s="31" t="n">
        <f aca="false">SUMIFS(Trades!$X$2:$X$1146,Trades!$D$2:$D$1146,$A752,Trades!$X$2:$X$1146,"&lt;0")</f>
        <v>-56.72</v>
      </c>
      <c r="I752" s="32" t="n">
        <f aca="false">IFERROR(G752/-H752,"no loss")</f>
        <v>0</v>
      </c>
      <c r="J752" s="31" t="n">
        <f aca="false">_xlfn.MAXIFS(Trades!$X$2:$X$1146,Trades!$D$2:$D$1146,$A752)</f>
        <v>-56.72</v>
      </c>
      <c r="K752" s="31" t="n">
        <f aca="false">_xlfn.MINIFS(Trades!$X$2:$X$1146,Trades!$D$2:$D$1146,$A752)</f>
        <v>-56.72</v>
      </c>
      <c r="L752" s="33" t="n">
        <f aca="false">SUMIFS(Trades!$Y$2:$Y$1146,Trades!$D$2:$D$1146,$A752)</f>
        <v>-1.02161383285322</v>
      </c>
      <c r="M752" s="31" t="n">
        <f aca="false">P751</f>
        <v>19017.12</v>
      </c>
      <c r="N752" s="30" t="n">
        <f aca="false">IFERROR(F752/M752,0)</f>
        <v>-0.00298257570021118</v>
      </c>
      <c r="O752" s="29" t="str">
        <f aca="false">IF(-N752&gt;=Summary!$C$7,"BREACH","")</f>
        <v/>
      </c>
      <c r="P752" s="31" t="n">
        <f aca="false">M752+F752</f>
        <v>18960.4</v>
      </c>
      <c r="Q752" s="31" t="n">
        <f aca="false">P752-Summary!$C$5</f>
        <v>8960.4</v>
      </c>
      <c r="R752" s="2" t="str">
        <f aca="false">TEXT(A752,"ddd")</f>
        <v>Tue</v>
      </c>
    </row>
    <row r="753" customFormat="false" ht="15" hidden="false" customHeight="false" outlineLevel="0" collapsed="false">
      <c r="A753" s="43" t="n">
        <v>45882</v>
      </c>
      <c r="B753" s="29" t="n">
        <f aca="false">COUNTIFS(Trades!$D$2:$D$1146,$A753)</f>
        <v>1</v>
      </c>
      <c r="C753" s="29" t="n">
        <f aca="false">COUNTIFS(Trades!$D$2:$D$1146,$A753,Trades!$Z$2:$Z$1146,"Win")</f>
        <v>0</v>
      </c>
      <c r="D753" s="29" t="n">
        <f aca="false">COUNTIFS(Trades!$D$2:$D$1146,$A753,Trades!$Z$2:$Z$1146,"Loss")</f>
        <v>1</v>
      </c>
      <c r="E753" s="30" t="n">
        <f aca="false">IFERROR(C753/B753,0)</f>
        <v>0</v>
      </c>
      <c r="F753" s="31" t="n">
        <f aca="false">SUMIFS(Trades!$X$2:$X$1146,Trades!$D$2:$D$1146,$A753)</f>
        <v>-11.37</v>
      </c>
      <c r="G753" s="31" t="n">
        <f aca="false">SUMIFS(Trades!$X$2:$X$1146,Trades!$D$2:$D$1146,$A753,Trades!$X$2:$X$1146,"&gt;0")</f>
        <v>0</v>
      </c>
      <c r="H753" s="31" t="n">
        <f aca="false">SUMIFS(Trades!$X$2:$X$1146,Trades!$D$2:$D$1146,$A753,Trades!$X$2:$X$1146,"&lt;0")</f>
        <v>-11.37</v>
      </c>
      <c r="I753" s="32" t="n">
        <f aca="false">IFERROR(G753/-H753,"no loss")</f>
        <v>0</v>
      </c>
      <c r="J753" s="31" t="n">
        <f aca="false">_xlfn.MAXIFS(Trades!$X$2:$X$1146,Trades!$D$2:$D$1146,$A753)</f>
        <v>-11.37</v>
      </c>
      <c r="K753" s="31" t="n">
        <f aca="false">_xlfn.MINIFS(Trades!$X$2:$X$1146,Trades!$D$2:$D$1146,$A753)</f>
        <v>-11.37</v>
      </c>
      <c r="L753" s="33" t="n">
        <f aca="false">SUMIFS(Trades!$Y$2:$Y$1146,Trades!$D$2:$D$1146,$A753)</f>
        <v>-1.05571030640664</v>
      </c>
      <c r="M753" s="31" t="n">
        <f aca="false">P752</f>
        <v>18960.4</v>
      </c>
      <c r="N753" s="30" t="n">
        <f aca="false">IFERROR(F753/M753,0)</f>
        <v>-0.000599670893019135</v>
      </c>
      <c r="O753" s="29" t="str">
        <f aca="false">IF(-N753&gt;=Summary!$C$7,"BREACH","")</f>
        <v/>
      </c>
      <c r="P753" s="31" t="n">
        <f aca="false">M753+F753</f>
        <v>18949.03</v>
      </c>
      <c r="Q753" s="31" t="n">
        <f aca="false">P753-Summary!$C$5</f>
        <v>8949.03</v>
      </c>
      <c r="R753" s="2" t="str">
        <f aca="false">TEXT(A753,"ddd")</f>
        <v>Wed</v>
      </c>
    </row>
    <row r="754" customFormat="false" ht="15" hidden="false" customHeight="false" outlineLevel="0" collapsed="false">
      <c r="A754" s="43" t="n">
        <v>45883</v>
      </c>
      <c r="B754" s="29" t="n">
        <f aca="false">COUNTIFS(Trades!$D$2:$D$1146,$A754)</f>
        <v>1</v>
      </c>
      <c r="C754" s="29" t="n">
        <f aca="false">COUNTIFS(Trades!$D$2:$D$1146,$A754,Trades!$Z$2:$Z$1146,"Win")</f>
        <v>1</v>
      </c>
      <c r="D754" s="29" t="n">
        <f aca="false">COUNTIFS(Trades!$D$2:$D$1146,$A754,Trades!$Z$2:$Z$1146,"Loss")</f>
        <v>0</v>
      </c>
      <c r="E754" s="30" t="n">
        <f aca="false">IFERROR(C754/B754,0)</f>
        <v>1</v>
      </c>
      <c r="F754" s="31" t="n">
        <f aca="false">SUMIFS(Trades!$X$2:$X$1146,Trades!$D$2:$D$1146,$A754)</f>
        <v>193.44</v>
      </c>
      <c r="G754" s="31" t="n">
        <f aca="false">SUMIFS(Trades!$X$2:$X$1146,Trades!$D$2:$D$1146,$A754,Trades!$X$2:$X$1146,"&gt;0")</f>
        <v>193.44</v>
      </c>
      <c r="H754" s="31" t="n">
        <f aca="false">SUMIFS(Trades!$X$2:$X$1146,Trades!$D$2:$D$1146,$A754,Trades!$X$2:$X$1146,"&lt;0")</f>
        <v>0</v>
      </c>
      <c r="I754" s="32" t="str">
        <f aca="false">IFERROR(G754/-H754,"no loss")</f>
        <v>no loss</v>
      </c>
      <c r="J754" s="31" t="n">
        <f aca="false">_xlfn.MAXIFS(Trades!$X$2:$X$1146,Trades!$D$2:$D$1146,$A754)</f>
        <v>193.44</v>
      </c>
      <c r="K754" s="31" t="n">
        <f aca="false">_xlfn.MINIFS(Trades!$X$2:$X$1146,Trades!$D$2:$D$1146,$A754)</f>
        <v>193.44</v>
      </c>
      <c r="L754" s="33" t="n">
        <f aca="false">SUMIFS(Trades!$Y$2:$Y$1146,Trades!$D$2:$D$1146,$A754)</f>
        <v>2.48</v>
      </c>
      <c r="M754" s="31" t="n">
        <f aca="false">P753</f>
        <v>18949.03</v>
      </c>
      <c r="N754" s="30" t="n">
        <f aca="false">IFERROR(F754/M754,0)</f>
        <v>0.0102084381100246</v>
      </c>
      <c r="O754" s="29" t="str">
        <f aca="false">IF(-N754&gt;=Summary!$C$7,"BREACH","")</f>
        <v/>
      </c>
      <c r="P754" s="31" t="n">
        <f aca="false">M754+F754</f>
        <v>19142.47</v>
      </c>
      <c r="Q754" s="31" t="n">
        <f aca="false">P754-Summary!$C$5</f>
        <v>9142.47</v>
      </c>
      <c r="R754" s="2" t="str">
        <f aca="false">TEXT(A754,"ddd")</f>
        <v>Thu</v>
      </c>
    </row>
    <row r="755" customFormat="false" ht="15" hidden="false" customHeight="false" outlineLevel="0" collapsed="false">
      <c r="A755" s="43" t="n">
        <v>45884</v>
      </c>
      <c r="B755" s="29" t="n">
        <f aca="false">COUNTIFS(Trades!$D$2:$D$1146,$A755)</f>
        <v>1</v>
      </c>
      <c r="C755" s="29" t="n">
        <f aca="false">COUNTIFS(Trades!$D$2:$D$1146,$A755,Trades!$Z$2:$Z$1146,"Win")</f>
        <v>0</v>
      </c>
      <c r="D755" s="29" t="n">
        <f aca="false">COUNTIFS(Trades!$D$2:$D$1146,$A755,Trades!$Z$2:$Z$1146,"Loss")</f>
        <v>1</v>
      </c>
      <c r="E755" s="30" t="n">
        <f aca="false">IFERROR(C755/B755,0)</f>
        <v>0</v>
      </c>
      <c r="F755" s="31" t="n">
        <f aca="false">SUMIFS(Trades!$X$2:$X$1146,Trades!$D$2:$D$1146,$A755)</f>
        <v>-88.52</v>
      </c>
      <c r="G755" s="31" t="n">
        <f aca="false">SUMIFS(Trades!$X$2:$X$1146,Trades!$D$2:$D$1146,$A755,Trades!$X$2:$X$1146,"&gt;0")</f>
        <v>0</v>
      </c>
      <c r="H755" s="31" t="n">
        <f aca="false">SUMIFS(Trades!$X$2:$X$1146,Trades!$D$2:$D$1146,$A755,Trades!$X$2:$X$1146,"&lt;0")</f>
        <v>-88.52</v>
      </c>
      <c r="I755" s="32" t="n">
        <f aca="false">IFERROR(G755/-H755,"no loss")</f>
        <v>0</v>
      </c>
      <c r="J755" s="31" t="n">
        <f aca="false">_xlfn.MAXIFS(Trades!$X$2:$X$1146,Trades!$D$2:$D$1146,$A755)</f>
        <v>-88.52</v>
      </c>
      <c r="K755" s="31" t="n">
        <f aca="false">_xlfn.MINIFS(Trades!$X$2:$X$1146,Trades!$D$2:$D$1146,$A755)</f>
        <v>-88.52</v>
      </c>
      <c r="L755" s="33" t="n">
        <f aca="false">SUMIFS(Trades!$Y$2:$Y$1146,Trades!$D$2:$D$1146,$A755)</f>
        <v>-1.00499545867391</v>
      </c>
      <c r="M755" s="31" t="n">
        <f aca="false">P754</f>
        <v>19142.47</v>
      </c>
      <c r="N755" s="30" t="n">
        <f aca="false">IFERROR(F755/M755,0)</f>
        <v>-0.00462427262521503</v>
      </c>
      <c r="O755" s="29" t="str">
        <f aca="false">IF(-N755&gt;=Summary!$C$7,"BREACH","")</f>
        <v/>
      </c>
      <c r="P755" s="31" t="n">
        <f aca="false">M755+F755</f>
        <v>19053.95</v>
      </c>
      <c r="Q755" s="31" t="n">
        <f aca="false">P755-Summary!$C$5</f>
        <v>9053.95</v>
      </c>
      <c r="R755" s="2" t="str">
        <f aca="false">TEXT(A755,"ddd")</f>
        <v>Fri</v>
      </c>
    </row>
    <row r="756" customFormat="false" ht="15" hidden="false" customHeight="false" outlineLevel="0" collapsed="false">
      <c r="A756" s="43" t="n">
        <v>45887</v>
      </c>
      <c r="B756" s="29" t="n">
        <f aca="false">COUNTIFS(Trades!$D$2:$D$1146,$A756)</f>
        <v>1</v>
      </c>
      <c r="C756" s="29" t="n">
        <f aca="false">COUNTIFS(Trades!$D$2:$D$1146,$A756,Trades!$Z$2:$Z$1146,"Win")</f>
        <v>0</v>
      </c>
      <c r="D756" s="29" t="n">
        <f aca="false">COUNTIFS(Trades!$D$2:$D$1146,$A756,Trades!$Z$2:$Z$1146,"Loss")</f>
        <v>1</v>
      </c>
      <c r="E756" s="30" t="n">
        <f aca="false">IFERROR(C756/B756,0)</f>
        <v>0</v>
      </c>
      <c r="F756" s="31" t="n">
        <f aca="false">SUMIFS(Trades!$X$2:$X$1146,Trades!$D$2:$D$1146,$A756)</f>
        <v>-49.76</v>
      </c>
      <c r="G756" s="31" t="n">
        <f aca="false">SUMIFS(Trades!$X$2:$X$1146,Trades!$D$2:$D$1146,$A756,Trades!$X$2:$X$1146,"&gt;0")</f>
        <v>0</v>
      </c>
      <c r="H756" s="31" t="n">
        <f aca="false">SUMIFS(Trades!$X$2:$X$1146,Trades!$D$2:$D$1146,$A756,Trades!$X$2:$X$1146,"&lt;0")</f>
        <v>-49.76</v>
      </c>
      <c r="I756" s="32" t="n">
        <f aca="false">IFERROR(G756/-H756,"no loss")</f>
        <v>0</v>
      </c>
      <c r="J756" s="31" t="n">
        <f aca="false">_xlfn.MAXIFS(Trades!$X$2:$X$1146,Trades!$D$2:$D$1146,$A756)</f>
        <v>-49.76</v>
      </c>
      <c r="K756" s="31" t="n">
        <f aca="false">_xlfn.MINIFS(Trades!$X$2:$X$1146,Trades!$D$2:$D$1146,$A756)</f>
        <v>-49.76</v>
      </c>
      <c r="L756" s="33" t="n">
        <f aca="false">SUMIFS(Trades!$Y$2:$Y$1146,Trades!$D$2:$D$1146,$A756)</f>
        <v>-1.02050861361783</v>
      </c>
      <c r="M756" s="31" t="n">
        <f aca="false">P755</f>
        <v>19053.95</v>
      </c>
      <c r="N756" s="30" t="n">
        <f aca="false">IFERROR(F756/M756,0)</f>
        <v>-0.00261153199205414</v>
      </c>
      <c r="O756" s="29" t="str">
        <f aca="false">IF(-N756&gt;=Summary!$C$7,"BREACH","")</f>
        <v/>
      </c>
      <c r="P756" s="31" t="n">
        <f aca="false">M756+F756</f>
        <v>19004.19</v>
      </c>
      <c r="Q756" s="31" t="n">
        <f aca="false">P756-Summary!$C$5</f>
        <v>9004.19</v>
      </c>
      <c r="R756" s="2" t="str">
        <f aca="false">TEXT(A756,"ddd")</f>
        <v>Mon</v>
      </c>
    </row>
    <row r="757" customFormat="false" ht="15" hidden="false" customHeight="false" outlineLevel="0" collapsed="false">
      <c r="A757" s="43" t="n">
        <v>45888</v>
      </c>
      <c r="B757" s="29" t="n">
        <f aca="false">COUNTIFS(Trades!$D$2:$D$1146,$A757)</f>
        <v>1</v>
      </c>
      <c r="C757" s="29" t="n">
        <f aca="false">COUNTIFS(Trades!$D$2:$D$1146,$A757,Trades!$Z$2:$Z$1146,"Win")</f>
        <v>0</v>
      </c>
      <c r="D757" s="29" t="n">
        <f aca="false">COUNTIFS(Trades!$D$2:$D$1146,$A757,Trades!$Z$2:$Z$1146,"Loss")</f>
        <v>1</v>
      </c>
      <c r="E757" s="30" t="n">
        <f aca="false">IFERROR(C757/B757,0)</f>
        <v>0</v>
      </c>
      <c r="F757" s="31" t="n">
        <f aca="false">SUMIFS(Trades!$X$2:$X$1146,Trades!$D$2:$D$1146,$A757)</f>
        <v>-4.44</v>
      </c>
      <c r="G757" s="31" t="n">
        <f aca="false">SUMIFS(Trades!$X$2:$X$1146,Trades!$D$2:$D$1146,$A757,Trades!$X$2:$X$1146,"&gt;0")</f>
        <v>0</v>
      </c>
      <c r="H757" s="31" t="n">
        <f aca="false">SUMIFS(Trades!$X$2:$X$1146,Trades!$D$2:$D$1146,$A757,Trades!$X$2:$X$1146,"&lt;0")</f>
        <v>-4.44</v>
      </c>
      <c r="I757" s="32" t="n">
        <f aca="false">IFERROR(G757/-H757,"no loss")</f>
        <v>0</v>
      </c>
      <c r="J757" s="31" t="n">
        <f aca="false">_xlfn.MAXIFS(Trades!$X$2:$X$1146,Trades!$D$2:$D$1146,$A757)</f>
        <v>-4.44</v>
      </c>
      <c r="K757" s="31" t="n">
        <f aca="false">_xlfn.MINIFS(Trades!$X$2:$X$1146,Trades!$D$2:$D$1146,$A757)</f>
        <v>-4.44</v>
      </c>
      <c r="L757" s="33" t="n">
        <f aca="false">SUMIFS(Trades!$Y$2:$Y$1146,Trades!$D$2:$D$1146,$A757)</f>
        <v>-0.0546259842519693</v>
      </c>
      <c r="M757" s="31" t="n">
        <f aca="false">P756</f>
        <v>19004.19</v>
      </c>
      <c r="N757" s="30" t="n">
        <f aca="false">IFERROR(F757/M757,0)</f>
        <v>-0.000233632688370302</v>
      </c>
      <c r="O757" s="29" t="str">
        <f aca="false">IF(-N757&gt;=Summary!$C$7,"BREACH","")</f>
        <v/>
      </c>
      <c r="P757" s="31" t="n">
        <f aca="false">M757+F757</f>
        <v>18999.75</v>
      </c>
      <c r="Q757" s="31" t="n">
        <f aca="false">P757-Summary!$C$5</f>
        <v>8999.75</v>
      </c>
      <c r="R757" s="2" t="str">
        <f aca="false">TEXT(A757,"ddd")</f>
        <v>Tue</v>
      </c>
    </row>
    <row r="758" customFormat="false" ht="15" hidden="false" customHeight="false" outlineLevel="0" collapsed="false">
      <c r="A758" s="43" t="n">
        <v>45889</v>
      </c>
      <c r="B758" s="29" t="n">
        <f aca="false">COUNTIFS(Trades!$D$2:$D$1146,$A758)</f>
        <v>1</v>
      </c>
      <c r="C758" s="29" t="n">
        <f aca="false">COUNTIFS(Trades!$D$2:$D$1146,$A758,Trades!$Z$2:$Z$1146,"Win")</f>
        <v>0</v>
      </c>
      <c r="D758" s="29" t="n">
        <f aca="false">COUNTIFS(Trades!$D$2:$D$1146,$A758,Trades!$Z$2:$Z$1146,"Loss")</f>
        <v>1</v>
      </c>
      <c r="E758" s="30" t="n">
        <f aca="false">IFERROR(C758/B758,0)</f>
        <v>0</v>
      </c>
      <c r="F758" s="31" t="n">
        <f aca="false">SUMIFS(Trades!$X$2:$X$1146,Trades!$D$2:$D$1146,$A758)</f>
        <v>-34</v>
      </c>
      <c r="G758" s="31" t="n">
        <f aca="false">SUMIFS(Trades!$X$2:$X$1146,Trades!$D$2:$D$1146,$A758,Trades!$X$2:$X$1146,"&gt;0")</f>
        <v>0</v>
      </c>
      <c r="H758" s="31" t="n">
        <f aca="false">SUMIFS(Trades!$X$2:$X$1146,Trades!$D$2:$D$1146,$A758,Trades!$X$2:$X$1146,"&lt;0")</f>
        <v>-34</v>
      </c>
      <c r="I758" s="32" t="n">
        <f aca="false">IFERROR(G758/-H758,"no loss")</f>
        <v>0</v>
      </c>
      <c r="J758" s="31" t="n">
        <f aca="false">_xlfn.MAXIFS(Trades!$X$2:$X$1146,Trades!$D$2:$D$1146,$A758)</f>
        <v>-34</v>
      </c>
      <c r="K758" s="31" t="n">
        <f aca="false">_xlfn.MINIFS(Trades!$X$2:$X$1146,Trades!$D$2:$D$1146,$A758)</f>
        <v>-34</v>
      </c>
      <c r="L758" s="33" t="n">
        <f aca="false">SUMIFS(Trades!$Y$2:$Y$1146,Trades!$D$2:$D$1146,$A758)</f>
        <v>-1.06649937264776</v>
      </c>
      <c r="M758" s="31" t="n">
        <f aca="false">P757</f>
        <v>18999.75</v>
      </c>
      <c r="N758" s="30" t="n">
        <f aca="false">IFERROR(F758/M758,0)</f>
        <v>-0.00178949723022671</v>
      </c>
      <c r="O758" s="29" t="str">
        <f aca="false">IF(-N758&gt;=Summary!$C$7,"BREACH","")</f>
        <v/>
      </c>
      <c r="P758" s="31" t="n">
        <f aca="false">M758+F758</f>
        <v>18965.75</v>
      </c>
      <c r="Q758" s="31" t="n">
        <f aca="false">P758-Summary!$C$5</f>
        <v>8965.75</v>
      </c>
      <c r="R758" s="2" t="str">
        <f aca="false">TEXT(A758,"ddd")</f>
        <v>Wed</v>
      </c>
    </row>
    <row r="759" customFormat="false" ht="15" hidden="false" customHeight="false" outlineLevel="0" collapsed="false">
      <c r="A759" s="43" t="n">
        <v>45891</v>
      </c>
      <c r="B759" s="29" t="n">
        <f aca="false">COUNTIFS(Trades!$D$2:$D$1146,$A759)</f>
        <v>2</v>
      </c>
      <c r="C759" s="29" t="n">
        <f aca="false">COUNTIFS(Trades!$D$2:$D$1146,$A759,Trades!$Z$2:$Z$1146,"Win")</f>
        <v>1</v>
      </c>
      <c r="D759" s="29" t="n">
        <f aca="false">COUNTIFS(Trades!$D$2:$D$1146,$A759,Trades!$Z$2:$Z$1146,"Loss")</f>
        <v>1</v>
      </c>
      <c r="E759" s="30" t="n">
        <f aca="false">IFERROR(C759/B759,0)</f>
        <v>0.5</v>
      </c>
      <c r="F759" s="31" t="n">
        <f aca="false">SUMIFS(Trades!$X$2:$X$1146,Trades!$D$2:$D$1146,$A759)</f>
        <v>443.56</v>
      </c>
      <c r="G759" s="31" t="n">
        <f aca="false">SUMIFS(Trades!$X$2:$X$1146,Trades!$D$2:$D$1146,$A759,Trades!$X$2:$X$1146,"&gt;0")</f>
        <v>443.8</v>
      </c>
      <c r="H759" s="31" t="n">
        <f aca="false">SUMIFS(Trades!$X$2:$X$1146,Trades!$D$2:$D$1146,$A759,Trades!$X$2:$X$1146,"&lt;0")</f>
        <v>-0.24</v>
      </c>
      <c r="I759" s="32" t="n">
        <f aca="false">IFERROR(G759/-H759,"no loss")</f>
        <v>1849.16666666667</v>
      </c>
      <c r="J759" s="31" t="n">
        <f aca="false">_xlfn.MAXIFS(Trades!$X$2:$X$1146,Trades!$D$2:$D$1146,$A759)</f>
        <v>443.8</v>
      </c>
      <c r="K759" s="31" t="n">
        <f aca="false">_xlfn.MINIFS(Trades!$X$2:$X$1146,Trades!$D$2:$D$1146,$A759)</f>
        <v>-0.24</v>
      </c>
      <c r="L759" s="33" t="n">
        <f aca="false">SUMIFS(Trades!$Y$2:$Y$1146,Trades!$D$2:$D$1146,$A759)</f>
        <v>2.45313165833687</v>
      </c>
      <c r="M759" s="31" t="n">
        <f aca="false">P758</f>
        <v>18965.75</v>
      </c>
      <c r="N759" s="30" t="n">
        <f aca="false">IFERROR(F759/M759,0)</f>
        <v>0.0233874220634565</v>
      </c>
      <c r="O759" s="29" t="str">
        <f aca="false">IF(-N759&gt;=Summary!$C$7,"BREACH","")</f>
        <v/>
      </c>
      <c r="P759" s="31" t="n">
        <f aca="false">M759+F759</f>
        <v>19409.31</v>
      </c>
      <c r="Q759" s="31" t="n">
        <f aca="false">P759-Summary!$C$5</f>
        <v>9409.31</v>
      </c>
      <c r="R759" s="2" t="str">
        <f aca="false">TEXT(A759,"ddd")</f>
        <v>Fri</v>
      </c>
    </row>
    <row r="760" customFormat="false" ht="15" hidden="false" customHeight="false" outlineLevel="0" collapsed="false">
      <c r="A760" s="43" t="n">
        <v>45895</v>
      </c>
      <c r="B760" s="29" t="n">
        <f aca="false">COUNTIFS(Trades!$D$2:$D$1146,$A760)</f>
        <v>1</v>
      </c>
      <c r="C760" s="29" t="n">
        <f aca="false">COUNTIFS(Trades!$D$2:$D$1146,$A760,Trades!$Z$2:$Z$1146,"Win")</f>
        <v>1</v>
      </c>
      <c r="D760" s="29" t="n">
        <f aca="false">COUNTIFS(Trades!$D$2:$D$1146,$A760,Trades!$Z$2:$Z$1146,"Loss")</f>
        <v>0</v>
      </c>
      <c r="E760" s="30" t="n">
        <f aca="false">IFERROR(C760/B760,0)</f>
        <v>1</v>
      </c>
      <c r="F760" s="31" t="n">
        <f aca="false">SUMIFS(Trades!$X$2:$X$1146,Trades!$D$2:$D$1146,$A760)</f>
        <v>206.68</v>
      </c>
      <c r="G760" s="31" t="n">
        <f aca="false">SUMIFS(Trades!$X$2:$X$1146,Trades!$D$2:$D$1146,$A760,Trades!$X$2:$X$1146,"&gt;0")</f>
        <v>206.68</v>
      </c>
      <c r="H760" s="31" t="n">
        <f aca="false">SUMIFS(Trades!$X$2:$X$1146,Trades!$D$2:$D$1146,$A760,Trades!$X$2:$X$1146,"&lt;0")</f>
        <v>0</v>
      </c>
      <c r="I760" s="32" t="str">
        <f aca="false">IFERROR(G760/-H760,"no loss")</f>
        <v>no loss</v>
      </c>
      <c r="J760" s="31" t="n">
        <f aca="false">_xlfn.MAXIFS(Trades!$X$2:$X$1146,Trades!$D$2:$D$1146,$A760)</f>
        <v>206.68</v>
      </c>
      <c r="K760" s="31" t="n">
        <f aca="false">_xlfn.MINIFS(Trades!$X$2:$X$1146,Trades!$D$2:$D$1146,$A760)</f>
        <v>206.68</v>
      </c>
      <c r="L760" s="33" t="n">
        <f aca="false">SUMIFS(Trades!$Y$2:$Y$1146,Trades!$D$2:$D$1146,$A760)</f>
        <v>2.52665036674808</v>
      </c>
      <c r="M760" s="31" t="n">
        <f aca="false">P759</f>
        <v>19409.31</v>
      </c>
      <c r="N760" s="30" t="n">
        <f aca="false">IFERROR(F760/M760,0)</f>
        <v>0.0106484980661342</v>
      </c>
      <c r="O760" s="29" t="str">
        <f aca="false">IF(-N760&gt;=Summary!$C$7,"BREACH","")</f>
        <v/>
      </c>
      <c r="P760" s="31" t="n">
        <f aca="false">M760+F760</f>
        <v>19615.99</v>
      </c>
      <c r="Q760" s="31" t="n">
        <f aca="false">P760-Summary!$C$5</f>
        <v>9615.99</v>
      </c>
      <c r="R760" s="2" t="str">
        <f aca="false">TEXT(A760,"ddd")</f>
        <v>Tue</v>
      </c>
    </row>
    <row r="761" customFormat="false" ht="15" hidden="false" customHeight="false" outlineLevel="0" collapsed="false">
      <c r="A761" s="43" t="n">
        <v>45896</v>
      </c>
      <c r="B761" s="29" t="n">
        <f aca="false">COUNTIFS(Trades!$D$2:$D$1146,$A761)</f>
        <v>1</v>
      </c>
      <c r="C761" s="29" t="n">
        <f aca="false">COUNTIFS(Trades!$D$2:$D$1146,$A761,Trades!$Z$2:$Z$1146,"Win")</f>
        <v>0</v>
      </c>
      <c r="D761" s="29" t="n">
        <f aca="false">COUNTIFS(Trades!$D$2:$D$1146,$A761,Trades!$Z$2:$Z$1146,"Loss")</f>
        <v>1</v>
      </c>
      <c r="E761" s="30" t="n">
        <f aca="false">IFERROR(C761/B761,0)</f>
        <v>0</v>
      </c>
      <c r="F761" s="31" t="n">
        <f aca="false">SUMIFS(Trades!$X$2:$X$1146,Trades!$D$2:$D$1146,$A761)</f>
        <v>-15.72</v>
      </c>
      <c r="G761" s="31" t="n">
        <f aca="false">SUMIFS(Trades!$X$2:$X$1146,Trades!$D$2:$D$1146,$A761,Trades!$X$2:$X$1146,"&gt;0")</f>
        <v>0</v>
      </c>
      <c r="H761" s="31" t="n">
        <f aca="false">SUMIFS(Trades!$X$2:$X$1146,Trades!$D$2:$D$1146,$A761,Trades!$X$2:$X$1146,"&lt;0")</f>
        <v>-15.72</v>
      </c>
      <c r="I761" s="32" t="n">
        <f aca="false">IFERROR(G761/-H761,"no loss")</f>
        <v>0</v>
      </c>
      <c r="J761" s="31" t="n">
        <f aca="false">_xlfn.MAXIFS(Trades!$X$2:$X$1146,Trades!$D$2:$D$1146,$A761)</f>
        <v>-15.72</v>
      </c>
      <c r="K761" s="31" t="n">
        <f aca="false">_xlfn.MINIFS(Trades!$X$2:$X$1146,Trades!$D$2:$D$1146,$A761)</f>
        <v>-15.72</v>
      </c>
      <c r="L761" s="33" t="n">
        <f aca="false">SUMIFS(Trades!$Y$2:$Y$1146,Trades!$D$2:$D$1146,$A761)</f>
        <v>-1.0051150895141</v>
      </c>
      <c r="M761" s="31" t="n">
        <f aca="false">P760</f>
        <v>19615.99</v>
      </c>
      <c r="N761" s="30" t="n">
        <f aca="false">IFERROR(F761/M761,0)</f>
        <v>-0.000801387031702198</v>
      </c>
      <c r="O761" s="29" t="str">
        <f aca="false">IF(-N761&gt;=Summary!$C$7,"BREACH","")</f>
        <v/>
      </c>
      <c r="P761" s="31" t="n">
        <f aca="false">M761+F761</f>
        <v>19600.27</v>
      </c>
      <c r="Q761" s="31" t="n">
        <f aca="false">P761-Summary!$C$5</f>
        <v>9600.27</v>
      </c>
      <c r="R761" s="2" t="str">
        <f aca="false">TEXT(A761,"ddd")</f>
        <v>Wed</v>
      </c>
    </row>
    <row r="762" customFormat="false" ht="15" hidden="false" customHeight="false" outlineLevel="0" collapsed="false">
      <c r="A762" s="43" t="n">
        <v>45897</v>
      </c>
      <c r="B762" s="29" t="n">
        <f aca="false">COUNTIFS(Trades!$D$2:$D$1146,$A762)</f>
        <v>2</v>
      </c>
      <c r="C762" s="29" t="n">
        <f aca="false">COUNTIFS(Trades!$D$2:$D$1146,$A762,Trades!$Z$2:$Z$1146,"Win")</f>
        <v>0</v>
      </c>
      <c r="D762" s="29" t="n">
        <f aca="false">COUNTIFS(Trades!$D$2:$D$1146,$A762,Trades!$Z$2:$Z$1146,"Loss")</f>
        <v>2</v>
      </c>
      <c r="E762" s="30" t="n">
        <f aca="false">IFERROR(C762/B762,0)</f>
        <v>0</v>
      </c>
      <c r="F762" s="31" t="n">
        <f aca="false">SUMIFS(Trades!$X$2:$X$1146,Trades!$D$2:$D$1146,$A762)</f>
        <v>-127.32</v>
      </c>
      <c r="G762" s="31" t="n">
        <f aca="false">SUMIFS(Trades!$X$2:$X$1146,Trades!$D$2:$D$1146,$A762,Trades!$X$2:$X$1146,"&gt;0")</f>
        <v>0</v>
      </c>
      <c r="H762" s="31" t="n">
        <f aca="false">SUMIFS(Trades!$X$2:$X$1146,Trades!$D$2:$D$1146,$A762,Trades!$X$2:$X$1146,"&lt;0")</f>
        <v>-127.32</v>
      </c>
      <c r="I762" s="32" t="n">
        <f aca="false">IFERROR(G762/-H762,"no loss")</f>
        <v>0</v>
      </c>
      <c r="J762" s="31" t="n">
        <f aca="false">_xlfn.MAXIFS(Trades!$X$2:$X$1146,Trades!$D$2:$D$1146,$A762)</f>
        <v>-24.48</v>
      </c>
      <c r="K762" s="31" t="n">
        <f aca="false">_xlfn.MINIFS(Trades!$X$2:$X$1146,Trades!$D$2:$D$1146,$A762)</f>
        <v>-102.84</v>
      </c>
      <c r="L762" s="33" t="n">
        <f aca="false">SUMIFS(Trades!$Y$2:$Y$1146,Trades!$D$2:$D$1146,$A762)</f>
        <v>-2.03522765409985</v>
      </c>
      <c r="M762" s="31" t="n">
        <f aca="false">P761</f>
        <v>19600.27</v>
      </c>
      <c r="N762" s="30" t="n">
        <f aca="false">IFERROR(F762/M762,0)</f>
        <v>-0.00649582888398986</v>
      </c>
      <c r="O762" s="29" t="str">
        <f aca="false">IF(-N762&gt;=Summary!$C$7,"BREACH","")</f>
        <v/>
      </c>
      <c r="P762" s="31" t="n">
        <f aca="false">M762+F762</f>
        <v>19472.95</v>
      </c>
      <c r="Q762" s="31" t="n">
        <f aca="false">P762-Summary!$C$5</f>
        <v>9472.95</v>
      </c>
      <c r="R762" s="2" t="str">
        <f aca="false">TEXT(A762,"ddd")</f>
        <v>Thu</v>
      </c>
    </row>
    <row r="763" customFormat="false" ht="15" hidden="false" customHeight="false" outlineLevel="0" collapsed="false">
      <c r="A763" s="43" t="n">
        <v>45898</v>
      </c>
      <c r="B763" s="29" t="n">
        <f aca="false">COUNTIFS(Trades!$D$2:$D$1146,$A763)</f>
        <v>1</v>
      </c>
      <c r="C763" s="29" t="n">
        <f aca="false">COUNTIFS(Trades!$D$2:$D$1146,$A763,Trades!$Z$2:$Z$1146,"Win")</f>
        <v>0</v>
      </c>
      <c r="D763" s="29" t="n">
        <f aca="false">COUNTIFS(Trades!$D$2:$D$1146,$A763,Trades!$Z$2:$Z$1146,"Loss")</f>
        <v>1</v>
      </c>
      <c r="E763" s="30" t="n">
        <f aca="false">IFERROR(C763/B763,0)</f>
        <v>0</v>
      </c>
      <c r="F763" s="31" t="n">
        <f aca="false">SUMIFS(Trades!$X$2:$X$1146,Trades!$D$2:$D$1146,$A763)</f>
        <v>-3</v>
      </c>
      <c r="G763" s="31" t="n">
        <f aca="false">SUMIFS(Trades!$X$2:$X$1146,Trades!$D$2:$D$1146,$A763,Trades!$X$2:$X$1146,"&gt;0")</f>
        <v>0</v>
      </c>
      <c r="H763" s="31" t="n">
        <f aca="false">SUMIFS(Trades!$X$2:$X$1146,Trades!$D$2:$D$1146,$A763,Trades!$X$2:$X$1146,"&lt;0")</f>
        <v>-3</v>
      </c>
      <c r="I763" s="32" t="n">
        <f aca="false">IFERROR(G763/-H763,"no loss")</f>
        <v>0</v>
      </c>
      <c r="J763" s="31" t="n">
        <f aca="false">_xlfn.MAXIFS(Trades!$X$2:$X$1146,Trades!$D$2:$D$1146,$A763)</f>
        <v>-3</v>
      </c>
      <c r="K763" s="31" t="n">
        <f aca="false">_xlfn.MINIFS(Trades!$X$2:$X$1146,Trades!$D$2:$D$1146,$A763)</f>
        <v>-3</v>
      </c>
      <c r="L763" s="33" t="n">
        <f aca="false">SUMIFS(Trades!$Y$2:$Y$1146,Trades!$D$2:$D$1146,$A763)</f>
        <v>-0.0276141384388809</v>
      </c>
      <c r="M763" s="31" t="n">
        <f aca="false">P762</f>
        <v>19472.95</v>
      </c>
      <c r="N763" s="30" t="n">
        <f aca="false">IFERROR(F763/M763,0)</f>
        <v>-0.000154059862527249</v>
      </c>
      <c r="O763" s="29" t="str">
        <f aca="false">IF(-N763&gt;=Summary!$C$7,"BREACH","")</f>
        <v/>
      </c>
      <c r="P763" s="31" t="n">
        <f aca="false">M763+F763</f>
        <v>19469.95</v>
      </c>
      <c r="Q763" s="31" t="n">
        <f aca="false">P763-Summary!$C$5</f>
        <v>9469.95</v>
      </c>
      <c r="R763" s="2" t="str">
        <f aca="false">TEXT(A763,"ddd")</f>
        <v>Fri</v>
      </c>
    </row>
    <row r="764" customFormat="false" ht="15" hidden="false" customHeight="false" outlineLevel="0" collapsed="false">
      <c r="A764" s="43" t="n">
        <v>45901</v>
      </c>
      <c r="B764" s="29" t="n">
        <f aca="false">COUNTIFS(Trades!$D$2:$D$1146,$A764)</f>
        <v>1</v>
      </c>
      <c r="C764" s="29" t="n">
        <f aca="false">COUNTIFS(Trades!$D$2:$D$1146,$A764,Trades!$Z$2:$Z$1146,"Win")</f>
        <v>1</v>
      </c>
      <c r="D764" s="29" t="n">
        <f aca="false">COUNTIFS(Trades!$D$2:$D$1146,$A764,Trades!$Z$2:$Z$1146,"Loss")</f>
        <v>0</v>
      </c>
      <c r="E764" s="30" t="n">
        <f aca="false">IFERROR(C764/B764,0)</f>
        <v>1</v>
      </c>
      <c r="F764" s="31" t="n">
        <f aca="false">SUMIFS(Trades!$X$2:$X$1146,Trades!$D$2:$D$1146,$A764)</f>
        <v>81.2</v>
      </c>
      <c r="G764" s="31" t="n">
        <f aca="false">SUMIFS(Trades!$X$2:$X$1146,Trades!$D$2:$D$1146,$A764,Trades!$X$2:$X$1146,"&gt;0")</f>
        <v>81.2</v>
      </c>
      <c r="H764" s="31" t="n">
        <f aca="false">SUMIFS(Trades!$X$2:$X$1146,Trades!$D$2:$D$1146,$A764,Trades!$X$2:$X$1146,"&lt;0")</f>
        <v>0</v>
      </c>
      <c r="I764" s="32" t="str">
        <f aca="false">IFERROR(G764/-H764,"no loss")</f>
        <v>no loss</v>
      </c>
      <c r="J764" s="31" t="n">
        <f aca="false">_xlfn.MAXIFS(Trades!$X$2:$X$1146,Trades!$D$2:$D$1146,$A764)</f>
        <v>81.2</v>
      </c>
      <c r="K764" s="31" t="n">
        <f aca="false">_xlfn.MINIFS(Trades!$X$2:$X$1146,Trades!$D$2:$D$1146,$A764)</f>
        <v>81.2</v>
      </c>
      <c r="L764" s="33" t="n">
        <f aca="false">SUMIFS(Trades!$Y$2:$Y$1146,Trades!$D$2:$D$1146,$A764)</f>
        <v>2.47863247863288</v>
      </c>
      <c r="M764" s="31" t="n">
        <f aca="false">P763</f>
        <v>19469.95</v>
      </c>
      <c r="N764" s="30" t="n">
        <f aca="false">IFERROR(F764/M764,0)</f>
        <v>0.00417052945693235</v>
      </c>
      <c r="O764" s="29" t="str">
        <f aca="false">IF(-N764&gt;=Summary!$C$7,"BREACH","")</f>
        <v/>
      </c>
      <c r="P764" s="31" t="n">
        <f aca="false">M764+F764</f>
        <v>19551.15</v>
      </c>
      <c r="Q764" s="31" t="n">
        <f aca="false">P764-Summary!$C$5</f>
        <v>9551.15</v>
      </c>
      <c r="R764" s="2" t="str">
        <f aca="false">TEXT(A764,"ddd")</f>
        <v>Mon</v>
      </c>
    </row>
    <row r="765" customFormat="false" ht="15" hidden="false" customHeight="false" outlineLevel="0" collapsed="false">
      <c r="A765" s="43" t="n">
        <v>45902</v>
      </c>
      <c r="B765" s="29" t="n">
        <f aca="false">COUNTIFS(Trades!$D$2:$D$1146,$A765)</f>
        <v>1</v>
      </c>
      <c r="C765" s="29" t="n">
        <f aca="false">COUNTIFS(Trades!$D$2:$D$1146,$A765,Trades!$Z$2:$Z$1146,"Win")</f>
        <v>1</v>
      </c>
      <c r="D765" s="29" t="n">
        <f aca="false">COUNTIFS(Trades!$D$2:$D$1146,$A765,Trades!$Z$2:$Z$1146,"Loss")</f>
        <v>0</v>
      </c>
      <c r="E765" s="30" t="n">
        <f aca="false">IFERROR(C765/B765,0)</f>
        <v>1</v>
      </c>
      <c r="F765" s="31" t="n">
        <f aca="false">SUMIFS(Trades!$X$2:$X$1146,Trades!$D$2:$D$1146,$A765)</f>
        <v>91.8</v>
      </c>
      <c r="G765" s="31" t="n">
        <f aca="false">SUMIFS(Trades!$X$2:$X$1146,Trades!$D$2:$D$1146,$A765,Trades!$X$2:$X$1146,"&gt;0")</f>
        <v>91.8</v>
      </c>
      <c r="H765" s="31" t="n">
        <f aca="false">SUMIFS(Trades!$X$2:$X$1146,Trades!$D$2:$D$1146,$A765,Trades!$X$2:$X$1146,"&lt;0")</f>
        <v>0</v>
      </c>
      <c r="I765" s="32" t="str">
        <f aca="false">IFERROR(G765/-H765,"no loss")</f>
        <v>no loss</v>
      </c>
      <c r="J765" s="31" t="n">
        <f aca="false">_xlfn.MAXIFS(Trades!$X$2:$X$1146,Trades!$D$2:$D$1146,$A765)</f>
        <v>91.8</v>
      </c>
      <c r="K765" s="31" t="n">
        <f aca="false">_xlfn.MINIFS(Trades!$X$2:$X$1146,Trades!$D$2:$D$1146,$A765)</f>
        <v>91.8</v>
      </c>
      <c r="L765" s="33" t="n">
        <f aca="false">SUMIFS(Trades!$Y$2:$Y$1146,Trades!$D$2:$D$1146,$A765)</f>
        <v>2.49185667752467</v>
      </c>
      <c r="M765" s="31" t="n">
        <f aca="false">P764</f>
        <v>19551.15</v>
      </c>
      <c r="N765" s="30" t="n">
        <f aca="false">IFERROR(F765/M765,0)</f>
        <v>0.00469537597532626</v>
      </c>
      <c r="O765" s="29" t="str">
        <f aca="false">IF(-N765&gt;=Summary!$C$7,"BREACH","")</f>
        <v/>
      </c>
      <c r="P765" s="31" t="n">
        <f aca="false">M765+F765</f>
        <v>19642.95</v>
      </c>
      <c r="Q765" s="31" t="n">
        <f aca="false">P765-Summary!$C$5</f>
        <v>9642.95</v>
      </c>
      <c r="R765" s="2" t="str">
        <f aca="false">TEXT(A765,"ddd")</f>
        <v>Tue</v>
      </c>
    </row>
    <row r="766" customFormat="false" ht="15" hidden="false" customHeight="false" outlineLevel="0" collapsed="false">
      <c r="A766" s="43" t="n">
        <v>45903</v>
      </c>
      <c r="B766" s="29" t="n">
        <f aca="false">COUNTIFS(Trades!$D$2:$D$1146,$A766)</f>
        <v>1</v>
      </c>
      <c r="C766" s="29" t="n">
        <f aca="false">COUNTIFS(Trades!$D$2:$D$1146,$A766,Trades!$Z$2:$Z$1146,"Win")</f>
        <v>0</v>
      </c>
      <c r="D766" s="29" t="n">
        <f aca="false">COUNTIFS(Trades!$D$2:$D$1146,$A766,Trades!$Z$2:$Z$1146,"Loss")</f>
        <v>1</v>
      </c>
      <c r="E766" s="30" t="n">
        <f aca="false">IFERROR(C766/B766,0)</f>
        <v>0</v>
      </c>
      <c r="F766" s="31" t="n">
        <f aca="false">SUMIFS(Trades!$X$2:$X$1146,Trades!$D$2:$D$1146,$A766)</f>
        <v>-39</v>
      </c>
      <c r="G766" s="31" t="n">
        <f aca="false">SUMIFS(Trades!$X$2:$X$1146,Trades!$D$2:$D$1146,$A766,Trades!$X$2:$X$1146,"&gt;0")</f>
        <v>0</v>
      </c>
      <c r="H766" s="31" t="n">
        <f aca="false">SUMIFS(Trades!$X$2:$X$1146,Trades!$D$2:$D$1146,$A766,Trades!$X$2:$X$1146,"&lt;0")</f>
        <v>-39</v>
      </c>
      <c r="I766" s="32" t="n">
        <f aca="false">IFERROR(G766/-H766,"no loss")</f>
        <v>0</v>
      </c>
      <c r="J766" s="31" t="n">
        <f aca="false">_xlfn.MAXIFS(Trades!$X$2:$X$1146,Trades!$D$2:$D$1146,$A766)</f>
        <v>-39</v>
      </c>
      <c r="K766" s="31" t="n">
        <f aca="false">_xlfn.MINIFS(Trades!$X$2:$X$1146,Trades!$D$2:$D$1146,$A766)</f>
        <v>-39</v>
      </c>
      <c r="L766" s="33" t="n">
        <f aca="false">SUMIFS(Trades!$Y$2:$Y$1146,Trades!$D$2:$D$1146,$A766)</f>
        <v>-1.00931677018635</v>
      </c>
      <c r="M766" s="31" t="n">
        <f aca="false">P765</f>
        <v>19642.95</v>
      </c>
      <c r="N766" s="30" t="n">
        <f aca="false">IFERROR(F766/M766,0)</f>
        <v>-0.00198544515971379</v>
      </c>
      <c r="O766" s="29" t="str">
        <f aca="false">IF(-N766&gt;=Summary!$C$7,"BREACH","")</f>
        <v/>
      </c>
      <c r="P766" s="31" t="n">
        <f aca="false">M766+F766</f>
        <v>19603.95</v>
      </c>
      <c r="Q766" s="31" t="n">
        <f aca="false">P766-Summary!$C$5</f>
        <v>9603.95</v>
      </c>
      <c r="R766" s="2" t="str">
        <f aca="false">TEXT(A766,"ddd")</f>
        <v>Wed</v>
      </c>
    </row>
    <row r="767" customFormat="false" ht="15" hidden="false" customHeight="false" outlineLevel="0" collapsed="false">
      <c r="A767" s="43" t="n">
        <v>45904</v>
      </c>
      <c r="B767" s="29" t="n">
        <f aca="false">COUNTIFS(Trades!$D$2:$D$1146,$A767)</f>
        <v>1</v>
      </c>
      <c r="C767" s="29" t="n">
        <f aca="false">COUNTIFS(Trades!$D$2:$D$1146,$A767,Trades!$Z$2:$Z$1146,"Win")</f>
        <v>0</v>
      </c>
      <c r="D767" s="29" t="n">
        <f aca="false">COUNTIFS(Trades!$D$2:$D$1146,$A767,Trades!$Z$2:$Z$1146,"Loss")</f>
        <v>1</v>
      </c>
      <c r="E767" s="30" t="n">
        <f aca="false">IFERROR(C767/B767,0)</f>
        <v>0</v>
      </c>
      <c r="F767" s="31" t="n">
        <f aca="false">SUMIFS(Trades!$X$2:$X$1146,Trades!$D$2:$D$1146,$A767)</f>
        <v>-26</v>
      </c>
      <c r="G767" s="31" t="n">
        <f aca="false">SUMIFS(Trades!$X$2:$X$1146,Trades!$D$2:$D$1146,$A767,Trades!$X$2:$X$1146,"&gt;0")</f>
        <v>0</v>
      </c>
      <c r="H767" s="31" t="n">
        <f aca="false">SUMIFS(Trades!$X$2:$X$1146,Trades!$D$2:$D$1146,$A767,Trades!$X$2:$X$1146,"&lt;0")</f>
        <v>-26</v>
      </c>
      <c r="I767" s="32" t="n">
        <f aca="false">IFERROR(G767/-H767,"no loss")</f>
        <v>0</v>
      </c>
      <c r="J767" s="31" t="n">
        <f aca="false">_xlfn.MAXIFS(Trades!$X$2:$X$1146,Trades!$D$2:$D$1146,$A767)</f>
        <v>-26</v>
      </c>
      <c r="K767" s="31" t="n">
        <f aca="false">_xlfn.MINIFS(Trades!$X$2:$X$1146,Trades!$D$2:$D$1146,$A767)</f>
        <v>-26</v>
      </c>
      <c r="L767" s="33" t="n">
        <f aca="false">SUMIFS(Trades!$Y$2:$Y$1146,Trades!$D$2:$D$1146,$A767)</f>
        <v>-1.0268562401261</v>
      </c>
      <c r="M767" s="31" t="n">
        <f aca="false">P766</f>
        <v>19603.95</v>
      </c>
      <c r="N767" s="30" t="n">
        <f aca="false">IFERROR(F767/M767,0)</f>
        <v>-0.00132626332958409</v>
      </c>
      <c r="O767" s="29" t="str">
        <f aca="false">IF(-N767&gt;=Summary!$C$7,"BREACH","")</f>
        <v/>
      </c>
      <c r="P767" s="31" t="n">
        <f aca="false">M767+F767</f>
        <v>19577.95</v>
      </c>
      <c r="Q767" s="31" t="n">
        <f aca="false">P767-Summary!$C$5</f>
        <v>9577.95</v>
      </c>
      <c r="R767" s="2" t="str">
        <f aca="false">TEXT(A767,"ddd")</f>
        <v>Thu</v>
      </c>
    </row>
    <row r="768" customFormat="false" ht="15" hidden="false" customHeight="false" outlineLevel="0" collapsed="false">
      <c r="A768" s="43" t="n">
        <v>45905</v>
      </c>
      <c r="B768" s="29" t="n">
        <f aca="false">COUNTIFS(Trades!$D$2:$D$1146,$A768)</f>
        <v>1</v>
      </c>
      <c r="C768" s="29" t="n">
        <f aca="false">COUNTIFS(Trades!$D$2:$D$1146,$A768,Trades!$Z$2:$Z$1146,"Win")</f>
        <v>0</v>
      </c>
      <c r="D768" s="29" t="n">
        <f aca="false">COUNTIFS(Trades!$D$2:$D$1146,$A768,Trades!$Z$2:$Z$1146,"Loss")</f>
        <v>1</v>
      </c>
      <c r="E768" s="30" t="n">
        <f aca="false">IFERROR(C768/B768,0)</f>
        <v>0</v>
      </c>
      <c r="F768" s="31" t="n">
        <f aca="false">SUMIFS(Trades!$X$2:$X$1146,Trades!$D$2:$D$1146,$A768)</f>
        <v>-1.2</v>
      </c>
      <c r="G768" s="31" t="n">
        <f aca="false">SUMIFS(Trades!$X$2:$X$1146,Trades!$D$2:$D$1146,$A768,Trades!$X$2:$X$1146,"&gt;0")</f>
        <v>0</v>
      </c>
      <c r="H768" s="31" t="n">
        <f aca="false">SUMIFS(Trades!$X$2:$X$1146,Trades!$D$2:$D$1146,$A768,Trades!$X$2:$X$1146,"&lt;0")</f>
        <v>-1.2</v>
      </c>
      <c r="I768" s="32" t="n">
        <f aca="false">IFERROR(G768/-H768,"no loss")</f>
        <v>0</v>
      </c>
      <c r="J768" s="31" t="n">
        <f aca="false">_xlfn.MAXIFS(Trades!$X$2:$X$1146,Trades!$D$2:$D$1146,$A768)</f>
        <v>-1.2</v>
      </c>
      <c r="K768" s="31" t="n">
        <f aca="false">_xlfn.MINIFS(Trades!$X$2:$X$1146,Trades!$D$2:$D$1146,$A768)</f>
        <v>-1.2</v>
      </c>
      <c r="L768" s="33" t="n">
        <f aca="false">SUMIFS(Trades!$Y$2:$Y$1146,Trades!$D$2:$D$1146,$A768)</f>
        <v>-0.0255536626916569</v>
      </c>
      <c r="M768" s="31" t="n">
        <f aca="false">P767</f>
        <v>19577.95</v>
      </c>
      <c r="N768" s="30" t="n">
        <f aca="false">IFERROR(F768/M768,0)</f>
        <v>-6.1293444921455E-005</v>
      </c>
      <c r="O768" s="29" t="str">
        <f aca="false">IF(-N768&gt;=Summary!$C$7,"BREACH","")</f>
        <v/>
      </c>
      <c r="P768" s="31" t="n">
        <f aca="false">M768+F768</f>
        <v>19576.75</v>
      </c>
      <c r="Q768" s="31" t="n">
        <f aca="false">P768-Summary!$C$5</f>
        <v>9576.75</v>
      </c>
      <c r="R768" s="2" t="str">
        <f aca="false">TEXT(A768,"ddd")</f>
        <v>Fri</v>
      </c>
    </row>
    <row r="769" customFormat="false" ht="15" hidden="false" customHeight="false" outlineLevel="0" collapsed="false">
      <c r="A769" s="43" t="n">
        <v>45909</v>
      </c>
      <c r="B769" s="29" t="n">
        <f aca="false">COUNTIFS(Trades!$D$2:$D$1146,$A769)</f>
        <v>1</v>
      </c>
      <c r="C769" s="29" t="n">
        <f aca="false">COUNTIFS(Trades!$D$2:$D$1146,$A769,Trades!$Z$2:$Z$1146,"Win")</f>
        <v>0</v>
      </c>
      <c r="D769" s="29" t="n">
        <f aca="false">COUNTIFS(Trades!$D$2:$D$1146,$A769,Trades!$Z$2:$Z$1146,"Loss")</f>
        <v>1</v>
      </c>
      <c r="E769" s="30" t="n">
        <f aca="false">IFERROR(C769/B769,0)</f>
        <v>0</v>
      </c>
      <c r="F769" s="31" t="n">
        <f aca="false">SUMIFS(Trades!$X$2:$X$1146,Trades!$D$2:$D$1146,$A769)</f>
        <v>-37.88</v>
      </c>
      <c r="G769" s="31" t="n">
        <f aca="false">SUMIFS(Trades!$X$2:$X$1146,Trades!$D$2:$D$1146,$A769,Trades!$X$2:$X$1146,"&gt;0")</f>
        <v>0</v>
      </c>
      <c r="H769" s="31" t="n">
        <f aca="false">SUMIFS(Trades!$X$2:$X$1146,Trades!$D$2:$D$1146,$A769,Trades!$X$2:$X$1146,"&lt;0")</f>
        <v>-37.88</v>
      </c>
      <c r="I769" s="32" t="n">
        <f aca="false">IFERROR(G769/-H769,"no loss")</f>
        <v>0</v>
      </c>
      <c r="J769" s="31" t="n">
        <f aca="false">_xlfn.MAXIFS(Trades!$X$2:$X$1146,Trades!$D$2:$D$1146,$A769)</f>
        <v>-37.88</v>
      </c>
      <c r="K769" s="31" t="n">
        <f aca="false">_xlfn.MINIFS(Trades!$X$2:$X$1146,Trades!$D$2:$D$1146,$A769)</f>
        <v>-37.88</v>
      </c>
      <c r="L769" s="33" t="n">
        <f aca="false">SUMIFS(Trades!$Y$2:$Y$1146,Trades!$D$2:$D$1146,$A769)</f>
        <v>-1.08228571428571</v>
      </c>
      <c r="M769" s="31" t="n">
        <f aca="false">P768</f>
        <v>19576.75</v>
      </c>
      <c r="N769" s="30" t="n">
        <f aca="false">IFERROR(F769/M769,0)</f>
        <v>-0.00193494834433703</v>
      </c>
      <c r="O769" s="29" t="str">
        <f aca="false">IF(-N769&gt;=Summary!$C$7,"BREACH","")</f>
        <v/>
      </c>
      <c r="P769" s="31" t="n">
        <f aca="false">M769+F769</f>
        <v>19538.87</v>
      </c>
      <c r="Q769" s="31" t="n">
        <f aca="false">P769-Summary!$C$5</f>
        <v>9538.87</v>
      </c>
      <c r="R769" s="2" t="str">
        <f aca="false">TEXT(A769,"ddd")</f>
        <v>Tue</v>
      </c>
    </row>
    <row r="770" customFormat="false" ht="15" hidden="false" customHeight="false" outlineLevel="0" collapsed="false">
      <c r="A770" s="43" t="n">
        <v>45910</v>
      </c>
      <c r="B770" s="29" t="n">
        <f aca="false">COUNTIFS(Trades!$D$2:$D$1146,$A770)</f>
        <v>1</v>
      </c>
      <c r="C770" s="29" t="n">
        <f aca="false">COUNTIFS(Trades!$D$2:$D$1146,$A770,Trades!$Z$2:$Z$1146,"Win")</f>
        <v>0</v>
      </c>
      <c r="D770" s="29" t="n">
        <f aca="false">COUNTIFS(Trades!$D$2:$D$1146,$A770,Trades!$Z$2:$Z$1146,"Loss")</f>
        <v>1</v>
      </c>
      <c r="E770" s="30" t="n">
        <f aca="false">IFERROR(C770/B770,0)</f>
        <v>0</v>
      </c>
      <c r="F770" s="31" t="n">
        <f aca="false">SUMIFS(Trades!$X$2:$X$1146,Trades!$D$2:$D$1146,$A770)</f>
        <v>-42.32</v>
      </c>
      <c r="G770" s="31" t="n">
        <f aca="false">SUMIFS(Trades!$X$2:$X$1146,Trades!$D$2:$D$1146,$A770,Trades!$X$2:$X$1146,"&gt;0")</f>
        <v>0</v>
      </c>
      <c r="H770" s="31" t="n">
        <f aca="false">SUMIFS(Trades!$X$2:$X$1146,Trades!$D$2:$D$1146,$A770,Trades!$X$2:$X$1146,"&lt;0")</f>
        <v>-42.32</v>
      </c>
      <c r="I770" s="32" t="n">
        <f aca="false">IFERROR(G770/-H770,"no loss")</f>
        <v>0</v>
      </c>
      <c r="J770" s="31" t="n">
        <f aca="false">_xlfn.MAXIFS(Trades!$X$2:$X$1146,Trades!$D$2:$D$1146,$A770)</f>
        <v>-42.32</v>
      </c>
      <c r="K770" s="31" t="n">
        <f aca="false">_xlfn.MINIFS(Trades!$X$2:$X$1146,Trades!$D$2:$D$1146,$A770)</f>
        <v>-42.32</v>
      </c>
      <c r="L770" s="33" t="n">
        <f aca="false">SUMIFS(Trades!$Y$2:$Y$1146,Trades!$D$2:$D$1146,$A770)</f>
        <v>-1.04856293359761</v>
      </c>
      <c r="M770" s="31" t="n">
        <f aca="false">P769</f>
        <v>19538.87</v>
      </c>
      <c r="N770" s="30" t="n">
        <f aca="false">IFERROR(F770/M770,0)</f>
        <v>-0.00216593897190574</v>
      </c>
      <c r="O770" s="29" t="str">
        <f aca="false">IF(-N770&gt;=Summary!$C$7,"BREACH","")</f>
        <v/>
      </c>
      <c r="P770" s="31" t="n">
        <f aca="false">M770+F770</f>
        <v>19496.55</v>
      </c>
      <c r="Q770" s="31" t="n">
        <f aca="false">P770-Summary!$C$5</f>
        <v>9496.55</v>
      </c>
      <c r="R770" s="2" t="str">
        <f aca="false">TEXT(A770,"ddd")</f>
        <v>Wed</v>
      </c>
    </row>
    <row r="771" customFormat="false" ht="15" hidden="false" customHeight="false" outlineLevel="0" collapsed="false">
      <c r="A771" s="43" t="n">
        <v>45911</v>
      </c>
      <c r="B771" s="29" t="n">
        <f aca="false">COUNTIFS(Trades!$D$2:$D$1146,$A771)</f>
        <v>1</v>
      </c>
      <c r="C771" s="29" t="n">
        <f aca="false">COUNTIFS(Trades!$D$2:$D$1146,$A771,Trades!$Z$2:$Z$1146,"Win")</f>
        <v>0</v>
      </c>
      <c r="D771" s="29" t="n">
        <f aca="false">COUNTIFS(Trades!$D$2:$D$1146,$A771,Trades!$Z$2:$Z$1146,"Loss")</f>
        <v>1</v>
      </c>
      <c r="E771" s="30" t="n">
        <f aca="false">IFERROR(C771/B771,0)</f>
        <v>0</v>
      </c>
      <c r="F771" s="31" t="n">
        <f aca="false">SUMIFS(Trades!$X$2:$X$1146,Trades!$D$2:$D$1146,$A771)</f>
        <v>-38.52</v>
      </c>
      <c r="G771" s="31" t="n">
        <f aca="false">SUMIFS(Trades!$X$2:$X$1146,Trades!$D$2:$D$1146,$A771,Trades!$X$2:$X$1146,"&gt;0")</f>
        <v>0</v>
      </c>
      <c r="H771" s="31" t="n">
        <f aca="false">SUMIFS(Trades!$X$2:$X$1146,Trades!$D$2:$D$1146,$A771,Trades!$X$2:$X$1146,"&lt;0")</f>
        <v>-38.52</v>
      </c>
      <c r="I771" s="32" t="n">
        <f aca="false">IFERROR(G771/-H771,"no loss")</f>
        <v>0</v>
      </c>
      <c r="J771" s="31" t="n">
        <f aca="false">_xlfn.MAXIFS(Trades!$X$2:$X$1146,Trades!$D$2:$D$1146,$A771)</f>
        <v>-38.52</v>
      </c>
      <c r="K771" s="31" t="n">
        <f aca="false">_xlfn.MINIFS(Trades!$X$2:$X$1146,Trades!$D$2:$D$1146,$A771)</f>
        <v>-38.52</v>
      </c>
      <c r="L771" s="33" t="n">
        <f aca="false">SUMIFS(Trades!$Y$2:$Y$1146,Trades!$D$2:$D$1146,$A771)</f>
        <v>-1.1477949940406</v>
      </c>
      <c r="M771" s="31" t="n">
        <f aca="false">P770</f>
        <v>19496.55</v>
      </c>
      <c r="N771" s="30" t="n">
        <f aca="false">IFERROR(F771/M771,0)</f>
        <v>-0.00197573416835286</v>
      </c>
      <c r="O771" s="29" t="str">
        <f aca="false">IF(-N771&gt;=Summary!$C$7,"BREACH","")</f>
        <v/>
      </c>
      <c r="P771" s="31" t="n">
        <f aca="false">M771+F771</f>
        <v>19458.03</v>
      </c>
      <c r="Q771" s="31" t="n">
        <f aca="false">P771-Summary!$C$5</f>
        <v>9458.03</v>
      </c>
      <c r="R771" s="2" t="str">
        <f aca="false">TEXT(A771,"ddd")</f>
        <v>Thu</v>
      </c>
    </row>
    <row r="772" customFormat="false" ht="15" hidden="false" customHeight="false" outlineLevel="0" collapsed="false">
      <c r="A772" s="43" t="n">
        <v>45912</v>
      </c>
      <c r="B772" s="29" t="n">
        <f aca="false">COUNTIFS(Trades!$D$2:$D$1146,$A772)</f>
        <v>1</v>
      </c>
      <c r="C772" s="29" t="n">
        <f aca="false">COUNTIFS(Trades!$D$2:$D$1146,$A772,Trades!$Z$2:$Z$1146,"Win")</f>
        <v>0</v>
      </c>
      <c r="D772" s="29" t="n">
        <f aca="false">COUNTIFS(Trades!$D$2:$D$1146,$A772,Trades!$Z$2:$Z$1146,"Loss")</f>
        <v>1</v>
      </c>
      <c r="E772" s="30" t="n">
        <f aca="false">IFERROR(C772/B772,0)</f>
        <v>0</v>
      </c>
      <c r="F772" s="31" t="n">
        <f aca="false">SUMIFS(Trades!$X$2:$X$1146,Trades!$D$2:$D$1146,$A772)</f>
        <v>-10.12</v>
      </c>
      <c r="G772" s="31" t="n">
        <f aca="false">SUMIFS(Trades!$X$2:$X$1146,Trades!$D$2:$D$1146,$A772,Trades!$X$2:$X$1146,"&gt;0")</f>
        <v>0</v>
      </c>
      <c r="H772" s="31" t="n">
        <f aca="false">SUMIFS(Trades!$X$2:$X$1146,Trades!$D$2:$D$1146,$A772,Trades!$X$2:$X$1146,"&lt;0")</f>
        <v>-10.12</v>
      </c>
      <c r="I772" s="32" t="n">
        <f aca="false">IFERROR(G772/-H772,"no loss")</f>
        <v>0</v>
      </c>
      <c r="J772" s="31" t="n">
        <f aca="false">_xlfn.MAXIFS(Trades!$X$2:$X$1146,Trades!$D$2:$D$1146,$A772)</f>
        <v>-10.12</v>
      </c>
      <c r="K772" s="31" t="n">
        <f aca="false">_xlfn.MINIFS(Trades!$X$2:$X$1146,Trades!$D$2:$D$1146,$A772)</f>
        <v>-10.12</v>
      </c>
      <c r="L772" s="33" t="n">
        <f aca="false">SUMIFS(Trades!$Y$2:$Y$1146,Trades!$D$2:$D$1146,$A772)</f>
        <v>-1.01606425702746</v>
      </c>
      <c r="M772" s="31" t="n">
        <f aca="false">P771</f>
        <v>19458.03</v>
      </c>
      <c r="N772" s="30" t="n">
        <f aca="false">IFERROR(F772/M772,0)</f>
        <v>-0.000520093760776399</v>
      </c>
      <c r="O772" s="29" t="str">
        <f aca="false">IF(-N772&gt;=Summary!$C$7,"BREACH","")</f>
        <v/>
      </c>
      <c r="P772" s="31" t="n">
        <f aca="false">M772+F772</f>
        <v>19447.91</v>
      </c>
      <c r="Q772" s="31" t="n">
        <f aca="false">P772-Summary!$C$5</f>
        <v>9447.91</v>
      </c>
      <c r="R772" s="2" t="str">
        <f aca="false">TEXT(A772,"ddd")</f>
        <v>Fri</v>
      </c>
    </row>
    <row r="773" customFormat="false" ht="15" hidden="false" customHeight="false" outlineLevel="0" collapsed="false">
      <c r="A773" s="43" t="n">
        <v>45915</v>
      </c>
      <c r="B773" s="29" t="n">
        <f aca="false">COUNTIFS(Trades!$D$2:$D$1146,$A773)</f>
        <v>1</v>
      </c>
      <c r="C773" s="29" t="n">
        <f aca="false">COUNTIFS(Trades!$D$2:$D$1146,$A773,Trades!$Z$2:$Z$1146,"Win")</f>
        <v>0</v>
      </c>
      <c r="D773" s="29" t="n">
        <f aca="false">COUNTIFS(Trades!$D$2:$D$1146,$A773,Trades!$Z$2:$Z$1146,"Loss")</f>
        <v>1</v>
      </c>
      <c r="E773" s="30" t="n">
        <f aca="false">IFERROR(C773/B773,0)</f>
        <v>0</v>
      </c>
      <c r="F773" s="31" t="n">
        <f aca="false">SUMIFS(Trades!$X$2:$X$1146,Trades!$D$2:$D$1146,$A773)</f>
        <v>-15.6</v>
      </c>
      <c r="G773" s="31" t="n">
        <f aca="false">SUMIFS(Trades!$X$2:$X$1146,Trades!$D$2:$D$1146,$A773,Trades!$X$2:$X$1146,"&gt;0")</f>
        <v>0</v>
      </c>
      <c r="H773" s="31" t="n">
        <f aca="false">SUMIFS(Trades!$X$2:$X$1146,Trades!$D$2:$D$1146,$A773,Trades!$X$2:$X$1146,"&lt;0")</f>
        <v>-15.6</v>
      </c>
      <c r="I773" s="32" t="n">
        <f aca="false">IFERROR(G773/-H773,"no loss")</f>
        <v>0</v>
      </c>
      <c r="J773" s="31" t="n">
        <f aca="false">_xlfn.MAXIFS(Trades!$X$2:$X$1146,Trades!$D$2:$D$1146,$A773)</f>
        <v>-15.6</v>
      </c>
      <c r="K773" s="31" t="n">
        <f aca="false">_xlfn.MINIFS(Trades!$X$2:$X$1146,Trades!$D$2:$D$1146,$A773)</f>
        <v>-15.6</v>
      </c>
      <c r="L773" s="33" t="n">
        <f aca="false">SUMIFS(Trades!$Y$2:$Y$1146,Trades!$D$2:$D$1146,$A773)</f>
        <v>-1.08333333333268</v>
      </c>
      <c r="M773" s="31" t="n">
        <f aca="false">P772</f>
        <v>19447.91</v>
      </c>
      <c r="N773" s="30" t="n">
        <f aca="false">IFERROR(F773/M773,0)</f>
        <v>-0.000802142749529384</v>
      </c>
      <c r="O773" s="29" t="str">
        <f aca="false">IF(-N773&gt;=Summary!$C$7,"BREACH","")</f>
        <v/>
      </c>
      <c r="P773" s="31" t="n">
        <f aca="false">M773+F773</f>
        <v>19432.31</v>
      </c>
      <c r="Q773" s="31" t="n">
        <f aca="false">P773-Summary!$C$5</f>
        <v>9432.31</v>
      </c>
      <c r="R773" s="2" t="str">
        <f aca="false">TEXT(A773,"ddd")</f>
        <v>Mon</v>
      </c>
    </row>
    <row r="774" customFormat="false" ht="15" hidden="false" customHeight="false" outlineLevel="0" collapsed="false">
      <c r="A774" s="43" t="n">
        <v>45916</v>
      </c>
      <c r="B774" s="29" t="n">
        <f aca="false">COUNTIFS(Trades!$D$2:$D$1146,$A774)</f>
        <v>1</v>
      </c>
      <c r="C774" s="29" t="n">
        <f aca="false">COUNTIFS(Trades!$D$2:$D$1146,$A774,Trades!$Z$2:$Z$1146,"Win")</f>
        <v>0</v>
      </c>
      <c r="D774" s="29" t="n">
        <f aca="false">COUNTIFS(Trades!$D$2:$D$1146,$A774,Trades!$Z$2:$Z$1146,"Loss")</f>
        <v>1</v>
      </c>
      <c r="E774" s="30" t="n">
        <f aca="false">IFERROR(C774/B774,0)</f>
        <v>0</v>
      </c>
      <c r="F774" s="31" t="n">
        <f aca="false">SUMIFS(Trades!$X$2:$X$1146,Trades!$D$2:$D$1146,$A774)</f>
        <v>-1.17</v>
      </c>
      <c r="G774" s="31" t="n">
        <f aca="false">SUMIFS(Trades!$X$2:$X$1146,Trades!$D$2:$D$1146,$A774,Trades!$X$2:$X$1146,"&gt;0")</f>
        <v>0</v>
      </c>
      <c r="H774" s="31" t="n">
        <f aca="false">SUMIFS(Trades!$X$2:$X$1146,Trades!$D$2:$D$1146,$A774,Trades!$X$2:$X$1146,"&lt;0")</f>
        <v>-1.17</v>
      </c>
      <c r="I774" s="32" t="n">
        <f aca="false">IFERROR(G774/-H774,"no loss")</f>
        <v>0</v>
      </c>
      <c r="J774" s="31" t="n">
        <f aca="false">_xlfn.MAXIFS(Trades!$X$2:$X$1146,Trades!$D$2:$D$1146,$A774)</f>
        <v>-1.17</v>
      </c>
      <c r="K774" s="31" t="n">
        <f aca="false">_xlfn.MINIFS(Trades!$X$2:$X$1146,Trades!$D$2:$D$1146,$A774)</f>
        <v>-1.17</v>
      </c>
      <c r="L774" s="33" t="n">
        <f aca="false">SUMIFS(Trades!$Y$2:$Y$1146,Trades!$D$2:$D$1146,$A774)</f>
        <v>-0.186602870813384</v>
      </c>
      <c r="M774" s="31" t="n">
        <f aca="false">P773</f>
        <v>19432.31</v>
      </c>
      <c r="N774" s="30" t="n">
        <f aca="false">IFERROR(F774/M774,0)</f>
        <v>-6.0209002429459E-005</v>
      </c>
      <c r="O774" s="29" t="str">
        <f aca="false">IF(-N774&gt;=Summary!$C$7,"BREACH","")</f>
        <v/>
      </c>
      <c r="P774" s="31" t="n">
        <f aca="false">M774+F774</f>
        <v>19431.14</v>
      </c>
      <c r="Q774" s="31" t="n">
        <f aca="false">P774-Summary!$C$5</f>
        <v>9431.14</v>
      </c>
      <c r="R774" s="2" t="str">
        <f aca="false">TEXT(A774,"ddd")</f>
        <v>Tue</v>
      </c>
    </row>
    <row r="775" customFormat="false" ht="15" hidden="false" customHeight="false" outlineLevel="0" collapsed="false">
      <c r="A775" s="43" t="n">
        <v>45917</v>
      </c>
      <c r="B775" s="29" t="n">
        <f aca="false">COUNTIFS(Trades!$D$2:$D$1146,$A775)</f>
        <v>1</v>
      </c>
      <c r="C775" s="29" t="n">
        <f aca="false">COUNTIFS(Trades!$D$2:$D$1146,$A775,Trades!$Z$2:$Z$1146,"Win")</f>
        <v>0</v>
      </c>
      <c r="D775" s="29" t="n">
        <f aca="false">COUNTIFS(Trades!$D$2:$D$1146,$A775,Trades!$Z$2:$Z$1146,"Loss")</f>
        <v>1</v>
      </c>
      <c r="E775" s="30" t="n">
        <f aca="false">IFERROR(C775/B775,0)</f>
        <v>0</v>
      </c>
      <c r="F775" s="31" t="n">
        <f aca="false">SUMIFS(Trades!$X$2:$X$1146,Trades!$D$2:$D$1146,$A775)</f>
        <v>-55.32</v>
      </c>
      <c r="G775" s="31" t="n">
        <f aca="false">SUMIFS(Trades!$X$2:$X$1146,Trades!$D$2:$D$1146,$A775,Trades!$X$2:$X$1146,"&gt;0")</f>
        <v>0</v>
      </c>
      <c r="H775" s="31" t="n">
        <f aca="false">SUMIFS(Trades!$X$2:$X$1146,Trades!$D$2:$D$1146,$A775,Trades!$X$2:$X$1146,"&lt;0")</f>
        <v>-55.32</v>
      </c>
      <c r="I775" s="32" t="n">
        <f aca="false">IFERROR(G775/-H775,"no loss")</f>
        <v>0</v>
      </c>
      <c r="J775" s="31" t="n">
        <f aca="false">_xlfn.MAXIFS(Trades!$X$2:$X$1146,Trades!$D$2:$D$1146,$A775)</f>
        <v>-55.32</v>
      </c>
      <c r="K775" s="31" t="n">
        <f aca="false">_xlfn.MINIFS(Trades!$X$2:$X$1146,Trades!$D$2:$D$1146,$A775)</f>
        <v>-55.32</v>
      </c>
      <c r="L775" s="33" t="n">
        <f aca="false">SUMIFS(Trades!$Y$2:$Y$1146,Trades!$D$2:$D$1146,$A775)</f>
        <v>-1.00000000000014</v>
      </c>
      <c r="M775" s="31" t="n">
        <f aca="false">P774</f>
        <v>19431.14</v>
      </c>
      <c r="N775" s="30" t="n">
        <f aca="false">IFERROR(F775/M775,0)</f>
        <v>-0.00284697655412909</v>
      </c>
      <c r="O775" s="29" t="str">
        <f aca="false">IF(-N775&gt;=Summary!$C$7,"BREACH","")</f>
        <v/>
      </c>
      <c r="P775" s="31" t="n">
        <f aca="false">M775+F775</f>
        <v>19375.82</v>
      </c>
      <c r="Q775" s="31" t="n">
        <f aca="false">P775-Summary!$C$5</f>
        <v>9375.82</v>
      </c>
      <c r="R775" s="2" t="str">
        <f aca="false">TEXT(A775,"ddd")</f>
        <v>Wed</v>
      </c>
    </row>
    <row r="776" customFormat="false" ht="15" hidden="false" customHeight="false" outlineLevel="0" collapsed="false">
      <c r="A776" s="43" t="n">
        <v>45918</v>
      </c>
      <c r="B776" s="29" t="n">
        <f aca="false">COUNTIFS(Trades!$D$2:$D$1146,$A776)</f>
        <v>1</v>
      </c>
      <c r="C776" s="29" t="n">
        <f aca="false">COUNTIFS(Trades!$D$2:$D$1146,$A776,Trades!$Z$2:$Z$1146,"Win")</f>
        <v>1</v>
      </c>
      <c r="D776" s="29" t="n">
        <f aca="false">COUNTIFS(Trades!$D$2:$D$1146,$A776,Trades!$Z$2:$Z$1146,"Loss")</f>
        <v>0</v>
      </c>
      <c r="E776" s="30" t="n">
        <f aca="false">IFERROR(C776/B776,0)</f>
        <v>1</v>
      </c>
      <c r="F776" s="31" t="n">
        <f aca="false">SUMIFS(Trades!$X$2:$X$1146,Trades!$D$2:$D$1146,$A776)</f>
        <v>37.71</v>
      </c>
      <c r="G776" s="31" t="n">
        <f aca="false">SUMIFS(Trades!$X$2:$X$1146,Trades!$D$2:$D$1146,$A776,Trades!$X$2:$X$1146,"&gt;0")</f>
        <v>37.71</v>
      </c>
      <c r="H776" s="31" t="n">
        <f aca="false">SUMIFS(Trades!$X$2:$X$1146,Trades!$D$2:$D$1146,$A776,Trades!$X$2:$X$1146,"&lt;0")</f>
        <v>0</v>
      </c>
      <c r="I776" s="32" t="str">
        <f aca="false">IFERROR(G776/-H776,"no loss")</f>
        <v>no loss</v>
      </c>
      <c r="J776" s="31" t="n">
        <f aca="false">_xlfn.MAXIFS(Trades!$X$2:$X$1146,Trades!$D$2:$D$1146,$A776)</f>
        <v>37.71</v>
      </c>
      <c r="K776" s="31" t="n">
        <f aca="false">_xlfn.MINIFS(Trades!$X$2:$X$1146,Trades!$D$2:$D$1146,$A776)</f>
        <v>37.71</v>
      </c>
      <c r="L776" s="33" t="n">
        <f aca="false">SUMIFS(Trades!$Y$2:$Y$1146,Trades!$D$2:$D$1146,$A776)</f>
        <v>2.81208053691202</v>
      </c>
      <c r="M776" s="31" t="n">
        <f aca="false">P775</f>
        <v>19375.82</v>
      </c>
      <c r="N776" s="30" t="n">
        <f aca="false">IFERROR(F776/M776,0)</f>
        <v>0.00194624021073689</v>
      </c>
      <c r="O776" s="29" t="str">
        <f aca="false">IF(-N776&gt;=Summary!$C$7,"BREACH","")</f>
        <v/>
      </c>
      <c r="P776" s="31" t="n">
        <f aca="false">M776+F776</f>
        <v>19413.53</v>
      </c>
      <c r="Q776" s="31" t="n">
        <f aca="false">P776-Summary!$C$5</f>
        <v>9413.53</v>
      </c>
      <c r="R776" s="2" t="str">
        <f aca="false">TEXT(A776,"ddd")</f>
        <v>Thu</v>
      </c>
    </row>
    <row r="777" customFormat="false" ht="15" hidden="false" customHeight="false" outlineLevel="0" collapsed="false">
      <c r="A777" s="43" t="n">
        <v>45919</v>
      </c>
      <c r="B777" s="29" t="n">
        <f aca="false">COUNTIFS(Trades!$D$2:$D$1146,$A777)</f>
        <v>1</v>
      </c>
      <c r="C777" s="29" t="n">
        <f aca="false">COUNTIFS(Trades!$D$2:$D$1146,$A777,Trades!$Z$2:$Z$1146,"Win")</f>
        <v>0</v>
      </c>
      <c r="D777" s="29" t="n">
        <f aca="false">COUNTIFS(Trades!$D$2:$D$1146,$A777,Trades!$Z$2:$Z$1146,"Loss")</f>
        <v>1</v>
      </c>
      <c r="E777" s="30" t="n">
        <f aca="false">IFERROR(C777/B777,0)</f>
        <v>0</v>
      </c>
      <c r="F777" s="31" t="n">
        <f aca="false">SUMIFS(Trades!$X$2:$X$1146,Trades!$D$2:$D$1146,$A777)</f>
        <v>-53.13</v>
      </c>
      <c r="G777" s="31" t="n">
        <f aca="false">SUMIFS(Trades!$X$2:$X$1146,Trades!$D$2:$D$1146,$A777,Trades!$X$2:$X$1146,"&gt;0")</f>
        <v>0</v>
      </c>
      <c r="H777" s="31" t="n">
        <f aca="false">SUMIFS(Trades!$X$2:$X$1146,Trades!$D$2:$D$1146,$A777,Trades!$X$2:$X$1146,"&lt;0")</f>
        <v>-53.13</v>
      </c>
      <c r="I777" s="32" t="n">
        <f aca="false">IFERROR(G777/-H777,"no loss")</f>
        <v>0</v>
      </c>
      <c r="J777" s="31" t="n">
        <f aca="false">_xlfn.MAXIFS(Trades!$X$2:$X$1146,Trades!$D$2:$D$1146,$A777)</f>
        <v>-53.13</v>
      </c>
      <c r="K777" s="31" t="n">
        <f aca="false">_xlfn.MINIFS(Trades!$X$2:$X$1146,Trades!$D$2:$D$1146,$A777)</f>
        <v>-53.13</v>
      </c>
      <c r="L777" s="33" t="n">
        <f aca="false">SUMIFS(Trades!$Y$2:$Y$1146,Trades!$D$2:$D$1146,$A777)</f>
        <v>-1.0160642570281</v>
      </c>
      <c r="M777" s="31" t="n">
        <f aca="false">P776</f>
        <v>19413.53</v>
      </c>
      <c r="N777" s="30" t="n">
        <f aca="false">IFERROR(F777/M777,0)</f>
        <v>-0.00273675112151165</v>
      </c>
      <c r="O777" s="29" t="str">
        <f aca="false">IF(-N777&gt;=Summary!$C$7,"BREACH","")</f>
        <v/>
      </c>
      <c r="P777" s="31" t="n">
        <f aca="false">M777+F777</f>
        <v>19360.4</v>
      </c>
      <c r="Q777" s="31" t="n">
        <f aca="false">P777-Summary!$C$5</f>
        <v>9360.4</v>
      </c>
      <c r="R777" s="2" t="str">
        <f aca="false">TEXT(A777,"ddd")</f>
        <v>Fri</v>
      </c>
    </row>
    <row r="778" customFormat="false" ht="15" hidden="false" customHeight="false" outlineLevel="0" collapsed="false">
      <c r="A778" s="43" t="n">
        <v>45922</v>
      </c>
      <c r="B778" s="29" t="n">
        <f aca="false">COUNTIFS(Trades!$D$2:$D$1146,$A778)</f>
        <v>1</v>
      </c>
      <c r="C778" s="29" t="n">
        <f aca="false">COUNTIFS(Trades!$D$2:$D$1146,$A778,Trades!$Z$2:$Z$1146,"Win")</f>
        <v>0</v>
      </c>
      <c r="D778" s="29" t="n">
        <f aca="false">COUNTIFS(Trades!$D$2:$D$1146,$A778,Trades!$Z$2:$Z$1146,"Loss")</f>
        <v>1</v>
      </c>
      <c r="E778" s="30" t="n">
        <f aca="false">IFERROR(C778/B778,0)</f>
        <v>0</v>
      </c>
      <c r="F778" s="31" t="n">
        <f aca="false">SUMIFS(Trades!$X$2:$X$1146,Trades!$D$2:$D$1146,$A778)</f>
        <v>-29.79</v>
      </c>
      <c r="G778" s="31" t="n">
        <f aca="false">SUMIFS(Trades!$X$2:$X$1146,Trades!$D$2:$D$1146,$A778,Trades!$X$2:$X$1146,"&gt;0")</f>
        <v>0</v>
      </c>
      <c r="H778" s="31" t="n">
        <f aca="false">SUMIFS(Trades!$X$2:$X$1146,Trades!$D$2:$D$1146,$A778,Trades!$X$2:$X$1146,"&lt;0")</f>
        <v>-29.79</v>
      </c>
      <c r="I778" s="32" t="n">
        <f aca="false">IFERROR(G778/-H778,"no loss")</f>
        <v>0</v>
      </c>
      <c r="J778" s="31" t="n">
        <f aca="false">_xlfn.MAXIFS(Trades!$X$2:$X$1146,Trades!$D$2:$D$1146,$A778)</f>
        <v>-29.79</v>
      </c>
      <c r="K778" s="31" t="n">
        <f aca="false">_xlfn.MINIFS(Trades!$X$2:$X$1146,Trades!$D$2:$D$1146,$A778)</f>
        <v>-29.79</v>
      </c>
      <c r="L778" s="33" t="n">
        <f aca="false">SUMIFS(Trades!$Y$2:$Y$1146,Trades!$D$2:$D$1146,$A778)</f>
        <v>-1.03222453222425</v>
      </c>
      <c r="M778" s="31" t="n">
        <f aca="false">P777</f>
        <v>19360.4</v>
      </c>
      <c r="N778" s="30" t="n">
        <f aca="false">IFERROR(F778/M778,0)</f>
        <v>-0.00153870787793641</v>
      </c>
      <c r="O778" s="29" t="str">
        <f aca="false">IF(-N778&gt;=Summary!$C$7,"BREACH","")</f>
        <v/>
      </c>
      <c r="P778" s="31" t="n">
        <f aca="false">M778+F778</f>
        <v>19330.61</v>
      </c>
      <c r="Q778" s="31" t="n">
        <f aca="false">P778-Summary!$C$5</f>
        <v>9330.61</v>
      </c>
      <c r="R778" s="2" t="str">
        <f aca="false">TEXT(A778,"ddd")</f>
        <v>Mon</v>
      </c>
    </row>
    <row r="779" customFormat="false" ht="15" hidden="false" customHeight="false" outlineLevel="0" collapsed="false">
      <c r="A779" s="43" t="n">
        <v>45923</v>
      </c>
      <c r="B779" s="29" t="n">
        <f aca="false">COUNTIFS(Trades!$D$2:$D$1146,$A779)</f>
        <v>1</v>
      </c>
      <c r="C779" s="29" t="n">
        <f aca="false">COUNTIFS(Trades!$D$2:$D$1146,$A779,Trades!$Z$2:$Z$1146,"Win")</f>
        <v>0</v>
      </c>
      <c r="D779" s="29" t="n">
        <f aca="false">COUNTIFS(Trades!$D$2:$D$1146,$A779,Trades!$Z$2:$Z$1146,"Loss")</f>
        <v>1</v>
      </c>
      <c r="E779" s="30" t="n">
        <f aca="false">IFERROR(C779/B779,0)</f>
        <v>0</v>
      </c>
      <c r="F779" s="31" t="n">
        <f aca="false">SUMIFS(Trades!$X$2:$X$1146,Trades!$D$2:$D$1146,$A779)</f>
        <v>-11.1</v>
      </c>
      <c r="G779" s="31" t="n">
        <f aca="false">SUMIFS(Trades!$X$2:$X$1146,Trades!$D$2:$D$1146,$A779,Trades!$X$2:$X$1146,"&gt;0")</f>
        <v>0</v>
      </c>
      <c r="H779" s="31" t="n">
        <f aca="false">SUMIFS(Trades!$X$2:$X$1146,Trades!$D$2:$D$1146,$A779,Trades!$X$2:$X$1146,"&lt;0")</f>
        <v>-11.1</v>
      </c>
      <c r="I779" s="32" t="n">
        <f aca="false">IFERROR(G779/-H779,"no loss")</f>
        <v>0</v>
      </c>
      <c r="J779" s="31" t="n">
        <f aca="false">_xlfn.MAXIFS(Trades!$X$2:$X$1146,Trades!$D$2:$D$1146,$A779)</f>
        <v>-11.1</v>
      </c>
      <c r="K779" s="31" t="n">
        <f aca="false">_xlfn.MINIFS(Trades!$X$2:$X$1146,Trades!$D$2:$D$1146,$A779)</f>
        <v>-11.1</v>
      </c>
      <c r="L779" s="33" t="n">
        <f aca="false">SUMIFS(Trades!$Y$2:$Y$1146,Trades!$D$2:$D$1146,$A779)</f>
        <v>-1.03064066852364</v>
      </c>
      <c r="M779" s="31" t="n">
        <f aca="false">P778</f>
        <v>19330.61</v>
      </c>
      <c r="N779" s="30" t="n">
        <f aca="false">IFERROR(F779/M779,0)</f>
        <v>-0.00057421881668504</v>
      </c>
      <c r="O779" s="29" t="str">
        <f aca="false">IF(-N779&gt;=Summary!$C$7,"BREACH","")</f>
        <v/>
      </c>
      <c r="P779" s="31" t="n">
        <f aca="false">M779+F779</f>
        <v>19319.51</v>
      </c>
      <c r="Q779" s="31" t="n">
        <f aca="false">P779-Summary!$C$5</f>
        <v>9319.51</v>
      </c>
      <c r="R779" s="2" t="str">
        <f aca="false">TEXT(A779,"ddd")</f>
        <v>Tue</v>
      </c>
    </row>
    <row r="780" customFormat="false" ht="15" hidden="false" customHeight="false" outlineLevel="0" collapsed="false">
      <c r="A780" s="43" t="n">
        <v>45924</v>
      </c>
      <c r="B780" s="29" t="n">
        <f aca="false">COUNTIFS(Trades!$D$2:$D$1146,$A780)</f>
        <v>1</v>
      </c>
      <c r="C780" s="29" t="n">
        <f aca="false">COUNTIFS(Trades!$D$2:$D$1146,$A780,Trades!$Z$2:$Z$1146,"Win")</f>
        <v>0</v>
      </c>
      <c r="D780" s="29" t="n">
        <f aca="false">COUNTIFS(Trades!$D$2:$D$1146,$A780,Trades!$Z$2:$Z$1146,"Loss")</f>
        <v>1</v>
      </c>
      <c r="E780" s="30" t="n">
        <f aca="false">IFERROR(C780/B780,0)</f>
        <v>0</v>
      </c>
      <c r="F780" s="31" t="n">
        <f aca="false">SUMIFS(Trades!$X$2:$X$1146,Trades!$D$2:$D$1146,$A780)</f>
        <v>-24.63</v>
      </c>
      <c r="G780" s="31" t="n">
        <f aca="false">SUMIFS(Trades!$X$2:$X$1146,Trades!$D$2:$D$1146,$A780,Trades!$X$2:$X$1146,"&gt;0")</f>
        <v>0</v>
      </c>
      <c r="H780" s="31" t="n">
        <f aca="false">SUMIFS(Trades!$X$2:$X$1146,Trades!$D$2:$D$1146,$A780,Trades!$X$2:$X$1146,"&lt;0")</f>
        <v>-24.63</v>
      </c>
      <c r="I780" s="32" t="n">
        <f aca="false">IFERROR(G780/-H780,"no loss")</f>
        <v>0</v>
      </c>
      <c r="J780" s="31" t="n">
        <f aca="false">_xlfn.MAXIFS(Trades!$X$2:$X$1146,Trades!$D$2:$D$1146,$A780)</f>
        <v>-24.63</v>
      </c>
      <c r="K780" s="31" t="n">
        <f aca="false">_xlfn.MINIFS(Trades!$X$2:$X$1146,Trades!$D$2:$D$1146,$A780)</f>
        <v>-24.63</v>
      </c>
      <c r="L780" s="33" t="n">
        <f aca="false">SUMIFS(Trades!$Y$2:$Y$1146,Trades!$D$2:$D$1146,$A780)</f>
        <v>-1.04853128991037</v>
      </c>
      <c r="M780" s="31" t="n">
        <f aca="false">P779</f>
        <v>19319.51</v>
      </c>
      <c r="N780" s="30" t="n">
        <f aca="false">IFERROR(F780/M780,0)</f>
        <v>-0.00127487705433523</v>
      </c>
      <c r="O780" s="29" t="str">
        <f aca="false">IF(-N780&gt;=Summary!$C$7,"BREACH","")</f>
        <v/>
      </c>
      <c r="P780" s="31" t="n">
        <f aca="false">M780+F780</f>
        <v>19294.88</v>
      </c>
      <c r="Q780" s="31" t="n">
        <f aca="false">P780-Summary!$C$5</f>
        <v>9294.88</v>
      </c>
      <c r="R780" s="2" t="str">
        <f aca="false">TEXT(A780,"ddd")</f>
        <v>Wed</v>
      </c>
    </row>
    <row r="781" customFormat="false" ht="15" hidden="false" customHeight="false" outlineLevel="0" collapsed="false">
      <c r="A781" s="43" t="n">
        <v>45925</v>
      </c>
      <c r="B781" s="29" t="n">
        <f aca="false">COUNTIFS(Trades!$D$2:$D$1146,$A781)</f>
        <v>1</v>
      </c>
      <c r="C781" s="29" t="n">
        <f aca="false">COUNTIFS(Trades!$D$2:$D$1146,$A781,Trades!$Z$2:$Z$1146,"Win")</f>
        <v>0</v>
      </c>
      <c r="D781" s="29" t="n">
        <f aca="false">COUNTIFS(Trades!$D$2:$D$1146,$A781,Trades!$Z$2:$Z$1146,"Loss")</f>
        <v>1</v>
      </c>
      <c r="E781" s="30" t="n">
        <f aca="false">IFERROR(C781/B781,0)</f>
        <v>0</v>
      </c>
      <c r="F781" s="31" t="n">
        <f aca="false">SUMIFS(Trades!$X$2:$X$1146,Trades!$D$2:$D$1146,$A781)</f>
        <v>-0.72</v>
      </c>
      <c r="G781" s="31" t="n">
        <f aca="false">SUMIFS(Trades!$X$2:$X$1146,Trades!$D$2:$D$1146,$A781,Trades!$X$2:$X$1146,"&gt;0")</f>
        <v>0</v>
      </c>
      <c r="H781" s="31" t="n">
        <f aca="false">SUMIFS(Trades!$X$2:$X$1146,Trades!$D$2:$D$1146,$A781,Trades!$X$2:$X$1146,"&lt;0")</f>
        <v>-0.72</v>
      </c>
      <c r="I781" s="32" t="n">
        <f aca="false">IFERROR(G781/-H781,"no loss")</f>
        <v>0</v>
      </c>
      <c r="J781" s="31" t="n">
        <f aca="false">_xlfn.MAXIFS(Trades!$X$2:$X$1146,Trades!$D$2:$D$1146,$A781)</f>
        <v>-0.72</v>
      </c>
      <c r="K781" s="31" t="n">
        <f aca="false">_xlfn.MINIFS(Trades!$X$2:$X$1146,Trades!$D$2:$D$1146,$A781)</f>
        <v>-0.72</v>
      </c>
      <c r="L781" s="33" t="n">
        <f aca="false">SUMIFS(Trades!$Y$2:$Y$1146,Trades!$D$2:$D$1146,$A781)</f>
        <v>-0.039933444259578</v>
      </c>
      <c r="M781" s="31" t="n">
        <f aca="false">P780</f>
        <v>19294.88</v>
      </c>
      <c r="N781" s="30" t="n">
        <f aca="false">IFERROR(F781/M781,0)</f>
        <v>-3.73155987495128E-005</v>
      </c>
      <c r="O781" s="29" t="str">
        <f aca="false">IF(-N781&gt;=Summary!$C$7,"BREACH","")</f>
        <v/>
      </c>
      <c r="P781" s="31" t="n">
        <f aca="false">M781+F781</f>
        <v>19294.16</v>
      </c>
      <c r="Q781" s="31" t="n">
        <f aca="false">P781-Summary!$C$5</f>
        <v>9294.16</v>
      </c>
      <c r="R781" s="2" t="str">
        <f aca="false">TEXT(A781,"ddd")</f>
        <v>Thu</v>
      </c>
    </row>
    <row r="782" customFormat="false" ht="15" hidden="false" customHeight="false" outlineLevel="0" collapsed="false">
      <c r="A782" s="43" t="n">
        <v>45929</v>
      </c>
      <c r="B782" s="29" t="n">
        <f aca="false">COUNTIFS(Trades!$D$2:$D$1146,$A782)</f>
        <v>1</v>
      </c>
      <c r="C782" s="29" t="n">
        <f aca="false">COUNTIFS(Trades!$D$2:$D$1146,$A782,Trades!$Z$2:$Z$1146,"Win")</f>
        <v>0</v>
      </c>
      <c r="D782" s="29" t="n">
        <f aca="false">COUNTIFS(Trades!$D$2:$D$1146,$A782,Trades!$Z$2:$Z$1146,"Loss")</f>
        <v>1</v>
      </c>
      <c r="E782" s="30" t="n">
        <f aca="false">IFERROR(C782/B782,0)</f>
        <v>0</v>
      </c>
      <c r="F782" s="31" t="n">
        <f aca="false">SUMIFS(Trades!$X$2:$X$1146,Trades!$D$2:$D$1146,$A782)</f>
        <v>-0.72</v>
      </c>
      <c r="G782" s="31" t="n">
        <f aca="false">SUMIFS(Trades!$X$2:$X$1146,Trades!$D$2:$D$1146,$A782,Trades!$X$2:$X$1146,"&gt;0")</f>
        <v>0</v>
      </c>
      <c r="H782" s="31" t="n">
        <f aca="false">SUMIFS(Trades!$X$2:$X$1146,Trades!$D$2:$D$1146,$A782,Trades!$X$2:$X$1146,"&lt;0")</f>
        <v>-0.72</v>
      </c>
      <c r="I782" s="32" t="n">
        <f aca="false">IFERROR(G782/-H782,"no loss")</f>
        <v>0</v>
      </c>
      <c r="J782" s="31" t="n">
        <f aca="false">_xlfn.MAXIFS(Trades!$X$2:$X$1146,Trades!$D$2:$D$1146,$A782)</f>
        <v>-0.72</v>
      </c>
      <c r="K782" s="31" t="n">
        <f aca="false">_xlfn.MINIFS(Trades!$X$2:$X$1146,Trades!$D$2:$D$1146,$A782)</f>
        <v>-0.72</v>
      </c>
      <c r="L782" s="33" t="n">
        <f aca="false">SUMIFS(Trades!$Y$2:$Y$1146,Trades!$D$2:$D$1146,$A782)</f>
        <v>-0.0278745644599284</v>
      </c>
      <c r="M782" s="31" t="n">
        <f aca="false">P781</f>
        <v>19294.16</v>
      </c>
      <c r="N782" s="30" t="n">
        <f aca="false">IFERROR(F782/M782,0)</f>
        <v>-3.7316991255385E-005</v>
      </c>
      <c r="O782" s="29" t="str">
        <f aca="false">IF(-N782&gt;=Summary!$C$7,"BREACH","")</f>
        <v/>
      </c>
      <c r="P782" s="31" t="n">
        <f aca="false">M782+F782</f>
        <v>19293.44</v>
      </c>
      <c r="Q782" s="31" t="n">
        <f aca="false">P782-Summary!$C$5</f>
        <v>9293.44</v>
      </c>
      <c r="R782" s="2" t="str">
        <f aca="false">TEXT(A782,"ddd")</f>
        <v>Mon</v>
      </c>
    </row>
    <row r="783" customFormat="false" ht="15" hidden="false" customHeight="false" outlineLevel="0" collapsed="false">
      <c r="A783" s="43" t="n">
        <v>45931</v>
      </c>
      <c r="B783" s="29" t="n">
        <f aca="false">COUNTIFS(Trades!$D$2:$D$1146,$A783)</f>
        <v>2</v>
      </c>
      <c r="C783" s="29" t="n">
        <f aca="false">COUNTIFS(Trades!$D$2:$D$1146,$A783,Trades!$Z$2:$Z$1146,"Win")</f>
        <v>1</v>
      </c>
      <c r="D783" s="29" t="n">
        <f aca="false">COUNTIFS(Trades!$D$2:$D$1146,$A783,Trades!$Z$2:$Z$1146,"Loss")</f>
        <v>1</v>
      </c>
      <c r="E783" s="30" t="n">
        <f aca="false">IFERROR(C783/B783,0)</f>
        <v>0.5</v>
      </c>
      <c r="F783" s="31" t="n">
        <f aca="false">SUMIFS(Trades!$X$2:$X$1146,Trades!$D$2:$D$1146,$A783)</f>
        <v>87.6</v>
      </c>
      <c r="G783" s="31" t="n">
        <f aca="false">SUMIFS(Trades!$X$2:$X$1146,Trades!$D$2:$D$1146,$A783,Trades!$X$2:$X$1146,"&gt;0")</f>
        <v>88.68</v>
      </c>
      <c r="H783" s="31" t="n">
        <f aca="false">SUMIFS(Trades!$X$2:$X$1146,Trades!$D$2:$D$1146,$A783,Trades!$X$2:$X$1146,"&lt;0")</f>
        <v>-1.08</v>
      </c>
      <c r="I783" s="32" t="n">
        <f aca="false">IFERROR(G783/-H783,"no loss")</f>
        <v>82.1111111111111</v>
      </c>
      <c r="J783" s="31" t="n">
        <f aca="false">_xlfn.MAXIFS(Trades!$X$2:$X$1146,Trades!$D$2:$D$1146,$A783)</f>
        <v>88.68</v>
      </c>
      <c r="K783" s="31" t="n">
        <f aca="false">_xlfn.MINIFS(Trades!$X$2:$X$1146,Trades!$D$2:$D$1146,$A783)</f>
        <v>-1.08</v>
      </c>
      <c r="L783" s="33" t="n">
        <f aca="false">SUMIFS(Trades!$Y$2:$Y$1146,Trades!$D$2:$D$1146,$A783)</f>
        <v>3.03477260767154</v>
      </c>
      <c r="M783" s="31" t="n">
        <f aca="false">P782</f>
        <v>19293.44</v>
      </c>
      <c r="N783" s="30" t="n">
        <f aca="false">IFERROR(F783/M783,0)</f>
        <v>0.00454040337026471</v>
      </c>
      <c r="O783" s="29" t="str">
        <f aca="false">IF(-N783&gt;=Summary!$C$7,"BREACH","")</f>
        <v/>
      </c>
      <c r="P783" s="31" t="n">
        <f aca="false">M783+F783</f>
        <v>19381.04</v>
      </c>
      <c r="Q783" s="31" t="n">
        <f aca="false">P783-Summary!$C$5</f>
        <v>9381.04</v>
      </c>
      <c r="R783" s="2" t="str">
        <f aca="false">TEXT(A783,"ddd")</f>
        <v>Wed</v>
      </c>
    </row>
    <row r="784" customFormat="false" ht="15" hidden="false" customHeight="false" outlineLevel="0" collapsed="false">
      <c r="A784" s="43" t="n">
        <v>45932</v>
      </c>
      <c r="B784" s="29" t="n">
        <f aca="false">COUNTIFS(Trades!$D$2:$D$1146,$A784)</f>
        <v>1</v>
      </c>
      <c r="C784" s="29" t="n">
        <f aca="false">COUNTIFS(Trades!$D$2:$D$1146,$A784,Trades!$Z$2:$Z$1146,"Win")</f>
        <v>0</v>
      </c>
      <c r="D784" s="29" t="n">
        <f aca="false">COUNTIFS(Trades!$D$2:$D$1146,$A784,Trades!$Z$2:$Z$1146,"Loss")</f>
        <v>1</v>
      </c>
      <c r="E784" s="30" t="n">
        <f aca="false">IFERROR(C784/B784,0)</f>
        <v>0</v>
      </c>
      <c r="F784" s="31" t="n">
        <f aca="false">SUMIFS(Trades!$X$2:$X$1146,Trades!$D$2:$D$1146,$A784)</f>
        <v>-17.55</v>
      </c>
      <c r="G784" s="31" t="n">
        <f aca="false">SUMIFS(Trades!$X$2:$X$1146,Trades!$D$2:$D$1146,$A784,Trades!$X$2:$X$1146,"&gt;0")</f>
        <v>0</v>
      </c>
      <c r="H784" s="31" t="n">
        <f aca="false">SUMIFS(Trades!$X$2:$X$1146,Trades!$D$2:$D$1146,$A784,Trades!$X$2:$X$1146,"&lt;0")</f>
        <v>-17.55</v>
      </c>
      <c r="I784" s="32" t="n">
        <f aca="false">IFERROR(G784/-H784,"no loss")</f>
        <v>0</v>
      </c>
      <c r="J784" s="31" t="n">
        <f aca="false">_xlfn.MAXIFS(Trades!$X$2:$X$1146,Trades!$D$2:$D$1146,$A784)</f>
        <v>-17.55</v>
      </c>
      <c r="K784" s="31" t="n">
        <f aca="false">_xlfn.MINIFS(Trades!$X$2:$X$1146,Trades!$D$2:$D$1146,$A784)</f>
        <v>-17.55</v>
      </c>
      <c r="L784" s="33" t="n">
        <f aca="false">SUMIFS(Trades!$Y$2:$Y$1146,Trades!$D$2:$D$1146,$A784)</f>
        <v>-1.00688468158325</v>
      </c>
      <c r="M784" s="31" t="n">
        <f aca="false">P783</f>
        <v>19381.04</v>
      </c>
      <c r="N784" s="30" t="n">
        <f aca="false">IFERROR(F784/M784,0)</f>
        <v>-0.00090552416175809</v>
      </c>
      <c r="O784" s="29" t="str">
        <f aca="false">IF(-N784&gt;=Summary!$C$7,"BREACH","")</f>
        <v/>
      </c>
      <c r="P784" s="31" t="n">
        <f aca="false">M784+F784</f>
        <v>19363.49</v>
      </c>
      <c r="Q784" s="31" t="n">
        <f aca="false">P784-Summary!$C$5</f>
        <v>9363.49</v>
      </c>
      <c r="R784" s="2" t="str">
        <f aca="false">TEXT(A784,"ddd")</f>
        <v>Thu</v>
      </c>
    </row>
    <row r="785" customFormat="false" ht="15" hidden="false" customHeight="false" outlineLevel="0" collapsed="false">
      <c r="A785" s="43" t="n">
        <v>45933</v>
      </c>
      <c r="B785" s="29" t="n">
        <f aca="false">COUNTIFS(Trades!$D$2:$D$1146,$A785)</f>
        <v>2</v>
      </c>
      <c r="C785" s="29" t="n">
        <f aca="false">COUNTIFS(Trades!$D$2:$D$1146,$A785,Trades!$Z$2:$Z$1146,"Win")</f>
        <v>1</v>
      </c>
      <c r="D785" s="29" t="n">
        <f aca="false">COUNTIFS(Trades!$D$2:$D$1146,$A785,Trades!$Z$2:$Z$1146,"Loss")</f>
        <v>1</v>
      </c>
      <c r="E785" s="30" t="n">
        <f aca="false">IFERROR(C785/B785,0)</f>
        <v>0.5</v>
      </c>
      <c r="F785" s="31" t="n">
        <f aca="false">SUMIFS(Trades!$X$2:$X$1146,Trades!$D$2:$D$1146,$A785)</f>
        <v>117.39</v>
      </c>
      <c r="G785" s="31" t="n">
        <f aca="false">SUMIFS(Trades!$X$2:$X$1146,Trades!$D$2:$D$1146,$A785,Trades!$X$2:$X$1146,"&gt;0")</f>
        <v>130.11</v>
      </c>
      <c r="H785" s="31" t="n">
        <f aca="false">SUMIFS(Trades!$X$2:$X$1146,Trades!$D$2:$D$1146,$A785,Trades!$X$2:$X$1146,"&lt;0")</f>
        <v>-12.72</v>
      </c>
      <c r="I785" s="32" t="n">
        <f aca="false">IFERROR(G785/-H785,"no loss")</f>
        <v>10.2287735849057</v>
      </c>
      <c r="J785" s="31" t="n">
        <f aca="false">_xlfn.MAXIFS(Trades!$X$2:$X$1146,Trades!$D$2:$D$1146,$A785)</f>
        <v>130.11</v>
      </c>
      <c r="K785" s="31" t="n">
        <f aca="false">_xlfn.MINIFS(Trades!$X$2:$X$1146,Trades!$D$2:$D$1146,$A785)</f>
        <v>-12.72</v>
      </c>
      <c r="L785" s="33" t="n">
        <f aca="false">SUMIFS(Trades!$Y$2:$Y$1146,Trades!$D$2:$D$1146,$A785)</f>
        <v>1.84955028046342</v>
      </c>
      <c r="M785" s="31" t="n">
        <f aca="false">P784</f>
        <v>19363.49</v>
      </c>
      <c r="N785" s="30" t="n">
        <f aca="false">IFERROR(F785/M785,0)</f>
        <v>0.00606244019027562</v>
      </c>
      <c r="O785" s="29" t="str">
        <f aca="false">IF(-N785&gt;=Summary!$C$7,"BREACH","")</f>
        <v/>
      </c>
      <c r="P785" s="31" t="n">
        <f aca="false">M785+F785</f>
        <v>19480.88</v>
      </c>
      <c r="Q785" s="31" t="n">
        <f aca="false">P785-Summary!$C$5</f>
        <v>9480.88</v>
      </c>
      <c r="R785" s="2" t="str">
        <f aca="false">TEXT(A785,"ddd")</f>
        <v>Fri</v>
      </c>
    </row>
    <row r="786" customFormat="false" ht="15" hidden="false" customHeight="false" outlineLevel="0" collapsed="false">
      <c r="A786" s="43" t="n">
        <v>45936</v>
      </c>
      <c r="B786" s="29" t="n">
        <f aca="false">COUNTIFS(Trades!$D$2:$D$1146,$A786)</f>
        <v>1</v>
      </c>
      <c r="C786" s="29" t="n">
        <f aca="false">COUNTIFS(Trades!$D$2:$D$1146,$A786,Trades!$Z$2:$Z$1146,"Win")</f>
        <v>1</v>
      </c>
      <c r="D786" s="29" t="n">
        <f aca="false">COUNTIFS(Trades!$D$2:$D$1146,$A786,Trades!$Z$2:$Z$1146,"Loss")</f>
        <v>0</v>
      </c>
      <c r="E786" s="30" t="n">
        <f aca="false">IFERROR(C786/B786,0)</f>
        <v>1</v>
      </c>
      <c r="F786" s="31" t="n">
        <f aca="false">SUMIFS(Trades!$X$2:$X$1146,Trades!$D$2:$D$1146,$A786)</f>
        <v>54.39</v>
      </c>
      <c r="G786" s="31" t="n">
        <f aca="false">SUMIFS(Trades!$X$2:$X$1146,Trades!$D$2:$D$1146,$A786,Trades!$X$2:$X$1146,"&gt;0")</f>
        <v>54.39</v>
      </c>
      <c r="H786" s="31" t="n">
        <f aca="false">SUMIFS(Trades!$X$2:$X$1146,Trades!$D$2:$D$1146,$A786,Trades!$X$2:$X$1146,"&lt;0")</f>
        <v>0</v>
      </c>
      <c r="I786" s="32" t="str">
        <f aca="false">IFERROR(G786/-H786,"no loss")</f>
        <v>no loss</v>
      </c>
      <c r="J786" s="31" t="n">
        <f aca="false">_xlfn.MAXIFS(Trades!$X$2:$X$1146,Trades!$D$2:$D$1146,$A786)</f>
        <v>54.39</v>
      </c>
      <c r="K786" s="31" t="n">
        <f aca="false">_xlfn.MINIFS(Trades!$X$2:$X$1146,Trades!$D$2:$D$1146,$A786)</f>
        <v>54.39</v>
      </c>
      <c r="L786" s="33" t="n">
        <f aca="false">SUMIFS(Trades!$Y$2:$Y$1146,Trades!$D$2:$D$1146,$A786)</f>
        <v>2.51108033240957</v>
      </c>
      <c r="M786" s="31" t="n">
        <f aca="false">P785</f>
        <v>19480.88</v>
      </c>
      <c r="N786" s="30" t="n">
        <f aca="false">IFERROR(F786/M786,0)</f>
        <v>0.00279196832997277</v>
      </c>
      <c r="O786" s="29" t="str">
        <f aca="false">IF(-N786&gt;=Summary!$C$7,"BREACH","")</f>
        <v/>
      </c>
      <c r="P786" s="31" t="n">
        <f aca="false">M786+F786</f>
        <v>19535.27</v>
      </c>
      <c r="Q786" s="31" t="n">
        <f aca="false">P786-Summary!$C$5</f>
        <v>9535.27</v>
      </c>
      <c r="R786" s="2" t="str">
        <f aca="false">TEXT(A786,"ddd")</f>
        <v>Mon</v>
      </c>
    </row>
    <row r="787" customFormat="false" ht="15" hidden="false" customHeight="false" outlineLevel="0" collapsed="false">
      <c r="A787" s="43" t="n">
        <v>45937</v>
      </c>
      <c r="B787" s="29" t="n">
        <f aca="false">COUNTIFS(Trades!$D$2:$D$1146,$A787)</f>
        <v>2</v>
      </c>
      <c r="C787" s="29" t="n">
        <f aca="false">COUNTIFS(Trades!$D$2:$D$1146,$A787,Trades!$Z$2:$Z$1146,"Win")</f>
        <v>0</v>
      </c>
      <c r="D787" s="29" t="n">
        <f aca="false">COUNTIFS(Trades!$D$2:$D$1146,$A787,Trades!$Z$2:$Z$1146,"Loss")</f>
        <v>2</v>
      </c>
      <c r="E787" s="30" t="n">
        <f aca="false">IFERROR(C787/B787,0)</f>
        <v>0</v>
      </c>
      <c r="F787" s="31" t="n">
        <f aca="false">SUMIFS(Trades!$X$2:$X$1146,Trades!$D$2:$D$1146,$A787)</f>
        <v>-61.8</v>
      </c>
      <c r="G787" s="31" t="n">
        <f aca="false">SUMIFS(Trades!$X$2:$X$1146,Trades!$D$2:$D$1146,$A787,Trades!$X$2:$X$1146,"&gt;0")</f>
        <v>0</v>
      </c>
      <c r="H787" s="31" t="n">
        <f aca="false">SUMIFS(Trades!$X$2:$X$1146,Trades!$D$2:$D$1146,$A787,Trades!$X$2:$X$1146,"&lt;0")</f>
        <v>-61.8</v>
      </c>
      <c r="I787" s="32" t="n">
        <f aca="false">IFERROR(G787/-H787,"no loss")</f>
        <v>0</v>
      </c>
      <c r="J787" s="31" t="n">
        <f aca="false">_xlfn.MAXIFS(Trades!$X$2:$X$1146,Trades!$D$2:$D$1146,$A787)</f>
        <v>-0.69</v>
      </c>
      <c r="K787" s="31" t="n">
        <f aca="false">_xlfn.MINIFS(Trades!$X$2:$X$1146,Trades!$D$2:$D$1146,$A787)</f>
        <v>-61.11</v>
      </c>
      <c r="L787" s="33" t="n">
        <f aca="false">SUMIFS(Trades!$Y$2:$Y$1146,Trades!$D$2:$D$1146,$A787)</f>
        <v>-1.07495177502572</v>
      </c>
      <c r="M787" s="31" t="n">
        <f aca="false">P786</f>
        <v>19535.27</v>
      </c>
      <c r="N787" s="30" t="n">
        <f aca="false">IFERROR(F787/M787,0)</f>
        <v>-0.00316350887394953</v>
      </c>
      <c r="O787" s="29" t="str">
        <f aca="false">IF(-N787&gt;=Summary!$C$7,"BREACH","")</f>
        <v/>
      </c>
      <c r="P787" s="31" t="n">
        <f aca="false">M787+F787</f>
        <v>19473.47</v>
      </c>
      <c r="Q787" s="31" t="n">
        <f aca="false">P787-Summary!$C$5</f>
        <v>9473.47</v>
      </c>
      <c r="R787" s="2" t="str">
        <f aca="false">TEXT(A787,"ddd")</f>
        <v>Tue</v>
      </c>
    </row>
    <row r="788" customFormat="false" ht="15" hidden="false" customHeight="false" outlineLevel="0" collapsed="false">
      <c r="A788" s="43" t="n">
        <v>45938</v>
      </c>
      <c r="B788" s="29" t="n">
        <f aca="false">COUNTIFS(Trades!$D$2:$D$1146,$A788)</f>
        <v>1</v>
      </c>
      <c r="C788" s="29" t="n">
        <f aca="false">COUNTIFS(Trades!$D$2:$D$1146,$A788,Trades!$Z$2:$Z$1146,"Win")</f>
        <v>0</v>
      </c>
      <c r="D788" s="29" t="n">
        <f aca="false">COUNTIFS(Trades!$D$2:$D$1146,$A788,Trades!$Z$2:$Z$1146,"Loss")</f>
        <v>1</v>
      </c>
      <c r="E788" s="30" t="n">
        <f aca="false">IFERROR(C788/B788,0)</f>
        <v>0</v>
      </c>
      <c r="F788" s="31" t="n">
        <f aca="false">SUMIFS(Trades!$X$2:$X$1146,Trades!$D$2:$D$1146,$A788)</f>
        <v>-14.01</v>
      </c>
      <c r="G788" s="31" t="n">
        <f aca="false">SUMIFS(Trades!$X$2:$X$1146,Trades!$D$2:$D$1146,$A788,Trades!$X$2:$X$1146,"&gt;0")</f>
        <v>0</v>
      </c>
      <c r="H788" s="31" t="n">
        <f aca="false">SUMIFS(Trades!$X$2:$X$1146,Trades!$D$2:$D$1146,$A788,Trades!$X$2:$X$1146,"&lt;0")</f>
        <v>-14.01</v>
      </c>
      <c r="I788" s="32" t="n">
        <f aca="false">IFERROR(G788/-H788,"no loss")</f>
        <v>0</v>
      </c>
      <c r="J788" s="31" t="n">
        <f aca="false">_xlfn.MAXIFS(Trades!$X$2:$X$1146,Trades!$D$2:$D$1146,$A788)</f>
        <v>-14.01</v>
      </c>
      <c r="K788" s="31" t="n">
        <f aca="false">_xlfn.MINIFS(Trades!$X$2:$X$1146,Trades!$D$2:$D$1146,$A788)</f>
        <v>-14.01</v>
      </c>
      <c r="L788" s="33" t="n">
        <f aca="false">SUMIFS(Trades!$Y$2:$Y$1146,Trades!$D$2:$D$1146,$A788)</f>
        <v>-1.02412280701725</v>
      </c>
      <c r="M788" s="31" t="n">
        <f aca="false">P787</f>
        <v>19473.47</v>
      </c>
      <c r="N788" s="30" t="n">
        <f aca="false">IFERROR(F788/M788,0)</f>
        <v>-0.000719440346276242</v>
      </c>
      <c r="O788" s="29" t="str">
        <f aca="false">IF(-N788&gt;=Summary!$C$7,"BREACH","")</f>
        <v/>
      </c>
      <c r="P788" s="31" t="n">
        <f aca="false">M788+F788</f>
        <v>19459.46</v>
      </c>
      <c r="Q788" s="31" t="n">
        <f aca="false">P788-Summary!$C$5</f>
        <v>9459.46</v>
      </c>
      <c r="R788" s="2" t="str">
        <f aca="false">TEXT(A788,"ddd")</f>
        <v>Wed</v>
      </c>
    </row>
    <row r="789" customFormat="false" ht="15" hidden="false" customHeight="false" outlineLevel="0" collapsed="false">
      <c r="A789" s="43" t="n">
        <v>45939</v>
      </c>
      <c r="B789" s="29" t="n">
        <f aca="false">COUNTIFS(Trades!$D$2:$D$1146,$A789)</f>
        <v>1</v>
      </c>
      <c r="C789" s="29" t="n">
        <f aca="false">COUNTIFS(Trades!$D$2:$D$1146,$A789,Trades!$Z$2:$Z$1146,"Win")</f>
        <v>1</v>
      </c>
      <c r="D789" s="29" t="n">
        <f aca="false">COUNTIFS(Trades!$D$2:$D$1146,$A789,Trades!$Z$2:$Z$1146,"Loss")</f>
        <v>0</v>
      </c>
      <c r="E789" s="30" t="n">
        <f aca="false">IFERROR(C789/B789,0)</f>
        <v>1</v>
      </c>
      <c r="F789" s="31" t="n">
        <f aca="false">SUMIFS(Trades!$X$2:$X$1146,Trades!$D$2:$D$1146,$A789)</f>
        <v>45.63</v>
      </c>
      <c r="G789" s="31" t="n">
        <f aca="false">SUMIFS(Trades!$X$2:$X$1146,Trades!$D$2:$D$1146,$A789,Trades!$X$2:$X$1146,"&gt;0")</f>
        <v>45.63</v>
      </c>
      <c r="H789" s="31" t="n">
        <f aca="false">SUMIFS(Trades!$X$2:$X$1146,Trades!$D$2:$D$1146,$A789,Trades!$X$2:$X$1146,"&lt;0")</f>
        <v>0</v>
      </c>
      <c r="I789" s="32" t="str">
        <f aca="false">IFERROR(G789/-H789,"no loss")</f>
        <v>no loss</v>
      </c>
      <c r="J789" s="31" t="n">
        <f aca="false">_xlfn.MAXIFS(Trades!$X$2:$X$1146,Trades!$D$2:$D$1146,$A789)</f>
        <v>45.63</v>
      </c>
      <c r="K789" s="31" t="n">
        <f aca="false">_xlfn.MINIFS(Trades!$X$2:$X$1146,Trades!$D$2:$D$1146,$A789)</f>
        <v>45.63</v>
      </c>
      <c r="L789" s="33" t="n">
        <f aca="false">SUMIFS(Trades!$Y$2:$Y$1146,Trades!$D$2:$D$1146,$A789)</f>
        <v>2.13623595505539</v>
      </c>
      <c r="M789" s="31" t="n">
        <f aca="false">P788</f>
        <v>19459.46</v>
      </c>
      <c r="N789" s="30" t="n">
        <f aca="false">IFERROR(F789/M789,0)</f>
        <v>0.00234487493486459</v>
      </c>
      <c r="O789" s="29" t="str">
        <f aca="false">IF(-N789&gt;=Summary!$C$7,"BREACH","")</f>
        <v/>
      </c>
      <c r="P789" s="31" t="n">
        <f aca="false">M789+F789</f>
        <v>19505.09</v>
      </c>
      <c r="Q789" s="31" t="n">
        <f aca="false">P789-Summary!$C$5</f>
        <v>9505.09</v>
      </c>
      <c r="R789" s="2" t="str">
        <f aca="false">TEXT(A789,"ddd")</f>
        <v>Thu</v>
      </c>
    </row>
    <row r="790" customFormat="false" ht="15" hidden="false" customHeight="false" outlineLevel="0" collapsed="false">
      <c r="A790" s="43" t="n">
        <v>45940</v>
      </c>
      <c r="B790" s="29" t="n">
        <f aca="false">COUNTIFS(Trades!$D$2:$D$1146,$A790)</f>
        <v>2</v>
      </c>
      <c r="C790" s="29" t="n">
        <f aca="false">COUNTIFS(Trades!$D$2:$D$1146,$A790,Trades!$Z$2:$Z$1146,"Win")</f>
        <v>1</v>
      </c>
      <c r="D790" s="29" t="n">
        <f aca="false">COUNTIFS(Trades!$D$2:$D$1146,$A790,Trades!$Z$2:$Z$1146,"Loss")</f>
        <v>1</v>
      </c>
      <c r="E790" s="30" t="n">
        <f aca="false">IFERROR(C790/B790,0)</f>
        <v>0.5</v>
      </c>
      <c r="F790" s="31" t="n">
        <f aca="false">SUMIFS(Trades!$X$2:$X$1146,Trades!$D$2:$D$1146,$A790)</f>
        <v>427.98</v>
      </c>
      <c r="G790" s="31" t="n">
        <f aca="false">SUMIFS(Trades!$X$2:$X$1146,Trades!$D$2:$D$1146,$A790,Trades!$X$2:$X$1146,"&gt;0")</f>
        <v>462.75</v>
      </c>
      <c r="H790" s="31" t="n">
        <f aca="false">SUMIFS(Trades!$X$2:$X$1146,Trades!$D$2:$D$1146,$A790,Trades!$X$2:$X$1146,"&lt;0")</f>
        <v>-34.77</v>
      </c>
      <c r="I790" s="32" t="n">
        <f aca="false">IFERROR(G790/-H790,"no loss")</f>
        <v>13.3088869715272</v>
      </c>
      <c r="J790" s="31" t="n">
        <f aca="false">_xlfn.MAXIFS(Trades!$X$2:$X$1146,Trades!$D$2:$D$1146,$A790)</f>
        <v>462.75</v>
      </c>
      <c r="K790" s="31" t="n">
        <f aca="false">_xlfn.MINIFS(Trades!$X$2:$X$1146,Trades!$D$2:$D$1146,$A790)</f>
        <v>-34.77</v>
      </c>
      <c r="L790" s="33" t="n">
        <f aca="false">SUMIFS(Trades!$Y$2:$Y$1146,Trades!$D$2:$D$1146,$A790)</f>
        <v>1.44786132817449</v>
      </c>
      <c r="M790" s="31" t="n">
        <f aca="false">P789</f>
        <v>19505.09</v>
      </c>
      <c r="N790" s="30" t="n">
        <f aca="false">IFERROR(F790/M790,0)</f>
        <v>0.021941964892241</v>
      </c>
      <c r="O790" s="29" t="str">
        <f aca="false">IF(-N790&gt;=Summary!$C$7,"BREACH","")</f>
        <v/>
      </c>
      <c r="P790" s="31" t="n">
        <f aca="false">M790+F790</f>
        <v>19933.07</v>
      </c>
      <c r="Q790" s="31" t="n">
        <f aca="false">P790-Summary!$C$5</f>
        <v>9933.07</v>
      </c>
      <c r="R790" s="2" t="str">
        <f aca="false">TEXT(A790,"ddd")</f>
        <v>Fri</v>
      </c>
    </row>
    <row r="791" customFormat="false" ht="15" hidden="false" customHeight="false" outlineLevel="0" collapsed="false">
      <c r="A791" s="43" t="n">
        <v>45944</v>
      </c>
      <c r="B791" s="29" t="n">
        <f aca="false">COUNTIFS(Trades!$D$2:$D$1146,$A791)</f>
        <v>2</v>
      </c>
      <c r="C791" s="29" t="n">
        <f aca="false">COUNTIFS(Trades!$D$2:$D$1146,$A791,Trades!$Z$2:$Z$1146,"Win")</f>
        <v>1</v>
      </c>
      <c r="D791" s="29" t="n">
        <f aca="false">COUNTIFS(Trades!$D$2:$D$1146,$A791,Trades!$Z$2:$Z$1146,"Loss")</f>
        <v>1</v>
      </c>
      <c r="E791" s="30" t="n">
        <f aca="false">IFERROR(C791/B791,0)</f>
        <v>0.5</v>
      </c>
      <c r="F791" s="31" t="n">
        <f aca="false">SUMIFS(Trades!$X$2:$X$1146,Trades!$D$2:$D$1146,$A791)</f>
        <v>17.76</v>
      </c>
      <c r="G791" s="31" t="n">
        <f aca="false">SUMIFS(Trades!$X$2:$X$1146,Trades!$D$2:$D$1146,$A791,Trades!$X$2:$X$1146,"&gt;0")</f>
        <v>103.28</v>
      </c>
      <c r="H791" s="31" t="n">
        <f aca="false">SUMIFS(Trades!$X$2:$X$1146,Trades!$D$2:$D$1146,$A791,Trades!$X$2:$X$1146,"&lt;0")</f>
        <v>-85.52</v>
      </c>
      <c r="I791" s="32" t="n">
        <f aca="false">IFERROR(G791/-H791,"no loss")</f>
        <v>1.20767072029935</v>
      </c>
      <c r="J791" s="31" t="n">
        <f aca="false">_xlfn.MAXIFS(Trades!$X$2:$X$1146,Trades!$D$2:$D$1146,$A791)</f>
        <v>103.28</v>
      </c>
      <c r="K791" s="31" t="n">
        <f aca="false">_xlfn.MINIFS(Trades!$X$2:$X$1146,Trades!$D$2:$D$1146,$A791)</f>
        <v>-85.52</v>
      </c>
      <c r="L791" s="33" t="n">
        <f aca="false">SUMIFS(Trades!$Y$2:$Y$1146,Trades!$D$2:$D$1146,$A791)</f>
        <v>1.56619546046054</v>
      </c>
      <c r="M791" s="31" t="n">
        <f aca="false">P790</f>
        <v>19933.07</v>
      </c>
      <c r="N791" s="30" t="n">
        <f aca="false">IFERROR(F791/M791,0)</f>
        <v>0.000890981670159188</v>
      </c>
      <c r="O791" s="29" t="str">
        <f aca="false">IF(-N791&gt;=Summary!$C$7,"BREACH","")</f>
        <v/>
      </c>
      <c r="P791" s="31" t="n">
        <f aca="false">M791+F791</f>
        <v>19950.83</v>
      </c>
      <c r="Q791" s="31" t="n">
        <f aca="false">P791-Summary!$C$5</f>
        <v>9950.83</v>
      </c>
      <c r="R791" s="2" t="str">
        <f aca="false">TEXT(A791,"ddd")</f>
        <v>Tue</v>
      </c>
    </row>
    <row r="792" customFormat="false" ht="15" hidden="false" customHeight="false" outlineLevel="0" collapsed="false">
      <c r="A792" s="43" t="n">
        <v>45945</v>
      </c>
      <c r="B792" s="29" t="n">
        <f aca="false">COUNTIFS(Trades!$D$2:$D$1146,$A792)</f>
        <v>1</v>
      </c>
      <c r="C792" s="29" t="n">
        <f aca="false">COUNTIFS(Trades!$D$2:$D$1146,$A792,Trades!$Z$2:$Z$1146,"Win")</f>
        <v>1</v>
      </c>
      <c r="D792" s="29" t="n">
        <f aca="false">COUNTIFS(Trades!$D$2:$D$1146,$A792,Trades!$Z$2:$Z$1146,"Loss")</f>
        <v>0</v>
      </c>
      <c r="E792" s="30" t="n">
        <f aca="false">IFERROR(C792/B792,0)</f>
        <v>1</v>
      </c>
      <c r="F792" s="31" t="n">
        <f aca="false">SUMIFS(Trades!$X$2:$X$1146,Trades!$D$2:$D$1146,$A792)</f>
        <v>128.36</v>
      </c>
      <c r="G792" s="31" t="n">
        <f aca="false">SUMIFS(Trades!$X$2:$X$1146,Trades!$D$2:$D$1146,$A792,Trades!$X$2:$X$1146,"&gt;0")</f>
        <v>128.36</v>
      </c>
      <c r="H792" s="31" t="n">
        <f aca="false">SUMIFS(Trades!$X$2:$X$1146,Trades!$D$2:$D$1146,$A792,Trades!$X$2:$X$1146,"&lt;0")</f>
        <v>0</v>
      </c>
      <c r="I792" s="32" t="str">
        <f aca="false">IFERROR(G792/-H792,"no loss")</f>
        <v>no loss</v>
      </c>
      <c r="J792" s="31" t="n">
        <f aca="false">_xlfn.MAXIFS(Trades!$X$2:$X$1146,Trades!$D$2:$D$1146,$A792)</f>
        <v>128.36</v>
      </c>
      <c r="K792" s="31" t="n">
        <f aca="false">_xlfn.MINIFS(Trades!$X$2:$X$1146,Trades!$D$2:$D$1146,$A792)</f>
        <v>128.36</v>
      </c>
      <c r="L792" s="33" t="n">
        <f aca="false">SUMIFS(Trades!$Y$2:$Y$1146,Trades!$D$2:$D$1146,$A792)</f>
        <v>2.44961832061096</v>
      </c>
      <c r="M792" s="31" t="n">
        <f aca="false">P791</f>
        <v>19950.83</v>
      </c>
      <c r="N792" s="30" t="n">
        <f aca="false">IFERROR(F792/M792,0)</f>
        <v>0.00643381754042313</v>
      </c>
      <c r="O792" s="29" t="str">
        <f aca="false">IF(-N792&gt;=Summary!$C$7,"BREACH","")</f>
        <v/>
      </c>
      <c r="P792" s="31" t="n">
        <f aca="false">M792+F792</f>
        <v>20079.19</v>
      </c>
      <c r="Q792" s="31" t="n">
        <f aca="false">P792-Summary!$C$5</f>
        <v>10079.19</v>
      </c>
      <c r="R792" s="2" t="str">
        <f aca="false">TEXT(A792,"ddd")</f>
        <v>Wed</v>
      </c>
    </row>
    <row r="793" customFormat="false" ht="15" hidden="false" customHeight="false" outlineLevel="0" collapsed="false">
      <c r="A793" s="43" t="n">
        <v>45946</v>
      </c>
      <c r="B793" s="29" t="n">
        <f aca="false">COUNTIFS(Trades!$D$2:$D$1146,$A793)</f>
        <v>2</v>
      </c>
      <c r="C793" s="29" t="n">
        <f aca="false">COUNTIFS(Trades!$D$2:$D$1146,$A793,Trades!$Z$2:$Z$1146,"Win")</f>
        <v>0</v>
      </c>
      <c r="D793" s="29" t="n">
        <f aca="false">COUNTIFS(Trades!$D$2:$D$1146,$A793,Trades!$Z$2:$Z$1146,"Loss")</f>
        <v>2</v>
      </c>
      <c r="E793" s="30" t="n">
        <f aca="false">IFERROR(C793/B793,0)</f>
        <v>0</v>
      </c>
      <c r="F793" s="31" t="n">
        <f aca="false">SUMIFS(Trades!$X$2:$X$1146,Trades!$D$2:$D$1146,$A793)</f>
        <v>-198.92</v>
      </c>
      <c r="G793" s="31" t="n">
        <f aca="false">SUMIFS(Trades!$X$2:$X$1146,Trades!$D$2:$D$1146,$A793,Trades!$X$2:$X$1146,"&gt;0")</f>
        <v>0</v>
      </c>
      <c r="H793" s="31" t="n">
        <f aca="false">SUMIFS(Trades!$X$2:$X$1146,Trades!$D$2:$D$1146,$A793,Trades!$X$2:$X$1146,"&lt;0")</f>
        <v>-198.92</v>
      </c>
      <c r="I793" s="32" t="n">
        <f aca="false">IFERROR(G793/-H793,"no loss")</f>
        <v>0</v>
      </c>
      <c r="J793" s="31" t="n">
        <f aca="false">_xlfn.MAXIFS(Trades!$X$2:$X$1146,Trades!$D$2:$D$1146,$A793)</f>
        <v>-92.44</v>
      </c>
      <c r="K793" s="31" t="n">
        <f aca="false">_xlfn.MINIFS(Trades!$X$2:$X$1146,Trades!$D$2:$D$1146,$A793)</f>
        <v>-106.48</v>
      </c>
      <c r="L793" s="33" t="n">
        <f aca="false">SUMIFS(Trades!$Y$2:$Y$1146,Trades!$D$2:$D$1146,$A793)</f>
        <v>-2.11291017154534</v>
      </c>
      <c r="M793" s="31" t="n">
        <f aca="false">P792</f>
        <v>20079.19</v>
      </c>
      <c r="N793" s="30" t="n">
        <f aca="false">IFERROR(F793/M793,0)</f>
        <v>-0.00990677412784082</v>
      </c>
      <c r="O793" s="29" t="str">
        <f aca="false">IF(-N793&gt;=Summary!$C$7,"BREACH","")</f>
        <v/>
      </c>
      <c r="P793" s="31" t="n">
        <f aca="false">M793+F793</f>
        <v>19880.27</v>
      </c>
      <c r="Q793" s="31" t="n">
        <f aca="false">P793-Summary!$C$5</f>
        <v>9880.27</v>
      </c>
      <c r="R793" s="2" t="str">
        <f aca="false">TEXT(A793,"ddd")</f>
        <v>Thu</v>
      </c>
    </row>
    <row r="794" customFormat="false" ht="15" hidden="false" customHeight="false" outlineLevel="0" collapsed="false">
      <c r="A794" s="43" t="n">
        <v>45947</v>
      </c>
      <c r="B794" s="29" t="n">
        <f aca="false">COUNTIFS(Trades!$D$2:$D$1146,$A794)</f>
        <v>1</v>
      </c>
      <c r="C794" s="29" t="n">
        <f aca="false">COUNTIFS(Trades!$D$2:$D$1146,$A794,Trades!$Z$2:$Z$1146,"Win")</f>
        <v>0</v>
      </c>
      <c r="D794" s="29" t="n">
        <f aca="false">COUNTIFS(Trades!$D$2:$D$1146,$A794,Trades!$Z$2:$Z$1146,"Loss")</f>
        <v>1</v>
      </c>
      <c r="E794" s="30" t="n">
        <f aca="false">IFERROR(C794/B794,0)</f>
        <v>0</v>
      </c>
      <c r="F794" s="31" t="n">
        <f aca="false">SUMIFS(Trades!$X$2:$X$1146,Trades!$D$2:$D$1146,$A794)</f>
        <v>-3</v>
      </c>
      <c r="G794" s="31" t="n">
        <f aca="false">SUMIFS(Trades!$X$2:$X$1146,Trades!$D$2:$D$1146,$A794,Trades!$X$2:$X$1146,"&gt;0")</f>
        <v>0</v>
      </c>
      <c r="H794" s="31" t="n">
        <f aca="false">SUMIFS(Trades!$X$2:$X$1146,Trades!$D$2:$D$1146,$A794,Trades!$X$2:$X$1146,"&lt;0")</f>
        <v>-3</v>
      </c>
      <c r="I794" s="32" t="n">
        <f aca="false">IFERROR(G794/-H794,"no loss")</f>
        <v>0</v>
      </c>
      <c r="J794" s="31" t="n">
        <f aca="false">_xlfn.MAXIFS(Trades!$X$2:$X$1146,Trades!$D$2:$D$1146,$A794)</f>
        <v>-3</v>
      </c>
      <c r="K794" s="31" t="n">
        <f aca="false">_xlfn.MINIFS(Trades!$X$2:$X$1146,Trades!$D$2:$D$1146,$A794)</f>
        <v>-3</v>
      </c>
      <c r="L794" s="33" t="n">
        <f aca="false">SUMIFS(Trades!$Y$2:$Y$1146,Trades!$D$2:$D$1146,$A794)</f>
        <v>-0.0802139037432968</v>
      </c>
      <c r="M794" s="31" t="n">
        <f aca="false">P793</f>
        <v>19880.27</v>
      </c>
      <c r="N794" s="30" t="n">
        <f aca="false">IFERROR(F794/M794,0)</f>
        <v>-0.000150903383102946</v>
      </c>
      <c r="O794" s="29" t="str">
        <f aca="false">IF(-N794&gt;=Summary!$C$7,"BREACH","")</f>
        <v/>
      </c>
      <c r="P794" s="31" t="n">
        <f aca="false">M794+F794</f>
        <v>19877.27</v>
      </c>
      <c r="Q794" s="31" t="n">
        <f aca="false">P794-Summary!$C$5</f>
        <v>9877.27</v>
      </c>
      <c r="R794" s="2" t="str">
        <f aca="false">TEXT(A794,"ddd")</f>
        <v>Fri</v>
      </c>
    </row>
    <row r="795" customFormat="false" ht="15" hidden="false" customHeight="false" outlineLevel="0" collapsed="false">
      <c r="A795" s="43" t="n">
        <v>45950</v>
      </c>
      <c r="B795" s="29" t="n">
        <f aca="false">COUNTIFS(Trades!$D$2:$D$1146,$A795)</f>
        <v>1</v>
      </c>
      <c r="C795" s="29" t="n">
        <f aca="false">COUNTIFS(Trades!$D$2:$D$1146,$A795,Trades!$Z$2:$Z$1146,"Win")</f>
        <v>0</v>
      </c>
      <c r="D795" s="29" t="n">
        <f aca="false">COUNTIFS(Trades!$D$2:$D$1146,$A795,Trades!$Z$2:$Z$1146,"Loss")</f>
        <v>1</v>
      </c>
      <c r="E795" s="30" t="n">
        <f aca="false">IFERROR(C795/B795,0)</f>
        <v>0</v>
      </c>
      <c r="F795" s="31" t="n">
        <f aca="false">SUMIFS(Trades!$X$2:$X$1146,Trades!$D$2:$D$1146,$A795)</f>
        <v>-66.09</v>
      </c>
      <c r="G795" s="31" t="n">
        <f aca="false">SUMIFS(Trades!$X$2:$X$1146,Trades!$D$2:$D$1146,$A795,Trades!$X$2:$X$1146,"&gt;0")</f>
        <v>0</v>
      </c>
      <c r="H795" s="31" t="n">
        <f aca="false">SUMIFS(Trades!$X$2:$X$1146,Trades!$D$2:$D$1146,$A795,Trades!$X$2:$X$1146,"&lt;0")</f>
        <v>-66.09</v>
      </c>
      <c r="I795" s="32" t="n">
        <f aca="false">IFERROR(G795/-H795,"no loss")</f>
        <v>0</v>
      </c>
      <c r="J795" s="31" t="n">
        <f aca="false">_xlfn.MAXIFS(Trades!$X$2:$X$1146,Trades!$D$2:$D$1146,$A795)</f>
        <v>-66.09</v>
      </c>
      <c r="K795" s="31" t="n">
        <f aca="false">_xlfn.MINIFS(Trades!$X$2:$X$1146,Trades!$D$2:$D$1146,$A795)</f>
        <v>-66.09</v>
      </c>
      <c r="L795" s="33" t="n">
        <f aca="false">SUMIFS(Trades!$Y$2:$Y$1146,Trades!$D$2:$D$1146,$A795)</f>
        <v>-1.01520737327186</v>
      </c>
      <c r="M795" s="31" t="n">
        <f aca="false">P794</f>
        <v>19877.27</v>
      </c>
      <c r="N795" s="30" t="n">
        <f aca="false">IFERROR(F795/M795,0)</f>
        <v>-0.00332490326890966</v>
      </c>
      <c r="O795" s="29" t="str">
        <f aca="false">IF(-N795&gt;=Summary!$C$7,"BREACH","")</f>
        <v/>
      </c>
      <c r="P795" s="31" t="n">
        <f aca="false">M795+F795</f>
        <v>19811.18</v>
      </c>
      <c r="Q795" s="31" t="n">
        <f aca="false">P795-Summary!$C$5</f>
        <v>9811.18</v>
      </c>
      <c r="R795" s="2" t="str">
        <f aca="false">TEXT(A795,"ddd")</f>
        <v>Mon</v>
      </c>
    </row>
    <row r="796" customFormat="false" ht="15" hidden="false" customHeight="false" outlineLevel="0" collapsed="false">
      <c r="A796" s="43" t="n">
        <v>45951</v>
      </c>
      <c r="B796" s="29" t="n">
        <f aca="false">COUNTIFS(Trades!$D$2:$D$1146,$A796)</f>
        <v>1</v>
      </c>
      <c r="C796" s="29" t="n">
        <f aca="false">COUNTIFS(Trades!$D$2:$D$1146,$A796,Trades!$Z$2:$Z$1146,"Win")</f>
        <v>0</v>
      </c>
      <c r="D796" s="29" t="n">
        <f aca="false">COUNTIFS(Trades!$D$2:$D$1146,$A796,Trades!$Z$2:$Z$1146,"Loss")</f>
        <v>1</v>
      </c>
      <c r="E796" s="30" t="n">
        <f aca="false">IFERROR(C796/B796,0)</f>
        <v>0</v>
      </c>
      <c r="F796" s="31" t="n">
        <f aca="false">SUMIFS(Trades!$X$2:$X$1146,Trades!$D$2:$D$1146,$A796)</f>
        <v>-11.7</v>
      </c>
      <c r="G796" s="31" t="n">
        <f aca="false">SUMIFS(Trades!$X$2:$X$1146,Trades!$D$2:$D$1146,$A796,Trades!$X$2:$X$1146,"&gt;0")</f>
        <v>0</v>
      </c>
      <c r="H796" s="31" t="n">
        <f aca="false">SUMIFS(Trades!$X$2:$X$1146,Trades!$D$2:$D$1146,$A796,Trades!$X$2:$X$1146,"&lt;0")</f>
        <v>-11.7</v>
      </c>
      <c r="I796" s="32" t="n">
        <f aca="false">IFERROR(G796/-H796,"no loss")</f>
        <v>0</v>
      </c>
      <c r="J796" s="31" t="n">
        <f aca="false">_xlfn.MAXIFS(Trades!$X$2:$X$1146,Trades!$D$2:$D$1146,$A796)</f>
        <v>-11.7</v>
      </c>
      <c r="K796" s="31" t="n">
        <f aca="false">_xlfn.MINIFS(Trades!$X$2:$X$1146,Trades!$D$2:$D$1146,$A796)</f>
        <v>-11.7</v>
      </c>
      <c r="L796" s="33" t="n">
        <f aca="false">SUMIFS(Trades!$Y$2:$Y$1146,Trades!$D$2:$D$1146,$A796)</f>
        <v>-1.04557640750682</v>
      </c>
      <c r="M796" s="31" t="n">
        <f aca="false">P795</f>
        <v>19811.18</v>
      </c>
      <c r="N796" s="30" t="n">
        <f aca="false">IFERROR(F796/M796,0)</f>
        <v>-0.000590575624470627</v>
      </c>
      <c r="O796" s="29" t="str">
        <f aca="false">IF(-N796&gt;=Summary!$C$7,"BREACH","")</f>
        <v/>
      </c>
      <c r="P796" s="31" t="n">
        <f aca="false">M796+F796</f>
        <v>19799.48</v>
      </c>
      <c r="Q796" s="31" t="n">
        <f aca="false">P796-Summary!$C$5</f>
        <v>9799.48</v>
      </c>
      <c r="R796" s="2" t="str">
        <f aca="false">TEXT(A796,"ddd")</f>
        <v>Tue</v>
      </c>
    </row>
    <row r="797" customFormat="false" ht="15" hidden="false" customHeight="false" outlineLevel="0" collapsed="false">
      <c r="A797" s="43" t="n">
        <v>45952</v>
      </c>
      <c r="B797" s="29" t="n">
        <f aca="false">COUNTIFS(Trades!$D$2:$D$1146,$A797)</f>
        <v>1</v>
      </c>
      <c r="C797" s="29" t="n">
        <f aca="false">COUNTIFS(Trades!$D$2:$D$1146,$A797,Trades!$Z$2:$Z$1146,"Win")</f>
        <v>0</v>
      </c>
      <c r="D797" s="29" t="n">
        <f aca="false">COUNTIFS(Trades!$D$2:$D$1146,$A797,Trades!$Z$2:$Z$1146,"Loss")</f>
        <v>1</v>
      </c>
      <c r="E797" s="30" t="n">
        <f aca="false">IFERROR(C797/B797,0)</f>
        <v>0</v>
      </c>
      <c r="F797" s="31" t="n">
        <f aca="false">SUMIFS(Trades!$X$2:$X$1146,Trades!$D$2:$D$1146,$A797)</f>
        <v>-76.74</v>
      </c>
      <c r="G797" s="31" t="n">
        <f aca="false">SUMIFS(Trades!$X$2:$X$1146,Trades!$D$2:$D$1146,$A797,Trades!$X$2:$X$1146,"&gt;0")</f>
        <v>0</v>
      </c>
      <c r="H797" s="31" t="n">
        <f aca="false">SUMIFS(Trades!$X$2:$X$1146,Trades!$D$2:$D$1146,$A797,Trades!$X$2:$X$1146,"&lt;0")</f>
        <v>-76.74</v>
      </c>
      <c r="I797" s="32" t="n">
        <f aca="false">IFERROR(G797/-H797,"no loss")</f>
        <v>0</v>
      </c>
      <c r="J797" s="31" t="n">
        <f aca="false">_xlfn.MAXIFS(Trades!$X$2:$X$1146,Trades!$D$2:$D$1146,$A797)</f>
        <v>-76.74</v>
      </c>
      <c r="K797" s="31" t="n">
        <f aca="false">_xlfn.MINIFS(Trades!$X$2:$X$1146,Trades!$D$2:$D$1146,$A797)</f>
        <v>-76.74</v>
      </c>
      <c r="L797" s="33" t="n">
        <f aca="false">SUMIFS(Trades!$Y$2:$Y$1146,Trades!$D$2:$D$1146,$A797)</f>
        <v>-1.03814935064938</v>
      </c>
      <c r="M797" s="31" t="n">
        <f aca="false">P796</f>
        <v>19799.48</v>
      </c>
      <c r="N797" s="30" t="n">
        <f aca="false">IFERROR(F797/M797,0)</f>
        <v>-0.00387585936600355</v>
      </c>
      <c r="O797" s="29" t="str">
        <f aca="false">IF(-N797&gt;=Summary!$C$7,"BREACH","")</f>
        <v/>
      </c>
      <c r="P797" s="31" t="n">
        <f aca="false">M797+F797</f>
        <v>19722.74</v>
      </c>
      <c r="Q797" s="31" t="n">
        <f aca="false">P797-Summary!$C$5</f>
        <v>9722.74</v>
      </c>
      <c r="R797" s="2" t="str">
        <f aca="false">TEXT(A797,"ddd")</f>
        <v>Wed</v>
      </c>
    </row>
    <row r="798" customFormat="false" ht="15" hidden="false" customHeight="false" outlineLevel="0" collapsed="false">
      <c r="A798" s="43" t="n">
        <v>45954</v>
      </c>
      <c r="B798" s="29" t="n">
        <f aca="false">COUNTIFS(Trades!$D$2:$D$1146,$A798)</f>
        <v>1</v>
      </c>
      <c r="C798" s="29" t="n">
        <f aca="false">COUNTIFS(Trades!$D$2:$D$1146,$A798,Trades!$Z$2:$Z$1146,"Win")</f>
        <v>0</v>
      </c>
      <c r="D798" s="29" t="n">
        <f aca="false">COUNTIFS(Trades!$D$2:$D$1146,$A798,Trades!$Z$2:$Z$1146,"Loss")</f>
        <v>1</v>
      </c>
      <c r="E798" s="30" t="n">
        <f aca="false">IFERROR(C798/B798,0)</f>
        <v>0</v>
      </c>
      <c r="F798" s="31" t="n">
        <f aca="false">SUMIFS(Trades!$X$2:$X$1146,Trades!$D$2:$D$1146,$A798)</f>
        <v>-0.72</v>
      </c>
      <c r="G798" s="31" t="n">
        <f aca="false">SUMIFS(Trades!$X$2:$X$1146,Trades!$D$2:$D$1146,$A798,Trades!$X$2:$X$1146,"&gt;0")</f>
        <v>0</v>
      </c>
      <c r="H798" s="31" t="n">
        <f aca="false">SUMIFS(Trades!$X$2:$X$1146,Trades!$D$2:$D$1146,$A798,Trades!$X$2:$X$1146,"&lt;0")</f>
        <v>-0.72</v>
      </c>
      <c r="I798" s="32" t="n">
        <f aca="false">IFERROR(G798/-H798,"no loss")</f>
        <v>0</v>
      </c>
      <c r="J798" s="31" t="n">
        <f aca="false">_xlfn.MAXIFS(Trades!$X$2:$X$1146,Trades!$D$2:$D$1146,$A798)</f>
        <v>-0.72</v>
      </c>
      <c r="K798" s="31" t="n">
        <f aca="false">_xlfn.MINIFS(Trades!$X$2:$X$1146,Trades!$D$2:$D$1146,$A798)</f>
        <v>-0.72</v>
      </c>
      <c r="L798" s="33" t="n">
        <f aca="false">SUMIFS(Trades!$Y$2:$Y$1146,Trades!$D$2:$D$1146,$A798)</f>
        <v>-0.0250000000000038</v>
      </c>
      <c r="M798" s="31" t="n">
        <f aca="false">P797</f>
        <v>19722.74</v>
      </c>
      <c r="N798" s="30" t="n">
        <f aca="false">IFERROR(F798/M798,0)</f>
        <v>-3.65060838402778E-005</v>
      </c>
      <c r="O798" s="29" t="str">
        <f aca="false">IF(-N798&gt;=Summary!$C$7,"BREACH","")</f>
        <v/>
      </c>
      <c r="P798" s="31" t="n">
        <f aca="false">M798+F798</f>
        <v>19722.02</v>
      </c>
      <c r="Q798" s="31" t="n">
        <f aca="false">P798-Summary!$C$5</f>
        <v>9722.02</v>
      </c>
      <c r="R798" s="2" t="str">
        <f aca="false">TEXT(A798,"ddd")</f>
        <v>Fri</v>
      </c>
    </row>
    <row r="799" customFormat="false" ht="15" hidden="false" customHeight="false" outlineLevel="0" collapsed="false">
      <c r="A799" s="43" t="n">
        <v>45957</v>
      </c>
      <c r="B799" s="29" t="n">
        <f aca="false">COUNTIFS(Trades!$D$2:$D$1146,$A799)</f>
        <v>1</v>
      </c>
      <c r="C799" s="29" t="n">
        <f aca="false">COUNTIFS(Trades!$D$2:$D$1146,$A799,Trades!$Z$2:$Z$1146,"Win")</f>
        <v>1</v>
      </c>
      <c r="D799" s="29" t="n">
        <f aca="false">COUNTIFS(Trades!$D$2:$D$1146,$A799,Trades!$Z$2:$Z$1146,"Loss")</f>
        <v>0</v>
      </c>
      <c r="E799" s="30" t="n">
        <f aca="false">IFERROR(C799/B799,0)</f>
        <v>1</v>
      </c>
      <c r="F799" s="31" t="n">
        <f aca="false">SUMIFS(Trades!$X$2:$X$1146,Trades!$D$2:$D$1146,$A799)</f>
        <v>400.17</v>
      </c>
      <c r="G799" s="31" t="n">
        <f aca="false">SUMIFS(Trades!$X$2:$X$1146,Trades!$D$2:$D$1146,$A799,Trades!$X$2:$X$1146,"&gt;0")</f>
        <v>400.17</v>
      </c>
      <c r="H799" s="31" t="n">
        <f aca="false">SUMIFS(Trades!$X$2:$X$1146,Trades!$D$2:$D$1146,$A799,Trades!$X$2:$X$1146,"&lt;0")</f>
        <v>0</v>
      </c>
      <c r="I799" s="32" t="str">
        <f aca="false">IFERROR(G799/-H799,"no loss")</f>
        <v>no loss</v>
      </c>
      <c r="J799" s="31" t="n">
        <f aca="false">_xlfn.MAXIFS(Trades!$X$2:$X$1146,Trades!$D$2:$D$1146,$A799)</f>
        <v>400.17</v>
      </c>
      <c r="K799" s="31" t="n">
        <f aca="false">_xlfn.MINIFS(Trades!$X$2:$X$1146,Trades!$D$2:$D$1146,$A799)</f>
        <v>400.17</v>
      </c>
      <c r="L799" s="33" t="n">
        <f aca="false">SUMIFS(Trades!$Y$2:$Y$1146,Trades!$D$2:$D$1146,$A799)</f>
        <v>2.42439113049798</v>
      </c>
      <c r="M799" s="31" t="n">
        <f aca="false">P798</f>
        <v>19722.02</v>
      </c>
      <c r="N799" s="30" t="n">
        <f aca="false">IFERROR(F799/M799,0)</f>
        <v>0.020290517908409</v>
      </c>
      <c r="O799" s="29" t="str">
        <f aca="false">IF(-N799&gt;=Summary!$C$7,"BREACH","")</f>
        <v/>
      </c>
      <c r="P799" s="31" t="n">
        <f aca="false">M799+F799</f>
        <v>20122.19</v>
      </c>
      <c r="Q799" s="31" t="n">
        <f aca="false">P799-Summary!$C$5</f>
        <v>10122.19</v>
      </c>
      <c r="R799" s="2" t="str">
        <f aca="false">TEXT(A799,"ddd")</f>
        <v>Mon</v>
      </c>
    </row>
    <row r="800" customFormat="false" ht="15" hidden="false" customHeight="false" outlineLevel="0" collapsed="false">
      <c r="A800" s="43" t="n">
        <v>45958</v>
      </c>
      <c r="B800" s="29" t="n">
        <f aca="false">COUNTIFS(Trades!$D$2:$D$1146,$A800)</f>
        <v>1</v>
      </c>
      <c r="C800" s="29" t="n">
        <f aca="false">COUNTIFS(Trades!$D$2:$D$1146,$A800,Trades!$Z$2:$Z$1146,"Win")</f>
        <v>1</v>
      </c>
      <c r="D800" s="29" t="n">
        <f aca="false">COUNTIFS(Trades!$D$2:$D$1146,$A800,Trades!$Z$2:$Z$1146,"Loss")</f>
        <v>0</v>
      </c>
      <c r="E800" s="30" t="n">
        <f aca="false">IFERROR(C800/B800,0)</f>
        <v>1</v>
      </c>
      <c r="F800" s="31" t="n">
        <f aca="false">SUMIFS(Trades!$X$2:$X$1146,Trades!$D$2:$D$1146,$A800)</f>
        <v>69.36</v>
      </c>
      <c r="G800" s="31" t="n">
        <f aca="false">SUMIFS(Trades!$X$2:$X$1146,Trades!$D$2:$D$1146,$A800,Trades!$X$2:$X$1146,"&gt;0")</f>
        <v>69.36</v>
      </c>
      <c r="H800" s="31" t="n">
        <f aca="false">SUMIFS(Trades!$X$2:$X$1146,Trades!$D$2:$D$1146,$A800,Trades!$X$2:$X$1146,"&lt;0")</f>
        <v>0</v>
      </c>
      <c r="I800" s="32" t="str">
        <f aca="false">IFERROR(G800/-H800,"no loss")</f>
        <v>no loss</v>
      </c>
      <c r="J800" s="31" t="n">
        <f aca="false">_xlfn.MAXIFS(Trades!$X$2:$X$1146,Trades!$D$2:$D$1146,$A800)</f>
        <v>69.36</v>
      </c>
      <c r="K800" s="31" t="n">
        <f aca="false">_xlfn.MINIFS(Trades!$X$2:$X$1146,Trades!$D$2:$D$1146,$A800)</f>
        <v>69.36</v>
      </c>
      <c r="L800" s="33" t="n">
        <f aca="false">SUMIFS(Trades!$Y$2:$Y$1146,Trades!$D$2:$D$1146,$A800)</f>
        <v>2.63625997719485</v>
      </c>
      <c r="M800" s="31" t="n">
        <f aca="false">P799</f>
        <v>20122.19</v>
      </c>
      <c r="N800" s="30" t="n">
        <f aca="false">IFERROR(F800/M800,0)</f>
        <v>0.00344694091448297</v>
      </c>
      <c r="O800" s="29" t="str">
        <f aca="false">IF(-N800&gt;=Summary!$C$7,"BREACH","")</f>
        <v/>
      </c>
      <c r="P800" s="31" t="n">
        <f aca="false">M800+F800</f>
        <v>20191.55</v>
      </c>
      <c r="Q800" s="31" t="n">
        <f aca="false">P800-Summary!$C$5</f>
        <v>10191.55</v>
      </c>
      <c r="R800" s="2" t="str">
        <f aca="false">TEXT(A800,"ddd")</f>
        <v>Tue</v>
      </c>
    </row>
    <row r="801" customFormat="false" ht="15" hidden="false" customHeight="false" outlineLevel="0" collapsed="false">
      <c r="A801" s="43" t="n">
        <v>45959</v>
      </c>
      <c r="B801" s="29" t="n">
        <f aca="false">COUNTIFS(Trades!$D$2:$D$1146,$A801)</f>
        <v>1</v>
      </c>
      <c r="C801" s="29" t="n">
        <f aca="false">COUNTIFS(Trades!$D$2:$D$1146,$A801,Trades!$Z$2:$Z$1146,"Win")</f>
        <v>0</v>
      </c>
      <c r="D801" s="29" t="n">
        <f aca="false">COUNTIFS(Trades!$D$2:$D$1146,$A801,Trades!$Z$2:$Z$1146,"Loss")</f>
        <v>1</v>
      </c>
      <c r="E801" s="30" t="n">
        <f aca="false">IFERROR(C801/B801,0)</f>
        <v>0</v>
      </c>
      <c r="F801" s="31" t="n">
        <f aca="false">SUMIFS(Trades!$X$2:$X$1146,Trades!$D$2:$D$1146,$A801)</f>
        <v>-19.56</v>
      </c>
      <c r="G801" s="31" t="n">
        <f aca="false">SUMIFS(Trades!$X$2:$X$1146,Trades!$D$2:$D$1146,$A801,Trades!$X$2:$X$1146,"&gt;0")</f>
        <v>0</v>
      </c>
      <c r="H801" s="31" t="n">
        <f aca="false">SUMIFS(Trades!$X$2:$X$1146,Trades!$D$2:$D$1146,$A801,Trades!$X$2:$X$1146,"&lt;0")</f>
        <v>-19.56</v>
      </c>
      <c r="I801" s="32" t="n">
        <f aca="false">IFERROR(G801/-H801,"no loss")</f>
        <v>0</v>
      </c>
      <c r="J801" s="31" t="n">
        <f aca="false">_xlfn.MAXIFS(Trades!$X$2:$X$1146,Trades!$D$2:$D$1146,$A801)</f>
        <v>-19.56</v>
      </c>
      <c r="K801" s="31" t="n">
        <f aca="false">_xlfn.MINIFS(Trades!$X$2:$X$1146,Trades!$D$2:$D$1146,$A801)</f>
        <v>-19.56</v>
      </c>
      <c r="L801" s="33" t="n">
        <f aca="false">SUMIFS(Trades!$Y$2:$Y$1146,Trades!$D$2:$D$1146,$A801)</f>
        <v>-1.02034428795001</v>
      </c>
      <c r="M801" s="31" t="n">
        <f aca="false">P800</f>
        <v>20191.55</v>
      </c>
      <c r="N801" s="30" t="n">
        <f aca="false">IFERROR(F801/M801,0)</f>
        <v>-0.000968722064427942</v>
      </c>
      <c r="O801" s="29" t="str">
        <f aca="false">IF(-N801&gt;=Summary!$C$7,"BREACH","")</f>
        <v/>
      </c>
      <c r="P801" s="31" t="n">
        <f aca="false">M801+F801</f>
        <v>20171.99</v>
      </c>
      <c r="Q801" s="31" t="n">
        <f aca="false">P801-Summary!$C$5</f>
        <v>10171.99</v>
      </c>
      <c r="R801" s="2" t="str">
        <f aca="false">TEXT(A801,"ddd")</f>
        <v>Wed</v>
      </c>
    </row>
    <row r="802" customFormat="false" ht="15" hidden="false" customHeight="false" outlineLevel="0" collapsed="false">
      <c r="A802" s="43" t="n">
        <v>45960</v>
      </c>
      <c r="B802" s="29" t="n">
        <f aca="false">COUNTIFS(Trades!$D$2:$D$1146,$A802)</f>
        <v>2</v>
      </c>
      <c r="C802" s="29" t="n">
        <f aca="false">COUNTIFS(Trades!$D$2:$D$1146,$A802,Trades!$Z$2:$Z$1146,"Win")</f>
        <v>1</v>
      </c>
      <c r="D802" s="29" t="n">
        <f aca="false">COUNTIFS(Trades!$D$2:$D$1146,$A802,Trades!$Z$2:$Z$1146,"Loss")</f>
        <v>1</v>
      </c>
      <c r="E802" s="30" t="n">
        <f aca="false">IFERROR(C802/B802,0)</f>
        <v>0.5</v>
      </c>
      <c r="F802" s="31" t="n">
        <f aca="false">SUMIFS(Trades!$X$2:$X$1146,Trades!$D$2:$D$1146,$A802)</f>
        <v>217.32</v>
      </c>
      <c r="G802" s="31" t="n">
        <f aca="false">SUMIFS(Trades!$X$2:$X$1146,Trades!$D$2:$D$1146,$A802,Trades!$X$2:$X$1146,"&gt;0")</f>
        <v>236.16</v>
      </c>
      <c r="H802" s="31" t="n">
        <f aca="false">SUMIFS(Trades!$X$2:$X$1146,Trades!$D$2:$D$1146,$A802,Trades!$X$2:$X$1146,"&lt;0")</f>
        <v>-18.84</v>
      </c>
      <c r="I802" s="32" t="n">
        <f aca="false">IFERROR(G802/-H802,"no loss")</f>
        <v>12.5350318471338</v>
      </c>
      <c r="J802" s="31" t="n">
        <f aca="false">_xlfn.MAXIFS(Trades!$X$2:$X$1146,Trades!$D$2:$D$1146,$A802)</f>
        <v>236.16</v>
      </c>
      <c r="K802" s="31" t="n">
        <f aca="false">_xlfn.MINIFS(Trades!$X$2:$X$1146,Trades!$D$2:$D$1146,$A802)</f>
        <v>-18.84</v>
      </c>
      <c r="L802" s="33" t="n">
        <f aca="false">SUMIFS(Trades!$Y$2:$Y$1146,Trades!$D$2:$D$1146,$A802)</f>
        <v>1.38204452617968</v>
      </c>
      <c r="M802" s="31" t="n">
        <f aca="false">P801</f>
        <v>20171.99</v>
      </c>
      <c r="N802" s="30" t="n">
        <f aca="false">IFERROR(F802/M802,0)</f>
        <v>0.0107733545376535</v>
      </c>
      <c r="O802" s="29" t="str">
        <f aca="false">IF(-N802&gt;=Summary!$C$7,"BREACH","")</f>
        <v/>
      </c>
      <c r="P802" s="31" t="n">
        <f aca="false">M802+F802</f>
        <v>20389.31</v>
      </c>
      <c r="Q802" s="31" t="n">
        <f aca="false">P802-Summary!$C$5</f>
        <v>10389.31</v>
      </c>
      <c r="R802" s="2" t="str">
        <f aca="false">TEXT(A802,"ddd")</f>
        <v>Thu</v>
      </c>
    </row>
    <row r="803" customFormat="false" ht="15" hidden="false" customHeight="false" outlineLevel="0" collapsed="false">
      <c r="A803" s="43" t="n">
        <v>45965</v>
      </c>
      <c r="B803" s="29" t="n">
        <f aca="false">COUNTIFS(Trades!$D$2:$D$1146,$A803)</f>
        <v>1</v>
      </c>
      <c r="C803" s="29" t="n">
        <f aca="false">COUNTIFS(Trades!$D$2:$D$1146,$A803,Trades!$Z$2:$Z$1146,"Win")</f>
        <v>1</v>
      </c>
      <c r="D803" s="29" t="n">
        <f aca="false">COUNTIFS(Trades!$D$2:$D$1146,$A803,Trades!$Z$2:$Z$1146,"Loss")</f>
        <v>0</v>
      </c>
      <c r="E803" s="30" t="n">
        <f aca="false">IFERROR(C803/B803,0)</f>
        <v>1</v>
      </c>
      <c r="F803" s="31" t="n">
        <f aca="false">SUMIFS(Trades!$X$2:$X$1146,Trades!$D$2:$D$1146,$A803)</f>
        <v>68.67</v>
      </c>
      <c r="G803" s="31" t="n">
        <f aca="false">SUMIFS(Trades!$X$2:$X$1146,Trades!$D$2:$D$1146,$A803,Trades!$X$2:$X$1146,"&gt;0")</f>
        <v>68.67</v>
      </c>
      <c r="H803" s="31" t="n">
        <f aca="false">SUMIFS(Trades!$X$2:$X$1146,Trades!$D$2:$D$1146,$A803,Trades!$X$2:$X$1146,"&lt;0")</f>
        <v>0</v>
      </c>
      <c r="I803" s="32" t="str">
        <f aca="false">IFERROR(G803/-H803,"no loss")</f>
        <v>no loss</v>
      </c>
      <c r="J803" s="31" t="n">
        <f aca="false">_xlfn.MAXIFS(Trades!$X$2:$X$1146,Trades!$D$2:$D$1146,$A803)</f>
        <v>68.67</v>
      </c>
      <c r="K803" s="31" t="n">
        <f aca="false">_xlfn.MINIFS(Trades!$X$2:$X$1146,Trades!$D$2:$D$1146,$A803)</f>
        <v>68.67</v>
      </c>
      <c r="L803" s="33" t="n">
        <f aca="false">SUMIFS(Trades!$Y$2:$Y$1146,Trades!$D$2:$D$1146,$A803)</f>
        <v>2.10386029411745</v>
      </c>
      <c r="M803" s="31" t="n">
        <f aca="false">P802</f>
        <v>20389.31</v>
      </c>
      <c r="N803" s="30" t="n">
        <f aca="false">IFERROR(F803/M803,0)</f>
        <v>0.00336794133788736</v>
      </c>
      <c r="O803" s="29" t="str">
        <f aca="false">IF(-N803&gt;=Summary!$C$7,"BREACH","")</f>
        <v/>
      </c>
      <c r="P803" s="31" t="n">
        <f aca="false">M803+F803</f>
        <v>20457.98</v>
      </c>
      <c r="Q803" s="31" t="n">
        <f aca="false">P803-Summary!$C$5</f>
        <v>10457.98</v>
      </c>
      <c r="R803" s="2" t="str">
        <f aca="false">TEXT(A803,"ddd")</f>
        <v>Tue</v>
      </c>
    </row>
    <row r="804" customFormat="false" ht="15" hidden="false" customHeight="false" outlineLevel="0" collapsed="false">
      <c r="A804" s="43" t="n">
        <v>45966</v>
      </c>
      <c r="B804" s="29" t="n">
        <f aca="false">COUNTIFS(Trades!$D$2:$D$1146,$A804)</f>
        <v>1</v>
      </c>
      <c r="C804" s="29" t="n">
        <f aca="false">COUNTIFS(Trades!$D$2:$D$1146,$A804,Trades!$Z$2:$Z$1146,"Win")</f>
        <v>1</v>
      </c>
      <c r="D804" s="29" t="n">
        <f aca="false">COUNTIFS(Trades!$D$2:$D$1146,$A804,Trades!$Z$2:$Z$1146,"Loss")</f>
        <v>0</v>
      </c>
      <c r="E804" s="30" t="n">
        <f aca="false">IFERROR(C804/B804,0)</f>
        <v>1</v>
      </c>
      <c r="F804" s="31" t="n">
        <f aca="false">SUMIFS(Trades!$X$2:$X$1146,Trades!$D$2:$D$1146,$A804)</f>
        <v>163.48</v>
      </c>
      <c r="G804" s="31" t="n">
        <f aca="false">SUMIFS(Trades!$X$2:$X$1146,Trades!$D$2:$D$1146,$A804,Trades!$X$2:$X$1146,"&gt;0")</f>
        <v>163.48</v>
      </c>
      <c r="H804" s="31" t="n">
        <f aca="false">SUMIFS(Trades!$X$2:$X$1146,Trades!$D$2:$D$1146,$A804,Trades!$X$2:$X$1146,"&lt;0")</f>
        <v>0</v>
      </c>
      <c r="I804" s="32" t="str">
        <f aca="false">IFERROR(G804/-H804,"no loss")</f>
        <v>no loss</v>
      </c>
      <c r="J804" s="31" t="n">
        <f aca="false">_xlfn.MAXIFS(Trades!$X$2:$X$1146,Trades!$D$2:$D$1146,$A804)</f>
        <v>163.48</v>
      </c>
      <c r="K804" s="31" t="n">
        <f aca="false">_xlfn.MINIFS(Trades!$X$2:$X$1146,Trades!$D$2:$D$1146,$A804)</f>
        <v>163.48</v>
      </c>
      <c r="L804" s="33" t="n">
        <f aca="false">SUMIFS(Trades!$Y$2:$Y$1146,Trades!$D$2:$D$1146,$A804)</f>
        <v>2.47546941247698</v>
      </c>
      <c r="M804" s="31" t="n">
        <f aca="false">P803</f>
        <v>20457.98</v>
      </c>
      <c r="N804" s="30" t="n">
        <f aca="false">IFERROR(F804/M804,0)</f>
        <v>0.0079910137755536</v>
      </c>
      <c r="O804" s="29" t="str">
        <f aca="false">IF(-N804&gt;=Summary!$C$7,"BREACH","")</f>
        <v/>
      </c>
      <c r="P804" s="31" t="n">
        <f aca="false">M804+F804</f>
        <v>20621.46</v>
      </c>
      <c r="Q804" s="31" t="n">
        <f aca="false">P804-Summary!$C$5</f>
        <v>10621.46</v>
      </c>
      <c r="R804" s="2" t="str">
        <f aca="false">TEXT(A804,"ddd")</f>
        <v>Wed</v>
      </c>
    </row>
    <row r="805" customFormat="false" ht="15" hidden="false" customHeight="false" outlineLevel="0" collapsed="false">
      <c r="A805" s="43" t="n">
        <v>45967</v>
      </c>
      <c r="B805" s="29" t="n">
        <f aca="false">COUNTIFS(Trades!$D$2:$D$1146,$A805)</f>
        <v>1</v>
      </c>
      <c r="C805" s="29" t="n">
        <f aca="false">COUNTIFS(Trades!$D$2:$D$1146,$A805,Trades!$Z$2:$Z$1146,"Win")</f>
        <v>0</v>
      </c>
      <c r="D805" s="29" t="n">
        <f aca="false">COUNTIFS(Trades!$D$2:$D$1146,$A805,Trades!$Z$2:$Z$1146,"Loss")</f>
        <v>1</v>
      </c>
      <c r="E805" s="30" t="n">
        <f aca="false">IFERROR(C805/B805,0)</f>
        <v>0</v>
      </c>
      <c r="F805" s="31" t="n">
        <f aca="false">SUMIFS(Trades!$X$2:$X$1146,Trades!$D$2:$D$1146,$A805)</f>
        <v>-110.36</v>
      </c>
      <c r="G805" s="31" t="n">
        <f aca="false">SUMIFS(Trades!$X$2:$X$1146,Trades!$D$2:$D$1146,$A805,Trades!$X$2:$X$1146,"&gt;0")</f>
        <v>0</v>
      </c>
      <c r="H805" s="31" t="n">
        <f aca="false">SUMIFS(Trades!$X$2:$X$1146,Trades!$D$2:$D$1146,$A805,Trades!$X$2:$X$1146,"&lt;0")</f>
        <v>-110.36</v>
      </c>
      <c r="I805" s="32" t="n">
        <f aca="false">IFERROR(G805/-H805,"no loss")</f>
        <v>0</v>
      </c>
      <c r="J805" s="31" t="n">
        <f aca="false">_xlfn.MAXIFS(Trades!$X$2:$X$1146,Trades!$D$2:$D$1146,$A805)</f>
        <v>-110.36</v>
      </c>
      <c r="K805" s="31" t="n">
        <f aca="false">_xlfn.MINIFS(Trades!$X$2:$X$1146,Trades!$D$2:$D$1146,$A805)</f>
        <v>-110.36</v>
      </c>
      <c r="L805" s="33" t="n">
        <f aca="false">SUMIFS(Trades!$Y$2:$Y$1146,Trades!$D$2:$D$1146,$A805)</f>
        <v>-1.01733038348086</v>
      </c>
      <c r="M805" s="31" t="n">
        <f aca="false">P804</f>
        <v>20621.46</v>
      </c>
      <c r="N805" s="30" t="n">
        <f aca="false">IFERROR(F805/M805,0)</f>
        <v>-0.00535170642621813</v>
      </c>
      <c r="O805" s="29" t="str">
        <f aca="false">IF(-N805&gt;=Summary!$C$7,"BREACH","")</f>
        <v/>
      </c>
      <c r="P805" s="31" t="n">
        <f aca="false">M805+F805</f>
        <v>20511.1</v>
      </c>
      <c r="Q805" s="31" t="n">
        <f aca="false">P805-Summary!$C$5</f>
        <v>10511.1</v>
      </c>
      <c r="R805" s="2" t="str">
        <f aca="false">TEXT(A805,"ddd")</f>
        <v>Thu</v>
      </c>
    </row>
    <row r="806" customFormat="false" ht="15" hidden="false" customHeight="false" outlineLevel="0" collapsed="false">
      <c r="A806" s="43" t="n">
        <v>45968</v>
      </c>
      <c r="B806" s="29" t="n">
        <f aca="false">COUNTIFS(Trades!$D$2:$D$1146,$A806)</f>
        <v>1</v>
      </c>
      <c r="C806" s="29" t="n">
        <f aca="false">COUNTIFS(Trades!$D$2:$D$1146,$A806,Trades!$Z$2:$Z$1146,"Win")</f>
        <v>0</v>
      </c>
      <c r="D806" s="29" t="n">
        <f aca="false">COUNTIFS(Trades!$D$2:$D$1146,$A806,Trades!$Z$2:$Z$1146,"Loss")</f>
        <v>1</v>
      </c>
      <c r="E806" s="30" t="n">
        <f aca="false">IFERROR(C806/B806,0)</f>
        <v>0</v>
      </c>
      <c r="F806" s="31" t="n">
        <f aca="false">SUMIFS(Trades!$X$2:$X$1146,Trades!$D$2:$D$1146,$A806)</f>
        <v>-69.64</v>
      </c>
      <c r="G806" s="31" t="n">
        <f aca="false">SUMIFS(Trades!$X$2:$X$1146,Trades!$D$2:$D$1146,$A806,Trades!$X$2:$X$1146,"&gt;0")</f>
        <v>0</v>
      </c>
      <c r="H806" s="31" t="n">
        <f aca="false">SUMIFS(Trades!$X$2:$X$1146,Trades!$D$2:$D$1146,$A806,Trades!$X$2:$X$1146,"&lt;0")</f>
        <v>-69.64</v>
      </c>
      <c r="I806" s="32" t="n">
        <f aca="false">IFERROR(G806/-H806,"no loss")</f>
        <v>0</v>
      </c>
      <c r="J806" s="31" t="n">
        <f aca="false">_xlfn.MAXIFS(Trades!$X$2:$X$1146,Trades!$D$2:$D$1146,$A806)</f>
        <v>-69.64</v>
      </c>
      <c r="K806" s="31" t="n">
        <f aca="false">_xlfn.MINIFS(Trades!$X$2:$X$1146,Trades!$D$2:$D$1146,$A806)</f>
        <v>-69.64</v>
      </c>
      <c r="L806" s="33" t="n">
        <f aca="false">SUMIFS(Trades!$Y$2:$Y$1146,Trades!$D$2:$D$1146,$A806)</f>
        <v>-1.02956830277943</v>
      </c>
      <c r="M806" s="31" t="n">
        <f aca="false">P805</f>
        <v>20511.1</v>
      </c>
      <c r="N806" s="30" t="n">
        <f aca="false">IFERROR(F806/M806,0)</f>
        <v>-0.00339523477531678</v>
      </c>
      <c r="O806" s="29" t="str">
        <f aca="false">IF(-N806&gt;=Summary!$C$7,"BREACH","")</f>
        <v/>
      </c>
      <c r="P806" s="31" t="n">
        <f aca="false">M806+F806</f>
        <v>20441.46</v>
      </c>
      <c r="Q806" s="31" t="n">
        <f aca="false">P806-Summary!$C$5</f>
        <v>10441.46</v>
      </c>
      <c r="R806" s="2" t="str">
        <f aca="false">TEXT(A806,"ddd")</f>
        <v>Fri</v>
      </c>
    </row>
    <row r="807" customFormat="false" ht="15" hidden="false" customHeight="false" outlineLevel="0" collapsed="false">
      <c r="A807" s="43" t="n">
        <v>45971</v>
      </c>
      <c r="B807" s="29" t="n">
        <f aca="false">COUNTIFS(Trades!$D$2:$D$1146,$A807)</f>
        <v>1</v>
      </c>
      <c r="C807" s="29" t="n">
        <f aca="false">COUNTIFS(Trades!$D$2:$D$1146,$A807,Trades!$Z$2:$Z$1146,"Win")</f>
        <v>0</v>
      </c>
      <c r="D807" s="29" t="n">
        <f aca="false">COUNTIFS(Trades!$D$2:$D$1146,$A807,Trades!$Z$2:$Z$1146,"Loss")</f>
        <v>1</v>
      </c>
      <c r="E807" s="30" t="n">
        <f aca="false">IFERROR(C807/B807,0)</f>
        <v>0</v>
      </c>
      <c r="F807" s="31" t="n">
        <f aca="false">SUMIFS(Trades!$X$2:$X$1146,Trades!$D$2:$D$1146,$A807)</f>
        <v>-170</v>
      </c>
      <c r="G807" s="31" t="n">
        <f aca="false">SUMIFS(Trades!$X$2:$X$1146,Trades!$D$2:$D$1146,$A807,Trades!$X$2:$X$1146,"&gt;0")</f>
        <v>0</v>
      </c>
      <c r="H807" s="31" t="n">
        <f aca="false">SUMIFS(Trades!$X$2:$X$1146,Trades!$D$2:$D$1146,$A807,Trades!$X$2:$X$1146,"&lt;0")</f>
        <v>-170</v>
      </c>
      <c r="I807" s="32" t="n">
        <f aca="false">IFERROR(G807/-H807,"no loss")</f>
        <v>0</v>
      </c>
      <c r="J807" s="31" t="n">
        <f aca="false">_xlfn.MAXIFS(Trades!$X$2:$X$1146,Trades!$D$2:$D$1146,$A807)</f>
        <v>-170</v>
      </c>
      <c r="K807" s="31" t="n">
        <f aca="false">_xlfn.MINIFS(Trades!$X$2:$X$1146,Trades!$D$2:$D$1146,$A807)</f>
        <v>-170</v>
      </c>
      <c r="L807" s="33" t="n">
        <f aca="false">SUMIFS(Trades!$Y$2:$Y$1146,Trades!$D$2:$D$1146,$A807)</f>
        <v>-1.03080281348534</v>
      </c>
      <c r="M807" s="31" t="n">
        <f aca="false">P806</f>
        <v>20441.46</v>
      </c>
      <c r="N807" s="30" t="n">
        <f aca="false">IFERROR(F807/M807,0)</f>
        <v>-0.00831643140949815</v>
      </c>
      <c r="O807" s="29" t="str">
        <f aca="false">IF(-N807&gt;=Summary!$C$7,"BREACH","")</f>
        <v/>
      </c>
      <c r="P807" s="31" t="n">
        <f aca="false">M807+F807</f>
        <v>20271.46</v>
      </c>
      <c r="Q807" s="31" t="n">
        <f aca="false">P807-Summary!$C$5</f>
        <v>10271.46</v>
      </c>
      <c r="R807" s="2" t="str">
        <f aca="false">TEXT(A807,"ddd")</f>
        <v>Mon</v>
      </c>
    </row>
    <row r="808" customFormat="false" ht="15" hidden="false" customHeight="false" outlineLevel="0" collapsed="false">
      <c r="A808" s="43" t="n">
        <v>45972</v>
      </c>
      <c r="B808" s="29" t="n">
        <f aca="false">COUNTIFS(Trades!$D$2:$D$1146,$A808)</f>
        <v>1</v>
      </c>
      <c r="C808" s="29" t="n">
        <f aca="false">COUNTIFS(Trades!$D$2:$D$1146,$A808,Trades!$Z$2:$Z$1146,"Win")</f>
        <v>0</v>
      </c>
      <c r="D808" s="29" t="n">
        <f aca="false">COUNTIFS(Trades!$D$2:$D$1146,$A808,Trades!$Z$2:$Z$1146,"Loss")</f>
        <v>1</v>
      </c>
      <c r="E808" s="30" t="n">
        <f aca="false">IFERROR(C808/B808,0)</f>
        <v>0</v>
      </c>
      <c r="F808" s="31" t="n">
        <f aca="false">SUMIFS(Trades!$X$2:$X$1146,Trades!$D$2:$D$1146,$A808)</f>
        <v>-26.46</v>
      </c>
      <c r="G808" s="31" t="n">
        <f aca="false">SUMIFS(Trades!$X$2:$X$1146,Trades!$D$2:$D$1146,$A808,Trades!$X$2:$X$1146,"&gt;0")</f>
        <v>0</v>
      </c>
      <c r="H808" s="31" t="n">
        <f aca="false">SUMIFS(Trades!$X$2:$X$1146,Trades!$D$2:$D$1146,$A808,Trades!$X$2:$X$1146,"&lt;0")</f>
        <v>-26.46</v>
      </c>
      <c r="I808" s="32" t="n">
        <f aca="false">IFERROR(G808/-H808,"no loss")</f>
        <v>0</v>
      </c>
      <c r="J808" s="31" t="n">
        <f aca="false">_xlfn.MAXIFS(Trades!$X$2:$X$1146,Trades!$D$2:$D$1146,$A808)</f>
        <v>-26.46</v>
      </c>
      <c r="K808" s="31" t="n">
        <f aca="false">_xlfn.MINIFS(Trades!$X$2:$X$1146,Trades!$D$2:$D$1146,$A808)</f>
        <v>-26.46</v>
      </c>
      <c r="L808" s="33" t="n">
        <f aca="false">SUMIFS(Trades!$Y$2:$Y$1146,Trades!$D$2:$D$1146,$A808)</f>
        <v>-1.06009615384619</v>
      </c>
      <c r="M808" s="31" t="n">
        <f aca="false">P807</f>
        <v>20271.46</v>
      </c>
      <c r="N808" s="30" t="n">
        <f aca="false">IFERROR(F808/M808,0)</f>
        <v>-0.00130528338856698</v>
      </c>
      <c r="O808" s="29" t="str">
        <f aca="false">IF(-N808&gt;=Summary!$C$7,"BREACH","")</f>
        <v/>
      </c>
      <c r="P808" s="31" t="n">
        <f aca="false">M808+F808</f>
        <v>20245</v>
      </c>
      <c r="Q808" s="31" t="n">
        <f aca="false">P808-Summary!$C$5</f>
        <v>10245</v>
      </c>
      <c r="R808" s="2" t="str">
        <f aca="false">TEXT(A808,"ddd")</f>
        <v>Tue</v>
      </c>
    </row>
    <row r="809" customFormat="false" ht="15" hidden="false" customHeight="false" outlineLevel="0" collapsed="false">
      <c r="A809" s="43" t="n">
        <v>45973</v>
      </c>
      <c r="B809" s="29" t="n">
        <f aca="false">COUNTIFS(Trades!$D$2:$D$1146,$A809)</f>
        <v>1</v>
      </c>
      <c r="C809" s="29" t="n">
        <f aca="false">COUNTIFS(Trades!$D$2:$D$1146,$A809,Trades!$Z$2:$Z$1146,"Win")</f>
        <v>0</v>
      </c>
      <c r="D809" s="29" t="n">
        <f aca="false">COUNTIFS(Trades!$D$2:$D$1146,$A809,Trades!$Z$2:$Z$1146,"Loss")</f>
        <v>1</v>
      </c>
      <c r="E809" s="30" t="n">
        <f aca="false">IFERROR(C809/B809,0)</f>
        <v>0</v>
      </c>
      <c r="F809" s="31" t="n">
        <f aca="false">SUMIFS(Trades!$X$2:$X$1146,Trades!$D$2:$D$1146,$A809)</f>
        <v>-10.17</v>
      </c>
      <c r="G809" s="31" t="n">
        <f aca="false">SUMIFS(Trades!$X$2:$X$1146,Trades!$D$2:$D$1146,$A809,Trades!$X$2:$X$1146,"&gt;0")</f>
        <v>0</v>
      </c>
      <c r="H809" s="31" t="n">
        <f aca="false">SUMIFS(Trades!$X$2:$X$1146,Trades!$D$2:$D$1146,$A809,Trades!$X$2:$X$1146,"&lt;0")</f>
        <v>-10.17</v>
      </c>
      <c r="I809" s="32" t="n">
        <f aca="false">IFERROR(G809/-H809,"no loss")</f>
        <v>0</v>
      </c>
      <c r="J809" s="31" t="n">
        <f aca="false">_xlfn.MAXIFS(Trades!$X$2:$X$1146,Trades!$D$2:$D$1146,$A809)</f>
        <v>-10.17</v>
      </c>
      <c r="K809" s="31" t="n">
        <f aca="false">_xlfn.MINIFS(Trades!$X$2:$X$1146,Trades!$D$2:$D$1146,$A809)</f>
        <v>-10.17</v>
      </c>
      <c r="L809" s="33" t="n">
        <f aca="false">SUMIFS(Trades!$Y$2:$Y$1146,Trades!$D$2:$D$1146,$A809)</f>
        <v>-1.0180180180186</v>
      </c>
      <c r="M809" s="31" t="n">
        <f aca="false">P808</f>
        <v>20245</v>
      </c>
      <c r="N809" s="30" t="n">
        <f aca="false">IFERROR(F809/M809,0)</f>
        <v>-0.000502346258335392</v>
      </c>
      <c r="O809" s="29" t="str">
        <f aca="false">IF(-N809&gt;=Summary!$C$7,"BREACH","")</f>
        <v/>
      </c>
      <c r="P809" s="31" t="n">
        <f aca="false">M809+F809</f>
        <v>20234.83</v>
      </c>
      <c r="Q809" s="31" t="n">
        <f aca="false">P809-Summary!$C$5</f>
        <v>10234.83</v>
      </c>
      <c r="R809" s="2" t="str">
        <f aca="false">TEXT(A809,"ddd")</f>
        <v>Wed</v>
      </c>
    </row>
    <row r="810" customFormat="false" ht="15" hidden="false" customHeight="false" outlineLevel="0" collapsed="false">
      <c r="A810" s="43" t="n">
        <v>45974</v>
      </c>
      <c r="B810" s="29" t="n">
        <f aca="false">COUNTIFS(Trades!$D$2:$D$1146,$A810)</f>
        <v>1</v>
      </c>
      <c r="C810" s="29" t="n">
        <f aca="false">COUNTIFS(Trades!$D$2:$D$1146,$A810,Trades!$Z$2:$Z$1146,"Win")</f>
        <v>1</v>
      </c>
      <c r="D810" s="29" t="n">
        <f aca="false">COUNTIFS(Trades!$D$2:$D$1146,$A810,Trades!$Z$2:$Z$1146,"Loss")</f>
        <v>0</v>
      </c>
      <c r="E810" s="30" t="n">
        <f aca="false">IFERROR(C810/B810,0)</f>
        <v>1</v>
      </c>
      <c r="F810" s="31" t="n">
        <f aca="false">SUMIFS(Trades!$X$2:$X$1146,Trades!$D$2:$D$1146,$A810)</f>
        <v>95.61</v>
      </c>
      <c r="G810" s="31" t="n">
        <f aca="false">SUMIFS(Trades!$X$2:$X$1146,Trades!$D$2:$D$1146,$A810,Trades!$X$2:$X$1146,"&gt;0")</f>
        <v>95.61</v>
      </c>
      <c r="H810" s="31" t="n">
        <f aca="false">SUMIFS(Trades!$X$2:$X$1146,Trades!$D$2:$D$1146,$A810,Trades!$X$2:$X$1146,"&lt;0")</f>
        <v>0</v>
      </c>
      <c r="I810" s="32" t="str">
        <f aca="false">IFERROR(G810/-H810,"no loss")</f>
        <v>no loss</v>
      </c>
      <c r="J810" s="31" t="n">
        <f aca="false">_xlfn.MAXIFS(Trades!$X$2:$X$1146,Trades!$D$2:$D$1146,$A810)</f>
        <v>95.61</v>
      </c>
      <c r="K810" s="31" t="n">
        <f aca="false">_xlfn.MINIFS(Trades!$X$2:$X$1146,Trades!$D$2:$D$1146,$A810)</f>
        <v>95.61</v>
      </c>
      <c r="L810" s="33" t="n">
        <f aca="false">SUMIFS(Trades!$Y$2:$Y$1146,Trades!$D$2:$D$1146,$A810)</f>
        <v>2.82035398230016</v>
      </c>
      <c r="M810" s="31" t="n">
        <f aca="false">P809</f>
        <v>20234.83</v>
      </c>
      <c r="N810" s="30" t="n">
        <f aca="false">IFERROR(F810/M810,0)</f>
        <v>0.00472502116400286</v>
      </c>
      <c r="O810" s="29" t="str">
        <f aca="false">IF(-N810&gt;=Summary!$C$7,"BREACH","")</f>
        <v/>
      </c>
      <c r="P810" s="31" t="n">
        <f aca="false">M810+F810</f>
        <v>20330.44</v>
      </c>
      <c r="Q810" s="31" t="n">
        <f aca="false">P810-Summary!$C$5</f>
        <v>10330.44</v>
      </c>
      <c r="R810" s="2" t="str">
        <f aca="false">TEXT(A810,"ddd")</f>
        <v>Thu</v>
      </c>
    </row>
    <row r="811" customFormat="false" ht="15" hidden="false" customHeight="false" outlineLevel="0" collapsed="false">
      <c r="A811" s="43" t="n">
        <v>45975</v>
      </c>
      <c r="B811" s="29" t="n">
        <f aca="false">COUNTIFS(Trades!$D$2:$D$1146,$A811)</f>
        <v>1</v>
      </c>
      <c r="C811" s="29" t="n">
        <f aca="false">COUNTIFS(Trades!$D$2:$D$1146,$A811,Trades!$Z$2:$Z$1146,"Win")</f>
        <v>0</v>
      </c>
      <c r="D811" s="29" t="n">
        <f aca="false">COUNTIFS(Trades!$D$2:$D$1146,$A811,Trades!$Z$2:$Z$1146,"Loss")</f>
        <v>1</v>
      </c>
      <c r="E811" s="30" t="n">
        <f aca="false">IFERROR(C811/B811,0)</f>
        <v>0</v>
      </c>
      <c r="F811" s="31" t="n">
        <f aca="false">SUMIFS(Trades!$X$2:$X$1146,Trades!$D$2:$D$1146,$A811)</f>
        <v>-52.48</v>
      </c>
      <c r="G811" s="31" t="n">
        <f aca="false">SUMIFS(Trades!$X$2:$X$1146,Trades!$D$2:$D$1146,$A811,Trades!$X$2:$X$1146,"&gt;0")</f>
        <v>0</v>
      </c>
      <c r="H811" s="31" t="n">
        <f aca="false">SUMIFS(Trades!$X$2:$X$1146,Trades!$D$2:$D$1146,$A811,Trades!$X$2:$X$1146,"&lt;0")</f>
        <v>-52.48</v>
      </c>
      <c r="I811" s="32" t="n">
        <f aca="false">IFERROR(G811/-H811,"no loss")</f>
        <v>0</v>
      </c>
      <c r="J811" s="31" t="n">
        <f aca="false">_xlfn.MAXIFS(Trades!$X$2:$X$1146,Trades!$D$2:$D$1146,$A811)</f>
        <v>-52.48</v>
      </c>
      <c r="K811" s="31" t="n">
        <f aca="false">_xlfn.MINIFS(Trades!$X$2:$X$1146,Trades!$D$2:$D$1146,$A811)</f>
        <v>-52.48</v>
      </c>
      <c r="L811" s="33" t="n">
        <f aca="false">SUMIFS(Trades!$Y$2:$Y$1146,Trades!$D$2:$D$1146,$A811)</f>
        <v>-1.00459418070462</v>
      </c>
      <c r="M811" s="31" t="n">
        <f aca="false">P810</f>
        <v>20330.44</v>
      </c>
      <c r="N811" s="30" t="n">
        <f aca="false">IFERROR(F811/M811,0)</f>
        <v>-0.00258135092009814</v>
      </c>
      <c r="O811" s="29" t="str">
        <f aca="false">IF(-N811&gt;=Summary!$C$7,"BREACH","")</f>
        <v/>
      </c>
      <c r="P811" s="31" t="n">
        <f aca="false">M811+F811</f>
        <v>20277.96</v>
      </c>
      <c r="Q811" s="31" t="n">
        <f aca="false">P811-Summary!$C$5</f>
        <v>10277.96</v>
      </c>
      <c r="R811" s="2" t="str">
        <f aca="false">TEXT(A811,"ddd")</f>
        <v>Fri</v>
      </c>
    </row>
    <row r="812" customFormat="false" ht="15" hidden="false" customHeight="false" outlineLevel="0" collapsed="false">
      <c r="A812" s="43" t="n">
        <v>45978</v>
      </c>
      <c r="B812" s="29" t="n">
        <f aca="false">COUNTIFS(Trades!$D$2:$D$1146,$A812)</f>
        <v>1</v>
      </c>
      <c r="C812" s="29" t="n">
        <f aca="false">COUNTIFS(Trades!$D$2:$D$1146,$A812,Trades!$Z$2:$Z$1146,"Win")</f>
        <v>1</v>
      </c>
      <c r="D812" s="29" t="n">
        <f aca="false">COUNTIFS(Trades!$D$2:$D$1146,$A812,Trades!$Z$2:$Z$1146,"Loss")</f>
        <v>0</v>
      </c>
      <c r="E812" s="30" t="n">
        <f aca="false">IFERROR(C812/B812,0)</f>
        <v>1</v>
      </c>
      <c r="F812" s="31" t="n">
        <f aca="false">SUMIFS(Trades!$X$2:$X$1146,Trades!$D$2:$D$1146,$A812)</f>
        <v>96.2</v>
      </c>
      <c r="G812" s="31" t="n">
        <f aca="false">SUMIFS(Trades!$X$2:$X$1146,Trades!$D$2:$D$1146,$A812,Trades!$X$2:$X$1146,"&gt;0")</f>
        <v>96.2</v>
      </c>
      <c r="H812" s="31" t="n">
        <f aca="false">SUMIFS(Trades!$X$2:$X$1146,Trades!$D$2:$D$1146,$A812,Trades!$X$2:$X$1146,"&lt;0")</f>
        <v>0</v>
      </c>
      <c r="I812" s="32" t="str">
        <f aca="false">IFERROR(G812/-H812,"no loss")</f>
        <v>no loss</v>
      </c>
      <c r="J812" s="31" t="n">
        <f aca="false">_xlfn.MAXIFS(Trades!$X$2:$X$1146,Trades!$D$2:$D$1146,$A812)</f>
        <v>96.2</v>
      </c>
      <c r="K812" s="31" t="n">
        <f aca="false">_xlfn.MINIFS(Trades!$X$2:$X$1146,Trades!$D$2:$D$1146,$A812)</f>
        <v>96.2</v>
      </c>
      <c r="L812" s="33" t="n">
        <f aca="false">SUMIFS(Trades!$Y$2:$Y$1146,Trades!$D$2:$D$1146,$A812)</f>
        <v>2.51043841336071</v>
      </c>
      <c r="M812" s="31" t="n">
        <f aca="false">P811</f>
        <v>20277.96</v>
      </c>
      <c r="N812" s="30" t="n">
        <f aca="false">IFERROR(F812/M812,0)</f>
        <v>0.0047440669574257</v>
      </c>
      <c r="O812" s="29" t="str">
        <f aca="false">IF(-N812&gt;=Summary!$C$7,"BREACH","")</f>
        <v/>
      </c>
      <c r="P812" s="31" t="n">
        <f aca="false">M812+F812</f>
        <v>20374.16</v>
      </c>
      <c r="Q812" s="31" t="n">
        <f aca="false">P812-Summary!$C$5</f>
        <v>10374.16</v>
      </c>
      <c r="R812" s="2" t="str">
        <f aca="false">TEXT(A812,"ddd")</f>
        <v>Mon</v>
      </c>
    </row>
    <row r="813" customFormat="false" ht="15" hidden="false" customHeight="false" outlineLevel="0" collapsed="false">
      <c r="A813" s="43" t="n">
        <v>45979</v>
      </c>
      <c r="B813" s="29" t="n">
        <f aca="false">COUNTIFS(Trades!$D$2:$D$1146,$A813)</f>
        <v>1</v>
      </c>
      <c r="C813" s="29" t="n">
        <f aca="false">COUNTIFS(Trades!$D$2:$D$1146,$A813,Trades!$Z$2:$Z$1146,"Win")</f>
        <v>0</v>
      </c>
      <c r="D813" s="29" t="n">
        <f aca="false">COUNTIFS(Trades!$D$2:$D$1146,$A813,Trades!$Z$2:$Z$1146,"Loss")</f>
        <v>1</v>
      </c>
      <c r="E813" s="30" t="n">
        <f aca="false">IFERROR(C813/B813,0)</f>
        <v>0</v>
      </c>
      <c r="F813" s="31" t="n">
        <f aca="false">SUMIFS(Trades!$X$2:$X$1146,Trades!$D$2:$D$1146,$A813)</f>
        <v>-43.44</v>
      </c>
      <c r="G813" s="31" t="n">
        <f aca="false">SUMIFS(Trades!$X$2:$X$1146,Trades!$D$2:$D$1146,$A813,Trades!$X$2:$X$1146,"&gt;0")</f>
        <v>0</v>
      </c>
      <c r="H813" s="31" t="n">
        <f aca="false">SUMIFS(Trades!$X$2:$X$1146,Trades!$D$2:$D$1146,$A813,Trades!$X$2:$X$1146,"&lt;0")</f>
        <v>-43.44</v>
      </c>
      <c r="I813" s="32" t="n">
        <f aca="false">IFERROR(G813/-H813,"no loss")</f>
        <v>0</v>
      </c>
      <c r="J813" s="31" t="n">
        <f aca="false">_xlfn.MAXIFS(Trades!$X$2:$X$1146,Trades!$D$2:$D$1146,$A813)</f>
        <v>-43.44</v>
      </c>
      <c r="K813" s="31" t="n">
        <f aca="false">_xlfn.MINIFS(Trades!$X$2:$X$1146,Trades!$D$2:$D$1146,$A813)</f>
        <v>-43.44</v>
      </c>
      <c r="L813" s="33" t="n">
        <f aca="false">SUMIFS(Trades!$Y$2:$Y$1146,Trades!$D$2:$D$1146,$A813)</f>
        <v>-1.03428571428571</v>
      </c>
      <c r="M813" s="31" t="n">
        <f aca="false">P812</f>
        <v>20374.16</v>
      </c>
      <c r="N813" s="30" t="n">
        <f aca="false">IFERROR(F813/M813,0)</f>
        <v>-0.0021321124404638</v>
      </c>
      <c r="O813" s="29" t="str">
        <f aca="false">IF(-N813&gt;=Summary!$C$7,"BREACH","")</f>
        <v/>
      </c>
      <c r="P813" s="31" t="n">
        <f aca="false">M813+F813</f>
        <v>20330.72</v>
      </c>
      <c r="Q813" s="31" t="n">
        <f aca="false">P813-Summary!$C$5</f>
        <v>10330.72</v>
      </c>
      <c r="R813" s="2" t="str">
        <f aca="false">TEXT(A813,"ddd")</f>
        <v>Tue</v>
      </c>
    </row>
    <row r="814" customFormat="false" ht="15" hidden="false" customHeight="false" outlineLevel="0" collapsed="false">
      <c r="A814" s="43" t="n">
        <v>45980</v>
      </c>
      <c r="B814" s="29" t="n">
        <f aca="false">COUNTIFS(Trades!$D$2:$D$1146,$A814)</f>
        <v>1</v>
      </c>
      <c r="C814" s="29" t="n">
        <f aca="false">COUNTIFS(Trades!$D$2:$D$1146,$A814,Trades!$Z$2:$Z$1146,"Win")</f>
        <v>0</v>
      </c>
      <c r="D814" s="29" t="n">
        <f aca="false">COUNTIFS(Trades!$D$2:$D$1146,$A814,Trades!$Z$2:$Z$1146,"Loss")</f>
        <v>1</v>
      </c>
      <c r="E814" s="30" t="n">
        <f aca="false">IFERROR(C814/B814,0)</f>
        <v>0</v>
      </c>
      <c r="F814" s="31" t="n">
        <f aca="false">SUMIFS(Trades!$X$2:$X$1146,Trades!$D$2:$D$1146,$A814)</f>
        <v>-96.64</v>
      </c>
      <c r="G814" s="31" t="n">
        <f aca="false">SUMIFS(Trades!$X$2:$X$1146,Trades!$D$2:$D$1146,$A814,Trades!$X$2:$X$1146,"&gt;0")</f>
        <v>0</v>
      </c>
      <c r="H814" s="31" t="n">
        <f aca="false">SUMIFS(Trades!$X$2:$X$1146,Trades!$D$2:$D$1146,$A814,Trades!$X$2:$X$1146,"&lt;0")</f>
        <v>-96.64</v>
      </c>
      <c r="I814" s="32" t="n">
        <f aca="false">IFERROR(G814/-H814,"no loss")</f>
        <v>0</v>
      </c>
      <c r="J814" s="31" t="n">
        <f aca="false">_xlfn.MAXIFS(Trades!$X$2:$X$1146,Trades!$D$2:$D$1146,$A814)</f>
        <v>-96.64</v>
      </c>
      <c r="K814" s="31" t="n">
        <f aca="false">_xlfn.MINIFS(Trades!$X$2:$X$1146,Trades!$D$2:$D$1146,$A814)</f>
        <v>-96.64</v>
      </c>
      <c r="L814" s="33" t="n">
        <f aca="false">SUMIFS(Trades!$Y$2:$Y$1146,Trades!$D$2:$D$1146,$A814)</f>
        <v>-1.03690987124467</v>
      </c>
      <c r="M814" s="31" t="n">
        <f aca="false">P813</f>
        <v>20330.72</v>
      </c>
      <c r="N814" s="30" t="n">
        <f aca="false">IFERROR(F814/M814,0)</f>
        <v>-0.0047533978137518</v>
      </c>
      <c r="O814" s="29" t="str">
        <f aca="false">IF(-N814&gt;=Summary!$C$7,"BREACH","")</f>
        <v/>
      </c>
      <c r="P814" s="31" t="n">
        <f aca="false">M814+F814</f>
        <v>20234.08</v>
      </c>
      <c r="Q814" s="31" t="n">
        <f aca="false">P814-Summary!$C$5</f>
        <v>10234.08</v>
      </c>
      <c r="R814" s="2" t="str">
        <f aca="false">TEXT(A814,"ddd")</f>
        <v>Wed</v>
      </c>
    </row>
    <row r="815" customFormat="false" ht="15" hidden="false" customHeight="false" outlineLevel="0" collapsed="false">
      <c r="A815" s="43" t="n">
        <v>45981</v>
      </c>
      <c r="B815" s="29" t="n">
        <f aca="false">COUNTIFS(Trades!$D$2:$D$1146,$A815)</f>
        <v>2</v>
      </c>
      <c r="C815" s="29" t="n">
        <f aca="false">COUNTIFS(Trades!$D$2:$D$1146,$A815,Trades!$Z$2:$Z$1146,"Win")</f>
        <v>1</v>
      </c>
      <c r="D815" s="29" t="n">
        <f aca="false">COUNTIFS(Trades!$D$2:$D$1146,$A815,Trades!$Z$2:$Z$1146,"Loss")</f>
        <v>1</v>
      </c>
      <c r="E815" s="30" t="n">
        <f aca="false">IFERROR(C815/B815,0)</f>
        <v>0.5</v>
      </c>
      <c r="F815" s="31" t="n">
        <f aca="false">SUMIFS(Trades!$X$2:$X$1146,Trades!$D$2:$D$1146,$A815)</f>
        <v>484.88</v>
      </c>
      <c r="G815" s="31" t="n">
        <f aca="false">SUMIFS(Trades!$X$2:$X$1146,Trades!$D$2:$D$1146,$A815,Trades!$X$2:$X$1146,"&gt;0")</f>
        <v>680.84</v>
      </c>
      <c r="H815" s="31" t="n">
        <f aca="false">SUMIFS(Trades!$X$2:$X$1146,Trades!$D$2:$D$1146,$A815,Trades!$X$2:$X$1146,"&lt;0")</f>
        <v>-195.96</v>
      </c>
      <c r="I815" s="32" t="n">
        <f aca="false">IFERROR(G815/-H815,"no loss")</f>
        <v>3.47438252704634</v>
      </c>
      <c r="J815" s="31" t="n">
        <f aca="false">_xlfn.MAXIFS(Trades!$X$2:$X$1146,Trades!$D$2:$D$1146,$A815)</f>
        <v>680.84</v>
      </c>
      <c r="K815" s="31" t="n">
        <f aca="false">_xlfn.MINIFS(Trades!$X$2:$X$1146,Trades!$D$2:$D$1146,$A815)</f>
        <v>-195.96</v>
      </c>
      <c r="L815" s="33" t="n">
        <f aca="false">SUMIFS(Trades!$Y$2:$Y$1146,Trades!$D$2:$D$1146,$A815)</f>
        <v>1.44822468441379</v>
      </c>
      <c r="M815" s="31" t="n">
        <f aca="false">P814</f>
        <v>20234.08</v>
      </c>
      <c r="N815" s="30" t="n">
        <f aca="false">IFERROR(F815/M815,0)</f>
        <v>0.0239635308351059</v>
      </c>
      <c r="O815" s="29" t="str">
        <f aca="false">IF(-N815&gt;=Summary!$C$7,"BREACH","")</f>
        <v/>
      </c>
      <c r="P815" s="31" t="n">
        <f aca="false">M815+F815</f>
        <v>20718.96</v>
      </c>
      <c r="Q815" s="31" t="n">
        <f aca="false">P815-Summary!$C$5</f>
        <v>10718.96</v>
      </c>
      <c r="R815" s="2" t="str">
        <f aca="false">TEXT(A815,"ddd")</f>
        <v>Thu</v>
      </c>
    </row>
    <row r="816" customFormat="false" ht="15" hidden="false" customHeight="false" outlineLevel="0" collapsed="false">
      <c r="A816" s="43" t="n">
        <v>45982</v>
      </c>
      <c r="B816" s="29" t="n">
        <f aca="false">COUNTIFS(Trades!$D$2:$D$1146,$A816)</f>
        <v>1</v>
      </c>
      <c r="C816" s="29" t="n">
        <f aca="false">COUNTIFS(Trades!$D$2:$D$1146,$A816,Trades!$Z$2:$Z$1146,"Win")</f>
        <v>0</v>
      </c>
      <c r="D816" s="29" t="n">
        <f aca="false">COUNTIFS(Trades!$D$2:$D$1146,$A816,Trades!$Z$2:$Z$1146,"Loss")</f>
        <v>1</v>
      </c>
      <c r="E816" s="30" t="n">
        <f aca="false">IFERROR(C816/B816,0)</f>
        <v>0</v>
      </c>
      <c r="F816" s="31" t="n">
        <f aca="false">SUMIFS(Trades!$X$2:$X$1146,Trades!$D$2:$D$1146,$A816)</f>
        <v>-130.12</v>
      </c>
      <c r="G816" s="31" t="n">
        <f aca="false">SUMIFS(Trades!$X$2:$X$1146,Trades!$D$2:$D$1146,$A816,Trades!$X$2:$X$1146,"&gt;0")</f>
        <v>0</v>
      </c>
      <c r="H816" s="31" t="n">
        <f aca="false">SUMIFS(Trades!$X$2:$X$1146,Trades!$D$2:$D$1146,$A816,Trades!$X$2:$X$1146,"&lt;0")</f>
        <v>-130.12</v>
      </c>
      <c r="I816" s="32" t="n">
        <f aca="false">IFERROR(G816/-H816,"no loss")</f>
        <v>0</v>
      </c>
      <c r="J816" s="31" t="n">
        <f aca="false">_xlfn.MAXIFS(Trades!$X$2:$X$1146,Trades!$D$2:$D$1146,$A816)</f>
        <v>-130.12</v>
      </c>
      <c r="K816" s="31" t="n">
        <f aca="false">_xlfn.MINIFS(Trades!$X$2:$X$1146,Trades!$D$2:$D$1146,$A816)</f>
        <v>-130.12</v>
      </c>
      <c r="L816" s="33" t="n">
        <f aca="false">SUMIFS(Trades!$Y$2:$Y$1146,Trades!$D$2:$D$1146,$A816)</f>
        <v>-1.01339563862933</v>
      </c>
      <c r="M816" s="31" t="n">
        <f aca="false">P815</f>
        <v>20718.96</v>
      </c>
      <c r="N816" s="30" t="n">
        <f aca="false">IFERROR(F816/M816,0)</f>
        <v>-0.00628023800422415</v>
      </c>
      <c r="O816" s="29" t="str">
        <f aca="false">IF(-N816&gt;=Summary!$C$7,"BREACH","")</f>
        <v/>
      </c>
      <c r="P816" s="31" t="n">
        <f aca="false">M816+F816</f>
        <v>20588.84</v>
      </c>
      <c r="Q816" s="31" t="n">
        <f aca="false">P816-Summary!$C$5</f>
        <v>10588.84</v>
      </c>
      <c r="R816" s="2" t="str">
        <f aca="false">TEXT(A816,"ddd")</f>
        <v>Fri</v>
      </c>
    </row>
    <row r="817" customFormat="false" ht="15" hidden="false" customHeight="false" outlineLevel="0" collapsed="false">
      <c r="A817" s="43" t="n">
        <v>45985</v>
      </c>
      <c r="B817" s="29" t="n">
        <f aca="false">COUNTIFS(Trades!$D$2:$D$1146,$A817)</f>
        <v>1</v>
      </c>
      <c r="C817" s="29" t="n">
        <f aca="false">COUNTIFS(Trades!$D$2:$D$1146,$A817,Trades!$Z$2:$Z$1146,"Win")</f>
        <v>1</v>
      </c>
      <c r="D817" s="29" t="n">
        <f aca="false">COUNTIFS(Trades!$D$2:$D$1146,$A817,Trades!$Z$2:$Z$1146,"Loss")</f>
        <v>0</v>
      </c>
      <c r="E817" s="30" t="n">
        <f aca="false">IFERROR(C817/B817,0)</f>
        <v>1</v>
      </c>
      <c r="F817" s="31" t="n">
        <f aca="false">SUMIFS(Trades!$X$2:$X$1146,Trades!$D$2:$D$1146,$A817)</f>
        <v>290.52</v>
      </c>
      <c r="G817" s="31" t="n">
        <f aca="false">SUMIFS(Trades!$X$2:$X$1146,Trades!$D$2:$D$1146,$A817,Trades!$X$2:$X$1146,"&gt;0")</f>
        <v>290.52</v>
      </c>
      <c r="H817" s="31" t="n">
        <f aca="false">SUMIFS(Trades!$X$2:$X$1146,Trades!$D$2:$D$1146,$A817,Trades!$X$2:$X$1146,"&lt;0")</f>
        <v>0</v>
      </c>
      <c r="I817" s="32" t="str">
        <f aca="false">IFERROR(G817/-H817,"no loss")</f>
        <v>no loss</v>
      </c>
      <c r="J817" s="31" t="n">
        <f aca="false">_xlfn.MAXIFS(Trades!$X$2:$X$1146,Trades!$D$2:$D$1146,$A817)</f>
        <v>290.52</v>
      </c>
      <c r="K817" s="31" t="n">
        <f aca="false">_xlfn.MINIFS(Trades!$X$2:$X$1146,Trades!$D$2:$D$1146,$A817)</f>
        <v>290.52</v>
      </c>
      <c r="L817" s="33" t="n">
        <f aca="false">SUMIFS(Trades!$Y$2:$Y$1146,Trades!$D$2:$D$1146,$A817)</f>
        <v>2.48732876712323</v>
      </c>
      <c r="M817" s="31" t="n">
        <f aca="false">P816</f>
        <v>20588.84</v>
      </c>
      <c r="N817" s="30" t="n">
        <f aca="false">IFERROR(F817/M817,0)</f>
        <v>0.0141105569813549</v>
      </c>
      <c r="O817" s="29" t="str">
        <f aca="false">IF(-N817&gt;=Summary!$C$7,"BREACH","")</f>
        <v/>
      </c>
      <c r="P817" s="31" t="n">
        <f aca="false">M817+F817</f>
        <v>20879.36</v>
      </c>
      <c r="Q817" s="31" t="n">
        <f aca="false">P817-Summary!$C$5</f>
        <v>10879.36</v>
      </c>
      <c r="R817" s="2" t="str">
        <f aca="false">TEXT(A817,"ddd")</f>
        <v>Mon</v>
      </c>
    </row>
    <row r="818" customFormat="false" ht="15" hidden="false" customHeight="false" outlineLevel="0" collapsed="false">
      <c r="A818" s="43" t="n">
        <v>45986</v>
      </c>
      <c r="B818" s="29" t="n">
        <f aca="false">COUNTIFS(Trades!$D$2:$D$1146,$A818)</f>
        <v>1</v>
      </c>
      <c r="C818" s="29" t="n">
        <f aca="false">COUNTIFS(Trades!$D$2:$D$1146,$A818,Trades!$Z$2:$Z$1146,"Win")</f>
        <v>0</v>
      </c>
      <c r="D818" s="29" t="n">
        <f aca="false">COUNTIFS(Trades!$D$2:$D$1146,$A818,Trades!$Z$2:$Z$1146,"Loss")</f>
        <v>1</v>
      </c>
      <c r="E818" s="30" t="n">
        <f aca="false">IFERROR(C818/B818,0)</f>
        <v>0</v>
      </c>
      <c r="F818" s="31" t="n">
        <f aca="false">SUMIFS(Trades!$X$2:$X$1146,Trades!$D$2:$D$1146,$A818)</f>
        <v>-12.36</v>
      </c>
      <c r="G818" s="31" t="n">
        <f aca="false">SUMIFS(Trades!$X$2:$X$1146,Trades!$D$2:$D$1146,$A818,Trades!$X$2:$X$1146,"&gt;0")</f>
        <v>0</v>
      </c>
      <c r="H818" s="31" t="n">
        <f aca="false">SUMIFS(Trades!$X$2:$X$1146,Trades!$D$2:$D$1146,$A818,Trades!$X$2:$X$1146,"&lt;0")</f>
        <v>-12.36</v>
      </c>
      <c r="I818" s="32" t="n">
        <f aca="false">IFERROR(G818/-H818,"no loss")</f>
        <v>0</v>
      </c>
      <c r="J818" s="31" t="n">
        <f aca="false">_xlfn.MAXIFS(Trades!$X$2:$X$1146,Trades!$D$2:$D$1146,$A818)</f>
        <v>-12.36</v>
      </c>
      <c r="K818" s="31" t="n">
        <f aca="false">_xlfn.MINIFS(Trades!$X$2:$X$1146,Trades!$D$2:$D$1146,$A818)</f>
        <v>-12.36</v>
      </c>
      <c r="L818" s="33" t="n">
        <f aca="false">SUMIFS(Trades!$Y$2:$Y$1146,Trades!$D$2:$D$1146,$A818)</f>
        <v>-0.228888888888889</v>
      </c>
      <c r="M818" s="31" t="n">
        <f aca="false">P817</f>
        <v>20879.36</v>
      </c>
      <c r="N818" s="30" t="n">
        <f aca="false">IFERROR(F818/M818,0)</f>
        <v>-0.000591972167729279</v>
      </c>
      <c r="O818" s="29" t="str">
        <f aca="false">IF(-N818&gt;=Summary!$C$7,"BREACH","")</f>
        <v/>
      </c>
      <c r="P818" s="31" t="n">
        <f aca="false">M818+F818</f>
        <v>20867</v>
      </c>
      <c r="Q818" s="31" t="n">
        <f aca="false">P818-Summary!$C$5</f>
        <v>10867</v>
      </c>
      <c r="R818" s="2" t="str">
        <f aca="false">TEXT(A818,"ddd")</f>
        <v>Tue</v>
      </c>
    </row>
    <row r="819" customFormat="false" ht="15" hidden="false" customHeight="false" outlineLevel="0" collapsed="false">
      <c r="A819" s="43" t="n">
        <v>45987</v>
      </c>
      <c r="B819" s="29" t="n">
        <f aca="false">COUNTIFS(Trades!$D$2:$D$1146,$A819)</f>
        <v>1</v>
      </c>
      <c r="C819" s="29" t="n">
        <f aca="false">COUNTIFS(Trades!$D$2:$D$1146,$A819,Trades!$Z$2:$Z$1146,"Win")</f>
        <v>1</v>
      </c>
      <c r="D819" s="29" t="n">
        <f aca="false">COUNTIFS(Trades!$D$2:$D$1146,$A819,Trades!$Z$2:$Z$1146,"Loss")</f>
        <v>0</v>
      </c>
      <c r="E819" s="30" t="n">
        <f aca="false">IFERROR(C819/B819,0)</f>
        <v>1</v>
      </c>
      <c r="F819" s="31" t="n">
        <f aca="false">SUMIFS(Trades!$X$2:$X$1146,Trades!$D$2:$D$1146,$A819)</f>
        <v>50.28</v>
      </c>
      <c r="G819" s="31" t="n">
        <f aca="false">SUMIFS(Trades!$X$2:$X$1146,Trades!$D$2:$D$1146,$A819,Trades!$X$2:$X$1146,"&gt;0")</f>
        <v>50.28</v>
      </c>
      <c r="H819" s="31" t="n">
        <f aca="false">SUMIFS(Trades!$X$2:$X$1146,Trades!$D$2:$D$1146,$A819,Trades!$X$2:$X$1146,"&lt;0")</f>
        <v>0</v>
      </c>
      <c r="I819" s="32" t="str">
        <f aca="false">IFERROR(G819/-H819,"no loss")</f>
        <v>no loss</v>
      </c>
      <c r="J819" s="31" t="n">
        <f aca="false">_xlfn.MAXIFS(Trades!$X$2:$X$1146,Trades!$D$2:$D$1146,$A819)</f>
        <v>50.28</v>
      </c>
      <c r="K819" s="31" t="n">
        <f aca="false">_xlfn.MINIFS(Trades!$X$2:$X$1146,Trades!$D$2:$D$1146,$A819)</f>
        <v>50.28</v>
      </c>
      <c r="L819" s="33" t="n">
        <f aca="false">SUMIFS(Trades!$Y$2:$Y$1146,Trades!$D$2:$D$1146,$A819)</f>
        <v>2.49900596421348</v>
      </c>
      <c r="M819" s="31" t="n">
        <f aca="false">P818</f>
        <v>20867</v>
      </c>
      <c r="N819" s="30" t="n">
        <f aca="false">IFERROR(F819/M819,0)</f>
        <v>0.00240954617338381</v>
      </c>
      <c r="O819" s="29" t="str">
        <f aca="false">IF(-N819&gt;=Summary!$C$7,"BREACH","")</f>
        <v/>
      </c>
      <c r="P819" s="31" t="n">
        <f aca="false">M819+F819</f>
        <v>20917.28</v>
      </c>
      <c r="Q819" s="31" t="n">
        <f aca="false">P819-Summary!$C$5</f>
        <v>10917.28</v>
      </c>
      <c r="R819" s="2" t="str">
        <f aca="false">TEXT(A819,"ddd")</f>
        <v>Wed</v>
      </c>
    </row>
    <row r="820" customFormat="false" ht="15" hidden="false" customHeight="false" outlineLevel="0" collapsed="false">
      <c r="A820" s="43" t="n">
        <v>45989</v>
      </c>
      <c r="B820" s="29" t="n">
        <f aca="false">COUNTIFS(Trades!$D$2:$D$1146,$A820)</f>
        <v>1</v>
      </c>
      <c r="C820" s="29" t="n">
        <f aca="false">COUNTIFS(Trades!$D$2:$D$1146,$A820,Trades!$Z$2:$Z$1146,"Win")</f>
        <v>1</v>
      </c>
      <c r="D820" s="29" t="n">
        <f aca="false">COUNTIFS(Trades!$D$2:$D$1146,$A820,Trades!$Z$2:$Z$1146,"Loss")</f>
        <v>0</v>
      </c>
      <c r="E820" s="30" t="n">
        <f aca="false">IFERROR(C820/B820,0)</f>
        <v>1</v>
      </c>
      <c r="F820" s="31" t="n">
        <f aca="false">SUMIFS(Trades!$X$2:$X$1146,Trades!$D$2:$D$1146,$A820)</f>
        <v>40.64</v>
      </c>
      <c r="G820" s="31" t="n">
        <f aca="false">SUMIFS(Trades!$X$2:$X$1146,Trades!$D$2:$D$1146,$A820,Trades!$X$2:$X$1146,"&gt;0")</f>
        <v>40.64</v>
      </c>
      <c r="H820" s="31" t="n">
        <f aca="false">SUMIFS(Trades!$X$2:$X$1146,Trades!$D$2:$D$1146,$A820,Trades!$X$2:$X$1146,"&lt;0")</f>
        <v>0</v>
      </c>
      <c r="I820" s="32" t="str">
        <f aca="false">IFERROR(G820/-H820,"no loss")</f>
        <v>no loss</v>
      </c>
      <c r="J820" s="31" t="n">
        <f aca="false">_xlfn.MAXIFS(Trades!$X$2:$X$1146,Trades!$D$2:$D$1146,$A820)</f>
        <v>40.64</v>
      </c>
      <c r="K820" s="31" t="n">
        <f aca="false">_xlfn.MINIFS(Trades!$X$2:$X$1146,Trades!$D$2:$D$1146,$A820)</f>
        <v>40.64</v>
      </c>
      <c r="L820" s="33" t="n">
        <f aca="false">SUMIFS(Trades!$Y$2:$Y$1146,Trades!$D$2:$D$1146,$A820)</f>
        <v>2.49019607843031</v>
      </c>
      <c r="M820" s="31" t="n">
        <f aca="false">P819</f>
        <v>20917.28</v>
      </c>
      <c r="N820" s="30" t="n">
        <f aca="false">IFERROR(F820/M820,0)</f>
        <v>0.00194289123633666</v>
      </c>
      <c r="O820" s="29" t="str">
        <f aca="false">IF(-N820&gt;=Summary!$C$7,"BREACH","")</f>
        <v/>
      </c>
      <c r="P820" s="31" t="n">
        <f aca="false">M820+F820</f>
        <v>20957.92</v>
      </c>
      <c r="Q820" s="31" t="n">
        <f aca="false">P820-Summary!$C$5</f>
        <v>10957.92</v>
      </c>
      <c r="R820" s="2" t="str">
        <f aca="false">TEXT(A820,"ddd")</f>
        <v>Fri</v>
      </c>
    </row>
    <row r="821" customFormat="false" ht="15" hidden="false" customHeight="false" outlineLevel="0" collapsed="false">
      <c r="A821" s="43" t="n">
        <v>45992</v>
      </c>
      <c r="B821" s="29" t="n">
        <f aca="false">COUNTIFS(Trades!$D$2:$D$1146,$A821)</f>
        <v>2</v>
      </c>
      <c r="C821" s="29" t="n">
        <f aca="false">COUNTIFS(Trades!$D$2:$D$1146,$A821,Trades!$Z$2:$Z$1146,"Win")</f>
        <v>0</v>
      </c>
      <c r="D821" s="29" t="n">
        <f aca="false">COUNTIFS(Trades!$D$2:$D$1146,$A821,Trades!$Z$2:$Z$1146,"Loss")</f>
        <v>2</v>
      </c>
      <c r="E821" s="30" t="n">
        <f aca="false">IFERROR(C821/B821,0)</f>
        <v>0</v>
      </c>
      <c r="F821" s="31" t="n">
        <f aca="false">SUMIFS(Trades!$X$2:$X$1146,Trades!$D$2:$D$1146,$A821)</f>
        <v>-134.6</v>
      </c>
      <c r="G821" s="31" t="n">
        <f aca="false">SUMIFS(Trades!$X$2:$X$1146,Trades!$D$2:$D$1146,$A821,Trades!$X$2:$X$1146,"&gt;0")</f>
        <v>0</v>
      </c>
      <c r="H821" s="31" t="n">
        <f aca="false">SUMIFS(Trades!$X$2:$X$1146,Trades!$D$2:$D$1146,$A821,Trades!$X$2:$X$1146,"&lt;0")</f>
        <v>-134.6</v>
      </c>
      <c r="I821" s="32" t="n">
        <f aca="false">IFERROR(G821/-H821,"no loss")</f>
        <v>0</v>
      </c>
      <c r="J821" s="31" t="n">
        <f aca="false">_xlfn.MAXIFS(Trades!$X$2:$X$1146,Trades!$D$2:$D$1146,$A821)</f>
        <v>-62.4</v>
      </c>
      <c r="K821" s="31" t="n">
        <f aca="false">_xlfn.MINIFS(Trades!$X$2:$X$1146,Trades!$D$2:$D$1146,$A821)</f>
        <v>-72.2</v>
      </c>
      <c r="L821" s="33" t="n">
        <f aca="false">SUMIFS(Trades!$Y$2:$Y$1146,Trades!$D$2:$D$1146,$A821)</f>
        <v>-2.03906030855543</v>
      </c>
      <c r="M821" s="31" t="n">
        <f aca="false">P820</f>
        <v>20957.92</v>
      </c>
      <c r="N821" s="30" t="n">
        <f aca="false">IFERROR(F821/M821,0)</f>
        <v>-0.00642239306190691</v>
      </c>
      <c r="O821" s="29" t="str">
        <f aca="false">IF(-N821&gt;=Summary!$C$7,"BREACH","")</f>
        <v/>
      </c>
      <c r="P821" s="31" t="n">
        <f aca="false">M821+F821</f>
        <v>20823.32</v>
      </c>
      <c r="Q821" s="31" t="n">
        <f aca="false">P821-Summary!$C$5</f>
        <v>10823.32</v>
      </c>
      <c r="R821" s="2" t="str">
        <f aca="false">TEXT(A821,"ddd")</f>
        <v>Mon</v>
      </c>
    </row>
    <row r="822" customFormat="false" ht="15" hidden="false" customHeight="false" outlineLevel="0" collapsed="false">
      <c r="A822" s="43" t="n">
        <v>45993</v>
      </c>
      <c r="B822" s="29" t="n">
        <f aca="false">COUNTIFS(Trades!$D$2:$D$1146,$A822)</f>
        <v>1</v>
      </c>
      <c r="C822" s="29" t="n">
        <f aca="false">COUNTIFS(Trades!$D$2:$D$1146,$A822,Trades!$Z$2:$Z$1146,"Win")</f>
        <v>1</v>
      </c>
      <c r="D822" s="29" t="n">
        <f aca="false">COUNTIFS(Trades!$D$2:$D$1146,$A822,Trades!$Z$2:$Z$1146,"Loss")</f>
        <v>0</v>
      </c>
      <c r="E822" s="30" t="n">
        <f aca="false">IFERROR(C822/B822,0)</f>
        <v>1</v>
      </c>
      <c r="F822" s="31" t="n">
        <f aca="false">SUMIFS(Trades!$X$2:$X$1146,Trades!$D$2:$D$1146,$A822)</f>
        <v>238.28</v>
      </c>
      <c r="G822" s="31" t="n">
        <f aca="false">SUMIFS(Trades!$X$2:$X$1146,Trades!$D$2:$D$1146,$A822,Trades!$X$2:$X$1146,"&gt;0")</f>
        <v>238.28</v>
      </c>
      <c r="H822" s="31" t="n">
        <f aca="false">SUMIFS(Trades!$X$2:$X$1146,Trades!$D$2:$D$1146,$A822,Trades!$X$2:$X$1146,"&lt;0")</f>
        <v>0</v>
      </c>
      <c r="I822" s="32" t="str">
        <f aca="false">IFERROR(G822/-H822,"no loss")</f>
        <v>no loss</v>
      </c>
      <c r="J822" s="31" t="n">
        <f aca="false">_xlfn.MAXIFS(Trades!$X$2:$X$1146,Trades!$D$2:$D$1146,$A822)</f>
        <v>238.28</v>
      </c>
      <c r="K822" s="31" t="n">
        <f aca="false">_xlfn.MINIFS(Trades!$X$2:$X$1146,Trades!$D$2:$D$1146,$A822)</f>
        <v>238.28</v>
      </c>
      <c r="L822" s="33" t="n">
        <f aca="false">SUMIFS(Trades!$Y$2:$Y$1146,Trades!$D$2:$D$1146,$A822)</f>
        <v>2.40784155214212</v>
      </c>
      <c r="M822" s="31" t="n">
        <f aca="false">P821</f>
        <v>20823.32</v>
      </c>
      <c r="N822" s="30" t="n">
        <f aca="false">IFERROR(F822/M822,0)</f>
        <v>0.0114429399346502</v>
      </c>
      <c r="O822" s="29" t="str">
        <f aca="false">IF(-N822&gt;=Summary!$C$7,"BREACH","")</f>
        <v/>
      </c>
      <c r="P822" s="31" t="n">
        <f aca="false">M822+F822</f>
        <v>21061.6</v>
      </c>
      <c r="Q822" s="31" t="n">
        <f aca="false">P822-Summary!$C$5</f>
        <v>11061.6</v>
      </c>
      <c r="R822" s="2" t="str">
        <f aca="false">TEXT(A822,"ddd")</f>
        <v>Tue</v>
      </c>
    </row>
    <row r="823" customFormat="false" ht="15" hidden="false" customHeight="false" outlineLevel="0" collapsed="false">
      <c r="A823" s="43" t="n">
        <v>45994</v>
      </c>
      <c r="B823" s="29" t="n">
        <f aca="false">COUNTIFS(Trades!$D$2:$D$1146,$A823)</f>
        <v>1</v>
      </c>
      <c r="C823" s="29" t="n">
        <f aca="false">COUNTIFS(Trades!$D$2:$D$1146,$A823,Trades!$Z$2:$Z$1146,"Win")</f>
        <v>0</v>
      </c>
      <c r="D823" s="29" t="n">
        <f aca="false">COUNTIFS(Trades!$D$2:$D$1146,$A823,Trades!$Z$2:$Z$1146,"Loss")</f>
        <v>1</v>
      </c>
      <c r="E823" s="30" t="n">
        <f aca="false">IFERROR(C823/B823,0)</f>
        <v>0</v>
      </c>
      <c r="F823" s="31" t="n">
        <f aca="false">SUMIFS(Trades!$X$2:$X$1146,Trades!$D$2:$D$1146,$A823)</f>
        <v>-0.16</v>
      </c>
      <c r="G823" s="31" t="n">
        <f aca="false">SUMIFS(Trades!$X$2:$X$1146,Trades!$D$2:$D$1146,$A823,Trades!$X$2:$X$1146,"&gt;0")</f>
        <v>0</v>
      </c>
      <c r="H823" s="31" t="n">
        <f aca="false">SUMIFS(Trades!$X$2:$X$1146,Trades!$D$2:$D$1146,$A823,Trades!$X$2:$X$1146,"&lt;0")</f>
        <v>-0.16</v>
      </c>
      <c r="I823" s="32" t="n">
        <f aca="false">IFERROR(G823/-H823,"no loss")</f>
        <v>0</v>
      </c>
      <c r="J823" s="31" t="n">
        <f aca="false">_xlfn.MAXIFS(Trades!$X$2:$X$1146,Trades!$D$2:$D$1146,$A823)</f>
        <v>-0.16</v>
      </c>
      <c r="K823" s="31" t="n">
        <f aca="false">_xlfn.MINIFS(Trades!$X$2:$X$1146,Trades!$D$2:$D$1146,$A823)</f>
        <v>-0.16</v>
      </c>
      <c r="L823" s="33" t="n">
        <f aca="false">SUMIFS(Trades!$Y$2:$Y$1146,Trades!$D$2:$D$1146,$A823)</f>
        <v>-0.0107238605898136</v>
      </c>
      <c r="M823" s="31" t="n">
        <f aca="false">P822</f>
        <v>21061.6</v>
      </c>
      <c r="N823" s="30" t="n">
        <f aca="false">IFERROR(F823/M823,0)</f>
        <v>-7.5967637786303E-006</v>
      </c>
      <c r="O823" s="29" t="str">
        <f aca="false">IF(-N823&gt;=Summary!$C$7,"BREACH","")</f>
        <v/>
      </c>
      <c r="P823" s="31" t="n">
        <f aca="false">M823+F823</f>
        <v>21061.44</v>
      </c>
      <c r="Q823" s="31" t="n">
        <f aca="false">P823-Summary!$C$5</f>
        <v>11061.44</v>
      </c>
      <c r="R823" s="2" t="str">
        <f aca="false">TEXT(A823,"ddd")</f>
        <v>Wed</v>
      </c>
    </row>
    <row r="824" customFormat="false" ht="15" hidden="false" customHeight="false" outlineLevel="0" collapsed="false">
      <c r="A824" s="43" t="n">
        <v>45995</v>
      </c>
      <c r="B824" s="29" t="n">
        <f aca="false">COUNTIFS(Trades!$D$2:$D$1146,$A824)</f>
        <v>1</v>
      </c>
      <c r="C824" s="29" t="n">
        <f aca="false">COUNTIFS(Trades!$D$2:$D$1146,$A824,Trades!$Z$2:$Z$1146,"Win")</f>
        <v>0</v>
      </c>
      <c r="D824" s="29" t="n">
        <f aca="false">COUNTIFS(Trades!$D$2:$D$1146,$A824,Trades!$Z$2:$Z$1146,"Loss")</f>
        <v>1</v>
      </c>
      <c r="E824" s="30" t="n">
        <f aca="false">IFERROR(C824/B824,0)</f>
        <v>0</v>
      </c>
      <c r="F824" s="31" t="n">
        <f aca="false">SUMIFS(Trades!$X$2:$X$1146,Trades!$D$2:$D$1146,$A824)</f>
        <v>-29.48</v>
      </c>
      <c r="G824" s="31" t="n">
        <f aca="false">SUMIFS(Trades!$X$2:$X$1146,Trades!$D$2:$D$1146,$A824,Trades!$X$2:$X$1146,"&gt;0")</f>
        <v>0</v>
      </c>
      <c r="H824" s="31" t="n">
        <f aca="false">SUMIFS(Trades!$X$2:$X$1146,Trades!$D$2:$D$1146,$A824,Trades!$X$2:$X$1146,"&lt;0")</f>
        <v>-29.48</v>
      </c>
      <c r="I824" s="32" t="n">
        <f aca="false">IFERROR(G824/-H824,"no loss")</f>
        <v>0</v>
      </c>
      <c r="J824" s="31" t="n">
        <f aca="false">_xlfn.MAXIFS(Trades!$X$2:$X$1146,Trades!$D$2:$D$1146,$A824)</f>
        <v>-29.48</v>
      </c>
      <c r="K824" s="31" t="n">
        <f aca="false">_xlfn.MINIFS(Trades!$X$2:$X$1146,Trades!$D$2:$D$1146,$A824)</f>
        <v>-29.48</v>
      </c>
      <c r="L824" s="33" t="n">
        <f aca="false">SUMIFS(Trades!$Y$2:$Y$1146,Trades!$D$2:$D$1146,$A824)</f>
        <v>-1.00958904109549</v>
      </c>
      <c r="M824" s="31" t="n">
        <f aca="false">P823</f>
        <v>21061.44</v>
      </c>
      <c r="N824" s="30" t="n">
        <f aca="false">IFERROR(F824/M824,0)</f>
        <v>-0.00139971435951198</v>
      </c>
      <c r="O824" s="29" t="str">
        <f aca="false">IF(-N824&gt;=Summary!$C$7,"BREACH","")</f>
        <v/>
      </c>
      <c r="P824" s="31" t="n">
        <f aca="false">M824+F824</f>
        <v>21031.96</v>
      </c>
      <c r="Q824" s="31" t="n">
        <f aca="false">P824-Summary!$C$5</f>
        <v>11031.96</v>
      </c>
      <c r="R824" s="2" t="str">
        <f aca="false">TEXT(A824,"ddd")</f>
        <v>Thu</v>
      </c>
    </row>
    <row r="825" customFormat="false" ht="15" hidden="false" customHeight="false" outlineLevel="0" collapsed="false">
      <c r="A825" s="43" t="n">
        <v>45996</v>
      </c>
      <c r="B825" s="29" t="n">
        <f aca="false">COUNTIFS(Trades!$D$2:$D$1146,$A825)</f>
        <v>1</v>
      </c>
      <c r="C825" s="29" t="n">
        <f aca="false">COUNTIFS(Trades!$D$2:$D$1146,$A825,Trades!$Z$2:$Z$1146,"Win")</f>
        <v>0</v>
      </c>
      <c r="D825" s="29" t="n">
        <f aca="false">COUNTIFS(Trades!$D$2:$D$1146,$A825,Trades!$Z$2:$Z$1146,"Loss")</f>
        <v>1</v>
      </c>
      <c r="E825" s="30" t="n">
        <f aca="false">IFERROR(C825/B825,0)</f>
        <v>0</v>
      </c>
      <c r="F825" s="31" t="n">
        <f aca="false">SUMIFS(Trades!$X$2:$X$1146,Trades!$D$2:$D$1146,$A825)</f>
        <v>-15.44</v>
      </c>
      <c r="G825" s="31" t="n">
        <f aca="false">SUMIFS(Trades!$X$2:$X$1146,Trades!$D$2:$D$1146,$A825,Trades!$X$2:$X$1146,"&gt;0")</f>
        <v>0</v>
      </c>
      <c r="H825" s="31" t="n">
        <f aca="false">SUMIFS(Trades!$X$2:$X$1146,Trades!$D$2:$D$1146,$A825,Trades!$X$2:$X$1146,"&lt;0")</f>
        <v>-15.44</v>
      </c>
      <c r="I825" s="32" t="n">
        <f aca="false">IFERROR(G825/-H825,"no loss")</f>
        <v>0</v>
      </c>
      <c r="J825" s="31" t="n">
        <f aca="false">_xlfn.MAXIFS(Trades!$X$2:$X$1146,Trades!$D$2:$D$1146,$A825)</f>
        <v>-15.44</v>
      </c>
      <c r="K825" s="31" t="n">
        <f aca="false">_xlfn.MINIFS(Trades!$X$2:$X$1146,Trades!$D$2:$D$1146,$A825)</f>
        <v>-15.44</v>
      </c>
      <c r="L825" s="33" t="n">
        <f aca="false">SUMIFS(Trades!$Y$2:$Y$1146,Trades!$D$2:$D$1146,$A825)</f>
        <v>-1.0052083333333</v>
      </c>
      <c r="M825" s="31" t="n">
        <f aca="false">P824</f>
        <v>21031.96</v>
      </c>
      <c r="N825" s="30" t="n">
        <f aca="false">IFERROR(F825/M825,0)</f>
        <v>-0.000734120833246164</v>
      </c>
      <c r="O825" s="29" t="str">
        <f aca="false">IF(-N825&gt;=Summary!$C$7,"BREACH","")</f>
        <v/>
      </c>
      <c r="P825" s="31" t="n">
        <f aca="false">M825+F825</f>
        <v>21016.52</v>
      </c>
      <c r="Q825" s="31" t="n">
        <f aca="false">P825-Summary!$C$5</f>
        <v>11016.52</v>
      </c>
      <c r="R825" s="2" t="str">
        <f aca="false">TEXT(A825,"ddd")</f>
        <v>Fri</v>
      </c>
    </row>
    <row r="826" customFormat="false" ht="15" hidden="false" customHeight="false" outlineLevel="0" collapsed="false">
      <c r="A826" s="43" t="n">
        <v>45999</v>
      </c>
      <c r="B826" s="29" t="n">
        <f aca="false">COUNTIFS(Trades!$D$2:$D$1146,$A826)</f>
        <v>1</v>
      </c>
      <c r="C826" s="29" t="n">
        <f aca="false">COUNTIFS(Trades!$D$2:$D$1146,$A826,Trades!$Z$2:$Z$1146,"Win")</f>
        <v>0</v>
      </c>
      <c r="D826" s="29" t="n">
        <f aca="false">COUNTIFS(Trades!$D$2:$D$1146,$A826,Trades!$Z$2:$Z$1146,"Loss")</f>
        <v>1</v>
      </c>
      <c r="E826" s="30" t="n">
        <f aca="false">IFERROR(C826/B826,0)</f>
        <v>0</v>
      </c>
      <c r="F826" s="31" t="n">
        <f aca="false">SUMIFS(Trades!$X$2:$X$1146,Trades!$D$2:$D$1146,$A826)</f>
        <v>-67.64</v>
      </c>
      <c r="G826" s="31" t="n">
        <f aca="false">SUMIFS(Trades!$X$2:$X$1146,Trades!$D$2:$D$1146,$A826,Trades!$X$2:$X$1146,"&gt;0")</f>
        <v>0</v>
      </c>
      <c r="H826" s="31" t="n">
        <f aca="false">SUMIFS(Trades!$X$2:$X$1146,Trades!$D$2:$D$1146,$A826,Trades!$X$2:$X$1146,"&lt;0")</f>
        <v>-67.64</v>
      </c>
      <c r="I826" s="32" t="n">
        <f aca="false">IFERROR(G826/-H826,"no loss")</f>
        <v>0</v>
      </c>
      <c r="J826" s="31" t="n">
        <f aca="false">_xlfn.MAXIFS(Trades!$X$2:$X$1146,Trades!$D$2:$D$1146,$A826)</f>
        <v>-67.64</v>
      </c>
      <c r="K826" s="31" t="n">
        <f aca="false">_xlfn.MINIFS(Trades!$X$2:$X$1146,Trades!$D$2:$D$1146,$A826)</f>
        <v>-67.64</v>
      </c>
      <c r="L826" s="33" t="n">
        <f aca="false">SUMIFS(Trades!$Y$2:$Y$1146,Trades!$D$2:$D$1146,$A826)</f>
        <v>-1.02546998180706</v>
      </c>
      <c r="M826" s="31" t="n">
        <f aca="false">P825</f>
        <v>21016.52</v>
      </c>
      <c r="N826" s="30" t="n">
        <f aca="false">IFERROR(F826/M826,0)</f>
        <v>-0.00321842055678105</v>
      </c>
      <c r="O826" s="29" t="str">
        <f aca="false">IF(-N826&gt;=Summary!$C$7,"BREACH","")</f>
        <v/>
      </c>
      <c r="P826" s="31" t="n">
        <f aca="false">M826+F826</f>
        <v>20948.88</v>
      </c>
      <c r="Q826" s="31" t="n">
        <f aca="false">P826-Summary!$C$5</f>
        <v>10948.88</v>
      </c>
      <c r="R826" s="2" t="str">
        <f aca="false">TEXT(A826,"ddd")</f>
        <v>Mon</v>
      </c>
    </row>
    <row r="827" customFormat="false" ht="15" hidden="false" customHeight="false" outlineLevel="0" collapsed="false">
      <c r="A827" s="43" t="n">
        <v>46001</v>
      </c>
      <c r="B827" s="29" t="n">
        <f aca="false">COUNTIFS(Trades!$D$2:$D$1146,$A827)</f>
        <v>2</v>
      </c>
      <c r="C827" s="29" t="n">
        <f aca="false">COUNTIFS(Trades!$D$2:$D$1146,$A827,Trades!$Z$2:$Z$1146,"Win")</f>
        <v>0</v>
      </c>
      <c r="D827" s="29" t="n">
        <f aca="false">COUNTIFS(Trades!$D$2:$D$1146,$A827,Trades!$Z$2:$Z$1146,"Loss")</f>
        <v>2</v>
      </c>
      <c r="E827" s="30" t="n">
        <f aca="false">IFERROR(C827/B827,0)</f>
        <v>0</v>
      </c>
      <c r="F827" s="31" t="n">
        <f aca="false">SUMIFS(Trades!$X$2:$X$1146,Trades!$D$2:$D$1146,$A827)</f>
        <v>-69.96</v>
      </c>
      <c r="G827" s="31" t="n">
        <f aca="false">SUMIFS(Trades!$X$2:$X$1146,Trades!$D$2:$D$1146,$A827,Trades!$X$2:$X$1146,"&gt;0")</f>
        <v>0</v>
      </c>
      <c r="H827" s="31" t="n">
        <f aca="false">SUMIFS(Trades!$X$2:$X$1146,Trades!$D$2:$D$1146,$A827,Trades!$X$2:$X$1146,"&lt;0")</f>
        <v>-69.96</v>
      </c>
      <c r="I827" s="32" t="n">
        <f aca="false">IFERROR(G827/-H827,"no loss")</f>
        <v>0</v>
      </c>
      <c r="J827" s="31" t="n">
        <f aca="false">_xlfn.MAXIFS(Trades!$X$2:$X$1146,Trades!$D$2:$D$1146,$A827)</f>
        <v>-0.24</v>
      </c>
      <c r="K827" s="31" t="n">
        <f aca="false">_xlfn.MINIFS(Trades!$X$2:$X$1146,Trades!$D$2:$D$1146,$A827)</f>
        <v>-69.72</v>
      </c>
      <c r="L827" s="33" t="n">
        <f aca="false">SUMIFS(Trades!$Y$2:$Y$1146,Trades!$D$2:$D$1146,$A827)</f>
        <v>-1.01722072212937</v>
      </c>
      <c r="M827" s="31" t="n">
        <f aca="false">P826</f>
        <v>20948.88</v>
      </c>
      <c r="N827" s="30" t="n">
        <f aca="false">IFERROR(F827/M827,0)</f>
        <v>-0.00333955800978382</v>
      </c>
      <c r="O827" s="29" t="str">
        <f aca="false">IF(-N827&gt;=Summary!$C$7,"BREACH","")</f>
        <v/>
      </c>
      <c r="P827" s="31" t="n">
        <f aca="false">M827+F827</f>
        <v>20878.92</v>
      </c>
      <c r="Q827" s="31" t="n">
        <f aca="false">P827-Summary!$C$5</f>
        <v>10878.92</v>
      </c>
      <c r="R827" s="2" t="str">
        <f aca="false">TEXT(A827,"ddd")</f>
        <v>Wed</v>
      </c>
    </row>
    <row r="828" customFormat="false" ht="15" hidden="false" customHeight="false" outlineLevel="0" collapsed="false">
      <c r="A828" s="43" t="n">
        <v>46002</v>
      </c>
      <c r="B828" s="29" t="n">
        <f aca="false">COUNTIFS(Trades!$D$2:$D$1146,$A828)</f>
        <v>1</v>
      </c>
      <c r="C828" s="29" t="n">
        <f aca="false">COUNTIFS(Trades!$D$2:$D$1146,$A828,Trades!$Z$2:$Z$1146,"Win")</f>
        <v>1</v>
      </c>
      <c r="D828" s="29" t="n">
        <f aca="false">COUNTIFS(Trades!$D$2:$D$1146,$A828,Trades!$Z$2:$Z$1146,"Loss")</f>
        <v>0</v>
      </c>
      <c r="E828" s="30" t="n">
        <f aca="false">IFERROR(C828/B828,0)</f>
        <v>1</v>
      </c>
      <c r="F828" s="31" t="n">
        <f aca="false">SUMIFS(Trades!$X$2:$X$1146,Trades!$D$2:$D$1146,$A828)</f>
        <v>183.44</v>
      </c>
      <c r="G828" s="31" t="n">
        <f aca="false">SUMIFS(Trades!$X$2:$X$1146,Trades!$D$2:$D$1146,$A828,Trades!$X$2:$X$1146,"&gt;0")</f>
        <v>183.44</v>
      </c>
      <c r="H828" s="31" t="n">
        <f aca="false">SUMIFS(Trades!$X$2:$X$1146,Trades!$D$2:$D$1146,$A828,Trades!$X$2:$X$1146,"&lt;0")</f>
        <v>0</v>
      </c>
      <c r="I828" s="32" t="str">
        <f aca="false">IFERROR(G828/-H828,"no loss")</f>
        <v>no loss</v>
      </c>
      <c r="J828" s="31" t="n">
        <f aca="false">_xlfn.MAXIFS(Trades!$X$2:$X$1146,Trades!$D$2:$D$1146,$A828)</f>
        <v>183.44</v>
      </c>
      <c r="K828" s="31" t="n">
        <f aca="false">_xlfn.MINIFS(Trades!$X$2:$X$1146,Trades!$D$2:$D$1146,$A828)</f>
        <v>183.44</v>
      </c>
      <c r="L828" s="33" t="n">
        <f aca="false">SUMIFS(Trades!$Y$2:$Y$1146,Trades!$D$2:$D$1146,$A828)</f>
        <v>3.8344481605354</v>
      </c>
      <c r="M828" s="31" t="n">
        <f aca="false">P827</f>
        <v>20878.92</v>
      </c>
      <c r="N828" s="30" t="n">
        <f aca="false">IFERROR(F828/M828,0)</f>
        <v>0.00878589505587454</v>
      </c>
      <c r="O828" s="29" t="str">
        <f aca="false">IF(-N828&gt;=Summary!$C$7,"BREACH","")</f>
        <v/>
      </c>
      <c r="P828" s="31" t="n">
        <f aca="false">M828+F828</f>
        <v>21062.36</v>
      </c>
      <c r="Q828" s="31" t="n">
        <f aca="false">P828-Summary!$C$5</f>
        <v>11062.36</v>
      </c>
      <c r="R828" s="2" t="str">
        <f aca="false">TEXT(A828,"ddd")</f>
        <v>Thu</v>
      </c>
    </row>
    <row r="829" customFormat="false" ht="15" hidden="false" customHeight="false" outlineLevel="0" collapsed="false">
      <c r="A829" s="43" t="n">
        <v>46003</v>
      </c>
      <c r="B829" s="29" t="n">
        <f aca="false">COUNTIFS(Trades!$D$2:$D$1146,$A829)</f>
        <v>1</v>
      </c>
      <c r="C829" s="29" t="n">
        <f aca="false">COUNTIFS(Trades!$D$2:$D$1146,$A829,Trades!$Z$2:$Z$1146,"Win")</f>
        <v>1</v>
      </c>
      <c r="D829" s="29" t="n">
        <f aca="false">COUNTIFS(Trades!$D$2:$D$1146,$A829,Trades!$Z$2:$Z$1146,"Loss")</f>
        <v>0</v>
      </c>
      <c r="E829" s="30" t="n">
        <f aca="false">IFERROR(C829/B829,0)</f>
        <v>1</v>
      </c>
      <c r="F829" s="31" t="n">
        <f aca="false">SUMIFS(Trades!$X$2:$X$1146,Trades!$D$2:$D$1146,$A829)</f>
        <v>274.48</v>
      </c>
      <c r="G829" s="31" t="n">
        <f aca="false">SUMIFS(Trades!$X$2:$X$1146,Trades!$D$2:$D$1146,$A829,Trades!$X$2:$X$1146,"&gt;0")</f>
        <v>274.48</v>
      </c>
      <c r="H829" s="31" t="n">
        <f aca="false">SUMIFS(Trades!$X$2:$X$1146,Trades!$D$2:$D$1146,$A829,Trades!$X$2:$X$1146,"&lt;0")</f>
        <v>0</v>
      </c>
      <c r="I829" s="32" t="str">
        <f aca="false">IFERROR(G829/-H829,"no loss")</f>
        <v>no loss</v>
      </c>
      <c r="J829" s="31" t="n">
        <f aca="false">_xlfn.MAXIFS(Trades!$X$2:$X$1146,Trades!$D$2:$D$1146,$A829)</f>
        <v>274.48</v>
      </c>
      <c r="K829" s="31" t="n">
        <f aca="false">_xlfn.MINIFS(Trades!$X$2:$X$1146,Trades!$D$2:$D$1146,$A829)</f>
        <v>274.48</v>
      </c>
      <c r="L829" s="33" t="n">
        <f aca="false">SUMIFS(Trades!$Y$2:$Y$1146,Trades!$D$2:$D$1146,$A829)</f>
        <v>2.49527272727273</v>
      </c>
      <c r="M829" s="31" t="n">
        <f aca="false">P828</f>
        <v>21062.36</v>
      </c>
      <c r="N829" s="30" t="n">
        <f aca="false">IFERROR(F829/M829,0)</f>
        <v>0.0130317780153791</v>
      </c>
      <c r="O829" s="29" t="str">
        <f aca="false">IF(-N829&gt;=Summary!$C$7,"BREACH","")</f>
        <v/>
      </c>
      <c r="P829" s="31" t="n">
        <f aca="false">M829+F829</f>
        <v>21336.84</v>
      </c>
      <c r="Q829" s="31" t="n">
        <f aca="false">P829-Summary!$C$5</f>
        <v>11336.84</v>
      </c>
      <c r="R829" s="2" t="str">
        <f aca="false">TEXT(A829,"ddd")</f>
        <v>Fri</v>
      </c>
    </row>
    <row r="830" customFormat="false" ht="15" hidden="false" customHeight="false" outlineLevel="0" collapsed="false">
      <c r="A830" s="43" t="n">
        <v>46006</v>
      </c>
      <c r="B830" s="29" t="n">
        <f aca="false">COUNTIFS(Trades!$D$2:$D$1146,$A830)</f>
        <v>1</v>
      </c>
      <c r="C830" s="29" t="n">
        <f aca="false">COUNTIFS(Trades!$D$2:$D$1146,$A830,Trades!$Z$2:$Z$1146,"Win")</f>
        <v>0</v>
      </c>
      <c r="D830" s="29" t="n">
        <f aca="false">COUNTIFS(Trades!$D$2:$D$1146,$A830,Trades!$Z$2:$Z$1146,"Loss")</f>
        <v>1</v>
      </c>
      <c r="E830" s="30" t="n">
        <f aca="false">IFERROR(C830/B830,0)</f>
        <v>0</v>
      </c>
      <c r="F830" s="31" t="n">
        <f aca="false">SUMIFS(Trades!$X$2:$X$1146,Trades!$D$2:$D$1146,$A830)</f>
        <v>-4.96</v>
      </c>
      <c r="G830" s="31" t="n">
        <f aca="false">SUMIFS(Trades!$X$2:$X$1146,Trades!$D$2:$D$1146,$A830,Trades!$X$2:$X$1146,"&gt;0")</f>
        <v>0</v>
      </c>
      <c r="H830" s="31" t="n">
        <f aca="false">SUMIFS(Trades!$X$2:$X$1146,Trades!$D$2:$D$1146,$A830,Trades!$X$2:$X$1146,"&lt;0")</f>
        <v>-4.96</v>
      </c>
      <c r="I830" s="32" t="n">
        <f aca="false">IFERROR(G830/-H830,"no loss")</f>
        <v>0</v>
      </c>
      <c r="J830" s="31" t="n">
        <f aca="false">_xlfn.MAXIFS(Trades!$X$2:$X$1146,Trades!$D$2:$D$1146,$A830)</f>
        <v>-4.96</v>
      </c>
      <c r="K830" s="31" t="n">
        <f aca="false">_xlfn.MINIFS(Trades!$X$2:$X$1146,Trades!$D$2:$D$1146,$A830)</f>
        <v>-4.96</v>
      </c>
      <c r="L830" s="33" t="n">
        <f aca="false">SUMIFS(Trades!$Y$2:$Y$1146,Trades!$D$2:$D$1146,$A830)</f>
        <v>-0.0370370370370375</v>
      </c>
      <c r="M830" s="31" t="n">
        <f aca="false">P829</f>
        <v>21336.84</v>
      </c>
      <c r="N830" s="30" t="n">
        <f aca="false">IFERROR(F830/M830,0)</f>
        <v>-0.000232461789093418</v>
      </c>
      <c r="O830" s="29" t="str">
        <f aca="false">IF(-N830&gt;=Summary!$C$7,"BREACH","")</f>
        <v/>
      </c>
      <c r="P830" s="31" t="n">
        <f aca="false">M830+F830</f>
        <v>21331.88</v>
      </c>
      <c r="Q830" s="31" t="n">
        <f aca="false">P830-Summary!$C$5</f>
        <v>11331.88</v>
      </c>
      <c r="R830" s="2" t="str">
        <f aca="false">TEXT(A830,"ddd")</f>
        <v>Mon</v>
      </c>
    </row>
    <row r="831" customFormat="false" ht="15" hidden="false" customHeight="false" outlineLevel="0" collapsed="false">
      <c r="A831" s="43" t="n">
        <v>46007</v>
      </c>
      <c r="B831" s="29" t="n">
        <f aca="false">COUNTIFS(Trades!$D$2:$D$1146,$A831)</f>
        <v>1</v>
      </c>
      <c r="C831" s="29" t="n">
        <f aca="false">COUNTIFS(Trades!$D$2:$D$1146,$A831,Trades!$Z$2:$Z$1146,"Win")</f>
        <v>1</v>
      </c>
      <c r="D831" s="29" t="n">
        <f aca="false">COUNTIFS(Trades!$D$2:$D$1146,$A831,Trades!$Z$2:$Z$1146,"Loss")</f>
        <v>0</v>
      </c>
      <c r="E831" s="30" t="n">
        <f aca="false">IFERROR(C831/B831,0)</f>
        <v>1</v>
      </c>
      <c r="F831" s="31" t="n">
        <f aca="false">SUMIFS(Trades!$X$2:$X$1146,Trades!$D$2:$D$1146,$A831)</f>
        <v>120.72</v>
      </c>
      <c r="G831" s="31" t="n">
        <f aca="false">SUMIFS(Trades!$X$2:$X$1146,Trades!$D$2:$D$1146,$A831,Trades!$X$2:$X$1146,"&gt;0")</f>
        <v>120.72</v>
      </c>
      <c r="H831" s="31" t="n">
        <f aca="false">SUMIFS(Trades!$X$2:$X$1146,Trades!$D$2:$D$1146,$A831,Trades!$X$2:$X$1146,"&lt;0")</f>
        <v>0</v>
      </c>
      <c r="I831" s="32" t="str">
        <f aca="false">IFERROR(G831/-H831,"no loss")</f>
        <v>no loss</v>
      </c>
      <c r="J831" s="31" t="n">
        <f aca="false">_xlfn.MAXIFS(Trades!$X$2:$X$1146,Trades!$D$2:$D$1146,$A831)</f>
        <v>120.72</v>
      </c>
      <c r="K831" s="31" t="n">
        <f aca="false">_xlfn.MINIFS(Trades!$X$2:$X$1146,Trades!$D$2:$D$1146,$A831)</f>
        <v>120.72</v>
      </c>
      <c r="L831" s="33" t="n">
        <f aca="false">SUMIFS(Trades!$Y$2:$Y$1146,Trades!$D$2:$D$1146,$A831)</f>
        <v>2.51081530782021</v>
      </c>
      <c r="M831" s="31" t="n">
        <f aca="false">P830</f>
        <v>21331.88</v>
      </c>
      <c r="N831" s="30" t="n">
        <f aca="false">IFERROR(F831/M831,0)</f>
        <v>0.00565913552860789</v>
      </c>
      <c r="O831" s="29" t="str">
        <f aca="false">IF(-N831&gt;=Summary!$C$7,"BREACH","")</f>
        <v/>
      </c>
      <c r="P831" s="31" t="n">
        <f aca="false">M831+F831</f>
        <v>21452.6</v>
      </c>
      <c r="Q831" s="31" t="n">
        <f aca="false">P831-Summary!$C$5</f>
        <v>11452.6</v>
      </c>
      <c r="R831" s="2" t="str">
        <f aca="false">TEXT(A831,"ddd")</f>
        <v>Tue</v>
      </c>
    </row>
    <row r="832" customFormat="false" ht="15" hidden="false" customHeight="false" outlineLevel="0" collapsed="false">
      <c r="A832" s="43" t="n">
        <v>46008</v>
      </c>
      <c r="B832" s="29" t="n">
        <f aca="false">COUNTIFS(Trades!$D$2:$D$1146,$A832)</f>
        <v>2</v>
      </c>
      <c r="C832" s="29" t="n">
        <f aca="false">COUNTIFS(Trades!$D$2:$D$1146,$A832,Trades!$Z$2:$Z$1146,"Win")</f>
        <v>0</v>
      </c>
      <c r="D832" s="29" t="n">
        <f aca="false">COUNTIFS(Trades!$D$2:$D$1146,$A832,Trades!$Z$2:$Z$1146,"Loss")</f>
        <v>2</v>
      </c>
      <c r="E832" s="30" t="n">
        <f aca="false">IFERROR(C832/B832,0)</f>
        <v>0</v>
      </c>
      <c r="F832" s="31" t="n">
        <f aca="false">SUMIFS(Trades!$X$2:$X$1146,Trades!$D$2:$D$1146,$A832)</f>
        <v>-160.48</v>
      </c>
      <c r="G832" s="31" t="n">
        <f aca="false">SUMIFS(Trades!$X$2:$X$1146,Trades!$D$2:$D$1146,$A832,Trades!$X$2:$X$1146,"&gt;0")</f>
        <v>0</v>
      </c>
      <c r="H832" s="31" t="n">
        <f aca="false">SUMIFS(Trades!$X$2:$X$1146,Trades!$D$2:$D$1146,$A832,Trades!$X$2:$X$1146,"&lt;0")</f>
        <v>-160.48</v>
      </c>
      <c r="I832" s="32" t="n">
        <f aca="false">IFERROR(G832/-H832,"no loss")</f>
        <v>0</v>
      </c>
      <c r="J832" s="31" t="n">
        <f aca="false">_xlfn.MAXIFS(Trades!$X$2:$X$1146,Trades!$D$2:$D$1146,$A832)</f>
        <v>-35.52</v>
      </c>
      <c r="K832" s="31" t="n">
        <f aca="false">_xlfn.MINIFS(Trades!$X$2:$X$1146,Trades!$D$2:$D$1146,$A832)</f>
        <v>-124.96</v>
      </c>
      <c r="L832" s="33" t="n">
        <f aca="false">SUMIFS(Trades!$Y$2:$Y$1146,Trades!$D$2:$D$1146,$A832)</f>
        <v>-2.01678145331255</v>
      </c>
      <c r="M832" s="31" t="n">
        <f aca="false">P831</f>
        <v>21452.6</v>
      </c>
      <c r="N832" s="30" t="n">
        <f aca="false">IFERROR(F832/M832,0)</f>
        <v>-0.00748067833269627</v>
      </c>
      <c r="O832" s="29" t="str">
        <f aca="false">IF(-N832&gt;=Summary!$C$7,"BREACH","")</f>
        <v/>
      </c>
      <c r="P832" s="31" t="n">
        <f aca="false">M832+F832</f>
        <v>21292.12</v>
      </c>
      <c r="Q832" s="31" t="n">
        <f aca="false">P832-Summary!$C$5</f>
        <v>11292.12</v>
      </c>
      <c r="R832" s="2" t="str">
        <f aca="false">TEXT(A832,"ddd")</f>
        <v>Wed</v>
      </c>
    </row>
    <row r="833" customFormat="false" ht="15" hidden="false" customHeight="false" outlineLevel="0" collapsed="false">
      <c r="A833" s="43" t="n">
        <v>46010</v>
      </c>
      <c r="B833" s="29" t="n">
        <f aca="false">COUNTIFS(Trades!$D$2:$D$1146,$A833)</f>
        <v>1</v>
      </c>
      <c r="C833" s="29" t="n">
        <f aca="false">COUNTIFS(Trades!$D$2:$D$1146,$A833,Trades!$Z$2:$Z$1146,"Win")</f>
        <v>0</v>
      </c>
      <c r="D833" s="29" t="n">
        <f aca="false">COUNTIFS(Trades!$D$2:$D$1146,$A833,Trades!$Z$2:$Z$1146,"Loss")</f>
        <v>1</v>
      </c>
      <c r="E833" s="30" t="n">
        <f aca="false">IFERROR(C833/B833,0)</f>
        <v>0</v>
      </c>
      <c r="F833" s="31" t="n">
        <f aca="false">SUMIFS(Trades!$X$2:$X$1146,Trades!$D$2:$D$1146,$A833)</f>
        <v>-3.72</v>
      </c>
      <c r="G833" s="31" t="n">
        <f aca="false">SUMIFS(Trades!$X$2:$X$1146,Trades!$D$2:$D$1146,$A833,Trades!$X$2:$X$1146,"&gt;0")</f>
        <v>0</v>
      </c>
      <c r="H833" s="31" t="n">
        <f aca="false">SUMIFS(Trades!$X$2:$X$1146,Trades!$D$2:$D$1146,$A833,Trades!$X$2:$X$1146,"&lt;0")</f>
        <v>-3.72</v>
      </c>
      <c r="I833" s="32" t="n">
        <f aca="false">IFERROR(G833/-H833,"no loss")</f>
        <v>0</v>
      </c>
      <c r="J833" s="31" t="n">
        <f aca="false">_xlfn.MAXIFS(Trades!$X$2:$X$1146,Trades!$D$2:$D$1146,$A833)</f>
        <v>-3.72</v>
      </c>
      <c r="K833" s="31" t="n">
        <f aca="false">_xlfn.MINIFS(Trades!$X$2:$X$1146,Trades!$D$2:$D$1146,$A833)</f>
        <v>-3.72</v>
      </c>
      <c r="L833" s="33" t="n">
        <f aca="false">SUMIFS(Trades!$Y$2:$Y$1146,Trades!$D$2:$D$1146,$A833)</f>
        <v>-0.0327695560253688</v>
      </c>
      <c r="M833" s="31" t="n">
        <f aca="false">P832</f>
        <v>21292.12</v>
      </c>
      <c r="N833" s="30" t="n">
        <f aca="false">IFERROR(F833/M833,0)</f>
        <v>-0.000174712522754897</v>
      </c>
      <c r="O833" s="29" t="str">
        <f aca="false">IF(-N833&gt;=Summary!$C$7,"BREACH","")</f>
        <v/>
      </c>
      <c r="P833" s="31" t="n">
        <f aca="false">M833+F833</f>
        <v>21288.4</v>
      </c>
      <c r="Q833" s="31" t="n">
        <f aca="false">P833-Summary!$C$5</f>
        <v>11288.4</v>
      </c>
      <c r="R833" s="2" t="str">
        <f aca="false">TEXT(A833,"ddd")</f>
        <v>Fri</v>
      </c>
    </row>
    <row r="834" customFormat="false" ht="15" hidden="false" customHeight="false" outlineLevel="0" collapsed="false">
      <c r="A834" s="43" t="n">
        <v>46013</v>
      </c>
      <c r="B834" s="29" t="n">
        <f aca="false">COUNTIFS(Trades!$D$2:$D$1146,$A834)</f>
        <v>1</v>
      </c>
      <c r="C834" s="29" t="n">
        <f aca="false">COUNTIFS(Trades!$D$2:$D$1146,$A834,Trades!$Z$2:$Z$1146,"Win")</f>
        <v>0</v>
      </c>
      <c r="D834" s="29" t="n">
        <f aca="false">COUNTIFS(Trades!$D$2:$D$1146,$A834,Trades!$Z$2:$Z$1146,"Loss")</f>
        <v>1</v>
      </c>
      <c r="E834" s="30" t="n">
        <f aca="false">IFERROR(C834/B834,0)</f>
        <v>0</v>
      </c>
      <c r="F834" s="31" t="n">
        <f aca="false">SUMIFS(Trades!$X$2:$X$1146,Trades!$D$2:$D$1146,$A834)</f>
        <v>-87.12</v>
      </c>
      <c r="G834" s="31" t="n">
        <f aca="false">SUMIFS(Trades!$X$2:$X$1146,Trades!$D$2:$D$1146,$A834,Trades!$X$2:$X$1146,"&gt;0")</f>
        <v>0</v>
      </c>
      <c r="H834" s="31" t="n">
        <f aca="false">SUMIFS(Trades!$X$2:$X$1146,Trades!$D$2:$D$1146,$A834,Trades!$X$2:$X$1146,"&lt;0")</f>
        <v>-87.12</v>
      </c>
      <c r="I834" s="32" t="n">
        <f aca="false">IFERROR(G834/-H834,"no loss")</f>
        <v>0</v>
      </c>
      <c r="J834" s="31" t="n">
        <f aca="false">_xlfn.MAXIFS(Trades!$X$2:$X$1146,Trades!$D$2:$D$1146,$A834)</f>
        <v>-87.12</v>
      </c>
      <c r="K834" s="31" t="n">
        <f aca="false">_xlfn.MINIFS(Trades!$X$2:$X$1146,Trades!$D$2:$D$1146,$A834)</f>
        <v>-87.12</v>
      </c>
      <c r="L834" s="33" t="n">
        <f aca="false">SUMIFS(Trades!$Y$2:$Y$1146,Trades!$D$2:$D$1146,$A834)</f>
        <v>-1.00973574408903</v>
      </c>
      <c r="M834" s="31" t="n">
        <f aca="false">P833</f>
        <v>21288.4</v>
      </c>
      <c r="N834" s="30" t="n">
        <f aca="false">IFERROR(F834/M834,0)</f>
        <v>-0.00409236955337179</v>
      </c>
      <c r="O834" s="29" t="str">
        <f aca="false">IF(-N834&gt;=Summary!$C$7,"BREACH","")</f>
        <v/>
      </c>
      <c r="P834" s="31" t="n">
        <f aca="false">M834+F834</f>
        <v>21201.28</v>
      </c>
      <c r="Q834" s="31" t="n">
        <f aca="false">P834-Summary!$C$5</f>
        <v>11201.28</v>
      </c>
      <c r="R834" s="2" t="str">
        <f aca="false">TEXT(A834,"ddd")</f>
        <v>Mon</v>
      </c>
    </row>
    <row r="835" customFormat="false" ht="15" hidden="false" customHeight="false" outlineLevel="0" collapsed="false">
      <c r="A835" s="43" t="n">
        <v>46014</v>
      </c>
      <c r="B835" s="29" t="n">
        <f aca="false">COUNTIFS(Trades!$D$2:$D$1146,$A835)</f>
        <v>2</v>
      </c>
      <c r="C835" s="29" t="n">
        <f aca="false">COUNTIFS(Trades!$D$2:$D$1146,$A835,Trades!$Z$2:$Z$1146,"Win")</f>
        <v>1</v>
      </c>
      <c r="D835" s="29" t="n">
        <f aca="false">COUNTIFS(Trades!$D$2:$D$1146,$A835,Trades!$Z$2:$Z$1146,"Loss")</f>
        <v>1</v>
      </c>
      <c r="E835" s="30" t="n">
        <f aca="false">IFERROR(C835/B835,0)</f>
        <v>0.5</v>
      </c>
      <c r="F835" s="31" t="n">
        <f aca="false">SUMIFS(Trades!$X$2:$X$1146,Trades!$D$2:$D$1146,$A835)</f>
        <v>-39.64</v>
      </c>
      <c r="G835" s="31" t="n">
        <f aca="false">SUMIFS(Trades!$X$2:$X$1146,Trades!$D$2:$D$1146,$A835,Trades!$X$2:$X$1146,"&gt;0")</f>
        <v>30.64</v>
      </c>
      <c r="H835" s="31" t="n">
        <f aca="false">SUMIFS(Trades!$X$2:$X$1146,Trades!$D$2:$D$1146,$A835,Trades!$X$2:$X$1146,"&lt;0")</f>
        <v>-70.28</v>
      </c>
      <c r="I835" s="32" t="n">
        <f aca="false">IFERROR(G835/-H835,"no loss")</f>
        <v>0.435970404097894</v>
      </c>
      <c r="J835" s="31" t="n">
        <f aca="false">_xlfn.MAXIFS(Trades!$X$2:$X$1146,Trades!$D$2:$D$1146,$A835)</f>
        <v>30.64</v>
      </c>
      <c r="K835" s="31" t="n">
        <f aca="false">_xlfn.MINIFS(Trades!$X$2:$X$1146,Trades!$D$2:$D$1146,$A835)</f>
        <v>-70.28</v>
      </c>
      <c r="L835" s="33" t="n">
        <f aca="false">SUMIFS(Trades!$Y$2:$Y$1146,Trades!$D$2:$D$1146,$A835)</f>
        <v>1.44882809058142</v>
      </c>
      <c r="M835" s="31" t="n">
        <f aca="false">P834</f>
        <v>21201.28</v>
      </c>
      <c r="N835" s="30" t="n">
        <f aca="false">IFERROR(F835/M835,0)</f>
        <v>-0.00186969843330214</v>
      </c>
      <c r="O835" s="29" t="str">
        <f aca="false">IF(-N835&gt;=Summary!$C$7,"BREACH","")</f>
        <v/>
      </c>
      <c r="P835" s="31" t="n">
        <f aca="false">M835+F835</f>
        <v>21161.64</v>
      </c>
      <c r="Q835" s="31" t="n">
        <f aca="false">P835-Summary!$C$5</f>
        <v>11161.64</v>
      </c>
      <c r="R835" s="2" t="str">
        <f aca="false">TEXT(A835,"ddd")</f>
        <v>Tue</v>
      </c>
    </row>
    <row r="836" customFormat="false" ht="15" hidden="false" customHeight="false" outlineLevel="0" collapsed="false">
      <c r="A836" s="43" t="n">
        <v>46015</v>
      </c>
      <c r="B836" s="29" t="n">
        <f aca="false">COUNTIFS(Trades!$D$2:$D$1146,$A836)</f>
        <v>1</v>
      </c>
      <c r="C836" s="29" t="n">
        <f aca="false">COUNTIFS(Trades!$D$2:$D$1146,$A836,Trades!$Z$2:$Z$1146,"Win")</f>
        <v>0</v>
      </c>
      <c r="D836" s="29" t="n">
        <f aca="false">COUNTIFS(Trades!$D$2:$D$1146,$A836,Trades!$Z$2:$Z$1146,"Loss")</f>
        <v>1</v>
      </c>
      <c r="E836" s="30" t="n">
        <f aca="false">IFERROR(C836/B836,0)</f>
        <v>0</v>
      </c>
      <c r="F836" s="31" t="n">
        <f aca="false">SUMIFS(Trades!$X$2:$X$1146,Trades!$D$2:$D$1146,$A836)</f>
        <v>-1.08</v>
      </c>
      <c r="G836" s="31" t="n">
        <f aca="false">SUMIFS(Trades!$X$2:$X$1146,Trades!$D$2:$D$1146,$A836,Trades!$X$2:$X$1146,"&gt;0")</f>
        <v>0</v>
      </c>
      <c r="H836" s="31" t="n">
        <f aca="false">SUMIFS(Trades!$X$2:$X$1146,Trades!$D$2:$D$1146,$A836,Trades!$X$2:$X$1146,"&lt;0")</f>
        <v>-1.08</v>
      </c>
      <c r="I836" s="32" t="n">
        <f aca="false">IFERROR(G836/-H836,"no loss")</f>
        <v>0</v>
      </c>
      <c r="J836" s="31" t="n">
        <f aca="false">_xlfn.MAXIFS(Trades!$X$2:$X$1146,Trades!$D$2:$D$1146,$A836)</f>
        <v>-1.08</v>
      </c>
      <c r="K836" s="31" t="n">
        <f aca="false">_xlfn.MINIFS(Trades!$X$2:$X$1146,Trades!$D$2:$D$1146,$A836)</f>
        <v>-1.08</v>
      </c>
      <c r="L836" s="33" t="n">
        <f aca="false">SUMIFS(Trades!$Y$2:$Y$1146,Trades!$D$2:$D$1146,$A836)</f>
        <v>-0.0523255813953503</v>
      </c>
      <c r="M836" s="31" t="n">
        <f aca="false">P835</f>
        <v>21161.64</v>
      </c>
      <c r="N836" s="30" t="n">
        <f aca="false">IFERROR(F836/M836,0)</f>
        <v>-5.10357420313359E-005</v>
      </c>
      <c r="O836" s="29" t="str">
        <f aca="false">IF(-N836&gt;=Summary!$C$7,"BREACH","")</f>
        <v/>
      </c>
      <c r="P836" s="31" t="n">
        <f aca="false">M836+F836</f>
        <v>21160.56</v>
      </c>
      <c r="Q836" s="31" t="n">
        <f aca="false">P836-Summary!$C$5</f>
        <v>11160.56</v>
      </c>
      <c r="R836" s="2" t="str">
        <f aca="false">TEXT(A836,"ddd")</f>
        <v>Wed</v>
      </c>
    </row>
    <row r="837" customFormat="false" ht="15" hidden="false" customHeight="false" outlineLevel="0" collapsed="false">
      <c r="A837" s="43" t="n">
        <v>46017</v>
      </c>
      <c r="B837" s="29" t="n">
        <f aca="false">COUNTIFS(Trades!$D$2:$D$1146,$A837)</f>
        <v>1</v>
      </c>
      <c r="C837" s="29" t="n">
        <f aca="false">COUNTIFS(Trades!$D$2:$D$1146,$A837,Trades!$Z$2:$Z$1146,"Win")</f>
        <v>0</v>
      </c>
      <c r="D837" s="29" t="n">
        <f aca="false">COUNTIFS(Trades!$D$2:$D$1146,$A837,Trades!$Z$2:$Z$1146,"Loss")</f>
        <v>1</v>
      </c>
      <c r="E837" s="30" t="n">
        <f aca="false">IFERROR(C837/B837,0)</f>
        <v>0</v>
      </c>
      <c r="F837" s="31" t="n">
        <f aca="false">SUMIFS(Trades!$X$2:$X$1146,Trades!$D$2:$D$1146,$A837)</f>
        <v>-28.52</v>
      </c>
      <c r="G837" s="31" t="n">
        <f aca="false">SUMIFS(Trades!$X$2:$X$1146,Trades!$D$2:$D$1146,$A837,Trades!$X$2:$X$1146,"&gt;0")</f>
        <v>0</v>
      </c>
      <c r="H837" s="31" t="n">
        <f aca="false">SUMIFS(Trades!$X$2:$X$1146,Trades!$D$2:$D$1146,$A837,Trades!$X$2:$X$1146,"&lt;0")</f>
        <v>-28.52</v>
      </c>
      <c r="I837" s="32" t="n">
        <f aca="false">IFERROR(G837/-H837,"no loss")</f>
        <v>0</v>
      </c>
      <c r="J837" s="31" t="n">
        <f aca="false">_xlfn.MAXIFS(Trades!$X$2:$X$1146,Trades!$D$2:$D$1146,$A837)</f>
        <v>-28.52</v>
      </c>
      <c r="K837" s="31" t="n">
        <f aca="false">_xlfn.MINIFS(Trades!$X$2:$X$1146,Trades!$D$2:$D$1146,$A837)</f>
        <v>-28.52</v>
      </c>
      <c r="L837" s="33" t="n">
        <f aca="false">SUMIFS(Trades!$Y$2:$Y$1146,Trades!$D$2:$D$1146,$A837)</f>
        <v>-1.00706214689241</v>
      </c>
      <c r="M837" s="31" t="n">
        <f aca="false">P836</f>
        <v>21160.56</v>
      </c>
      <c r="N837" s="30" t="n">
        <f aca="false">IFERROR(F837/M837,0)</f>
        <v>-0.0013477904176449</v>
      </c>
      <c r="O837" s="29" t="str">
        <f aca="false">IF(-N837&gt;=Summary!$C$7,"BREACH","")</f>
        <v/>
      </c>
      <c r="P837" s="31" t="n">
        <f aca="false">M837+F837</f>
        <v>21132.04</v>
      </c>
      <c r="Q837" s="31" t="n">
        <f aca="false">P837-Summary!$C$5</f>
        <v>11132.04</v>
      </c>
      <c r="R837" s="2" t="str">
        <f aca="false">TEXT(A837,"ddd")</f>
        <v>Fri</v>
      </c>
    </row>
    <row r="838" customFormat="false" ht="15" hidden="false" customHeight="false" outlineLevel="0" collapsed="false">
      <c r="A838" s="43" t="n">
        <v>46020</v>
      </c>
      <c r="B838" s="29" t="n">
        <f aca="false">COUNTIFS(Trades!$D$2:$D$1146,$A838)</f>
        <v>1</v>
      </c>
      <c r="C838" s="29" t="n">
        <f aca="false">COUNTIFS(Trades!$D$2:$D$1146,$A838,Trades!$Z$2:$Z$1146,"Win")</f>
        <v>0</v>
      </c>
      <c r="D838" s="29" t="n">
        <f aca="false">COUNTIFS(Trades!$D$2:$D$1146,$A838,Trades!$Z$2:$Z$1146,"Loss")</f>
        <v>1</v>
      </c>
      <c r="E838" s="30" t="n">
        <f aca="false">IFERROR(C838/B838,0)</f>
        <v>0</v>
      </c>
      <c r="F838" s="31" t="n">
        <f aca="false">SUMIFS(Trades!$X$2:$X$1146,Trades!$D$2:$D$1146,$A838)</f>
        <v>-23.56</v>
      </c>
      <c r="G838" s="31" t="n">
        <f aca="false">SUMIFS(Trades!$X$2:$X$1146,Trades!$D$2:$D$1146,$A838,Trades!$X$2:$X$1146,"&gt;0")</f>
        <v>0</v>
      </c>
      <c r="H838" s="31" t="n">
        <f aca="false">SUMIFS(Trades!$X$2:$X$1146,Trades!$D$2:$D$1146,$A838,Trades!$X$2:$X$1146,"&lt;0")</f>
        <v>-23.56</v>
      </c>
      <c r="I838" s="32" t="n">
        <f aca="false">IFERROR(G838/-H838,"no loss")</f>
        <v>0</v>
      </c>
      <c r="J838" s="31" t="n">
        <f aca="false">_xlfn.MAXIFS(Trades!$X$2:$X$1146,Trades!$D$2:$D$1146,$A838)</f>
        <v>-23.56</v>
      </c>
      <c r="K838" s="31" t="n">
        <f aca="false">_xlfn.MINIFS(Trades!$X$2:$X$1146,Trades!$D$2:$D$1146,$A838)</f>
        <v>-23.56</v>
      </c>
      <c r="L838" s="33" t="n">
        <f aca="false">SUMIFS(Trades!$Y$2:$Y$1146,Trades!$D$2:$D$1146,$A838)</f>
        <v>-1.07090909090909</v>
      </c>
      <c r="M838" s="31" t="n">
        <f aca="false">P837</f>
        <v>21132.04</v>
      </c>
      <c r="N838" s="30" t="n">
        <f aca="false">IFERROR(F838/M838,0)</f>
        <v>-0.00111489472857329</v>
      </c>
      <c r="O838" s="29" t="str">
        <f aca="false">IF(-N838&gt;=Summary!$C$7,"BREACH","")</f>
        <v/>
      </c>
      <c r="P838" s="31" t="n">
        <f aca="false">M838+F838</f>
        <v>21108.48</v>
      </c>
      <c r="Q838" s="31" t="n">
        <f aca="false">P838-Summary!$C$5</f>
        <v>11108.48</v>
      </c>
      <c r="R838" s="2" t="str">
        <f aca="false">TEXT(A838,"ddd")</f>
        <v>Mon</v>
      </c>
    </row>
    <row r="839" customFormat="false" ht="15" hidden="false" customHeight="false" outlineLevel="0" collapsed="false">
      <c r="A839" s="43" t="n">
        <v>46022</v>
      </c>
      <c r="B839" s="29" t="n">
        <f aca="false">COUNTIFS(Trades!$D$2:$D$1146,$A839)</f>
        <v>1</v>
      </c>
      <c r="C839" s="29" t="n">
        <f aca="false">COUNTIFS(Trades!$D$2:$D$1146,$A839,Trades!$Z$2:$Z$1146,"Win")</f>
        <v>0</v>
      </c>
      <c r="D839" s="29" t="n">
        <f aca="false">COUNTIFS(Trades!$D$2:$D$1146,$A839,Trades!$Z$2:$Z$1146,"Loss")</f>
        <v>1</v>
      </c>
      <c r="E839" s="30" t="n">
        <f aca="false">IFERROR(C839/B839,0)</f>
        <v>0</v>
      </c>
      <c r="F839" s="31" t="n">
        <f aca="false">SUMIFS(Trades!$X$2:$X$1146,Trades!$D$2:$D$1146,$A839)</f>
        <v>-33.88</v>
      </c>
      <c r="G839" s="31" t="n">
        <f aca="false">SUMIFS(Trades!$X$2:$X$1146,Trades!$D$2:$D$1146,$A839,Trades!$X$2:$X$1146,"&gt;0")</f>
        <v>0</v>
      </c>
      <c r="H839" s="31" t="n">
        <f aca="false">SUMIFS(Trades!$X$2:$X$1146,Trades!$D$2:$D$1146,$A839,Trades!$X$2:$X$1146,"&lt;0")</f>
        <v>-33.88</v>
      </c>
      <c r="I839" s="32" t="n">
        <f aca="false">IFERROR(G839/-H839,"no loss")</f>
        <v>0</v>
      </c>
      <c r="J839" s="31" t="n">
        <f aca="false">_xlfn.MAXIFS(Trades!$X$2:$X$1146,Trades!$D$2:$D$1146,$A839)</f>
        <v>-33.88</v>
      </c>
      <c r="K839" s="31" t="n">
        <f aca="false">_xlfn.MINIFS(Trades!$X$2:$X$1146,Trades!$D$2:$D$1146,$A839)</f>
        <v>-33.88</v>
      </c>
      <c r="L839" s="33" t="n">
        <f aca="false">SUMIFS(Trades!$Y$2:$Y$1146,Trades!$D$2:$D$1146,$A839)</f>
        <v>-1.02294685990353</v>
      </c>
      <c r="M839" s="31" t="n">
        <f aca="false">P838</f>
        <v>21108.48</v>
      </c>
      <c r="N839" s="30" t="n">
        <f aca="false">IFERROR(F839/M839,0)</f>
        <v>-0.00160504214419987</v>
      </c>
      <c r="O839" s="29" t="str">
        <f aca="false">IF(-N839&gt;=Summary!$C$7,"BREACH","")</f>
        <v/>
      </c>
      <c r="P839" s="31" t="n">
        <f aca="false">M839+F839</f>
        <v>21074.6</v>
      </c>
      <c r="Q839" s="31" t="n">
        <f aca="false">P839-Summary!$C$5</f>
        <v>11074.6</v>
      </c>
      <c r="R839" s="2" t="str">
        <f aca="false">TEXT(A839,"ddd")</f>
        <v>Wed</v>
      </c>
    </row>
    <row r="840" customFormat="false" ht="15" hidden="false" customHeight="false" outlineLevel="0" collapsed="false">
      <c r="A840" s="43" t="n">
        <v>46024</v>
      </c>
      <c r="B840" s="29" t="n">
        <f aca="false">COUNTIFS(Trades!$D$2:$D$1146,$A840)</f>
        <v>2</v>
      </c>
      <c r="C840" s="29" t="n">
        <f aca="false">COUNTIFS(Trades!$D$2:$D$1146,$A840,Trades!$Z$2:$Z$1146,"Win")</f>
        <v>1</v>
      </c>
      <c r="D840" s="29" t="n">
        <f aca="false">COUNTIFS(Trades!$D$2:$D$1146,$A840,Trades!$Z$2:$Z$1146,"Loss")</f>
        <v>1</v>
      </c>
      <c r="E840" s="30" t="n">
        <f aca="false">IFERROR(C840/B840,0)</f>
        <v>0.5</v>
      </c>
      <c r="F840" s="31" t="n">
        <f aca="false">SUMIFS(Trades!$X$2:$X$1146,Trades!$D$2:$D$1146,$A840)</f>
        <v>342.56</v>
      </c>
      <c r="G840" s="31" t="n">
        <f aca="false">SUMIFS(Trades!$X$2:$X$1146,Trades!$D$2:$D$1146,$A840,Trades!$X$2:$X$1146,"&gt;0")</f>
        <v>344.16</v>
      </c>
      <c r="H840" s="31" t="n">
        <f aca="false">SUMIFS(Trades!$X$2:$X$1146,Trades!$D$2:$D$1146,$A840,Trades!$X$2:$X$1146,"&lt;0")</f>
        <v>-1.6</v>
      </c>
      <c r="I840" s="32" t="n">
        <f aca="false">IFERROR(G840/-H840,"no loss")</f>
        <v>215.1</v>
      </c>
      <c r="J840" s="31" t="n">
        <f aca="false">_xlfn.MAXIFS(Trades!$X$2:$X$1146,Trades!$D$2:$D$1146,$A840)</f>
        <v>344.16</v>
      </c>
      <c r="K840" s="31" t="n">
        <f aca="false">_xlfn.MINIFS(Trades!$X$2:$X$1146,Trades!$D$2:$D$1146,$A840)</f>
        <v>-1.6</v>
      </c>
      <c r="L840" s="33" t="n">
        <f aca="false">SUMIFS(Trades!$Y$2:$Y$1146,Trades!$D$2:$D$1146,$A840)</f>
        <v>2.23406812762014</v>
      </c>
      <c r="M840" s="31" t="n">
        <f aca="false">P839</f>
        <v>21074.6</v>
      </c>
      <c r="N840" s="30" t="n">
        <f aca="false">IFERROR(F840/M840,0)</f>
        <v>0.0162546382849497</v>
      </c>
      <c r="O840" s="29" t="str">
        <f aca="false">IF(-N840&gt;=Summary!$C$7,"BREACH","")</f>
        <v/>
      </c>
      <c r="P840" s="31" t="n">
        <f aca="false">M840+F840</f>
        <v>21417.16</v>
      </c>
      <c r="Q840" s="31" t="n">
        <f aca="false">P840-Summary!$C$5</f>
        <v>11417.16</v>
      </c>
      <c r="R840" s="2" t="str">
        <f aca="false">TEXT(A840,"ddd")</f>
        <v>Fri</v>
      </c>
    </row>
    <row r="841" customFormat="false" ht="15" hidden="false" customHeight="false" outlineLevel="0" collapsed="false">
      <c r="A841" s="43" t="n">
        <v>46028</v>
      </c>
      <c r="B841" s="29" t="n">
        <f aca="false">COUNTIFS(Trades!$D$2:$D$1146,$A841)</f>
        <v>1</v>
      </c>
      <c r="C841" s="29" t="n">
        <f aca="false">COUNTIFS(Trades!$D$2:$D$1146,$A841,Trades!$Z$2:$Z$1146,"Win")</f>
        <v>0</v>
      </c>
      <c r="D841" s="29" t="n">
        <f aca="false">COUNTIFS(Trades!$D$2:$D$1146,$A841,Trades!$Z$2:$Z$1146,"Loss")</f>
        <v>1</v>
      </c>
      <c r="E841" s="30" t="n">
        <f aca="false">IFERROR(C841/B841,0)</f>
        <v>0</v>
      </c>
      <c r="F841" s="31" t="n">
        <f aca="false">SUMIFS(Trades!$X$2:$X$1146,Trades!$D$2:$D$1146,$A841)</f>
        <v>-89.64</v>
      </c>
      <c r="G841" s="31" t="n">
        <f aca="false">SUMIFS(Trades!$X$2:$X$1146,Trades!$D$2:$D$1146,$A841,Trades!$X$2:$X$1146,"&gt;0")</f>
        <v>0</v>
      </c>
      <c r="H841" s="31" t="n">
        <f aca="false">SUMIFS(Trades!$X$2:$X$1146,Trades!$D$2:$D$1146,$A841,Trades!$X$2:$X$1146,"&lt;0")</f>
        <v>-89.64</v>
      </c>
      <c r="I841" s="32" t="n">
        <f aca="false">IFERROR(G841/-H841,"no loss")</f>
        <v>0</v>
      </c>
      <c r="J841" s="31" t="n">
        <f aca="false">_xlfn.MAXIFS(Trades!$X$2:$X$1146,Trades!$D$2:$D$1146,$A841)</f>
        <v>-89.64</v>
      </c>
      <c r="K841" s="31" t="n">
        <f aca="false">_xlfn.MINIFS(Trades!$X$2:$X$1146,Trades!$D$2:$D$1146,$A841)</f>
        <v>-89.64</v>
      </c>
      <c r="L841" s="33" t="n">
        <f aca="false">SUMIFS(Trades!$Y$2:$Y$1146,Trades!$D$2:$D$1146,$A841)</f>
        <v>-1.02375513933306</v>
      </c>
      <c r="M841" s="31" t="n">
        <f aca="false">P840</f>
        <v>21417.16</v>
      </c>
      <c r="N841" s="30" t="n">
        <f aca="false">IFERROR(F841/M841,0)</f>
        <v>-0.00418542888039311</v>
      </c>
      <c r="O841" s="29" t="str">
        <f aca="false">IF(-N841&gt;=Summary!$C$7,"BREACH","")</f>
        <v/>
      </c>
      <c r="P841" s="31" t="n">
        <f aca="false">M841+F841</f>
        <v>21327.52</v>
      </c>
      <c r="Q841" s="31" t="n">
        <f aca="false">P841-Summary!$C$5</f>
        <v>11327.52</v>
      </c>
      <c r="R841" s="2" t="str">
        <f aca="false">TEXT(A841,"ddd")</f>
        <v>Tue</v>
      </c>
    </row>
    <row r="842" customFormat="false" ht="15" hidden="false" customHeight="false" outlineLevel="0" collapsed="false">
      <c r="A842" s="43" t="n">
        <v>46029</v>
      </c>
      <c r="B842" s="29" t="n">
        <f aca="false">COUNTIFS(Trades!$D$2:$D$1146,$A842)</f>
        <v>1</v>
      </c>
      <c r="C842" s="29" t="n">
        <f aca="false">COUNTIFS(Trades!$D$2:$D$1146,$A842,Trades!$Z$2:$Z$1146,"Win")</f>
        <v>0</v>
      </c>
      <c r="D842" s="29" t="n">
        <f aca="false">COUNTIFS(Trades!$D$2:$D$1146,$A842,Trades!$Z$2:$Z$1146,"Loss")</f>
        <v>1</v>
      </c>
      <c r="E842" s="30" t="n">
        <f aca="false">IFERROR(C842/B842,0)</f>
        <v>0</v>
      </c>
      <c r="F842" s="31" t="n">
        <f aca="false">SUMIFS(Trades!$X$2:$X$1146,Trades!$D$2:$D$1146,$A842)</f>
        <v>-35.72</v>
      </c>
      <c r="G842" s="31" t="n">
        <f aca="false">SUMIFS(Trades!$X$2:$X$1146,Trades!$D$2:$D$1146,$A842,Trades!$X$2:$X$1146,"&gt;0")</f>
        <v>0</v>
      </c>
      <c r="H842" s="31" t="n">
        <f aca="false">SUMIFS(Trades!$X$2:$X$1146,Trades!$D$2:$D$1146,$A842,Trades!$X$2:$X$1146,"&lt;0")</f>
        <v>-35.72</v>
      </c>
      <c r="I842" s="32" t="n">
        <f aca="false">IFERROR(G842/-H842,"no loss")</f>
        <v>0</v>
      </c>
      <c r="J842" s="31" t="n">
        <f aca="false">_xlfn.MAXIFS(Trades!$X$2:$X$1146,Trades!$D$2:$D$1146,$A842)</f>
        <v>-35.72</v>
      </c>
      <c r="K842" s="31" t="n">
        <f aca="false">_xlfn.MINIFS(Trades!$X$2:$X$1146,Trades!$D$2:$D$1146,$A842)</f>
        <v>-35.72</v>
      </c>
      <c r="L842" s="33" t="n">
        <f aca="false">SUMIFS(Trades!$Y$2:$Y$1146,Trades!$D$2:$D$1146,$A842)</f>
        <v>-1.02057142857143</v>
      </c>
      <c r="M842" s="31" t="n">
        <f aca="false">P841</f>
        <v>21327.52</v>
      </c>
      <c r="N842" s="30" t="n">
        <f aca="false">IFERROR(F842/M842,0)</f>
        <v>-0.0016748313915542</v>
      </c>
      <c r="O842" s="29" t="str">
        <f aca="false">IF(-N842&gt;=Summary!$C$7,"BREACH","")</f>
        <v/>
      </c>
      <c r="P842" s="31" t="n">
        <f aca="false">M842+F842</f>
        <v>21291.8</v>
      </c>
      <c r="Q842" s="31" t="n">
        <f aca="false">P842-Summary!$C$5</f>
        <v>11291.8</v>
      </c>
      <c r="R842" s="2" t="str">
        <f aca="false">TEXT(A842,"ddd")</f>
        <v>Wed</v>
      </c>
    </row>
    <row r="843" customFormat="false" ht="15" hidden="false" customHeight="false" outlineLevel="0" collapsed="false">
      <c r="A843" s="43" t="n">
        <v>46030</v>
      </c>
      <c r="B843" s="29" t="n">
        <f aca="false">COUNTIFS(Trades!$D$2:$D$1146,$A843)</f>
        <v>1</v>
      </c>
      <c r="C843" s="29" t="n">
        <f aca="false">COUNTIFS(Trades!$D$2:$D$1146,$A843,Trades!$Z$2:$Z$1146,"Win")</f>
        <v>1</v>
      </c>
      <c r="D843" s="29" t="n">
        <f aca="false">COUNTIFS(Trades!$D$2:$D$1146,$A843,Trades!$Z$2:$Z$1146,"Loss")</f>
        <v>0</v>
      </c>
      <c r="E843" s="30" t="n">
        <f aca="false">IFERROR(C843/B843,0)</f>
        <v>1</v>
      </c>
      <c r="F843" s="31" t="n">
        <f aca="false">SUMIFS(Trades!$X$2:$X$1146,Trades!$D$2:$D$1146,$A843)</f>
        <v>99.84</v>
      </c>
      <c r="G843" s="31" t="n">
        <f aca="false">SUMIFS(Trades!$X$2:$X$1146,Trades!$D$2:$D$1146,$A843,Trades!$X$2:$X$1146,"&gt;0")</f>
        <v>99.84</v>
      </c>
      <c r="H843" s="31" t="n">
        <f aca="false">SUMIFS(Trades!$X$2:$X$1146,Trades!$D$2:$D$1146,$A843,Trades!$X$2:$X$1146,"&lt;0")</f>
        <v>0</v>
      </c>
      <c r="I843" s="32" t="str">
        <f aca="false">IFERROR(G843/-H843,"no loss")</f>
        <v>no loss</v>
      </c>
      <c r="J843" s="31" t="n">
        <f aca="false">_xlfn.MAXIFS(Trades!$X$2:$X$1146,Trades!$D$2:$D$1146,$A843)</f>
        <v>99.84</v>
      </c>
      <c r="K843" s="31" t="n">
        <f aca="false">_xlfn.MINIFS(Trades!$X$2:$X$1146,Trades!$D$2:$D$1146,$A843)</f>
        <v>99.84</v>
      </c>
      <c r="L843" s="33" t="n">
        <f aca="false">SUMIFS(Trades!$Y$2:$Y$1146,Trades!$D$2:$D$1146,$A843)</f>
        <v>3.35935397039018</v>
      </c>
      <c r="M843" s="31" t="n">
        <f aca="false">P842</f>
        <v>21291.8</v>
      </c>
      <c r="N843" s="30" t="n">
        <f aca="false">IFERROR(F843/M843,0)</f>
        <v>0.00468912914831062</v>
      </c>
      <c r="O843" s="29" t="str">
        <f aca="false">IF(-N843&gt;=Summary!$C$7,"BREACH","")</f>
        <v/>
      </c>
      <c r="P843" s="31" t="n">
        <f aca="false">M843+F843</f>
        <v>21391.64</v>
      </c>
      <c r="Q843" s="31" t="n">
        <f aca="false">P843-Summary!$C$5</f>
        <v>11391.64</v>
      </c>
      <c r="R843" s="2" t="str">
        <f aca="false">TEXT(A843,"ddd")</f>
        <v>Thu</v>
      </c>
    </row>
    <row r="844" customFormat="false" ht="15" hidden="false" customHeight="false" outlineLevel="0" collapsed="false">
      <c r="A844" s="43" t="n">
        <v>46031</v>
      </c>
      <c r="B844" s="29" t="n">
        <f aca="false">COUNTIFS(Trades!$D$2:$D$1146,$A844)</f>
        <v>1</v>
      </c>
      <c r="C844" s="29" t="n">
        <f aca="false">COUNTIFS(Trades!$D$2:$D$1146,$A844,Trades!$Z$2:$Z$1146,"Win")</f>
        <v>0</v>
      </c>
      <c r="D844" s="29" t="n">
        <f aca="false">COUNTIFS(Trades!$D$2:$D$1146,$A844,Trades!$Z$2:$Z$1146,"Loss")</f>
        <v>1</v>
      </c>
      <c r="E844" s="30" t="n">
        <f aca="false">IFERROR(C844/B844,0)</f>
        <v>0</v>
      </c>
      <c r="F844" s="31" t="n">
        <f aca="false">SUMIFS(Trades!$X$2:$X$1146,Trades!$D$2:$D$1146,$A844)</f>
        <v>-75.2</v>
      </c>
      <c r="G844" s="31" t="n">
        <f aca="false">SUMIFS(Trades!$X$2:$X$1146,Trades!$D$2:$D$1146,$A844,Trades!$X$2:$X$1146,"&gt;0")</f>
        <v>0</v>
      </c>
      <c r="H844" s="31" t="n">
        <f aca="false">SUMIFS(Trades!$X$2:$X$1146,Trades!$D$2:$D$1146,$A844,Trades!$X$2:$X$1146,"&lt;0")</f>
        <v>-75.2</v>
      </c>
      <c r="I844" s="32" t="n">
        <f aca="false">IFERROR(G844/-H844,"no loss")</f>
        <v>0</v>
      </c>
      <c r="J844" s="31" t="n">
        <f aca="false">_xlfn.MAXIFS(Trades!$X$2:$X$1146,Trades!$D$2:$D$1146,$A844)</f>
        <v>-75.2</v>
      </c>
      <c r="K844" s="31" t="n">
        <f aca="false">_xlfn.MINIFS(Trades!$X$2:$X$1146,Trades!$D$2:$D$1146,$A844)</f>
        <v>-75.2</v>
      </c>
      <c r="L844" s="33" t="n">
        <f aca="false">SUMIFS(Trades!$Y$2:$Y$1146,Trades!$D$2:$D$1146,$A844)</f>
        <v>-1.00427350427344</v>
      </c>
      <c r="M844" s="31" t="n">
        <f aca="false">P843</f>
        <v>21391.64</v>
      </c>
      <c r="N844" s="30" t="n">
        <f aca="false">IFERROR(F844/M844,0)</f>
        <v>-0.0035153919942557</v>
      </c>
      <c r="O844" s="29" t="str">
        <f aca="false">IF(-N844&gt;=Summary!$C$7,"BREACH","")</f>
        <v/>
      </c>
      <c r="P844" s="31" t="n">
        <f aca="false">M844+F844</f>
        <v>21316.44</v>
      </c>
      <c r="Q844" s="31" t="n">
        <f aca="false">P844-Summary!$C$5</f>
        <v>11316.44</v>
      </c>
      <c r="R844" s="2" t="str">
        <f aca="false">TEXT(A844,"ddd")</f>
        <v>Fri</v>
      </c>
    </row>
    <row r="845" customFormat="false" ht="15" hidden="false" customHeight="false" outlineLevel="0" collapsed="false">
      <c r="A845" s="43" t="n">
        <v>46034</v>
      </c>
      <c r="B845" s="29" t="n">
        <f aca="false">COUNTIFS(Trades!$D$2:$D$1146,$A845)</f>
        <v>1</v>
      </c>
      <c r="C845" s="29" t="n">
        <f aca="false">COUNTIFS(Trades!$D$2:$D$1146,$A845,Trades!$Z$2:$Z$1146,"Win")</f>
        <v>0</v>
      </c>
      <c r="D845" s="29" t="n">
        <f aca="false">COUNTIFS(Trades!$D$2:$D$1146,$A845,Trades!$Z$2:$Z$1146,"Loss")</f>
        <v>1</v>
      </c>
      <c r="E845" s="30" t="n">
        <f aca="false">IFERROR(C845/B845,0)</f>
        <v>0</v>
      </c>
      <c r="F845" s="31" t="n">
        <f aca="false">SUMIFS(Trades!$X$2:$X$1146,Trades!$D$2:$D$1146,$A845)</f>
        <v>-2.52</v>
      </c>
      <c r="G845" s="31" t="n">
        <f aca="false">SUMIFS(Trades!$X$2:$X$1146,Trades!$D$2:$D$1146,$A845,Trades!$X$2:$X$1146,"&gt;0")</f>
        <v>0</v>
      </c>
      <c r="H845" s="31" t="n">
        <f aca="false">SUMIFS(Trades!$X$2:$X$1146,Trades!$D$2:$D$1146,$A845,Trades!$X$2:$X$1146,"&lt;0")</f>
        <v>-2.52</v>
      </c>
      <c r="I845" s="32" t="n">
        <f aca="false">IFERROR(G845/-H845,"no loss")</f>
        <v>0</v>
      </c>
      <c r="J845" s="31" t="n">
        <f aca="false">_xlfn.MAXIFS(Trades!$X$2:$X$1146,Trades!$D$2:$D$1146,$A845)</f>
        <v>-2.52</v>
      </c>
      <c r="K845" s="31" t="n">
        <f aca="false">_xlfn.MINIFS(Trades!$X$2:$X$1146,Trades!$D$2:$D$1146,$A845)</f>
        <v>-2.52</v>
      </c>
      <c r="L845" s="33" t="n">
        <f aca="false">SUMIFS(Trades!$Y$2:$Y$1146,Trades!$D$2:$D$1146,$A845)</f>
        <v>-0.104304635761637</v>
      </c>
      <c r="M845" s="31" t="n">
        <f aca="false">P844</f>
        <v>21316.44</v>
      </c>
      <c r="N845" s="30" t="n">
        <f aca="false">IFERROR(F845/M845,0)</f>
        <v>-0.00011821861436525</v>
      </c>
      <c r="O845" s="29" t="str">
        <f aca="false">IF(-N845&gt;=Summary!$C$7,"BREACH","")</f>
        <v/>
      </c>
      <c r="P845" s="31" t="n">
        <f aca="false">M845+F845</f>
        <v>21313.92</v>
      </c>
      <c r="Q845" s="31" t="n">
        <f aca="false">P845-Summary!$C$5</f>
        <v>11313.92</v>
      </c>
      <c r="R845" s="2" t="str">
        <f aca="false">TEXT(A845,"ddd")</f>
        <v>Mon</v>
      </c>
    </row>
    <row r="846" customFormat="false" ht="15" hidden="false" customHeight="false" outlineLevel="0" collapsed="false">
      <c r="A846" s="43" t="n">
        <v>46035</v>
      </c>
      <c r="B846" s="29" t="n">
        <f aca="false">COUNTIFS(Trades!$D$2:$D$1146,$A846)</f>
        <v>1</v>
      </c>
      <c r="C846" s="29" t="n">
        <f aca="false">COUNTIFS(Trades!$D$2:$D$1146,$A846,Trades!$Z$2:$Z$1146,"Win")</f>
        <v>0</v>
      </c>
      <c r="D846" s="29" t="n">
        <f aca="false">COUNTIFS(Trades!$D$2:$D$1146,$A846,Trades!$Z$2:$Z$1146,"Loss")</f>
        <v>1</v>
      </c>
      <c r="E846" s="30" t="n">
        <f aca="false">IFERROR(C846/B846,0)</f>
        <v>0</v>
      </c>
      <c r="F846" s="31" t="n">
        <f aca="false">SUMIFS(Trades!$X$2:$X$1146,Trades!$D$2:$D$1146,$A846)</f>
        <v>-138.56</v>
      </c>
      <c r="G846" s="31" t="n">
        <f aca="false">SUMIFS(Trades!$X$2:$X$1146,Trades!$D$2:$D$1146,$A846,Trades!$X$2:$X$1146,"&gt;0")</f>
        <v>0</v>
      </c>
      <c r="H846" s="31" t="n">
        <f aca="false">SUMIFS(Trades!$X$2:$X$1146,Trades!$D$2:$D$1146,$A846,Trades!$X$2:$X$1146,"&lt;0")</f>
        <v>-138.56</v>
      </c>
      <c r="I846" s="32" t="n">
        <f aca="false">IFERROR(G846/-H846,"no loss")</f>
        <v>0</v>
      </c>
      <c r="J846" s="31" t="n">
        <f aca="false">_xlfn.MAXIFS(Trades!$X$2:$X$1146,Trades!$D$2:$D$1146,$A846)</f>
        <v>-138.56</v>
      </c>
      <c r="K846" s="31" t="n">
        <f aca="false">_xlfn.MINIFS(Trades!$X$2:$X$1146,Trades!$D$2:$D$1146,$A846)</f>
        <v>-138.56</v>
      </c>
      <c r="L846" s="33" t="n">
        <f aca="false">SUMIFS(Trades!$Y$2:$Y$1146,Trades!$D$2:$D$1146,$A846)</f>
        <v>-1.02152757298732</v>
      </c>
      <c r="M846" s="31" t="n">
        <f aca="false">P845</f>
        <v>21313.92</v>
      </c>
      <c r="N846" s="30" t="n">
        <f aca="false">IFERROR(F846/M846,0)</f>
        <v>-0.0065009158334084</v>
      </c>
      <c r="O846" s="29" t="str">
        <f aca="false">IF(-N846&gt;=Summary!$C$7,"BREACH","")</f>
        <v/>
      </c>
      <c r="P846" s="31" t="n">
        <f aca="false">M846+F846</f>
        <v>21175.36</v>
      </c>
      <c r="Q846" s="31" t="n">
        <f aca="false">P846-Summary!$C$5</f>
        <v>11175.36</v>
      </c>
      <c r="R846" s="2" t="str">
        <f aca="false">TEXT(A846,"ddd")</f>
        <v>Tue</v>
      </c>
    </row>
    <row r="847" customFormat="false" ht="15" hidden="false" customHeight="false" outlineLevel="0" collapsed="false">
      <c r="A847" s="43" t="n">
        <v>46036</v>
      </c>
      <c r="B847" s="29" t="n">
        <f aca="false">COUNTIFS(Trades!$D$2:$D$1146,$A847)</f>
        <v>1</v>
      </c>
      <c r="C847" s="29" t="n">
        <f aca="false">COUNTIFS(Trades!$D$2:$D$1146,$A847,Trades!$Z$2:$Z$1146,"Win")</f>
        <v>1</v>
      </c>
      <c r="D847" s="29" t="n">
        <f aca="false">COUNTIFS(Trades!$D$2:$D$1146,$A847,Trades!$Z$2:$Z$1146,"Loss")</f>
        <v>0</v>
      </c>
      <c r="E847" s="30" t="n">
        <f aca="false">IFERROR(C847/B847,0)</f>
        <v>1</v>
      </c>
      <c r="F847" s="31" t="n">
        <f aca="false">SUMIFS(Trades!$X$2:$X$1146,Trades!$D$2:$D$1146,$A847)</f>
        <v>103.8</v>
      </c>
      <c r="G847" s="31" t="n">
        <f aca="false">SUMIFS(Trades!$X$2:$X$1146,Trades!$D$2:$D$1146,$A847,Trades!$X$2:$X$1146,"&gt;0")</f>
        <v>103.8</v>
      </c>
      <c r="H847" s="31" t="n">
        <f aca="false">SUMIFS(Trades!$X$2:$X$1146,Trades!$D$2:$D$1146,$A847,Trades!$X$2:$X$1146,"&lt;0")</f>
        <v>0</v>
      </c>
      <c r="I847" s="32" t="str">
        <f aca="false">IFERROR(G847/-H847,"no loss")</f>
        <v>no loss</v>
      </c>
      <c r="J847" s="31" t="n">
        <f aca="false">_xlfn.MAXIFS(Trades!$X$2:$X$1146,Trades!$D$2:$D$1146,$A847)</f>
        <v>103.8</v>
      </c>
      <c r="K847" s="31" t="n">
        <f aca="false">_xlfn.MINIFS(Trades!$X$2:$X$1146,Trades!$D$2:$D$1146,$A847)</f>
        <v>103.8</v>
      </c>
      <c r="L847" s="33" t="n">
        <f aca="false">SUMIFS(Trades!$Y$2:$Y$1146,Trades!$D$2:$D$1146,$A847)</f>
        <v>2.12183156173352</v>
      </c>
      <c r="M847" s="31" t="n">
        <f aca="false">P846</f>
        <v>21175.36</v>
      </c>
      <c r="N847" s="30" t="n">
        <f aca="false">IFERROR(F847/M847,0)</f>
        <v>0.0049019237453342</v>
      </c>
      <c r="O847" s="29" t="str">
        <f aca="false">IF(-N847&gt;=Summary!$C$7,"BREACH","")</f>
        <v/>
      </c>
      <c r="P847" s="31" t="n">
        <f aca="false">M847+F847</f>
        <v>21279.16</v>
      </c>
      <c r="Q847" s="31" t="n">
        <f aca="false">P847-Summary!$C$5</f>
        <v>11279.16</v>
      </c>
      <c r="R847" s="2" t="str">
        <f aca="false">TEXT(A847,"ddd")</f>
        <v>Wed</v>
      </c>
    </row>
    <row r="848" customFormat="false" ht="15" hidden="false" customHeight="false" outlineLevel="0" collapsed="false">
      <c r="A848" s="43" t="n">
        <v>46037</v>
      </c>
      <c r="B848" s="29" t="n">
        <f aca="false">COUNTIFS(Trades!$D$2:$D$1146,$A848)</f>
        <v>1</v>
      </c>
      <c r="C848" s="29" t="n">
        <f aca="false">COUNTIFS(Trades!$D$2:$D$1146,$A848,Trades!$Z$2:$Z$1146,"Win")</f>
        <v>1</v>
      </c>
      <c r="D848" s="29" t="n">
        <f aca="false">COUNTIFS(Trades!$D$2:$D$1146,$A848,Trades!$Z$2:$Z$1146,"Loss")</f>
        <v>0</v>
      </c>
      <c r="E848" s="30" t="n">
        <f aca="false">IFERROR(C848/B848,0)</f>
        <v>1</v>
      </c>
      <c r="F848" s="31" t="n">
        <f aca="false">SUMIFS(Trades!$X$2:$X$1146,Trades!$D$2:$D$1146,$A848)</f>
        <v>91.88</v>
      </c>
      <c r="G848" s="31" t="n">
        <f aca="false">SUMIFS(Trades!$X$2:$X$1146,Trades!$D$2:$D$1146,$A848,Trades!$X$2:$X$1146,"&gt;0")</f>
        <v>91.88</v>
      </c>
      <c r="H848" s="31" t="n">
        <f aca="false">SUMIFS(Trades!$X$2:$X$1146,Trades!$D$2:$D$1146,$A848,Trades!$X$2:$X$1146,"&lt;0")</f>
        <v>0</v>
      </c>
      <c r="I848" s="32" t="str">
        <f aca="false">IFERROR(G848/-H848,"no loss")</f>
        <v>no loss</v>
      </c>
      <c r="J848" s="31" t="n">
        <f aca="false">_xlfn.MAXIFS(Trades!$X$2:$X$1146,Trades!$D$2:$D$1146,$A848)</f>
        <v>91.88</v>
      </c>
      <c r="K848" s="31" t="n">
        <f aca="false">_xlfn.MINIFS(Trades!$X$2:$X$1146,Trades!$D$2:$D$1146,$A848)</f>
        <v>91.88</v>
      </c>
      <c r="L848" s="33" t="n">
        <f aca="false">SUMIFS(Trades!$Y$2:$Y$1146,Trades!$D$2:$D$1146,$A848)</f>
        <v>2.62814645308986</v>
      </c>
      <c r="M848" s="31" t="n">
        <f aca="false">P847</f>
        <v>21279.16</v>
      </c>
      <c r="N848" s="30" t="n">
        <f aca="false">IFERROR(F848/M848,0)</f>
        <v>0.00431783961396973</v>
      </c>
      <c r="O848" s="29" t="str">
        <f aca="false">IF(-N848&gt;=Summary!$C$7,"BREACH","")</f>
        <v/>
      </c>
      <c r="P848" s="31" t="n">
        <f aca="false">M848+F848</f>
        <v>21371.04</v>
      </c>
      <c r="Q848" s="31" t="n">
        <f aca="false">P848-Summary!$C$5</f>
        <v>11371.04</v>
      </c>
      <c r="R848" s="2" t="str">
        <f aca="false">TEXT(A848,"ddd")</f>
        <v>Thu</v>
      </c>
    </row>
    <row r="849" customFormat="false" ht="15" hidden="false" customHeight="false" outlineLevel="0" collapsed="false">
      <c r="A849" s="43" t="n">
        <v>46041</v>
      </c>
      <c r="B849" s="29" t="n">
        <f aca="false">COUNTIFS(Trades!$D$2:$D$1146,$A849)</f>
        <v>1</v>
      </c>
      <c r="C849" s="29" t="n">
        <f aca="false">COUNTIFS(Trades!$D$2:$D$1146,$A849,Trades!$Z$2:$Z$1146,"Win")</f>
        <v>1</v>
      </c>
      <c r="D849" s="29" t="n">
        <f aca="false">COUNTIFS(Trades!$D$2:$D$1146,$A849,Trades!$Z$2:$Z$1146,"Loss")</f>
        <v>0</v>
      </c>
      <c r="E849" s="30" t="n">
        <f aca="false">IFERROR(C849/B849,0)</f>
        <v>1</v>
      </c>
      <c r="F849" s="31" t="n">
        <f aca="false">SUMIFS(Trades!$X$2:$X$1146,Trades!$D$2:$D$1146,$A849)</f>
        <v>594.4</v>
      </c>
      <c r="G849" s="31" t="n">
        <f aca="false">SUMIFS(Trades!$X$2:$X$1146,Trades!$D$2:$D$1146,$A849,Trades!$X$2:$X$1146,"&gt;0")</f>
        <v>594.4</v>
      </c>
      <c r="H849" s="31" t="n">
        <f aca="false">SUMIFS(Trades!$X$2:$X$1146,Trades!$D$2:$D$1146,$A849,Trades!$X$2:$X$1146,"&lt;0")</f>
        <v>0</v>
      </c>
      <c r="I849" s="32" t="str">
        <f aca="false">IFERROR(G849/-H849,"no loss")</f>
        <v>no loss</v>
      </c>
      <c r="J849" s="31" t="n">
        <f aca="false">_xlfn.MAXIFS(Trades!$X$2:$X$1146,Trades!$D$2:$D$1146,$A849)</f>
        <v>594.4</v>
      </c>
      <c r="K849" s="31" t="n">
        <f aca="false">_xlfn.MINIFS(Trades!$X$2:$X$1146,Trades!$D$2:$D$1146,$A849)</f>
        <v>594.4</v>
      </c>
      <c r="L849" s="33" t="n">
        <f aca="false">SUMIFS(Trades!$Y$2:$Y$1146,Trades!$D$2:$D$1146,$A849)</f>
        <v>2.43926460932363</v>
      </c>
      <c r="M849" s="31" t="n">
        <f aca="false">P848</f>
        <v>21371.04</v>
      </c>
      <c r="N849" s="30" t="n">
        <f aca="false">IFERROR(F849/M849,0)</f>
        <v>0.0278133399216884</v>
      </c>
      <c r="O849" s="29" t="str">
        <f aca="false">IF(-N849&gt;=Summary!$C$7,"BREACH","")</f>
        <v/>
      </c>
      <c r="P849" s="31" t="n">
        <f aca="false">M849+F849</f>
        <v>21965.44</v>
      </c>
      <c r="Q849" s="31" t="n">
        <f aca="false">P849-Summary!$C$5</f>
        <v>11965.44</v>
      </c>
      <c r="R849" s="2" t="str">
        <f aca="false">TEXT(A849,"ddd")</f>
        <v>Mon</v>
      </c>
    </row>
    <row r="850" customFormat="false" ht="15" hidden="false" customHeight="false" outlineLevel="0" collapsed="false">
      <c r="A850" s="43" t="n">
        <v>46042</v>
      </c>
      <c r="B850" s="29" t="n">
        <f aca="false">COUNTIFS(Trades!$D$2:$D$1146,$A850)</f>
        <v>1</v>
      </c>
      <c r="C850" s="29" t="n">
        <f aca="false">COUNTIFS(Trades!$D$2:$D$1146,$A850,Trades!$Z$2:$Z$1146,"Win")</f>
        <v>0</v>
      </c>
      <c r="D850" s="29" t="n">
        <f aca="false">COUNTIFS(Trades!$D$2:$D$1146,$A850,Trades!$Z$2:$Z$1146,"Loss")</f>
        <v>1</v>
      </c>
      <c r="E850" s="30" t="n">
        <f aca="false">IFERROR(C850/B850,0)</f>
        <v>0</v>
      </c>
      <c r="F850" s="31" t="n">
        <f aca="false">SUMIFS(Trades!$X$2:$X$1146,Trades!$D$2:$D$1146,$A850)</f>
        <v>-80.2</v>
      </c>
      <c r="G850" s="31" t="n">
        <f aca="false">SUMIFS(Trades!$X$2:$X$1146,Trades!$D$2:$D$1146,$A850,Trades!$X$2:$X$1146,"&gt;0")</f>
        <v>0</v>
      </c>
      <c r="H850" s="31" t="n">
        <f aca="false">SUMIFS(Trades!$X$2:$X$1146,Trades!$D$2:$D$1146,$A850,Trades!$X$2:$X$1146,"&lt;0")</f>
        <v>-80.2</v>
      </c>
      <c r="I850" s="32" t="n">
        <f aca="false">IFERROR(G850/-H850,"no loss")</f>
        <v>0</v>
      </c>
      <c r="J850" s="31" t="n">
        <f aca="false">_xlfn.MAXIFS(Trades!$X$2:$X$1146,Trades!$D$2:$D$1146,$A850)</f>
        <v>-80.2</v>
      </c>
      <c r="K850" s="31" t="n">
        <f aca="false">_xlfn.MINIFS(Trades!$X$2:$X$1146,Trades!$D$2:$D$1146,$A850)</f>
        <v>-80.2</v>
      </c>
      <c r="L850" s="33" t="n">
        <f aca="false">SUMIFS(Trades!$Y$2:$Y$1146,Trades!$D$2:$D$1146,$A850)</f>
        <v>-1.00099850224669</v>
      </c>
      <c r="M850" s="31" t="n">
        <f aca="false">P849</f>
        <v>21965.44</v>
      </c>
      <c r="N850" s="30" t="n">
        <f aca="false">IFERROR(F850/M850,0)</f>
        <v>-0.00365119023338481</v>
      </c>
      <c r="O850" s="29" t="str">
        <f aca="false">IF(-N850&gt;=Summary!$C$7,"BREACH","")</f>
        <v/>
      </c>
      <c r="P850" s="31" t="n">
        <f aca="false">M850+F850</f>
        <v>21885.24</v>
      </c>
      <c r="Q850" s="31" t="n">
        <f aca="false">P850-Summary!$C$5</f>
        <v>11885.24</v>
      </c>
      <c r="R850" s="2" t="str">
        <f aca="false">TEXT(A850,"ddd")</f>
        <v>Tue</v>
      </c>
    </row>
    <row r="851" customFormat="false" ht="15" hidden="false" customHeight="false" outlineLevel="0" collapsed="false">
      <c r="A851" s="43" t="n">
        <v>46043</v>
      </c>
      <c r="B851" s="29" t="n">
        <f aca="false">COUNTIFS(Trades!$D$2:$D$1146,$A851)</f>
        <v>2</v>
      </c>
      <c r="C851" s="29" t="n">
        <f aca="false">COUNTIFS(Trades!$D$2:$D$1146,$A851,Trades!$Z$2:$Z$1146,"Win")</f>
        <v>2</v>
      </c>
      <c r="D851" s="29" t="n">
        <f aca="false">COUNTIFS(Trades!$D$2:$D$1146,$A851,Trades!$Z$2:$Z$1146,"Loss")</f>
        <v>0</v>
      </c>
      <c r="E851" s="30" t="n">
        <f aca="false">IFERROR(C851/B851,0)</f>
        <v>1</v>
      </c>
      <c r="F851" s="31" t="n">
        <f aca="false">SUMIFS(Trades!$X$2:$X$1146,Trades!$D$2:$D$1146,$A851)</f>
        <v>317.48</v>
      </c>
      <c r="G851" s="31" t="n">
        <f aca="false">SUMIFS(Trades!$X$2:$X$1146,Trades!$D$2:$D$1146,$A851,Trades!$X$2:$X$1146,"&gt;0")</f>
        <v>317.48</v>
      </c>
      <c r="H851" s="31" t="n">
        <f aca="false">SUMIFS(Trades!$X$2:$X$1146,Trades!$D$2:$D$1146,$A851,Trades!$X$2:$X$1146,"&lt;0")</f>
        <v>0</v>
      </c>
      <c r="I851" s="32" t="str">
        <f aca="false">IFERROR(G851/-H851,"no loss")</f>
        <v>no loss</v>
      </c>
      <c r="J851" s="31" t="n">
        <f aca="false">_xlfn.MAXIFS(Trades!$X$2:$X$1146,Trades!$D$2:$D$1146,$A851)</f>
        <v>177.92</v>
      </c>
      <c r="K851" s="31" t="n">
        <f aca="false">_xlfn.MINIFS(Trades!$X$2:$X$1146,Trades!$D$2:$D$1146,$A851)</f>
        <v>139.56</v>
      </c>
      <c r="L851" s="33" t="n">
        <f aca="false">SUMIFS(Trades!$Y$2:$Y$1146,Trades!$D$2:$D$1146,$A851)</f>
        <v>4.90683573284986</v>
      </c>
      <c r="M851" s="31" t="n">
        <f aca="false">P850</f>
        <v>21885.24</v>
      </c>
      <c r="N851" s="30" t="n">
        <f aca="false">IFERROR(F851/M851,0)</f>
        <v>0.0145065806909131</v>
      </c>
      <c r="O851" s="29" t="str">
        <f aca="false">IF(-N851&gt;=Summary!$C$7,"BREACH","")</f>
        <v/>
      </c>
      <c r="P851" s="31" t="n">
        <f aca="false">M851+F851</f>
        <v>22202.72</v>
      </c>
      <c r="Q851" s="31" t="n">
        <f aca="false">P851-Summary!$C$5</f>
        <v>12202.72</v>
      </c>
      <c r="R851" s="2" t="str">
        <f aca="false">TEXT(A851,"ddd")</f>
        <v>Wed</v>
      </c>
    </row>
    <row r="852" customFormat="false" ht="15" hidden="false" customHeight="false" outlineLevel="0" collapsed="false">
      <c r="A852" s="43" t="n">
        <v>46044</v>
      </c>
      <c r="B852" s="29" t="n">
        <f aca="false">COUNTIFS(Trades!$D$2:$D$1146,$A852)</f>
        <v>1</v>
      </c>
      <c r="C852" s="29" t="n">
        <f aca="false">COUNTIFS(Trades!$D$2:$D$1146,$A852,Trades!$Z$2:$Z$1146,"Win")</f>
        <v>0</v>
      </c>
      <c r="D852" s="29" t="n">
        <f aca="false">COUNTIFS(Trades!$D$2:$D$1146,$A852,Trades!$Z$2:$Z$1146,"Loss")</f>
        <v>1</v>
      </c>
      <c r="E852" s="30" t="n">
        <f aca="false">IFERROR(C852/B852,0)</f>
        <v>0</v>
      </c>
      <c r="F852" s="31" t="n">
        <f aca="false">SUMIFS(Trades!$X$2:$X$1146,Trades!$D$2:$D$1146,$A852)</f>
        <v>-44.2</v>
      </c>
      <c r="G852" s="31" t="n">
        <f aca="false">SUMIFS(Trades!$X$2:$X$1146,Trades!$D$2:$D$1146,$A852,Trades!$X$2:$X$1146,"&gt;0")</f>
        <v>0</v>
      </c>
      <c r="H852" s="31" t="n">
        <f aca="false">SUMIFS(Trades!$X$2:$X$1146,Trades!$D$2:$D$1146,$A852,Trades!$X$2:$X$1146,"&lt;0")</f>
        <v>-44.2</v>
      </c>
      <c r="I852" s="32" t="n">
        <f aca="false">IFERROR(G852/-H852,"no loss")</f>
        <v>0</v>
      </c>
      <c r="J852" s="31" t="n">
        <f aca="false">_xlfn.MAXIFS(Trades!$X$2:$X$1146,Trades!$D$2:$D$1146,$A852)</f>
        <v>-44.2</v>
      </c>
      <c r="K852" s="31" t="n">
        <f aca="false">_xlfn.MINIFS(Trades!$X$2:$X$1146,Trades!$D$2:$D$1146,$A852)</f>
        <v>-44.2</v>
      </c>
      <c r="L852" s="33" t="n">
        <f aca="false">SUMIFS(Trades!$Y$2:$Y$1146,Trades!$D$2:$D$1146,$A852)</f>
        <v>-1.02982292637434</v>
      </c>
      <c r="M852" s="31" t="n">
        <f aca="false">P851</f>
        <v>22202.72</v>
      </c>
      <c r="N852" s="30" t="n">
        <f aca="false">IFERROR(F852/M852,0)</f>
        <v>-0.00199074707963709</v>
      </c>
      <c r="O852" s="29" t="str">
        <f aca="false">IF(-N852&gt;=Summary!$C$7,"BREACH","")</f>
        <v/>
      </c>
      <c r="P852" s="31" t="n">
        <f aca="false">M852+F852</f>
        <v>22158.52</v>
      </c>
      <c r="Q852" s="31" t="n">
        <f aca="false">P852-Summary!$C$5</f>
        <v>12158.52</v>
      </c>
      <c r="R852" s="2" t="str">
        <f aca="false">TEXT(A852,"ddd")</f>
        <v>Thu</v>
      </c>
    </row>
    <row r="853" customFormat="false" ht="15" hidden="false" customHeight="false" outlineLevel="0" collapsed="false">
      <c r="A853" s="43" t="n">
        <v>46045</v>
      </c>
      <c r="B853" s="29" t="n">
        <f aca="false">COUNTIFS(Trades!$D$2:$D$1146,$A853)</f>
        <v>1</v>
      </c>
      <c r="C853" s="29" t="n">
        <f aca="false">COUNTIFS(Trades!$D$2:$D$1146,$A853,Trades!$Z$2:$Z$1146,"Win")</f>
        <v>1</v>
      </c>
      <c r="D853" s="29" t="n">
        <f aca="false">COUNTIFS(Trades!$D$2:$D$1146,$A853,Trades!$Z$2:$Z$1146,"Loss")</f>
        <v>0</v>
      </c>
      <c r="E853" s="30" t="n">
        <f aca="false">IFERROR(C853/B853,0)</f>
        <v>1</v>
      </c>
      <c r="F853" s="31" t="n">
        <f aca="false">SUMIFS(Trades!$X$2:$X$1146,Trades!$D$2:$D$1146,$A853)</f>
        <v>235.48</v>
      </c>
      <c r="G853" s="31" t="n">
        <f aca="false">SUMIFS(Trades!$X$2:$X$1146,Trades!$D$2:$D$1146,$A853,Trades!$X$2:$X$1146,"&gt;0")</f>
        <v>235.48</v>
      </c>
      <c r="H853" s="31" t="n">
        <f aca="false">SUMIFS(Trades!$X$2:$X$1146,Trades!$D$2:$D$1146,$A853,Trades!$X$2:$X$1146,"&lt;0")</f>
        <v>0</v>
      </c>
      <c r="I853" s="32" t="str">
        <f aca="false">IFERROR(G853/-H853,"no loss")</f>
        <v>no loss</v>
      </c>
      <c r="J853" s="31" t="n">
        <f aca="false">_xlfn.MAXIFS(Trades!$X$2:$X$1146,Trades!$D$2:$D$1146,$A853)</f>
        <v>235.48</v>
      </c>
      <c r="K853" s="31" t="n">
        <f aca="false">_xlfn.MINIFS(Trades!$X$2:$X$1146,Trades!$D$2:$D$1146,$A853)</f>
        <v>235.48</v>
      </c>
      <c r="L853" s="33" t="n">
        <f aca="false">SUMIFS(Trades!$Y$2:$Y$1146,Trades!$D$2:$D$1146,$A853)</f>
        <v>2.51473729175568</v>
      </c>
      <c r="M853" s="31" t="n">
        <f aca="false">P852</f>
        <v>22158.52</v>
      </c>
      <c r="N853" s="30" t="n">
        <f aca="false">IFERROR(F853/M853,0)</f>
        <v>0.0106270635403448</v>
      </c>
      <c r="O853" s="29" t="str">
        <f aca="false">IF(-N853&gt;=Summary!$C$7,"BREACH","")</f>
        <v/>
      </c>
      <c r="P853" s="31" t="n">
        <f aca="false">M853+F853</f>
        <v>22394</v>
      </c>
      <c r="Q853" s="31" t="n">
        <f aca="false">P853-Summary!$C$5</f>
        <v>12394</v>
      </c>
      <c r="R853" s="2" t="str">
        <f aca="false">TEXT(A853,"ddd")</f>
        <v>Fri</v>
      </c>
    </row>
    <row r="854" customFormat="false" ht="15" hidden="false" customHeight="false" outlineLevel="0" collapsed="false">
      <c r="A854" s="43" t="n">
        <v>46048</v>
      </c>
      <c r="B854" s="29" t="n">
        <f aca="false">COUNTIFS(Trades!$D$2:$D$1146,$A854)</f>
        <v>2</v>
      </c>
      <c r="C854" s="29" t="n">
        <f aca="false">COUNTIFS(Trades!$D$2:$D$1146,$A854,Trades!$Z$2:$Z$1146,"Win")</f>
        <v>0</v>
      </c>
      <c r="D854" s="29" t="n">
        <f aca="false">COUNTIFS(Trades!$D$2:$D$1146,$A854,Trades!$Z$2:$Z$1146,"Loss")</f>
        <v>2</v>
      </c>
      <c r="E854" s="30" t="n">
        <f aca="false">IFERROR(C854/B854,0)</f>
        <v>0</v>
      </c>
      <c r="F854" s="31" t="n">
        <f aca="false">SUMIFS(Trades!$X$2:$X$1146,Trades!$D$2:$D$1146,$A854)</f>
        <v>-320.64</v>
      </c>
      <c r="G854" s="31" t="n">
        <f aca="false">SUMIFS(Trades!$X$2:$X$1146,Trades!$D$2:$D$1146,$A854,Trades!$X$2:$X$1146,"&gt;0")</f>
        <v>0</v>
      </c>
      <c r="H854" s="31" t="n">
        <f aca="false">SUMIFS(Trades!$X$2:$X$1146,Trades!$D$2:$D$1146,$A854,Trades!$X$2:$X$1146,"&lt;0")</f>
        <v>-320.64</v>
      </c>
      <c r="I854" s="32" t="n">
        <f aca="false">IFERROR(G854/-H854,"no loss")</f>
        <v>0</v>
      </c>
      <c r="J854" s="31" t="n">
        <f aca="false">_xlfn.MAXIFS(Trades!$X$2:$X$1146,Trades!$D$2:$D$1146,$A854)</f>
        <v>-72.56</v>
      </c>
      <c r="K854" s="31" t="n">
        <f aca="false">_xlfn.MINIFS(Trades!$X$2:$X$1146,Trades!$D$2:$D$1146,$A854)</f>
        <v>-248.08</v>
      </c>
      <c r="L854" s="33" t="n">
        <f aca="false">SUMIFS(Trades!$Y$2:$Y$1146,Trades!$D$2:$D$1146,$A854)</f>
        <v>-2.02438148000423</v>
      </c>
      <c r="M854" s="31" t="n">
        <f aca="false">P853</f>
        <v>22394</v>
      </c>
      <c r="N854" s="30" t="n">
        <f aca="false">IFERROR(F854/M854,0)</f>
        <v>-0.0143181209252478</v>
      </c>
      <c r="O854" s="29" t="str">
        <f aca="false">IF(-N854&gt;=Summary!$C$7,"BREACH","")</f>
        <v/>
      </c>
      <c r="P854" s="31" t="n">
        <f aca="false">M854+F854</f>
        <v>22073.36</v>
      </c>
      <c r="Q854" s="31" t="n">
        <f aca="false">P854-Summary!$C$5</f>
        <v>12073.36</v>
      </c>
      <c r="R854" s="2" t="str">
        <f aca="false">TEXT(A854,"ddd")</f>
        <v>Mon</v>
      </c>
    </row>
    <row r="855" customFormat="false" ht="15" hidden="false" customHeight="false" outlineLevel="0" collapsed="false">
      <c r="A855" s="43" t="n">
        <v>46049</v>
      </c>
      <c r="B855" s="29" t="n">
        <f aca="false">COUNTIFS(Trades!$D$2:$D$1146,$A855)</f>
        <v>1</v>
      </c>
      <c r="C855" s="29" t="n">
        <f aca="false">COUNTIFS(Trades!$D$2:$D$1146,$A855,Trades!$Z$2:$Z$1146,"Win")</f>
        <v>1</v>
      </c>
      <c r="D855" s="29" t="n">
        <f aca="false">COUNTIFS(Trades!$D$2:$D$1146,$A855,Trades!$Z$2:$Z$1146,"Loss")</f>
        <v>0</v>
      </c>
      <c r="E855" s="30" t="n">
        <f aca="false">IFERROR(C855/B855,0)</f>
        <v>1</v>
      </c>
      <c r="F855" s="31" t="n">
        <f aca="false">SUMIFS(Trades!$X$2:$X$1146,Trades!$D$2:$D$1146,$A855)</f>
        <v>35.44</v>
      </c>
      <c r="G855" s="31" t="n">
        <f aca="false">SUMIFS(Trades!$X$2:$X$1146,Trades!$D$2:$D$1146,$A855,Trades!$X$2:$X$1146,"&gt;0")</f>
        <v>35.44</v>
      </c>
      <c r="H855" s="31" t="n">
        <f aca="false">SUMIFS(Trades!$X$2:$X$1146,Trades!$D$2:$D$1146,$A855,Trades!$X$2:$X$1146,"&lt;0")</f>
        <v>0</v>
      </c>
      <c r="I855" s="32" t="str">
        <f aca="false">IFERROR(G855/-H855,"no loss")</f>
        <v>no loss</v>
      </c>
      <c r="J855" s="31" t="n">
        <f aca="false">_xlfn.MAXIFS(Trades!$X$2:$X$1146,Trades!$D$2:$D$1146,$A855)</f>
        <v>35.44</v>
      </c>
      <c r="K855" s="31" t="n">
        <f aca="false">_xlfn.MINIFS(Trades!$X$2:$X$1146,Trades!$D$2:$D$1146,$A855)</f>
        <v>35.44</v>
      </c>
      <c r="L855" s="33" t="n">
        <f aca="false">SUMIFS(Trades!$Y$2:$Y$1146,Trades!$D$2:$D$1146,$A855)</f>
        <v>2.98316498316381</v>
      </c>
      <c r="M855" s="31" t="n">
        <f aca="false">P854</f>
        <v>22073.36</v>
      </c>
      <c r="N855" s="30" t="n">
        <f aca="false">IFERROR(F855/M855,0)</f>
        <v>0.00160555529380212</v>
      </c>
      <c r="O855" s="29" t="str">
        <f aca="false">IF(-N855&gt;=Summary!$C$7,"BREACH","")</f>
        <v/>
      </c>
      <c r="P855" s="31" t="n">
        <f aca="false">M855+F855</f>
        <v>22108.8</v>
      </c>
      <c r="Q855" s="31" t="n">
        <f aca="false">P855-Summary!$C$5</f>
        <v>12108.8</v>
      </c>
      <c r="R855" s="2" t="str">
        <f aca="false">TEXT(A855,"ddd")</f>
        <v>Tue</v>
      </c>
    </row>
    <row r="856" customFormat="false" ht="15" hidden="false" customHeight="false" outlineLevel="0" collapsed="false">
      <c r="A856" s="43" t="n">
        <v>46050</v>
      </c>
      <c r="B856" s="29" t="n">
        <f aca="false">COUNTIFS(Trades!$D$2:$D$1146,$A856)</f>
        <v>1</v>
      </c>
      <c r="C856" s="29" t="n">
        <f aca="false">COUNTIFS(Trades!$D$2:$D$1146,$A856,Trades!$Z$2:$Z$1146,"Win")</f>
        <v>1</v>
      </c>
      <c r="D856" s="29" t="n">
        <f aca="false">COUNTIFS(Trades!$D$2:$D$1146,$A856,Trades!$Z$2:$Z$1146,"Loss")</f>
        <v>0</v>
      </c>
      <c r="E856" s="30" t="n">
        <f aca="false">IFERROR(C856/B856,0)</f>
        <v>1</v>
      </c>
      <c r="F856" s="31" t="n">
        <f aca="false">SUMIFS(Trades!$X$2:$X$1146,Trades!$D$2:$D$1146,$A856)</f>
        <v>148.76</v>
      </c>
      <c r="G856" s="31" t="n">
        <f aca="false">SUMIFS(Trades!$X$2:$X$1146,Trades!$D$2:$D$1146,$A856,Trades!$X$2:$X$1146,"&gt;0")</f>
        <v>148.76</v>
      </c>
      <c r="H856" s="31" t="n">
        <f aca="false">SUMIFS(Trades!$X$2:$X$1146,Trades!$D$2:$D$1146,$A856,Trades!$X$2:$X$1146,"&lt;0")</f>
        <v>0</v>
      </c>
      <c r="I856" s="32" t="str">
        <f aca="false">IFERROR(G856/-H856,"no loss")</f>
        <v>no loss</v>
      </c>
      <c r="J856" s="31" t="n">
        <f aca="false">_xlfn.MAXIFS(Trades!$X$2:$X$1146,Trades!$D$2:$D$1146,$A856)</f>
        <v>148.76</v>
      </c>
      <c r="K856" s="31" t="n">
        <f aca="false">_xlfn.MINIFS(Trades!$X$2:$X$1146,Trades!$D$2:$D$1146,$A856)</f>
        <v>148.76</v>
      </c>
      <c r="L856" s="33" t="n">
        <f aca="false">SUMIFS(Trades!$Y$2:$Y$1146,Trades!$D$2:$D$1146,$A856)</f>
        <v>2.45640686922011</v>
      </c>
      <c r="M856" s="31" t="n">
        <f aca="false">P855</f>
        <v>22108.8</v>
      </c>
      <c r="N856" s="30" t="n">
        <f aca="false">IFERROR(F856/M856,0)</f>
        <v>0.00672854248082212</v>
      </c>
      <c r="O856" s="29" t="str">
        <f aca="false">IF(-N856&gt;=Summary!$C$7,"BREACH","")</f>
        <v/>
      </c>
      <c r="P856" s="31" t="n">
        <f aca="false">M856+F856</f>
        <v>22257.56</v>
      </c>
      <c r="Q856" s="31" t="n">
        <f aca="false">P856-Summary!$C$5</f>
        <v>12257.56</v>
      </c>
      <c r="R856" s="2" t="str">
        <f aca="false">TEXT(A856,"ddd")</f>
        <v>Wed</v>
      </c>
    </row>
    <row r="857" customFormat="false" ht="15" hidden="false" customHeight="false" outlineLevel="0" collapsed="false">
      <c r="A857" s="43" t="n">
        <v>46051</v>
      </c>
      <c r="B857" s="29" t="n">
        <f aca="false">COUNTIFS(Trades!$D$2:$D$1146,$A857)</f>
        <v>1</v>
      </c>
      <c r="C857" s="29" t="n">
        <f aca="false">COUNTIFS(Trades!$D$2:$D$1146,$A857,Trades!$Z$2:$Z$1146,"Win")</f>
        <v>1</v>
      </c>
      <c r="D857" s="29" t="n">
        <f aca="false">COUNTIFS(Trades!$D$2:$D$1146,$A857,Trades!$Z$2:$Z$1146,"Loss")</f>
        <v>0</v>
      </c>
      <c r="E857" s="30" t="n">
        <f aca="false">IFERROR(C857/B857,0)</f>
        <v>1</v>
      </c>
      <c r="F857" s="31" t="n">
        <f aca="false">SUMIFS(Trades!$X$2:$X$1146,Trades!$D$2:$D$1146,$A857)</f>
        <v>292.4</v>
      </c>
      <c r="G857" s="31" t="n">
        <f aca="false">SUMIFS(Trades!$X$2:$X$1146,Trades!$D$2:$D$1146,$A857,Trades!$X$2:$X$1146,"&gt;0")</f>
        <v>292.4</v>
      </c>
      <c r="H857" s="31" t="n">
        <f aca="false">SUMIFS(Trades!$X$2:$X$1146,Trades!$D$2:$D$1146,$A857,Trades!$X$2:$X$1146,"&lt;0")</f>
        <v>0</v>
      </c>
      <c r="I857" s="32" t="str">
        <f aca="false">IFERROR(G857/-H857,"no loss")</f>
        <v>no loss</v>
      </c>
      <c r="J857" s="31" t="n">
        <f aca="false">_xlfn.MAXIFS(Trades!$X$2:$X$1146,Trades!$D$2:$D$1146,$A857)</f>
        <v>292.4</v>
      </c>
      <c r="K857" s="31" t="n">
        <f aca="false">_xlfn.MINIFS(Trades!$X$2:$X$1146,Trades!$D$2:$D$1146,$A857)</f>
        <v>292.4</v>
      </c>
      <c r="L857" s="33" t="n">
        <f aca="false">SUMIFS(Trades!$Y$2:$Y$1146,Trades!$D$2:$D$1146,$A857)</f>
        <v>2.39123323519793</v>
      </c>
      <c r="M857" s="31" t="n">
        <f aca="false">P856</f>
        <v>22257.56</v>
      </c>
      <c r="N857" s="30" t="n">
        <f aca="false">IFERROR(F857/M857,0)</f>
        <v>0.0131371093686819</v>
      </c>
      <c r="O857" s="29" t="str">
        <f aca="false">IF(-N857&gt;=Summary!$C$7,"BREACH","")</f>
        <v/>
      </c>
      <c r="P857" s="31" t="n">
        <f aca="false">M857+F857</f>
        <v>22549.96</v>
      </c>
      <c r="Q857" s="31" t="n">
        <f aca="false">P857-Summary!$C$5</f>
        <v>12549.96</v>
      </c>
      <c r="R857" s="2" t="str">
        <f aca="false">TEXT(A857,"ddd")</f>
        <v>Thu</v>
      </c>
    </row>
    <row r="858" customFormat="false" ht="15" hidden="false" customHeight="false" outlineLevel="0" collapsed="false">
      <c r="A858" s="43" t="n">
        <v>46055</v>
      </c>
      <c r="B858" s="29" t="n">
        <f aca="false">COUNTIFS(Trades!$D$2:$D$1146,$A858)</f>
        <v>1</v>
      </c>
      <c r="C858" s="29" t="n">
        <f aca="false">COUNTIFS(Trades!$D$2:$D$1146,$A858,Trades!$Z$2:$Z$1146,"Win")</f>
        <v>1</v>
      </c>
      <c r="D858" s="29" t="n">
        <f aca="false">COUNTIFS(Trades!$D$2:$D$1146,$A858,Trades!$Z$2:$Z$1146,"Loss")</f>
        <v>0</v>
      </c>
      <c r="E858" s="30" t="n">
        <f aca="false">IFERROR(C858/B858,0)</f>
        <v>1</v>
      </c>
      <c r="F858" s="31" t="n">
        <f aca="false">SUMIFS(Trades!$X$2:$X$1146,Trades!$D$2:$D$1146,$A858)</f>
        <v>365.04</v>
      </c>
      <c r="G858" s="31" t="n">
        <f aca="false">SUMIFS(Trades!$X$2:$X$1146,Trades!$D$2:$D$1146,$A858,Trades!$X$2:$X$1146,"&gt;0")</f>
        <v>365.04</v>
      </c>
      <c r="H858" s="31" t="n">
        <f aca="false">SUMIFS(Trades!$X$2:$X$1146,Trades!$D$2:$D$1146,$A858,Trades!$X$2:$X$1146,"&lt;0")</f>
        <v>0</v>
      </c>
      <c r="I858" s="32" t="str">
        <f aca="false">IFERROR(G858/-H858,"no loss")</f>
        <v>no loss</v>
      </c>
      <c r="J858" s="31" t="n">
        <f aca="false">_xlfn.MAXIFS(Trades!$X$2:$X$1146,Trades!$D$2:$D$1146,$A858)</f>
        <v>365.04</v>
      </c>
      <c r="K858" s="31" t="n">
        <f aca="false">_xlfn.MINIFS(Trades!$X$2:$X$1146,Trades!$D$2:$D$1146,$A858)</f>
        <v>365.04</v>
      </c>
      <c r="L858" s="33" t="n">
        <f aca="false">SUMIFS(Trades!$Y$2:$Y$1146,Trades!$D$2:$D$1146,$A858)</f>
        <v>2.30280090840288</v>
      </c>
      <c r="M858" s="31" t="n">
        <f aca="false">P857</f>
        <v>22549.96</v>
      </c>
      <c r="N858" s="30" t="n">
        <f aca="false">IFERROR(F858/M858,0)</f>
        <v>0.0161880553224928</v>
      </c>
      <c r="O858" s="29" t="str">
        <f aca="false">IF(-N858&gt;=Summary!$C$7,"BREACH","")</f>
        <v/>
      </c>
      <c r="P858" s="31" t="n">
        <f aca="false">M858+F858</f>
        <v>22915</v>
      </c>
      <c r="Q858" s="31" t="n">
        <f aca="false">P858-Summary!$C$5</f>
        <v>12915</v>
      </c>
      <c r="R858" s="2" t="str">
        <f aca="false">TEXT(A858,"ddd")</f>
        <v>Mon</v>
      </c>
    </row>
    <row r="859" customFormat="false" ht="15" hidden="false" customHeight="false" outlineLevel="0" collapsed="false">
      <c r="A859" s="43" t="n">
        <v>46056</v>
      </c>
      <c r="B859" s="29" t="n">
        <f aca="false">COUNTIFS(Trades!$D$2:$D$1146,$A859)</f>
        <v>1</v>
      </c>
      <c r="C859" s="29" t="n">
        <f aca="false">COUNTIFS(Trades!$D$2:$D$1146,$A859,Trades!$Z$2:$Z$1146,"Win")</f>
        <v>0</v>
      </c>
      <c r="D859" s="29" t="n">
        <f aca="false">COUNTIFS(Trades!$D$2:$D$1146,$A859,Trades!$Z$2:$Z$1146,"Loss")</f>
        <v>1</v>
      </c>
      <c r="E859" s="30" t="n">
        <f aca="false">IFERROR(C859/B859,0)</f>
        <v>0</v>
      </c>
      <c r="F859" s="31" t="n">
        <f aca="false">SUMIFS(Trades!$X$2:$X$1146,Trades!$D$2:$D$1146,$A859)</f>
        <v>-32.6</v>
      </c>
      <c r="G859" s="31" t="n">
        <f aca="false">SUMIFS(Trades!$X$2:$X$1146,Trades!$D$2:$D$1146,$A859,Trades!$X$2:$X$1146,"&gt;0")</f>
        <v>0</v>
      </c>
      <c r="H859" s="31" t="n">
        <f aca="false">SUMIFS(Trades!$X$2:$X$1146,Trades!$D$2:$D$1146,$A859,Trades!$X$2:$X$1146,"&lt;0")</f>
        <v>-32.6</v>
      </c>
      <c r="I859" s="32" t="n">
        <f aca="false">IFERROR(G859/-H859,"no loss")</f>
        <v>0</v>
      </c>
      <c r="J859" s="31" t="n">
        <f aca="false">_xlfn.MAXIFS(Trades!$X$2:$X$1146,Trades!$D$2:$D$1146,$A859)</f>
        <v>-32.6</v>
      </c>
      <c r="K859" s="31" t="n">
        <f aca="false">_xlfn.MINIFS(Trades!$X$2:$X$1146,Trades!$D$2:$D$1146,$A859)</f>
        <v>-32.6</v>
      </c>
      <c r="L859" s="33" t="n">
        <f aca="false">SUMIFS(Trades!$Y$2:$Y$1146,Trades!$D$2:$D$1146,$A859)</f>
        <v>-1.00617283950635</v>
      </c>
      <c r="M859" s="31" t="n">
        <f aca="false">P858</f>
        <v>22915</v>
      </c>
      <c r="N859" s="30" t="n">
        <f aca="false">IFERROR(F859/M859,0)</f>
        <v>-0.00142264891992145</v>
      </c>
      <c r="O859" s="29" t="str">
        <f aca="false">IF(-N859&gt;=Summary!$C$7,"BREACH","")</f>
        <v/>
      </c>
      <c r="P859" s="31" t="n">
        <f aca="false">M859+F859</f>
        <v>22882.4</v>
      </c>
      <c r="Q859" s="31" t="n">
        <f aca="false">P859-Summary!$C$5</f>
        <v>12882.4</v>
      </c>
      <c r="R859" s="2" t="str">
        <f aca="false">TEXT(A859,"ddd")</f>
        <v>Tue</v>
      </c>
    </row>
    <row r="860" customFormat="false" ht="15" hidden="false" customHeight="false" outlineLevel="0" collapsed="false">
      <c r="A860" s="43" t="n">
        <v>46057</v>
      </c>
      <c r="B860" s="29" t="n">
        <f aca="false">COUNTIFS(Trades!$D$2:$D$1146,$A860)</f>
        <v>1</v>
      </c>
      <c r="C860" s="29" t="n">
        <f aca="false">COUNTIFS(Trades!$D$2:$D$1146,$A860,Trades!$Z$2:$Z$1146,"Win")</f>
        <v>0</v>
      </c>
      <c r="D860" s="29" t="n">
        <f aca="false">COUNTIFS(Trades!$D$2:$D$1146,$A860,Trades!$Z$2:$Z$1146,"Loss")</f>
        <v>1</v>
      </c>
      <c r="E860" s="30" t="n">
        <f aca="false">IFERROR(C860/B860,0)</f>
        <v>0</v>
      </c>
      <c r="F860" s="31" t="n">
        <f aca="false">SUMIFS(Trades!$X$2:$X$1146,Trades!$D$2:$D$1146,$A860)</f>
        <v>-0.24</v>
      </c>
      <c r="G860" s="31" t="n">
        <f aca="false">SUMIFS(Trades!$X$2:$X$1146,Trades!$D$2:$D$1146,$A860,Trades!$X$2:$X$1146,"&gt;0")</f>
        <v>0</v>
      </c>
      <c r="H860" s="31" t="n">
        <f aca="false">SUMIFS(Trades!$X$2:$X$1146,Trades!$D$2:$D$1146,$A860,Trades!$X$2:$X$1146,"&lt;0")</f>
        <v>-0.24</v>
      </c>
      <c r="I860" s="32" t="n">
        <f aca="false">IFERROR(G860/-H860,"no loss")</f>
        <v>0</v>
      </c>
      <c r="J860" s="31" t="n">
        <f aca="false">_xlfn.MAXIFS(Trades!$X$2:$X$1146,Trades!$D$2:$D$1146,$A860)</f>
        <v>-0.24</v>
      </c>
      <c r="K860" s="31" t="n">
        <f aca="false">_xlfn.MINIFS(Trades!$X$2:$X$1146,Trades!$D$2:$D$1146,$A860)</f>
        <v>-0.24</v>
      </c>
      <c r="L860" s="33" t="n">
        <f aca="false">SUMIFS(Trades!$Y$2:$Y$1146,Trades!$D$2:$D$1146,$A860)</f>
        <v>-0.00148920327624718</v>
      </c>
      <c r="M860" s="31" t="n">
        <f aca="false">P859</f>
        <v>22882.4</v>
      </c>
      <c r="N860" s="30" t="n">
        <f aca="false">IFERROR(F860/M860,0)</f>
        <v>-1.04884103066112E-005</v>
      </c>
      <c r="O860" s="29" t="str">
        <f aca="false">IF(-N860&gt;=Summary!$C$7,"BREACH","")</f>
        <v/>
      </c>
      <c r="P860" s="31" t="n">
        <f aca="false">M860+F860</f>
        <v>22882.16</v>
      </c>
      <c r="Q860" s="31" t="n">
        <f aca="false">P860-Summary!$C$5</f>
        <v>12882.16</v>
      </c>
      <c r="R860" s="2" t="str">
        <f aca="false">TEXT(A860,"ddd")</f>
        <v>Wed</v>
      </c>
    </row>
    <row r="861" customFormat="false" ht="15" hidden="false" customHeight="false" outlineLevel="0" collapsed="false">
      <c r="A861" s="43" t="n">
        <v>46058</v>
      </c>
      <c r="B861" s="29" t="n">
        <f aca="false">COUNTIFS(Trades!$D$2:$D$1146,$A861)</f>
        <v>1</v>
      </c>
      <c r="C861" s="29" t="n">
        <f aca="false">COUNTIFS(Trades!$D$2:$D$1146,$A861,Trades!$Z$2:$Z$1146,"Win")</f>
        <v>0</v>
      </c>
      <c r="D861" s="29" t="n">
        <f aca="false">COUNTIFS(Trades!$D$2:$D$1146,$A861,Trades!$Z$2:$Z$1146,"Loss")</f>
        <v>1</v>
      </c>
      <c r="E861" s="30" t="n">
        <f aca="false">IFERROR(C861/B861,0)</f>
        <v>0</v>
      </c>
      <c r="F861" s="31" t="n">
        <f aca="false">SUMIFS(Trades!$X$2:$X$1146,Trades!$D$2:$D$1146,$A861)</f>
        <v>-118.04</v>
      </c>
      <c r="G861" s="31" t="n">
        <f aca="false">SUMIFS(Trades!$X$2:$X$1146,Trades!$D$2:$D$1146,$A861,Trades!$X$2:$X$1146,"&gt;0")</f>
        <v>0</v>
      </c>
      <c r="H861" s="31" t="n">
        <f aca="false">SUMIFS(Trades!$X$2:$X$1146,Trades!$D$2:$D$1146,$A861,Trades!$X$2:$X$1146,"&lt;0")</f>
        <v>-118.04</v>
      </c>
      <c r="I861" s="32" t="n">
        <f aca="false">IFERROR(G861/-H861,"no loss")</f>
        <v>0</v>
      </c>
      <c r="J861" s="31" t="n">
        <f aca="false">_xlfn.MAXIFS(Trades!$X$2:$X$1146,Trades!$D$2:$D$1146,$A861)</f>
        <v>-118.04</v>
      </c>
      <c r="K861" s="31" t="n">
        <f aca="false">_xlfn.MINIFS(Trades!$X$2:$X$1146,Trades!$D$2:$D$1146,$A861)</f>
        <v>-118.04</v>
      </c>
      <c r="L861" s="33" t="n">
        <f aca="false">SUMIFS(Trades!$Y$2:$Y$1146,Trades!$D$2:$D$1146,$A861)</f>
        <v>-1.00271831464491</v>
      </c>
      <c r="M861" s="31" t="n">
        <f aca="false">P860</f>
        <v>22882.16</v>
      </c>
      <c r="N861" s="30" t="n">
        <f aca="false">IFERROR(F861/M861,0)</f>
        <v>-0.00515860390802267</v>
      </c>
      <c r="O861" s="29" t="str">
        <f aca="false">IF(-N861&gt;=Summary!$C$7,"BREACH","")</f>
        <v/>
      </c>
      <c r="P861" s="31" t="n">
        <f aca="false">M861+F861</f>
        <v>22764.12</v>
      </c>
      <c r="Q861" s="31" t="n">
        <f aca="false">P861-Summary!$C$5</f>
        <v>12764.12</v>
      </c>
      <c r="R861" s="2" t="str">
        <f aca="false">TEXT(A861,"ddd")</f>
        <v>Thu</v>
      </c>
    </row>
    <row r="862" customFormat="false" ht="15" hidden="false" customHeight="false" outlineLevel="0" collapsed="false">
      <c r="A862" s="43" t="n">
        <v>46059</v>
      </c>
      <c r="B862" s="29" t="n">
        <f aca="false">COUNTIFS(Trades!$D$2:$D$1146,$A862)</f>
        <v>2</v>
      </c>
      <c r="C862" s="29" t="n">
        <f aca="false">COUNTIFS(Trades!$D$2:$D$1146,$A862,Trades!$Z$2:$Z$1146,"Win")</f>
        <v>1</v>
      </c>
      <c r="D862" s="29" t="n">
        <f aca="false">COUNTIFS(Trades!$D$2:$D$1146,$A862,Trades!$Z$2:$Z$1146,"Loss")</f>
        <v>1</v>
      </c>
      <c r="E862" s="30" t="n">
        <f aca="false">IFERROR(C862/B862,0)</f>
        <v>0.5</v>
      </c>
      <c r="F862" s="31" t="n">
        <f aca="false">SUMIFS(Trades!$X$2:$X$1146,Trades!$D$2:$D$1146,$A862)</f>
        <v>121.64</v>
      </c>
      <c r="G862" s="31" t="n">
        <f aca="false">SUMIFS(Trades!$X$2:$X$1146,Trades!$D$2:$D$1146,$A862,Trades!$X$2:$X$1146,"&gt;0")</f>
        <v>123.6</v>
      </c>
      <c r="H862" s="31" t="n">
        <f aca="false">SUMIFS(Trades!$X$2:$X$1146,Trades!$D$2:$D$1146,$A862,Trades!$X$2:$X$1146,"&lt;0")</f>
        <v>-1.96</v>
      </c>
      <c r="I862" s="32" t="n">
        <f aca="false">IFERROR(G862/-H862,"no loss")</f>
        <v>63.0612244897959</v>
      </c>
      <c r="J862" s="31" t="n">
        <f aca="false">_xlfn.MAXIFS(Trades!$X$2:$X$1146,Trades!$D$2:$D$1146,$A862)</f>
        <v>123.6</v>
      </c>
      <c r="K862" s="31" t="n">
        <f aca="false">_xlfn.MINIFS(Trades!$X$2:$X$1146,Trades!$D$2:$D$1146,$A862)</f>
        <v>-1.96</v>
      </c>
      <c r="L862" s="33" t="n">
        <f aca="false">SUMIFS(Trades!$Y$2:$Y$1146,Trades!$D$2:$D$1146,$A862)</f>
        <v>2.3925889174033</v>
      </c>
      <c r="M862" s="31" t="n">
        <f aca="false">P861</f>
        <v>22764.12</v>
      </c>
      <c r="N862" s="30" t="n">
        <f aca="false">IFERROR(F862/M862,0)</f>
        <v>0.00534349669567723</v>
      </c>
      <c r="O862" s="29" t="str">
        <f aca="false">IF(-N862&gt;=Summary!$C$7,"BREACH","")</f>
        <v/>
      </c>
      <c r="P862" s="31" t="n">
        <f aca="false">M862+F862</f>
        <v>22885.76</v>
      </c>
      <c r="Q862" s="31" t="n">
        <f aca="false">P862-Summary!$C$5</f>
        <v>12885.76</v>
      </c>
      <c r="R862" s="2" t="str">
        <f aca="false">TEXT(A862,"ddd")</f>
        <v>Fri</v>
      </c>
    </row>
    <row r="863" customFormat="false" ht="15" hidden="false" customHeight="false" outlineLevel="0" collapsed="false">
      <c r="A863" s="43" t="n">
        <v>46062</v>
      </c>
      <c r="B863" s="29" t="n">
        <f aca="false">COUNTIFS(Trades!$D$2:$D$1146,$A863)</f>
        <v>1</v>
      </c>
      <c r="C863" s="29" t="n">
        <f aca="false">COUNTIFS(Trades!$D$2:$D$1146,$A863,Trades!$Z$2:$Z$1146,"Win")</f>
        <v>0</v>
      </c>
      <c r="D863" s="29" t="n">
        <f aca="false">COUNTIFS(Trades!$D$2:$D$1146,$A863,Trades!$Z$2:$Z$1146,"Loss")</f>
        <v>1</v>
      </c>
      <c r="E863" s="30" t="n">
        <f aca="false">IFERROR(C863/B863,0)</f>
        <v>0</v>
      </c>
      <c r="F863" s="31" t="n">
        <f aca="false">SUMIFS(Trades!$X$2:$X$1146,Trades!$D$2:$D$1146,$A863)</f>
        <v>-3.08</v>
      </c>
      <c r="G863" s="31" t="n">
        <f aca="false">SUMIFS(Trades!$X$2:$X$1146,Trades!$D$2:$D$1146,$A863,Trades!$X$2:$X$1146,"&gt;0")</f>
        <v>0</v>
      </c>
      <c r="H863" s="31" t="n">
        <f aca="false">SUMIFS(Trades!$X$2:$X$1146,Trades!$D$2:$D$1146,$A863,Trades!$X$2:$X$1146,"&lt;0")</f>
        <v>-3.08</v>
      </c>
      <c r="I863" s="32" t="n">
        <f aca="false">IFERROR(G863/-H863,"no loss")</f>
        <v>0</v>
      </c>
      <c r="J863" s="31" t="n">
        <f aca="false">_xlfn.MAXIFS(Trades!$X$2:$X$1146,Trades!$D$2:$D$1146,$A863)</f>
        <v>-3.08</v>
      </c>
      <c r="K863" s="31" t="n">
        <f aca="false">_xlfn.MINIFS(Trades!$X$2:$X$1146,Trades!$D$2:$D$1146,$A863)</f>
        <v>-3.08</v>
      </c>
      <c r="L863" s="33" t="n">
        <f aca="false">SUMIFS(Trades!$Y$2:$Y$1146,Trades!$D$2:$D$1146,$A863)</f>
        <v>-0.0233545647558378</v>
      </c>
      <c r="M863" s="31" t="n">
        <f aca="false">P862</f>
        <v>22885.76</v>
      </c>
      <c r="N863" s="30" t="n">
        <f aca="false">IFERROR(F863/M863,0)</f>
        <v>-0.000134581503957046</v>
      </c>
      <c r="O863" s="29" t="str">
        <f aca="false">IF(-N863&gt;=Summary!$C$7,"BREACH","")</f>
        <v/>
      </c>
      <c r="P863" s="31" t="n">
        <f aca="false">M863+F863</f>
        <v>22882.68</v>
      </c>
      <c r="Q863" s="31" t="n">
        <f aca="false">P863-Summary!$C$5</f>
        <v>12882.68</v>
      </c>
      <c r="R863" s="2" t="str">
        <f aca="false">TEXT(A863,"ddd")</f>
        <v>Mon</v>
      </c>
    </row>
    <row r="864" customFormat="false" ht="15" hidden="false" customHeight="false" outlineLevel="0" collapsed="false">
      <c r="A864" s="43" t="n">
        <v>46063</v>
      </c>
      <c r="B864" s="29" t="n">
        <f aca="false">COUNTIFS(Trades!$D$2:$D$1146,$A864)</f>
        <v>1</v>
      </c>
      <c r="C864" s="29" t="n">
        <f aca="false">COUNTIFS(Trades!$D$2:$D$1146,$A864,Trades!$Z$2:$Z$1146,"Win")</f>
        <v>0</v>
      </c>
      <c r="D864" s="29" t="n">
        <f aca="false">COUNTIFS(Trades!$D$2:$D$1146,$A864,Trades!$Z$2:$Z$1146,"Loss")</f>
        <v>1</v>
      </c>
      <c r="E864" s="30" t="n">
        <f aca="false">IFERROR(C864/B864,0)</f>
        <v>0</v>
      </c>
      <c r="F864" s="31" t="n">
        <f aca="false">SUMIFS(Trades!$X$2:$X$1146,Trades!$D$2:$D$1146,$A864)</f>
        <v>-84.4</v>
      </c>
      <c r="G864" s="31" t="n">
        <f aca="false">SUMIFS(Trades!$X$2:$X$1146,Trades!$D$2:$D$1146,$A864,Trades!$X$2:$X$1146,"&gt;0")</f>
        <v>0</v>
      </c>
      <c r="H864" s="31" t="n">
        <f aca="false">SUMIFS(Trades!$X$2:$X$1146,Trades!$D$2:$D$1146,$A864,Trades!$X$2:$X$1146,"&lt;0")</f>
        <v>-84.4</v>
      </c>
      <c r="I864" s="32" t="n">
        <f aca="false">IFERROR(G864/-H864,"no loss")</f>
        <v>0</v>
      </c>
      <c r="J864" s="31" t="n">
        <f aca="false">_xlfn.MAXIFS(Trades!$X$2:$X$1146,Trades!$D$2:$D$1146,$A864)</f>
        <v>-84.4</v>
      </c>
      <c r="K864" s="31" t="n">
        <f aca="false">_xlfn.MINIFS(Trades!$X$2:$X$1146,Trades!$D$2:$D$1146,$A864)</f>
        <v>-84.4</v>
      </c>
      <c r="L864" s="33" t="n">
        <f aca="false">SUMIFS(Trades!$Y$2:$Y$1146,Trades!$D$2:$D$1146,$A864)</f>
        <v>-1.02179176755441</v>
      </c>
      <c r="M864" s="31" t="n">
        <f aca="false">P863</f>
        <v>22882.68</v>
      </c>
      <c r="N864" s="30" t="n">
        <f aca="false">IFERROR(F864/M864,0)</f>
        <v>-0.0036883791583853</v>
      </c>
      <c r="O864" s="29" t="str">
        <f aca="false">IF(-N864&gt;=Summary!$C$7,"BREACH","")</f>
        <v/>
      </c>
      <c r="P864" s="31" t="n">
        <f aca="false">M864+F864</f>
        <v>22798.28</v>
      </c>
      <c r="Q864" s="31" t="n">
        <f aca="false">P864-Summary!$C$5</f>
        <v>12798.28</v>
      </c>
      <c r="R864" s="2" t="str">
        <f aca="false">TEXT(A864,"ddd")</f>
        <v>Tue</v>
      </c>
    </row>
    <row r="865" customFormat="false" ht="15" hidden="false" customHeight="false" outlineLevel="0" collapsed="false">
      <c r="A865" s="43" t="n">
        <v>46064</v>
      </c>
      <c r="B865" s="29" t="n">
        <f aca="false">COUNTIFS(Trades!$D$2:$D$1146,$A865)</f>
        <v>2</v>
      </c>
      <c r="C865" s="29" t="n">
        <f aca="false">COUNTIFS(Trades!$D$2:$D$1146,$A865,Trades!$Z$2:$Z$1146,"Win")</f>
        <v>1</v>
      </c>
      <c r="D865" s="29" t="n">
        <f aca="false">COUNTIFS(Trades!$D$2:$D$1146,$A865,Trades!$Z$2:$Z$1146,"Loss")</f>
        <v>1</v>
      </c>
      <c r="E865" s="30" t="n">
        <f aca="false">IFERROR(C865/B865,0)</f>
        <v>0.5</v>
      </c>
      <c r="F865" s="31" t="n">
        <f aca="false">SUMIFS(Trades!$X$2:$X$1146,Trades!$D$2:$D$1146,$A865)</f>
        <v>56.6</v>
      </c>
      <c r="G865" s="31" t="n">
        <f aca="false">SUMIFS(Trades!$X$2:$X$1146,Trades!$D$2:$D$1146,$A865,Trades!$X$2:$X$1146,"&gt;0")</f>
        <v>116.64</v>
      </c>
      <c r="H865" s="31" t="n">
        <f aca="false">SUMIFS(Trades!$X$2:$X$1146,Trades!$D$2:$D$1146,$A865,Trades!$X$2:$X$1146,"&lt;0")</f>
        <v>-60.04</v>
      </c>
      <c r="I865" s="32" t="n">
        <f aca="false">IFERROR(G865/-H865,"no loss")</f>
        <v>1.94270486342438</v>
      </c>
      <c r="J865" s="31" t="n">
        <f aca="false">_xlfn.MAXIFS(Trades!$X$2:$X$1146,Trades!$D$2:$D$1146,$A865)</f>
        <v>116.64</v>
      </c>
      <c r="K865" s="31" t="n">
        <f aca="false">_xlfn.MINIFS(Trades!$X$2:$X$1146,Trades!$D$2:$D$1146,$A865)</f>
        <v>-60.04</v>
      </c>
      <c r="L865" s="33" t="n">
        <f aca="false">SUMIFS(Trades!$Y$2:$Y$1146,Trades!$D$2:$D$1146,$A865)</f>
        <v>1.66732654600275</v>
      </c>
      <c r="M865" s="31" t="n">
        <f aca="false">P864</f>
        <v>22798.28</v>
      </c>
      <c r="N865" s="30" t="n">
        <f aca="false">IFERROR(F865/M865,0)</f>
        <v>0.00248264342748664</v>
      </c>
      <c r="O865" s="29" t="str">
        <f aca="false">IF(-N865&gt;=Summary!$C$7,"BREACH","")</f>
        <v/>
      </c>
      <c r="P865" s="31" t="n">
        <f aca="false">M865+F865</f>
        <v>22854.88</v>
      </c>
      <c r="Q865" s="31" t="n">
        <f aca="false">P865-Summary!$C$5</f>
        <v>12854.88</v>
      </c>
      <c r="R865" s="2" t="str">
        <f aca="false">TEXT(A865,"ddd")</f>
        <v>Wed</v>
      </c>
    </row>
    <row r="866" customFormat="false" ht="15" hidden="false" customHeight="false" outlineLevel="0" collapsed="false">
      <c r="A866" s="43" t="n">
        <v>46065</v>
      </c>
      <c r="B866" s="29" t="n">
        <f aca="false">COUNTIFS(Trades!$D$2:$D$1146,$A866)</f>
        <v>1</v>
      </c>
      <c r="C866" s="29" t="n">
        <f aca="false">COUNTIFS(Trades!$D$2:$D$1146,$A866,Trades!$Z$2:$Z$1146,"Win")</f>
        <v>1</v>
      </c>
      <c r="D866" s="29" t="n">
        <f aca="false">COUNTIFS(Trades!$D$2:$D$1146,$A866,Trades!$Z$2:$Z$1146,"Loss")</f>
        <v>0</v>
      </c>
      <c r="E866" s="30" t="n">
        <f aca="false">IFERROR(C866/B866,0)</f>
        <v>1</v>
      </c>
      <c r="F866" s="31" t="n">
        <f aca="false">SUMIFS(Trades!$X$2:$X$1146,Trades!$D$2:$D$1146,$A866)</f>
        <v>267.04</v>
      </c>
      <c r="G866" s="31" t="n">
        <f aca="false">SUMIFS(Trades!$X$2:$X$1146,Trades!$D$2:$D$1146,$A866,Trades!$X$2:$X$1146,"&gt;0")</f>
        <v>267.04</v>
      </c>
      <c r="H866" s="31" t="n">
        <f aca="false">SUMIFS(Trades!$X$2:$X$1146,Trades!$D$2:$D$1146,$A866,Trades!$X$2:$X$1146,"&lt;0")</f>
        <v>0</v>
      </c>
      <c r="I866" s="32" t="str">
        <f aca="false">IFERROR(G866/-H866,"no loss")</f>
        <v>no loss</v>
      </c>
      <c r="J866" s="31" t="n">
        <f aca="false">_xlfn.MAXIFS(Trades!$X$2:$X$1146,Trades!$D$2:$D$1146,$A866)</f>
        <v>267.04</v>
      </c>
      <c r="K866" s="31" t="n">
        <f aca="false">_xlfn.MINIFS(Trades!$X$2:$X$1146,Trades!$D$2:$D$1146,$A866)</f>
        <v>267.04</v>
      </c>
      <c r="L866" s="33" t="n">
        <f aca="false">SUMIFS(Trades!$Y$2:$Y$1146,Trades!$D$2:$D$1146,$A866)</f>
        <v>2.5432380952381</v>
      </c>
      <c r="M866" s="31" t="n">
        <f aca="false">P865</f>
        <v>22854.88</v>
      </c>
      <c r="N866" s="30" t="n">
        <f aca="false">IFERROR(F866/M866,0)</f>
        <v>0.0116841567315164</v>
      </c>
      <c r="O866" s="29" t="str">
        <f aca="false">IF(-N866&gt;=Summary!$C$7,"BREACH","")</f>
        <v/>
      </c>
      <c r="P866" s="31" t="n">
        <f aca="false">M866+F866</f>
        <v>23121.92</v>
      </c>
      <c r="Q866" s="31" t="n">
        <f aca="false">P866-Summary!$C$5</f>
        <v>13121.92</v>
      </c>
      <c r="R866" s="2" t="str">
        <f aca="false">TEXT(A866,"ddd")</f>
        <v>Thu</v>
      </c>
    </row>
    <row r="867" customFormat="false" ht="15" hidden="false" customHeight="false" outlineLevel="0" collapsed="false">
      <c r="A867" s="43" t="n">
        <v>46066</v>
      </c>
      <c r="B867" s="29" t="n">
        <f aca="false">COUNTIFS(Trades!$D$2:$D$1146,$A867)</f>
        <v>1</v>
      </c>
      <c r="C867" s="29" t="n">
        <f aca="false">COUNTIFS(Trades!$D$2:$D$1146,$A867,Trades!$Z$2:$Z$1146,"Win")</f>
        <v>0</v>
      </c>
      <c r="D867" s="29" t="n">
        <f aca="false">COUNTIFS(Trades!$D$2:$D$1146,$A867,Trades!$Z$2:$Z$1146,"Loss")</f>
        <v>1</v>
      </c>
      <c r="E867" s="30" t="n">
        <f aca="false">IFERROR(C867/B867,0)</f>
        <v>0</v>
      </c>
      <c r="F867" s="31" t="n">
        <f aca="false">SUMIFS(Trades!$X$2:$X$1146,Trades!$D$2:$D$1146,$A867)</f>
        <v>-1.8</v>
      </c>
      <c r="G867" s="31" t="n">
        <f aca="false">SUMIFS(Trades!$X$2:$X$1146,Trades!$D$2:$D$1146,$A867,Trades!$X$2:$X$1146,"&gt;0")</f>
        <v>0</v>
      </c>
      <c r="H867" s="31" t="n">
        <f aca="false">SUMIFS(Trades!$X$2:$X$1146,Trades!$D$2:$D$1146,$A867,Trades!$X$2:$X$1146,"&lt;0")</f>
        <v>-1.8</v>
      </c>
      <c r="I867" s="32" t="n">
        <f aca="false">IFERROR(G867/-H867,"no loss")</f>
        <v>0</v>
      </c>
      <c r="J867" s="31" t="n">
        <f aca="false">_xlfn.MAXIFS(Trades!$X$2:$X$1146,Trades!$D$2:$D$1146,$A867)</f>
        <v>-1.8</v>
      </c>
      <c r="K867" s="31" t="n">
        <f aca="false">_xlfn.MINIFS(Trades!$X$2:$X$1146,Trades!$D$2:$D$1146,$A867)</f>
        <v>-1.8</v>
      </c>
      <c r="L867" s="33" t="n">
        <f aca="false">SUMIFS(Trades!$Y$2:$Y$1146,Trades!$D$2:$D$1146,$A867)</f>
        <v>-0.0361736334405183</v>
      </c>
      <c r="M867" s="31" t="n">
        <f aca="false">P866</f>
        <v>23121.92</v>
      </c>
      <c r="N867" s="30" t="n">
        <f aca="false">IFERROR(F867/M867,0)</f>
        <v>-7.78482063773251E-005</v>
      </c>
      <c r="O867" s="29" t="str">
        <f aca="false">IF(-N867&gt;=Summary!$C$7,"BREACH","")</f>
        <v/>
      </c>
      <c r="P867" s="31" t="n">
        <f aca="false">M867+F867</f>
        <v>23120.12</v>
      </c>
      <c r="Q867" s="31" t="n">
        <f aca="false">P867-Summary!$C$5</f>
        <v>13120.12</v>
      </c>
      <c r="R867" s="2" t="str">
        <f aca="false">TEXT(A867,"ddd")</f>
        <v>Fri</v>
      </c>
    </row>
    <row r="868" customFormat="false" ht="15" hidden="false" customHeight="false" outlineLevel="0" collapsed="false">
      <c r="A868" s="43" t="n">
        <v>46070</v>
      </c>
      <c r="B868" s="29" t="n">
        <f aca="false">COUNTIFS(Trades!$D$2:$D$1146,$A868)</f>
        <v>1</v>
      </c>
      <c r="C868" s="29" t="n">
        <f aca="false">COUNTIFS(Trades!$D$2:$D$1146,$A868,Trades!$Z$2:$Z$1146,"Win")</f>
        <v>0</v>
      </c>
      <c r="D868" s="29" t="n">
        <f aca="false">COUNTIFS(Trades!$D$2:$D$1146,$A868,Trades!$Z$2:$Z$1146,"Loss")</f>
        <v>1</v>
      </c>
      <c r="E868" s="30" t="n">
        <f aca="false">IFERROR(C868/B868,0)</f>
        <v>0</v>
      </c>
      <c r="F868" s="31" t="n">
        <f aca="false">SUMIFS(Trades!$X$2:$X$1146,Trades!$D$2:$D$1146,$A868)</f>
        <v>-0.44</v>
      </c>
      <c r="G868" s="31" t="n">
        <f aca="false">SUMIFS(Trades!$X$2:$X$1146,Trades!$D$2:$D$1146,$A868,Trades!$X$2:$X$1146,"&gt;0")</f>
        <v>0</v>
      </c>
      <c r="H868" s="31" t="n">
        <f aca="false">SUMIFS(Trades!$X$2:$X$1146,Trades!$D$2:$D$1146,$A868,Trades!$X$2:$X$1146,"&lt;0")</f>
        <v>-0.44</v>
      </c>
      <c r="I868" s="32" t="n">
        <f aca="false">IFERROR(G868/-H868,"no loss")</f>
        <v>0</v>
      </c>
      <c r="J868" s="31" t="n">
        <f aca="false">_xlfn.MAXIFS(Trades!$X$2:$X$1146,Trades!$D$2:$D$1146,$A868)</f>
        <v>-0.44</v>
      </c>
      <c r="K868" s="31" t="n">
        <f aca="false">_xlfn.MINIFS(Trades!$X$2:$X$1146,Trades!$D$2:$D$1146,$A868)</f>
        <v>-0.44</v>
      </c>
      <c r="L868" s="33" t="n">
        <f aca="false">SUMIFS(Trades!$Y$2:$Y$1146,Trades!$D$2:$D$1146,$A868)</f>
        <v>-0.00513538748832908</v>
      </c>
      <c r="M868" s="31" t="n">
        <f aca="false">P867</f>
        <v>23120.12</v>
      </c>
      <c r="N868" s="30" t="n">
        <f aca="false">IFERROR(F868/M868,0)</f>
        <v>-1.90310430914719E-005</v>
      </c>
      <c r="O868" s="29" t="str">
        <f aca="false">IF(-N868&gt;=Summary!$C$7,"BREACH","")</f>
        <v/>
      </c>
      <c r="P868" s="31" t="n">
        <f aca="false">M868+F868</f>
        <v>23119.68</v>
      </c>
      <c r="Q868" s="31" t="n">
        <f aca="false">P868-Summary!$C$5</f>
        <v>13119.68</v>
      </c>
      <c r="R868" s="2" t="str">
        <f aca="false">TEXT(A868,"ddd")</f>
        <v>Tue</v>
      </c>
    </row>
    <row r="869" customFormat="false" ht="15" hidden="false" customHeight="false" outlineLevel="0" collapsed="false">
      <c r="A869" s="43" t="n">
        <v>46071</v>
      </c>
      <c r="B869" s="29" t="n">
        <f aca="false">COUNTIFS(Trades!$D$2:$D$1146,$A869)</f>
        <v>1</v>
      </c>
      <c r="C869" s="29" t="n">
        <f aca="false">COUNTIFS(Trades!$D$2:$D$1146,$A869,Trades!$Z$2:$Z$1146,"Win")</f>
        <v>0</v>
      </c>
      <c r="D869" s="29" t="n">
        <f aca="false">COUNTIFS(Trades!$D$2:$D$1146,$A869,Trades!$Z$2:$Z$1146,"Loss")</f>
        <v>1</v>
      </c>
      <c r="E869" s="30" t="n">
        <f aca="false">IFERROR(C869/B869,0)</f>
        <v>0</v>
      </c>
      <c r="F869" s="31" t="n">
        <f aca="false">SUMIFS(Trades!$X$2:$X$1146,Trades!$D$2:$D$1146,$A869)</f>
        <v>-65.28</v>
      </c>
      <c r="G869" s="31" t="n">
        <f aca="false">SUMIFS(Trades!$X$2:$X$1146,Trades!$D$2:$D$1146,$A869,Trades!$X$2:$X$1146,"&gt;0")</f>
        <v>0</v>
      </c>
      <c r="H869" s="31" t="n">
        <f aca="false">SUMIFS(Trades!$X$2:$X$1146,Trades!$D$2:$D$1146,$A869,Trades!$X$2:$X$1146,"&lt;0")</f>
        <v>-65.28</v>
      </c>
      <c r="I869" s="32" t="n">
        <f aca="false">IFERROR(G869/-H869,"no loss")</f>
        <v>0</v>
      </c>
      <c r="J869" s="31" t="n">
        <f aca="false">_xlfn.MAXIFS(Trades!$X$2:$X$1146,Trades!$D$2:$D$1146,$A869)</f>
        <v>-65.28</v>
      </c>
      <c r="K869" s="31" t="n">
        <f aca="false">_xlfn.MINIFS(Trades!$X$2:$X$1146,Trades!$D$2:$D$1146,$A869)</f>
        <v>-65.28</v>
      </c>
      <c r="L869" s="33" t="n">
        <f aca="false">SUMIFS(Trades!$Y$2:$Y$1146,Trades!$D$2:$D$1146,$A869)</f>
        <v>-1.01429459291484</v>
      </c>
      <c r="M869" s="31" t="n">
        <f aca="false">P868</f>
        <v>23119.68</v>
      </c>
      <c r="N869" s="30" t="n">
        <f aca="false">IFERROR(F869/M869,0)</f>
        <v>-0.00282356849229747</v>
      </c>
      <c r="O869" s="29" t="str">
        <f aca="false">IF(-N869&gt;=Summary!$C$7,"BREACH","")</f>
        <v/>
      </c>
      <c r="P869" s="31" t="n">
        <f aca="false">M869+F869</f>
        <v>23054.4</v>
      </c>
      <c r="Q869" s="31" t="n">
        <f aca="false">P869-Summary!$C$5</f>
        <v>13054.4</v>
      </c>
      <c r="R869" s="2" t="str">
        <f aca="false">TEXT(A869,"ddd")</f>
        <v>Wed</v>
      </c>
    </row>
    <row r="870" customFormat="false" ht="15" hidden="false" customHeight="false" outlineLevel="0" collapsed="false">
      <c r="A870" s="43" t="n">
        <v>46073</v>
      </c>
      <c r="B870" s="29" t="n">
        <f aca="false">COUNTIFS(Trades!$D$2:$D$1146,$A870)</f>
        <v>2</v>
      </c>
      <c r="C870" s="29" t="n">
        <f aca="false">COUNTIFS(Trades!$D$2:$D$1146,$A870,Trades!$Z$2:$Z$1146,"Win")</f>
        <v>0</v>
      </c>
      <c r="D870" s="29" t="n">
        <f aca="false">COUNTIFS(Trades!$D$2:$D$1146,$A870,Trades!$Z$2:$Z$1146,"Loss")</f>
        <v>2</v>
      </c>
      <c r="E870" s="30" t="n">
        <f aca="false">IFERROR(C870/B870,0)</f>
        <v>0</v>
      </c>
      <c r="F870" s="31" t="n">
        <f aca="false">SUMIFS(Trades!$X$2:$X$1146,Trades!$D$2:$D$1146,$A870)</f>
        <v>-341.36</v>
      </c>
      <c r="G870" s="31" t="n">
        <f aca="false">SUMIFS(Trades!$X$2:$X$1146,Trades!$D$2:$D$1146,$A870,Trades!$X$2:$X$1146,"&gt;0")</f>
        <v>0</v>
      </c>
      <c r="H870" s="31" t="n">
        <f aca="false">SUMIFS(Trades!$X$2:$X$1146,Trades!$D$2:$D$1146,$A870,Trades!$X$2:$X$1146,"&lt;0")</f>
        <v>-341.36</v>
      </c>
      <c r="I870" s="32" t="n">
        <f aca="false">IFERROR(G870/-H870,"no loss")</f>
        <v>0</v>
      </c>
      <c r="J870" s="31" t="n">
        <f aca="false">_xlfn.MAXIFS(Trades!$X$2:$X$1146,Trades!$D$2:$D$1146,$A870)</f>
        <v>-96.36</v>
      </c>
      <c r="K870" s="31" t="n">
        <f aca="false">_xlfn.MINIFS(Trades!$X$2:$X$1146,Trades!$D$2:$D$1146,$A870)</f>
        <v>-245</v>
      </c>
      <c r="L870" s="33" t="n">
        <f aca="false">SUMIFS(Trades!$Y$2:$Y$1146,Trades!$D$2:$D$1146,$A870)</f>
        <v>-2.05442202118281</v>
      </c>
      <c r="M870" s="31" t="n">
        <f aca="false">P869</f>
        <v>23054.4</v>
      </c>
      <c r="N870" s="30" t="n">
        <f aca="false">IFERROR(F870/M870,0)</f>
        <v>-0.0148067180234576</v>
      </c>
      <c r="O870" s="29" t="str">
        <f aca="false">IF(-N870&gt;=Summary!$C$7,"BREACH","")</f>
        <v/>
      </c>
      <c r="P870" s="31" t="n">
        <f aca="false">M870+F870</f>
        <v>22713.04</v>
      </c>
      <c r="Q870" s="31" t="n">
        <f aca="false">P870-Summary!$C$5</f>
        <v>12713.04</v>
      </c>
      <c r="R870" s="2" t="str">
        <f aca="false">TEXT(A870,"ddd")</f>
        <v>Fri</v>
      </c>
    </row>
    <row r="871" customFormat="false" ht="15" hidden="false" customHeight="false" outlineLevel="0" collapsed="false">
      <c r="A871" s="43" t="n">
        <v>46076</v>
      </c>
      <c r="B871" s="29" t="n">
        <f aca="false">COUNTIFS(Trades!$D$2:$D$1146,$A871)</f>
        <v>1</v>
      </c>
      <c r="C871" s="29" t="n">
        <f aca="false">COUNTIFS(Trades!$D$2:$D$1146,$A871,Trades!$Z$2:$Z$1146,"Win")</f>
        <v>0</v>
      </c>
      <c r="D871" s="29" t="n">
        <f aca="false">COUNTIFS(Trades!$D$2:$D$1146,$A871,Trades!$Z$2:$Z$1146,"Loss")</f>
        <v>1</v>
      </c>
      <c r="E871" s="30" t="n">
        <f aca="false">IFERROR(C871/B871,0)</f>
        <v>0</v>
      </c>
      <c r="F871" s="31" t="n">
        <f aca="false">SUMIFS(Trades!$X$2:$X$1146,Trades!$D$2:$D$1146,$A871)</f>
        <v>-69.92</v>
      </c>
      <c r="G871" s="31" t="n">
        <f aca="false">SUMIFS(Trades!$X$2:$X$1146,Trades!$D$2:$D$1146,$A871,Trades!$X$2:$X$1146,"&gt;0")</f>
        <v>0</v>
      </c>
      <c r="H871" s="31" t="n">
        <f aca="false">SUMIFS(Trades!$X$2:$X$1146,Trades!$D$2:$D$1146,$A871,Trades!$X$2:$X$1146,"&lt;0")</f>
        <v>-69.92</v>
      </c>
      <c r="I871" s="32" t="n">
        <f aca="false">IFERROR(G871/-H871,"no loss")</f>
        <v>0</v>
      </c>
      <c r="J871" s="31" t="n">
        <f aca="false">_xlfn.MAXIFS(Trades!$X$2:$X$1146,Trades!$D$2:$D$1146,$A871)</f>
        <v>-69.92</v>
      </c>
      <c r="K871" s="31" t="n">
        <f aca="false">_xlfn.MINIFS(Trades!$X$2:$X$1146,Trades!$D$2:$D$1146,$A871)</f>
        <v>-69.92</v>
      </c>
      <c r="L871" s="33" t="n">
        <f aca="false">SUMIFS(Trades!$Y$2:$Y$1146,Trades!$D$2:$D$1146,$A871)</f>
        <v>-1.0057537399309</v>
      </c>
      <c r="M871" s="31" t="n">
        <f aca="false">P870</f>
        <v>22713.04</v>
      </c>
      <c r="N871" s="30" t="n">
        <f aca="false">IFERROR(F871/M871,0)</f>
        <v>-0.00307840782211452</v>
      </c>
      <c r="O871" s="29" t="str">
        <f aca="false">IF(-N871&gt;=Summary!$C$7,"BREACH","")</f>
        <v/>
      </c>
      <c r="P871" s="31" t="n">
        <f aca="false">M871+F871</f>
        <v>22643.12</v>
      </c>
      <c r="Q871" s="31" t="n">
        <f aca="false">P871-Summary!$C$5</f>
        <v>12643.12</v>
      </c>
      <c r="R871" s="2" t="str">
        <f aca="false">TEXT(A871,"ddd")</f>
        <v>Mon</v>
      </c>
    </row>
    <row r="872" customFormat="false" ht="15" hidden="false" customHeight="false" outlineLevel="0" collapsed="false">
      <c r="A872" s="43" t="n">
        <v>46077</v>
      </c>
      <c r="B872" s="29" t="n">
        <f aca="false">COUNTIFS(Trades!$D$2:$D$1146,$A872)</f>
        <v>1</v>
      </c>
      <c r="C872" s="29" t="n">
        <f aca="false">COUNTIFS(Trades!$D$2:$D$1146,$A872,Trades!$Z$2:$Z$1146,"Win")</f>
        <v>0</v>
      </c>
      <c r="D872" s="29" t="n">
        <f aca="false">COUNTIFS(Trades!$D$2:$D$1146,$A872,Trades!$Z$2:$Z$1146,"Loss")</f>
        <v>1</v>
      </c>
      <c r="E872" s="30" t="n">
        <f aca="false">IFERROR(C872/B872,0)</f>
        <v>0</v>
      </c>
      <c r="F872" s="31" t="n">
        <f aca="false">SUMIFS(Trades!$X$2:$X$1146,Trades!$D$2:$D$1146,$A872)</f>
        <v>-0.24</v>
      </c>
      <c r="G872" s="31" t="n">
        <f aca="false">SUMIFS(Trades!$X$2:$X$1146,Trades!$D$2:$D$1146,$A872,Trades!$X$2:$X$1146,"&gt;0")</f>
        <v>0</v>
      </c>
      <c r="H872" s="31" t="n">
        <f aca="false">SUMIFS(Trades!$X$2:$X$1146,Trades!$D$2:$D$1146,$A872,Trades!$X$2:$X$1146,"&lt;0")</f>
        <v>-0.24</v>
      </c>
      <c r="I872" s="32" t="n">
        <f aca="false">IFERROR(G872/-H872,"no loss")</f>
        <v>0</v>
      </c>
      <c r="J872" s="31" t="n">
        <f aca="false">_xlfn.MAXIFS(Trades!$X$2:$X$1146,Trades!$D$2:$D$1146,$A872)</f>
        <v>-0.24</v>
      </c>
      <c r="K872" s="31" t="n">
        <f aca="false">_xlfn.MINIFS(Trades!$X$2:$X$1146,Trades!$D$2:$D$1146,$A872)</f>
        <v>-0.24</v>
      </c>
      <c r="L872" s="33" t="n">
        <f aca="false">SUMIFS(Trades!$Y$2:$Y$1146,Trades!$D$2:$D$1146,$A872)</f>
        <v>-0.00522193211488343</v>
      </c>
      <c r="M872" s="31" t="n">
        <f aca="false">P871</f>
        <v>22643.12</v>
      </c>
      <c r="N872" s="30" t="n">
        <f aca="false">IFERROR(F872/M872,0)</f>
        <v>-1.05992460402983E-005</v>
      </c>
      <c r="O872" s="29" t="str">
        <f aca="false">IF(-N872&gt;=Summary!$C$7,"BREACH","")</f>
        <v/>
      </c>
      <c r="P872" s="31" t="n">
        <f aca="false">M872+F872</f>
        <v>22642.88</v>
      </c>
      <c r="Q872" s="31" t="n">
        <f aca="false">P872-Summary!$C$5</f>
        <v>12642.88</v>
      </c>
      <c r="R872" s="2" t="str">
        <f aca="false">TEXT(A872,"ddd")</f>
        <v>Tue</v>
      </c>
    </row>
    <row r="873" customFormat="false" ht="15" hidden="false" customHeight="false" outlineLevel="0" collapsed="false">
      <c r="A873" s="43" t="n">
        <v>46078</v>
      </c>
      <c r="B873" s="29" t="n">
        <f aca="false">COUNTIFS(Trades!$D$2:$D$1146,$A873)</f>
        <v>1</v>
      </c>
      <c r="C873" s="29" t="n">
        <f aca="false">COUNTIFS(Trades!$D$2:$D$1146,$A873,Trades!$Z$2:$Z$1146,"Win")</f>
        <v>0</v>
      </c>
      <c r="D873" s="29" t="n">
        <f aca="false">COUNTIFS(Trades!$D$2:$D$1146,$A873,Trades!$Z$2:$Z$1146,"Loss")</f>
        <v>1</v>
      </c>
      <c r="E873" s="30" t="n">
        <f aca="false">IFERROR(C873/B873,0)</f>
        <v>0</v>
      </c>
      <c r="F873" s="31" t="n">
        <f aca="false">SUMIFS(Trades!$X$2:$X$1146,Trades!$D$2:$D$1146,$A873)</f>
        <v>-18</v>
      </c>
      <c r="G873" s="31" t="n">
        <f aca="false">SUMIFS(Trades!$X$2:$X$1146,Trades!$D$2:$D$1146,$A873,Trades!$X$2:$X$1146,"&gt;0")</f>
        <v>0</v>
      </c>
      <c r="H873" s="31" t="n">
        <f aca="false">SUMIFS(Trades!$X$2:$X$1146,Trades!$D$2:$D$1146,$A873,Trades!$X$2:$X$1146,"&lt;0")</f>
        <v>-18</v>
      </c>
      <c r="I873" s="32" t="n">
        <f aca="false">IFERROR(G873/-H873,"no loss")</f>
        <v>0</v>
      </c>
      <c r="J873" s="31" t="n">
        <f aca="false">_xlfn.MAXIFS(Trades!$X$2:$X$1146,Trades!$D$2:$D$1146,$A873)</f>
        <v>-18</v>
      </c>
      <c r="K873" s="31" t="n">
        <f aca="false">_xlfn.MINIFS(Trades!$X$2:$X$1146,Trades!$D$2:$D$1146,$A873)</f>
        <v>-18</v>
      </c>
      <c r="L873" s="33" t="n">
        <f aca="false">SUMIFS(Trades!$Y$2:$Y$1146,Trades!$D$2:$D$1146,$A873)</f>
        <v>-1.01580135440174</v>
      </c>
      <c r="M873" s="31" t="n">
        <f aca="false">P872</f>
        <v>22642.88</v>
      </c>
      <c r="N873" s="30" t="n">
        <f aca="false">IFERROR(F873/M873,0)</f>
        <v>-0.00079495187891293</v>
      </c>
      <c r="O873" s="29" t="str">
        <f aca="false">IF(-N873&gt;=Summary!$C$7,"BREACH","")</f>
        <v/>
      </c>
      <c r="P873" s="31" t="n">
        <f aca="false">M873+F873</f>
        <v>22624.88</v>
      </c>
      <c r="Q873" s="31" t="n">
        <f aca="false">P873-Summary!$C$5</f>
        <v>12624.88</v>
      </c>
      <c r="R873" s="2" t="str">
        <f aca="false">TEXT(A873,"ddd")</f>
        <v>Wed</v>
      </c>
    </row>
    <row r="874" customFormat="false" ht="15" hidden="false" customHeight="false" outlineLevel="0" collapsed="false">
      <c r="A874" s="43" t="n">
        <v>46079</v>
      </c>
      <c r="B874" s="29" t="n">
        <f aca="false">COUNTIFS(Trades!$D$2:$D$1146,$A874)</f>
        <v>2</v>
      </c>
      <c r="C874" s="29" t="n">
        <f aca="false">COUNTIFS(Trades!$D$2:$D$1146,$A874,Trades!$Z$2:$Z$1146,"Win")</f>
        <v>1</v>
      </c>
      <c r="D874" s="29" t="n">
        <f aca="false">COUNTIFS(Trades!$D$2:$D$1146,$A874,Trades!$Z$2:$Z$1146,"Loss")</f>
        <v>1</v>
      </c>
      <c r="E874" s="30" t="n">
        <f aca="false">IFERROR(C874/B874,0)</f>
        <v>0.5</v>
      </c>
      <c r="F874" s="31" t="n">
        <f aca="false">SUMIFS(Trades!$X$2:$X$1146,Trades!$D$2:$D$1146,$A874)</f>
        <v>307.76</v>
      </c>
      <c r="G874" s="31" t="n">
        <f aca="false">SUMIFS(Trades!$X$2:$X$1146,Trades!$D$2:$D$1146,$A874,Trades!$X$2:$X$1146,"&gt;0")</f>
        <v>360.76</v>
      </c>
      <c r="H874" s="31" t="n">
        <f aca="false">SUMIFS(Trades!$X$2:$X$1146,Trades!$D$2:$D$1146,$A874,Trades!$X$2:$X$1146,"&lt;0")</f>
        <v>-53</v>
      </c>
      <c r="I874" s="32" t="n">
        <f aca="false">IFERROR(G874/-H874,"no loss")</f>
        <v>6.80679245283019</v>
      </c>
      <c r="J874" s="31" t="n">
        <f aca="false">_xlfn.MAXIFS(Trades!$X$2:$X$1146,Trades!$D$2:$D$1146,$A874)</f>
        <v>360.76</v>
      </c>
      <c r="K874" s="31" t="n">
        <f aca="false">_xlfn.MINIFS(Trades!$X$2:$X$1146,Trades!$D$2:$D$1146,$A874)</f>
        <v>-53</v>
      </c>
      <c r="L874" s="33" t="n">
        <f aca="false">SUMIFS(Trades!$Y$2:$Y$1146,Trades!$D$2:$D$1146,$A874)</f>
        <v>1.51860488980667</v>
      </c>
      <c r="M874" s="31" t="n">
        <f aca="false">P873</f>
        <v>22624.88</v>
      </c>
      <c r="N874" s="30" t="n">
        <f aca="false">IFERROR(F874/M874,0)</f>
        <v>0.0136027240807465</v>
      </c>
      <c r="O874" s="29" t="str">
        <f aca="false">IF(-N874&gt;=Summary!$C$7,"BREACH","")</f>
        <v/>
      </c>
      <c r="P874" s="31" t="n">
        <f aca="false">M874+F874</f>
        <v>22932.64</v>
      </c>
      <c r="Q874" s="31" t="n">
        <f aca="false">P874-Summary!$C$5</f>
        <v>12932.64</v>
      </c>
      <c r="R874" s="2" t="str">
        <f aca="false">TEXT(A874,"ddd")</f>
        <v>Thu</v>
      </c>
    </row>
    <row r="875" customFormat="false" ht="15" hidden="false" customHeight="false" outlineLevel="0" collapsed="false">
      <c r="A875" s="43" t="n">
        <v>46080</v>
      </c>
      <c r="B875" s="29" t="n">
        <f aca="false">COUNTIFS(Trades!$D$2:$D$1146,$A875)</f>
        <v>1</v>
      </c>
      <c r="C875" s="29" t="n">
        <f aca="false">COUNTIFS(Trades!$D$2:$D$1146,$A875,Trades!$Z$2:$Z$1146,"Win")</f>
        <v>0</v>
      </c>
      <c r="D875" s="29" t="n">
        <f aca="false">COUNTIFS(Trades!$D$2:$D$1146,$A875,Trades!$Z$2:$Z$1146,"Loss")</f>
        <v>1</v>
      </c>
      <c r="E875" s="30" t="n">
        <f aca="false">IFERROR(C875/B875,0)</f>
        <v>0</v>
      </c>
      <c r="F875" s="31" t="n">
        <f aca="false">SUMIFS(Trades!$X$2:$X$1146,Trades!$D$2:$D$1146,$A875)</f>
        <v>-1</v>
      </c>
      <c r="G875" s="31" t="n">
        <f aca="false">SUMIFS(Trades!$X$2:$X$1146,Trades!$D$2:$D$1146,$A875,Trades!$X$2:$X$1146,"&gt;0")</f>
        <v>0</v>
      </c>
      <c r="H875" s="31" t="n">
        <f aca="false">SUMIFS(Trades!$X$2:$X$1146,Trades!$D$2:$D$1146,$A875,Trades!$X$2:$X$1146,"&lt;0")</f>
        <v>-1</v>
      </c>
      <c r="I875" s="32" t="n">
        <f aca="false">IFERROR(G875/-H875,"no loss")</f>
        <v>0</v>
      </c>
      <c r="J875" s="31" t="n">
        <f aca="false">_xlfn.MAXIFS(Trades!$X$2:$X$1146,Trades!$D$2:$D$1146,$A875)</f>
        <v>-1</v>
      </c>
      <c r="K875" s="31" t="n">
        <f aca="false">_xlfn.MINIFS(Trades!$X$2:$X$1146,Trades!$D$2:$D$1146,$A875)</f>
        <v>-1</v>
      </c>
      <c r="L875" s="33" t="n">
        <f aca="false">SUMIFS(Trades!$Y$2:$Y$1146,Trades!$D$2:$D$1146,$A875)</f>
        <v>-0.0144759698899823</v>
      </c>
      <c r="M875" s="31" t="n">
        <f aca="false">P874</f>
        <v>22932.64</v>
      </c>
      <c r="N875" s="30" t="n">
        <f aca="false">IFERROR(F875/M875,0)</f>
        <v>-4.36059694827983E-005</v>
      </c>
      <c r="O875" s="29" t="str">
        <f aca="false">IF(-N875&gt;=Summary!$C$7,"BREACH","")</f>
        <v/>
      </c>
      <c r="P875" s="31" t="n">
        <f aca="false">M875+F875</f>
        <v>22931.64</v>
      </c>
      <c r="Q875" s="31" t="n">
        <f aca="false">P875-Summary!$C$5</f>
        <v>12931.64</v>
      </c>
      <c r="R875" s="2" t="str">
        <f aca="false">TEXT(A875,"ddd")</f>
        <v>Fri</v>
      </c>
    </row>
    <row r="876" customFormat="false" ht="15" hidden="false" customHeight="false" outlineLevel="0" collapsed="false">
      <c r="A876" s="43" t="n">
        <v>46083</v>
      </c>
      <c r="B876" s="29" t="n">
        <f aca="false">COUNTIFS(Trades!$D$2:$D$1146,$A876)</f>
        <v>1</v>
      </c>
      <c r="C876" s="29" t="n">
        <f aca="false">COUNTIFS(Trades!$D$2:$D$1146,$A876,Trades!$Z$2:$Z$1146,"Win")</f>
        <v>0</v>
      </c>
      <c r="D876" s="29" t="n">
        <f aca="false">COUNTIFS(Trades!$D$2:$D$1146,$A876,Trades!$Z$2:$Z$1146,"Loss")</f>
        <v>1</v>
      </c>
      <c r="E876" s="30" t="n">
        <f aca="false">IFERROR(C876/B876,0)</f>
        <v>0</v>
      </c>
      <c r="F876" s="31" t="n">
        <f aca="false">SUMIFS(Trades!$X$2:$X$1146,Trades!$D$2:$D$1146,$A876)</f>
        <v>-290.12</v>
      </c>
      <c r="G876" s="31" t="n">
        <f aca="false">SUMIFS(Trades!$X$2:$X$1146,Trades!$D$2:$D$1146,$A876,Trades!$X$2:$X$1146,"&gt;0")</f>
        <v>0</v>
      </c>
      <c r="H876" s="31" t="n">
        <f aca="false">SUMIFS(Trades!$X$2:$X$1146,Trades!$D$2:$D$1146,$A876,Trades!$X$2:$X$1146,"&lt;0")</f>
        <v>-290.12</v>
      </c>
      <c r="I876" s="32" t="n">
        <f aca="false">IFERROR(G876/-H876,"no loss")</f>
        <v>0</v>
      </c>
      <c r="J876" s="31" t="n">
        <f aca="false">_xlfn.MAXIFS(Trades!$X$2:$X$1146,Trades!$D$2:$D$1146,$A876)</f>
        <v>-290.12</v>
      </c>
      <c r="K876" s="31" t="n">
        <f aca="false">_xlfn.MINIFS(Trades!$X$2:$X$1146,Trades!$D$2:$D$1146,$A876)</f>
        <v>-290.12</v>
      </c>
      <c r="L876" s="33" t="n">
        <f aca="false">SUMIFS(Trades!$Y$2:$Y$1146,Trades!$D$2:$D$1146,$A876)</f>
        <v>-1.05852305896088</v>
      </c>
      <c r="M876" s="31" t="n">
        <f aca="false">P875</f>
        <v>22931.64</v>
      </c>
      <c r="N876" s="30" t="n">
        <f aca="false">IFERROR(F876/M876,0)</f>
        <v>-0.0126515155479503</v>
      </c>
      <c r="O876" s="29" t="str">
        <f aca="false">IF(-N876&gt;=Summary!$C$7,"BREACH","")</f>
        <v/>
      </c>
      <c r="P876" s="31" t="n">
        <f aca="false">M876+F876</f>
        <v>22641.52</v>
      </c>
      <c r="Q876" s="31" t="n">
        <f aca="false">P876-Summary!$C$5</f>
        <v>12641.52</v>
      </c>
      <c r="R876" s="2" t="str">
        <f aca="false">TEXT(A876,"ddd")</f>
        <v>Mon</v>
      </c>
    </row>
    <row r="877" customFormat="false" ht="15" hidden="false" customHeight="false" outlineLevel="0" collapsed="false">
      <c r="A877" s="43" t="n">
        <v>46084</v>
      </c>
      <c r="B877" s="29" t="n">
        <f aca="false">COUNTIFS(Trades!$D$2:$D$1146,$A877)</f>
        <v>1</v>
      </c>
      <c r="C877" s="29" t="n">
        <f aca="false">COUNTIFS(Trades!$D$2:$D$1146,$A877,Trades!$Z$2:$Z$1146,"Win")</f>
        <v>0</v>
      </c>
      <c r="D877" s="29" t="n">
        <f aca="false">COUNTIFS(Trades!$D$2:$D$1146,$A877,Trades!$Z$2:$Z$1146,"Loss")</f>
        <v>1</v>
      </c>
      <c r="E877" s="30" t="n">
        <f aca="false">IFERROR(C877/B877,0)</f>
        <v>0</v>
      </c>
      <c r="F877" s="31" t="n">
        <f aca="false">SUMIFS(Trades!$X$2:$X$1146,Trades!$D$2:$D$1146,$A877)</f>
        <v>-4.52</v>
      </c>
      <c r="G877" s="31" t="n">
        <f aca="false">SUMIFS(Trades!$X$2:$X$1146,Trades!$D$2:$D$1146,$A877,Trades!$X$2:$X$1146,"&gt;0")</f>
        <v>0</v>
      </c>
      <c r="H877" s="31" t="n">
        <f aca="false">SUMIFS(Trades!$X$2:$X$1146,Trades!$D$2:$D$1146,$A877,Trades!$X$2:$X$1146,"&lt;0")</f>
        <v>-4.52</v>
      </c>
      <c r="I877" s="32" t="n">
        <f aca="false">IFERROR(G877/-H877,"no loss")</f>
        <v>0</v>
      </c>
      <c r="J877" s="31" t="n">
        <f aca="false">_xlfn.MAXIFS(Trades!$X$2:$X$1146,Trades!$D$2:$D$1146,$A877)</f>
        <v>-4.52</v>
      </c>
      <c r="K877" s="31" t="n">
        <f aca="false">_xlfn.MINIFS(Trades!$X$2:$X$1146,Trades!$D$2:$D$1146,$A877)</f>
        <v>-4.52</v>
      </c>
      <c r="L877" s="33" t="n">
        <f aca="false">SUMIFS(Trades!$Y$2:$Y$1146,Trades!$D$2:$D$1146,$A877)</f>
        <v>-0.0582774626095943</v>
      </c>
      <c r="M877" s="31" t="n">
        <f aca="false">P876</f>
        <v>22641.52</v>
      </c>
      <c r="N877" s="30" t="n">
        <f aca="false">IFERROR(F877/M877,0)</f>
        <v>-0.000199633240171155</v>
      </c>
      <c r="O877" s="29" t="str">
        <f aca="false">IF(-N877&gt;=Summary!$C$7,"BREACH","")</f>
        <v/>
      </c>
      <c r="P877" s="31" t="n">
        <f aca="false">M877+F877</f>
        <v>22637</v>
      </c>
      <c r="Q877" s="31" t="n">
        <f aca="false">P877-Summary!$C$5</f>
        <v>12637</v>
      </c>
      <c r="R877" s="2" t="str">
        <f aca="false">TEXT(A877,"ddd")</f>
        <v>Tue</v>
      </c>
    </row>
    <row r="878" customFormat="false" ht="15" hidden="false" customHeight="false" outlineLevel="0" collapsed="false">
      <c r="A878" s="43" t="n">
        <v>46085</v>
      </c>
      <c r="B878" s="29" t="n">
        <f aca="false">COUNTIFS(Trades!$D$2:$D$1146,$A878)</f>
        <v>1</v>
      </c>
      <c r="C878" s="29" t="n">
        <f aca="false">COUNTIFS(Trades!$D$2:$D$1146,$A878,Trades!$Z$2:$Z$1146,"Win")</f>
        <v>1</v>
      </c>
      <c r="D878" s="29" t="n">
        <f aca="false">COUNTIFS(Trades!$D$2:$D$1146,$A878,Trades!$Z$2:$Z$1146,"Loss")</f>
        <v>0</v>
      </c>
      <c r="E878" s="30" t="n">
        <f aca="false">IFERROR(C878/B878,0)</f>
        <v>1</v>
      </c>
      <c r="F878" s="31" t="n">
        <f aca="false">SUMIFS(Trades!$X$2:$X$1146,Trades!$D$2:$D$1146,$A878)</f>
        <v>243.16</v>
      </c>
      <c r="G878" s="31" t="n">
        <f aca="false">SUMIFS(Trades!$X$2:$X$1146,Trades!$D$2:$D$1146,$A878,Trades!$X$2:$X$1146,"&gt;0")</f>
        <v>243.16</v>
      </c>
      <c r="H878" s="31" t="n">
        <f aca="false">SUMIFS(Trades!$X$2:$X$1146,Trades!$D$2:$D$1146,$A878,Trades!$X$2:$X$1146,"&lt;0")</f>
        <v>0</v>
      </c>
      <c r="I878" s="32" t="str">
        <f aca="false">IFERROR(G878/-H878,"no loss")</f>
        <v>no loss</v>
      </c>
      <c r="J878" s="31" t="n">
        <f aca="false">_xlfn.MAXIFS(Trades!$X$2:$X$1146,Trades!$D$2:$D$1146,$A878)</f>
        <v>243.16</v>
      </c>
      <c r="K878" s="31" t="n">
        <f aca="false">_xlfn.MINIFS(Trades!$X$2:$X$1146,Trades!$D$2:$D$1146,$A878)</f>
        <v>243.16</v>
      </c>
      <c r="L878" s="33" t="n">
        <f aca="false">SUMIFS(Trades!$Y$2:$Y$1146,Trades!$D$2:$D$1146,$A878)</f>
        <v>2.46213041717308</v>
      </c>
      <c r="M878" s="31" t="n">
        <f aca="false">P877</f>
        <v>22637</v>
      </c>
      <c r="N878" s="30" t="n">
        <f aca="false">IFERROR(F878/M878,0)</f>
        <v>0.0107417060564562</v>
      </c>
      <c r="O878" s="29" t="str">
        <f aca="false">IF(-N878&gt;=Summary!$C$7,"BREACH","")</f>
        <v/>
      </c>
      <c r="P878" s="31" t="n">
        <f aca="false">M878+F878</f>
        <v>22880.16</v>
      </c>
      <c r="Q878" s="31" t="n">
        <f aca="false">P878-Summary!$C$5</f>
        <v>12880.16</v>
      </c>
      <c r="R878" s="2" t="str">
        <f aca="false">TEXT(A878,"ddd")</f>
        <v>Wed</v>
      </c>
    </row>
    <row r="879" customFormat="false" ht="15" hidden="false" customHeight="false" outlineLevel="0" collapsed="false">
      <c r="A879" s="43" t="n">
        <v>46086</v>
      </c>
      <c r="B879" s="29" t="n">
        <f aca="false">COUNTIFS(Trades!$D$2:$D$1146,$A879)</f>
        <v>1</v>
      </c>
      <c r="C879" s="29" t="n">
        <f aca="false">COUNTIFS(Trades!$D$2:$D$1146,$A879,Trades!$Z$2:$Z$1146,"Win")</f>
        <v>0</v>
      </c>
      <c r="D879" s="29" t="n">
        <f aca="false">COUNTIFS(Trades!$D$2:$D$1146,$A879,Trades!$Z$2:$Z$1146,"Loss")</f>
        <v>1</v>
      </c>
      <c r="E879" s="30" t="n">
        <f aca="false">IFERROR(C879/B879,0)</f>
        <v>0</v>
      </c>
      <c r="F879" s="31" t="n">
        <f aca="false">SUMIFS(Trades!$X$2:$X$1146,Trades!$D$2:$D$1146,$A879)</f>
        <v>-51.52</v>
      </c>
      <c r="G879" s="31" t="n">
        <f aca="false">SUMIFS(Trades!$X$2:$X$1146,Trades!$D$2:$D$1146,$A879,Trades!$X$2:$X$1146,"&gt;0")</f>
        <v>0</v>
      </c>
      <c r="H879" s="31" t="n">
        <f aca="false">SUMIFS(Trades!$X$2:$X$1146,Trades!$D$2:$D$1146,$A879,Trades!$X$2:$X$1146,"&lt;0")</f>
        <v>-51.52</v>
      </c>
      <c r="I879" s="32" t="n">
        <f aca="false">IFERROR(G879/-H879,"no loss")</f>
        <v>0</v>
      </c>
      <c r="J879" s="31" t="n">
        <f aca="false">_xlfn.MAXIFS(Trades!$X$2:$X$1146,Trades!$D$2:$D$1146,$A879)</f>
        <v>-51.52</v>
      </c>
      <c r="K879" s="31" t="n">
        <f aca="false">_xlfn.MINIFS(Trades!$X$2:$X$1146,Trades!$D$2:$D$1146,$A879)</f>
        <v>-51.52</v>
      </c>
      <c r="L879" s="33" t="n">
        <f aca="false">SUMIFS(Trades!$Y$2:$Y$1146,Trades!$D$2:$D$1146,$A879)</f>
        <v>-1.0031152647975</v>
      </c>
      <c r="M879" s="31" t="n">
        <f aca="false">P878</f>
        <v>22880.16</v>
      </c>
      <c r="N879" s="30" t="n">
        <f aca="false">IFERROR(F879/M879,0)</f>
        <v>-0.0022517325053671</v>
      </c>
      <c r="O879" s="29" t="str">
        <f aca="false">IF(-N879&gt;=Summary!$C$7,"BREACH","")</f>
        <v/>
      </c>
      <c r="P879" s="31" t="n">
        <f aca="false">M879+F879</f>
        <v>22828.64</v>
      </c>
      <c r="Q879" s="31" t="n">
        <f aca="false">P879-Summary!$C$5</f>
        <v>12828.64</v>
      </c>
      <c r="R879" s="2" t="str">
        <f aca="false">TEXT(A879,"ddd")</f>
        <v>Thu</v>
      </c>
    </row>
    <row r="880" customFormat="false" ht="15" hidden="false" customHeight="false" outlineLevel="0" collapsed="false">
      <c r="A880" s="43" t="n">
        <v>46087</v>
      </c>
      <c r="B880" s="29" t="n">
        <f aca="false">COUNTIFS(Trades!$D$2:$D$1146,$A880)</f>
        <v>1</v>
      </c>
      <c r="C880" s="29" t="n">
        <f aca="false">COUNTIFS(Trades!$D$2:$D$1146,$A880,Trades!$Z$2:$Z$1146,"Win")</f>
        <v>0</v>
      </c>
      <c r="D880" s="29" t="n">
        <f aca="false">COUNTIFS(Trades!$D$2:$D$1146,$A880,Trades!$Z$2:$Z$1146,"Loss")</f>
        <v>1</v>
      </c>
      <c r="E880" s="30" t="n">
        <f aca="false">IFERROR(C880/B880,0)</f>
        <v>0</v>
      </c>
      <c r="F880" s="31" t="n">
        <f aca="false">SUMIFS(Trades!$X$2:$X$1146,Trades!$D$2:$D$1146,$A880)</f>
        <v>-128.84</v>
      </c>
      <c r="G880" s="31" t="n">
        <f aca="false">SUMIFS(Trades!$X$2:$X$1146,Trades!$D$2:$D$1146,$A880,Trades!$X$2:$X$1146,"&gt;0")</f>
        <v>0</v>
      </c>
      <c r="H880" s="31" t="n">
        <f aca="false">SUMIFS(Trades!$X$2:$X$1146,Trades!$D$2:$D$1146,$A880,Trades!$X$2:$X$1146,"&lt;0")</f>
        <v>-128.84</v>
      </c>
      <c r="I880" s="32" t="n">
        <f aca="false">IFERROR(G880/-H880,"no loss")</f>
        <v>0</v>
      </c>
      <c r="J880" s="31" t="n">
        <f aca="false">_xlfn.MAXIFS(Trades!$X$2:$X$1146,Trades!$D$2:$D$1146,$A880)</f>
        <v>-128.84</v>
      </c>
      <c r="K880" s="31" t="n">
        <f aca="false">_xlfn.MINIFS(Trades!$X$2:$X$1146,Trades!$D$2:$D$1146,$A880)</f>
        <v>-128.84</v>
      </c>
      <c r="L880" s="33" t="n">
        <f aca="false">SUMIFS(Trades!$Y$2:$Y$1146,Trades!$D$2:$D$1146,$A880)</f>
        <v>-1.02156676181418</v>
      </c>
      <c r="M880" s="31" t="n">
        <f aca="false">P879</f>
        <v>22828.64</v>
      </c>
      <c r="N880" s="30" t="n">
        <f aca="false">IFERROR(F880/M880,0)</f>
        <v>-0.00564378780339083</v>
      </c>
      <c r="O880" s="29" t="str">
        <f aca="false">IF(-N880&gt;=Summary!$C$7,"BREACH","")</f>
        <v/>
      </c>
      <c r="P880" s="31" t="n">
        <f aca="false">M880+F880</f>
        <v>22699.8</v>
      </c>
      <c r="Q880" s="31" t="n">
        <f aca="false">P880-Summary!$C$5</f>
        <v>12699.8</v>
      </c>
      <c r="R880" s="2" t="str">
        <f aca="false">TEXT(A880,"ddd")</f>
        <v>Fri</v>
      </c>
    </row>
    <row r="881" customFormat="false" ht="15" hidden="false" customHeight="false" outlineLevel="0" collapsed="false">
      <c r="A881" s="43" t="n">
        <v>46090</v>
      </c>
      <c r="B881" s="29" t="n">
        <f aca="false">COUNTIFS(Trades!$D$2:$D$1146,$A881)</f>
        <v>1</v>
      </c>
      <c r="C881" s="29" t="n">
        <f aca="false">COUNTIFS(Trades!$D$2:$D$1146,$A881,Trades!$Z$2:$Z$1146,"Win")</f>
        <v>1</v>
      </c>
      <c r="D881" s="29" t="n">
        <f aca="false">COUNTIFS(Trades!$D$2:$D$1146,$A881,Trades!$Z$2:$Z$1146,"Loss")</f>
        <v>0</v>
      </c>
      <c r="E881" s="30" t="n">
        <f aca="false">IFERROR(C881/B881,0)</f>
        <v>1</v>
      </c>
      <c r="F881" s="31" t="n">
        <f aca="false">SUMIFS(Trades!$X$2:$X$1146,Trades!$D$2:$D$1146,$A881)</f>
        <v>734.68</v>
      </c>
      <c r="G881" s="31" t="n">
        <f aca="false">SUMIFS(Trades!$X$2:$X$1146,Trades!$D$2:$D$1146,$A881,Trades!$X$2:$X$1146,"&gt;0")</f>
        <v>734.68</v>
      </c>
      <c r="H881" s="31" t="n">
        <f aca="false">SUMIFS(Trades!$X$2:$X$1146,Trades!$D$2:$D$1146,$A881,Trades!$X$2:$X$1146,"&lt;0")</f>
        <v>0</v>
      </c>
      <c r="I881" s="32" t="str">
        <f aca="false">IFERROR(G881/-H881,"no loss")</f>
        <v>no loss</v>
      </c>
      <c r="J881" s="31" t="n">
        <f aca="false">_xlfn.MAXIFS(Trades!$X$2:$X$1146,Trades!$D$2:$D$1146,$A881)</f>
        <v>734.68</v>
      </c>
      <c r="K881" s="31" t="n">
        <f aca="false">_xlfn.MINIFS(Trades!$X$2:$X$1146,Trades!$D$2:$D$1146,$A881)</f>
        <v>734.68</v>
      </c>
      <c r="L881" s="33" t="n">
        <f aca="false">SUMIFS(Trades!$Y$2:$Y$1146,Trades!$D$2:$D$1146,$A881)</f>
        <v>2.69389850396009</v>
      </c>
      <c r="M881" s="31" t="n">
        <f aca="false">P880</f>
        <v>22699.8</v>
      </c>
      <c r="N881" s="30" t="n">
        <f aca="false">IFERROR(F881/M881,0)</f>
        <v>0.0323650428638138</v>
      </c>
      <c r="O881" s="29" t="str">
        <f aca="false">IF(-N881&gt;=Summary!$C$7,"BREACH","")</f>
        <v/>
      </c>
      <c r="P881" s="31" t="n">
        <f aca="false">M881+F881</f>
        <v>23434.48</v>
      </c>
      <c r="Q881" s="31" t="n">
        <f aca="false">P881-Summary!$C$5</f>
        <v>13434.48</v>
      </c>
      <c r="R881" s="2" t="str">
        <f aca="false">TEXT(A881,"ddd")</f>
        <v>Mon</v>
      </c>
    </row>
    <row r="882" customFormat="false" ht="15" hidden="false" customHeight="false" outlineLevel="0" collapsed="false">
      <c r="A882" s="43" t="n">
        <v>46091</v>
      </c>
      <c r="B882" s="29" t="n">
        <f aca="false">COUNTIFS(Trades!$D$2:$D$1146,$A882)</f>
        <v>1</v>
      </c>
      <c r="C882" s="29" t="n">
        <f aca="false">COUNTIFS(Trades!$D$2:$D$1146,$A882,Trades!$Z$2:$Z$1146,"Win")</f>
        <v>0</v>
      </c>
      <c r="D882" s="29" t="n">
        <f aca="false">COUNTIFS(Trades!$D$2:$D$1146,$A882,Trades!$Z$2:$Z$1146,"Loss")</f>
        <v>1</v>
      </c>
      <c r="E882" s="30" t="n">
        <f aca="false">IFERROR(C882/B882,0)</f>
        <v>0</v>
      </c>
      <c r="F882" s="31" t="n">
        <f aca="false">SUMIFS(Trades!$X$2:$X$1146,Trades!$D$2:$D$1146,$A882)</f>
        <v>-1.92</v>
      </c>
      <c r="G882" s="31" t="n">
        <f aca="false">SUMIFS(Trades!$X$2:$X$1146,Trades!$D$2:$D$1146,$A882,Trades!$X$2:$X$1146,"&gt;0")</f>
        <v>0</v>
      </c>
      <c r="H882" s="31" t="n">
        <f aca="false">SUMIFS(Trades!$X$2:$X$1146,Trades!$D$2:$D$1146,$A882,Trades!$X$2:$X$1146,"&lt;0")</f>
        <v>-1.92</v>
      </c>
      <c r="I882" s="32" t="n">
        <f aca="false">IFERROR(G882/-H882,"no loss")</f>
        <v>0</v>
      </c>
      <c r="J882" s="31" t="n">
        <f aca="false">_xlfn.MAXIFS(Trades!$X$2:$X$1146,Trades!$D$2:$D$1146,$A882)</f>
        <v>-1.92</v>
      </c>
      <c r="K882" s="31" t="n">
        <f aca="false">_xlfn.MINIFS(Trades!$X$2:$X$1146,Trades!$D$2:$D$1146,$A882)</f>
        <v>-1.92</v>
      </c>
      <c r="L882" s="33" t="n">
        <f aca="false">SUMIFS(Trades!$Y$2:$Y$1146,Trades!$D$2:$D$1146,$A882)</f>
        <v>-0.0355819125277942</v>
      </c>
      <c r="M882" s="31" t="n">
        <f aca="false">P881</f>
        <v>23434.48</v>
      </c>
      <c r="N882" s="30" t="n">
        <f aca="false">IFERROR(F882/M882,0)</f>
        <v>-8.19305570253746E-005</v>
      </c>
      <c r="O882" s="29" t="str">
        <f aca="false">IF(-N882&gt;=Summary!$C$7,"BREACH","")</f>
        <v/>
      </c>
      <c r="P882" s="31" t="n">
        <f aca="false">M882+F882</f>
        <v>23432.56</v>
      </c>
      <c r="Q882" s="31" t="n">
        <f aca="false">P882-Summary!$C$5</f>
        <v>13432.56</v>
      </c>
      <c r="R882" s="2" t="str">
        <f aca="false">TEXT(A882,"ddd")</f>
        <v>Tue</v>
      </c>
    </row>
    <row r="883" customFormat="false" ht="15" hidden="false" customHeight="false" outlineLevel="0" collapsed="false">
      <c r="A883" s="43" t="n">
        <v>46093</v>
      </c>
      <c r="B883" s="29" t="n">
        <f aca="false">COUNTIFS(Trades!$D$2:$D$1146,$A883)</f>
        <v>1</v>
      </c>
      <c r="C883" s="29" t="n">
        <f aca="false">COUNTIFS(Trades!$D$2:$D$1146,$A883,Trades!$Z$2:$Z$1146,"Win")</f>
        <v>1</v>
      </c>
      <c r="D883" s="29" t="n">
        <f aca="false">COUNTIFS(Trades!$D$2:$D$1146,$A883,Trades!$Z$2:$Z$1146,"Loss")</f>
        <v>0</v>
      </c>
      <c r="E883" s="30" t="n">
        <f aca="false">IFERROR(C883/B883,0)</f>
        <v>1</v>
      </c>
      <c r="F883" s="31" t="n">
        <f aca="false">SUMIFS(Trades!$X$2:$X$1146,Trades!$D$2:$D$1146,$A883)</f>
        <v>179.28</v>
      </c>
      <c r="G883" s="31" t="n">
        <f aca="false">SUMIFS(Trades!$X$2:$X$1146,Trades!$D$2:$D$1146,$A883,Trades!$X$2:$X$1146,"&gt;0")</f>
        <v>179.28</v>
      </c>
      <c r="H883" s="31" t="n">
        <f aca="false">SUMIFS(Trades!$X$2:$X$1146,Trades!$D$2:$D$1146,$A883,Trades!$X$2:$X$1146,"&lt;0")</f>
        <v>0</v>
      </c>
      <c r="I883" s="32" t="str">
        <f aca="false">IFERROR(G883/-H883,"no loss")</f>
        <v>no loss</v>
      </c>
      <c r="J883" s="31" t="n">
        <f aca="false">_xlfn.MAXIFS(Trades!$X$2:$X$1146,Trades!$D$2:$D$1146,$A883)</f>
        <v>179.28</v>
      </c>
      <c r="K883" s="31" t="n">
        <f aca="false">_xlfn.MINIFS(Trades!$X$2:$X$1146,Trades!$D$2:$D$1146,$A883)</f>
        <v>179.28</v>
      </c>
      <c r="L883" s="33" t="n">
        <f aca="false">SUMIFS(Trades!$Y$2:$Y$1146,Trades!$D$2:$D$1146,$A883)</f>
        <v>2.49972113775791</v>
      </c>
      <c r="M883" s="31" t="n">
        <f aca="false">P882</f>
        <v>23432.56</v>
      </c>
      <c r="N883" s="30" t="n">
        <f aca="false">IFERROR(F883/M883,0)</f>
        <v>0.00765089260413715</v>
      </c>
      <c r="O883" s="29" t="str">
        <f aca="false">IF(-N883&gt;=Summary!$C$7,"BREACH","")</f>
        <v/>
      </c>
      <c r="P883" s="31" t="n">
        <f aca="false">M883+F883</f>
        <v>23611.84</v>
      </c>
      <c r="Q883" s="31" t="n">
        <f aca="false">P883-Summary!$C$5</f>
        <v>13611.84</v>
      </c>
      <c r="R883" s="2" t="str">
        <f aca="false">TEXT(A883,"ddd")</f>
        <v>Thu</v>
      </c>
    </row>
    <row r="884" customFormat="false" ht="15" hidden="false" customHeight="false" outlineLevel="0" collapsed="false">
      <c r="A884" s="43" t="n">
        <v>46094</v>
      </c>
      <c r="B884" s="29" t="n">
        <f aca="false">COUNTIFS(Trades!$D$2:$D$1146,$A884)</f>
        <v>1</v>
      </c>
      <c r="C884" s="29" t="n">
        <f aca="false">COUNTIFS(Trades!$D$2:$D$1146,$A884,Trades!$Z$2:$Z$1146,"Win")</f>
        <v>0</v>
      </c>
      <c r="D884" s="29" t="n">
        <f aca="false">COUNTIFS(Trades!$D$2:$D$1146,$A884,Trades!$Z$2:$Z$1146,"Loss")</f>
        <v>0</v>
      </c>
      <c r="E884" s="30" t="n">
        <f aca="false">IFERROR(C884/B884,0)</f>
        <v>0</v>
      </c>
      <c r="F884" s="31" t="n">
        <f aca="false">SUMIFS(Trades!$X$2:$X$1146,Trades!$D$2:$D$1146,$A884)</f>
        <v>0</v>
      </c>
      <c r="G884" s="31" t="n">
        <f aca="false">SUMIFS(Trades!$X$2:$X$1146,Trades!$D$2:$D$1146,$A884,Trades!$X$2:$X$1146,"&gt;0")</f>
        <v>0</v>
      </c>
      <c r="H884" s="31" t="n">
        <f aca="false">SUMIFS(Trades!$X$2:$X$1146,Trades!$D$2:$D$1146,$A884,Trades!$X$2:$X$1146,"&lt;0")</f>
        <v>0</v>
      </c>
      <c r="I884" s="32" t="str">
        <f aca="false">IFERROR(G884/-H884,"no loss")</f>
        <v>no loss</v>
      </c>
      <c r="J884" s="31" t="n">
        <f aca="false">_xlfn.MAXIFS(Trades!$X$2:$X$1146,Trades!$D$2:$D$1146,$A884)</f>
        <v>0</v>
      </c>
      <c r="K884" s="31" t="n">
        <f aca="false">_xlfn.MINIFS(Trades!$X$2:$X$1146,Trades!$D$2:$D$1146,$A884)</f>
        <v>0</v>
      </c>
      <c r="L884" s="33" t="n">
        <f aca="false">SUMIFS(Trades!$Y$2:$Y$1146,Trades!$D$2:$D$1146,$A884)</f>
        <v>0</v>
      </c>
      <c r="M884" s="31" t="n">
        <f aca="false">P883</f>
        <v>23611.84</v>
      </c>
      <c r="N884" s="30" t="n">
        <f aca="false">IFERROR(F884/M884,0)</f>
        <v>0</v>
      </c>
      <c r="O884" s="29" t="str">
        <f aca="false">IF(-N884&gt;=Summary!$C$7,"BREACH","")</f>
        <v/>
      </c>
      <c r="P884" s="31" t="n">
        <f aca="false">M884+F884</f>
        <v>23611.84</v>
      </c>
      <c r="Q884" s="31" t="n">
        <f aca="false">P884-Summary!$C$5</f>
        <v>13611.84</v>
      </c>
      <c r="R884" s="2" t="str">
        <f aca="false">TEXT(A884,"ddd")</f>
        <v>Fri</v>
      </c>
    </row>
    <row r="885" customFormat="false" ht="15" hidden="false" customHeight="false" outlineLevel="0" collapsed="false">
      <c r="A885" s="43" t="n">
        <v>46097</v>
      </c>
      <c r="B885" s="29" t="n">
        <f aca="false">COUNTIFS(Trades!$D$2:$D$1146,$A885)</f>
        <v>1</v>
      </c>
      <c r="C885" s="29" t="n">
        <f aca="false">COUNTIFS(Trades!$D$2:$D$1146,$A885,Trades!$Z$2:$Z$1146,"Win")</f>
        <v>0</v>
      </c>
      <c r="D885" s="29" t="n">
        <f aca="false">COUNTIFS(Trades!$D$2:$D$1146,$A885,Trades!$Z$2:$Z$1146,"Loss")</f>
        <v>1</v>
      </c>
      <c r="E885" s="30" t="n">
        <f aca="false">IFERROR(C885/B885,0)</f>
        <v>0</v>
      </c>
      <c r="F885" s="31" t="n">
        <f aca="false">SUMIFS(Trades!$X$2:$X$1146,Trades!$D$2:$D$1146,$A885)</f>
        <v>-78.96</v>
      </c>
      <c r="G885" s="31" t="n">
        <f aca="false">SUMIFS(Trades!$X$2:$X$1146,Trades!$D$2:$D$1146,$A885,Trades!$X$2:$X$1146,"&gt;0")</f>
        <v>0</v>
      </c>
      <c r="H885" s="31" t="n">
        <f aca="false">SUMIFS(Trades!$X$2:$X$1146,Trades!$D$2:$D$1146,$A885,Trades!$X$2:$X$1146,"&lt;0")</f>
        <v>-78.96</v>
      </c>
      <c r="I885" s="32" t="n">
        <f aca="false">IFERROR(G885/-H885,"no loss")</f>
        <v>0</v>
      </c>
      <c r="J885" s="31" t="n">
        <f aca="false">_xlfn.MAXIFS(Trades!$X$2:$X$1146,Trades!$D$2:$D$1146,$A885)</f>
        <v>-78.96</v>
      </c>
      <c r="K885" s="31" t="n">
        <f aca="false">_xlfn.MINIFS(Trades!$X$2:$X$1146,Trades!$D$2:$D$1146,$A885)</f>
        <v>-78.96</v>
      </c>
      <c r="L885" s="33" t="n">
        <f aca="false">SUMIFS(Trades!$Y$2:$Y$1146,Trades!$D$2:$D$1146,$A885)</f>
        <v>-1.11336717428091</v>
      </c>
      <c r="M885" s="31" t="n">
        <f aca="false">P884</f>
        <v>23611.84</v>
      </c>
      <c r="N885" s="30" t="n">
        <f aca="false">IFERROR(F885/M885,0)</f>
        <v>-0.00334408500142302</v>
      </c>
      <c r="O885" s="29" t="str">
        <f aca="false">IF(-N885&gt;=Summary!$C$7,"BREACH","")</f>
        <v/>
      </c>
      <c r="P885" s="31" t="n">
        <f aca="false">M885+F885</f>
        <v>23532.88</v>
      </c>
      <c r="Q885" s="31" t="n">
        <f aca="false">P885-Summary!$C$5</f>
        <v>13532.88</v>
      </c>
      <c r="R885" s="2" t="str">
        <f aca="false">TEXT(A885,"ddd")</f>
        <v>Mon</v>
      </c>
    </row>
    <row r="886" customFormat="false" ht="15" hidden="false" customHeight="false" outlineLevel="0" collapsed="false">
      <c r="A886" s="43" t="n">
        <v>46098</v>
      </c>
      <c r="B886" s="29" t="n">
        <f aca="false">COUNTIFS(Trades!$D$2:$D$1146,$A886)</f>
        <v>1</v>
      </c>
      <c r="C886" s="29" t="n">
        <f aca="false">COUNTIFS(Trades!$D$2:$D$1146,$A886,Trades!$Z$2:$Z$1146,"Win")</f>
        <v>0</v>
      </c>
      <c r="D886" s="29" t="n">
        <f aca="false">COUNTIFS(Trades!$D$2:$D$1146,$A886,Trades!$Z$2:$Z$1146,"Loss")</f>
        <v>1</v>
      </c>
      <c r="E886" s="30" t="n">
        <f aca="false">IFERROR(C886/B886,0)</f>
        <v>0</v>
      </c>
      <c r="F886" s="31" t="n">
        <f aca="false">SUMIFS(Trades!$X$2:$X$1146,Trades!$D$2:$D$1146,$A886)</f>
        <v>-1.44</v>
      </c>
      <c r="G886" s="31" t="n">
        <f aca="false">SUMIFS(Trades!$X$2:$X$1146,Trades!$D$2:$D$1146,$A886,Trades!$X$2:$X$1146,"&gt;0")</f>
        <v>0</v>
      </c>
      <c r="H886" s="31" t="n">
        <f aca="false">SUMIFS(Trades!$X$2:$X$1146,Trades!$D$2:$D$1146,$A886,Trades!$X$2:$X$1146,"&lt;0")</f>
        <v>-1.44</v>
      </c>
      <c r="I886" s="32" t="n">
        <f aca="false">IFERROR(G886/-H886,"no loss")</f>
        <v>0</v>
      </c>
      <c r="J886" s="31" t="n">
        <f aca="false">_xlfn.MAXIFS(Trades!$X$2:$X$1146,Trades!$D$2:$D$1146,$A886)</f>
        <v>-1.44</v>
      </c>
      <c r="K886" s="31" t="n">
        <f aca="false">_xlfn.MINIFS(Trades!$X$2:$X$1146,Trades!$D$2:$D$1146,$A886)</f>
        <v>-1.44</v>
      </c>
      <c r="L886" s="33" t="n">
        <f aca="false">SUMIFS(Trades!$Y$2:$Y$1146,Trades!$D$2:$D$1146,$A886)</f>
        <v>-0.0122992825418515</v>
      </c>
      <c r="M886" s="31" t="n">
        <f aca="false">P885</f>
        <v>23532.88</v>
      </c>
      <c r="N886" s="30" t="n">
        <f aca="false">IFERROR(F886/M886,0)</f>
        <v>-6.11909804494818E-005</v>
      </c>
      <c r="O886" s="29" t="str">
        <f aca="false">IF(-N886&gt;=Summary!$C$7,"BREACH","")</f>
        <v/>
      </c>
      <c r="P886" s="31" t="n">
        <f aca="false">M886+F886</f>
        <v>23531.44</v>
      </c>
      <c r="Q886" s="31" t="n">
        <f aca="false">P886-Summary!$C$5</f>
        <v>13531.44</v>
      </c>
      <c r="R886" s="2" t="str">
        <f aca="false">TEXT(A886,"ddd")</f>
        <v>Tue</v>
      </c>
    </row>
    <row r="887" customFormat="false" ht="15" hidden="false" customHeight="false" outlineLevel="0" collapsed="false">
      <c r="A887" s="43" t="n">
        <v>46099</v>
      </c>
      <c r="B887" s="29" t="n">
        <f aca="false">COUNTIFS(Trades!$D$2:$D$1146,$A887)</f>
        <v>2</v>
      </c>
      <c r="C887" s="29" t="n">
        <f aca="false">COUNTIFS(Trades!$D$2:$D$1146,$A887,Trades!$Z$2:$Z$1146,"Win")</f>
        <v>1</v>
      </c>
      <c r="D887" s="29" t="n">
        <f aca="false">COUNTIFS(Trades!$D$2:$D$1146,$A887,Trades!$Z$2:$Z$1146,"Loss")</f>
        <v>1</v>
      </c>
      <c r="E887" s="30" t="n">
        <f aca="false">IFERROR(C887/B887,0)</f>
        <v>0.5</v>
      </c>
      <c r="F887" s="31" t="n">
        <f aca="false">SUMIFS(Trades!$X$2:$X$1146,Trades!$D$2:$D$1146,$A887)</f>
        <v>51.16</v>
      </c>
      <c r="G887" s="31" t="n">
        <f aca="false">SUMIFS(Trades!$X$2:$X$1146,Trades!$D$2:$D$1146,$A887,Trades!$X$2:$X$1146,"&gt;0")</f>
        <v>52.08</v>
      </c>
      <c r="H887" s="31" t="n">
        <f aca="false">SUMIFS(Trades!$X$2:$X$1146,Trades!$D$2:$D$1146,$A887,Trades!$X$2:$X$1146,"&lt;0")</f>
        <v>-0.92</v>
      </c>
      <c r="I887" s="32" t="n">
        <f aca="false">IFERROR(G887/-H887,"no loss")</f>
        <v>56.6086956521739</v>
      </c>
      <c r="J887" s="31" t="n">
        <f aca="false">_xlfn.MAXIFS(Trades!$X$2:$X$1146,Trades!$D$2:$D$1146,$A887)</f>
        <v>52.08</v>
      </c>
      <c r="K887" s="31" t="n">
        <f aca="false">_xlfn.MINIFS(Trades!$X$2:$X$1146,Trades!$D$2:$D$1146,$A887)</f>
        <v>-0.92</v>
      </c>
      <c r="L887" s="33" t="n">
        <f aca="false">SUMIFS(Trades!$Y$2:$Y$1146,Trades!$D$2:$D$1146,$A887)</f>
        <v>2.45320350362347</v>
      </c>
      <c r="M887" s="31" t="n">
        <f aca="false">P886</f>
        <v>23531.44</v>
      </c>
      <c r="N887" s="30" t="n">
        <f aca="false">IFERROR(F887/M887,0)</f>
        <v>0.00217411259149461</v>
      </c>
      <c r="O887" s="29" t="str">
        <f aca="false">IF(-N887&gt;=Summary!$C$7,"BREACH","")</f>
        <v/>
      </c>
      <c r="P887" s="31" t="n">
        <f aca="false">M887+F887</f>
        <v>23582.6</v>
      </c>
      <c r="Q887" s="31" t="n">
        <f aca="false">P887-Summary!$C$5</f>
        <v>13582.6</v>
      </c>
      <c r="R887" s="2" t="str">
        <f aca="false">TEXT(A887,"ddd")</f>
        <v>Wed</v>
      </c>
    </row>
    <row r="888" customFormat="false" ht="15" hidden="false" customHeight="false" outlineLevel="0" collapsed="false">
      <c r="A888" s="43" t="n">
        <v>46100</v>
      </c>
      <c r="B888" s="29" t="n">
        <f aca="false">COUNTIFS(Trades!$D$2:$D$1146,$A888)</f>
        <v>1</v>
      </c>
      <c r="C888" s="29" t="n">
        <f aca="false">COUNTIFS(Trades!$D$2:$D$1146,$A888,Trades!$Z$2:$Z$1146,"Win")</f>
        <v>0</v>
      </c>
      <c r="D888" s="29" t="n">
        <f aca="false">COUNTIFS(Trades!$D$2:$D$1146,$A888,Trades!$Z$2:$Z$1146,"Loss")</f>
        <v>1</v>
      </c>
      <c r="E888" s="30" t="n">
        <f aca="false">IFERROR(C888/B888,0)</f>
        <v>0</v>
      </c>
      <c r="F888" s="31" t="n">
        <f aca="false">SUMIFS(Trades!$X$2:$X$1146,Trades!$D$2:$D$1146,$A888)</f>
        <v>-3.96</v>
      </c>
      <c r="G888" s="31" t="n">
        <f aca="false">SUMIFS(Trades!$X$2:$X$1146,Trades!$D$2:$D$1146,$A888,Trades!$X$2:$X$1146,"&gt;0")</f>
        <v>0</v>
      </c>
      <c r="H888" s="31" t="n">
        <f aca="false">SUMIFS(Trades!$X$2:$X$1146,Trades!$D$2:$D$1146,$A888,Trades!$X$2:$X$1146,"&lt;0")</f>
        <v>-3.96</v>
      </c>
      <c r="I888" s="32" t="n">
        <f aca="false">IFERROR(G888/-H888,"no loss")</f>
        <v>0</v>
      </c>
      <c r="J888" s="31" t="n">
        <f aca="false">_xlfn.MAXIFS(Trades!$X$2:$X$1146,Trades!$D$2:$D$1146,$A888)</f>
        <v>-3.96</v>
      </c>
      <c r="K888" s="31" t="n">
        <f aca="false">_xlfn.MINIFS(Trades!$X$2:$X$1146,Trades!$D$2:$D$1146,$A888)</f>
        <v>-3.96</v>
      </c>
      <c r="L888" s="33" t="n">
        <f aca="false">SUMIFS(Trades!$Y$2:$Y$1146,Trades!$D$2:$D$1146,$A888)</f>
        <v>-0.0873786407767136</v>
      </c>
      <c r="M888" s="31" t="n">
        <f aca="false">P887</f>
        <v>23582.6</v>
      </c>
      <c r="N888" s="30" t="n">
        <f aca="false">IFERROR(F888/M888,0)</f>
        <v>-0.000167920415899858</v>
      </c>
      <c r="O888" s="29" t="str">
        <f aca="false">IF(-N888&gt;=Summary!$C$7,"BREACH","")</f>
        <v/>
      </c>
      <c r="P888" s="31" t="n">
        <f aca="false">M888+F888</f>
        <v>23578.64</v>
      </c>
      <c r="Q888" s="31" t="n">
        <f aca="false">P888-Summary!$C$5</f>
        <v>13578.64</v>
      </c>
      <c r="R888" s="2" t="str">
        <f aca="false">TEXT(A888,"ddd")</f>
        <v>Thu</v>
      </c>
    </row>
    <row r="889" customFormat="false" ht="15" hidden="false" customHeight="false" outlineLevel="0" collapsed="false">
      <c r="A889" s="43" t="n">
        <v>46101</v>
      </c>
      <c r="B889" s="29" t="n">
        <f aca="false">COUNTIFS(Trades!$D$2:$D$1146,$A889)</f>
        <v>1</v>
      </c>
      <c r="C889" s="29" t="n">
        <f aca="false">COUNTIFS(Trades!$D$2:$D$1146,$A889,Trades!$Z$2:$Z$1146,"Win")</f>
        <v>0</v>
      </c>
      <c r="D889" s="29" t="n">
        <f aca="false">COUNTIFS(Trades!$D$2:$D$1146,$A889,Trades!$Z$2:$Z$1146,"Loss")</f>
        <v>1</v>
      </c>
      <c r="E889" s="30" t="n">
        <f aca="false">IFERROR(C889/B889,0)</f>
        <v>0</v>
      </c>
      <c r="F889" s="31" t="n">
        <f aca="false">SUMIFS(Trades!$X$2:$X$1146,Trades!$D$2:$D$1146,$A889)</f>
        <v>-6.04</v>
      </c>
      <c r="G889" s="31" t="n">
        <f aca="false">SUMIFS(Trades!$X$2:$X$1146,Trades!$D$2:$D$1146,$A889,Trades!$X$2:$X$1146,"&gt;0")</f>
        <v>0</v>
      </c>
      <c r="H889" s="31" t="n">
        <f aca="false">SUMIFS(Trades!$X$2:$X$1146,Trades!$D$2:$D$1146,$A889,Trades!$X$2:$X$1146,"&lt;0")</f>
        <v>-6.04</v>
      </c>
      <c r="I889" s="32" t="n">
        <f aca="false">IFERROR(G889/-H889,"no loss")</f>
        <v>0</v>
      </c>
      <c r="J889" s="31" t="n">
        <f aca="false">_xlfn.MAXIFS(Trades!$X$2:$X$1146,Trades!$D$2:$D$1146,$A889)</f>
        <v>-6.04</v>
      </c>
      <c r="K889" s="31" t="n">
        <f aca="false">_xlfn.MINIFS(Trades!$X$2:$X$1146,Trades!$D$2:$D$1146,$A889)</f>
        <v>-6.04</v>
      </c>
      <c r="L889" s="33" t="n">
        <f aca="false">SUMIFS(Trades!$Y$2:$Y$1146,Trades!$D$2:$D$1146,$A889)</f>
        <v>-0.0650021523891532</v>
      </c>
      <c r="M889" s="31" t="n">
        <f aca="false">P888</f>
        <v>23578.64</v>
      </c>
      <c r="N889" s="30" t="n">
        <f aca="false">IFERROR(F889/M889,0)</f>
        <v>-0.000256164053567127</v>
      </c>
      <c r="O889" s="29" t="str">
        <f aca="false">IF(-N889&gt;=Summary!$C$7,"BREACH","")</f>
        <v/>
      </c>
      <c r="P889" s="31" t="n">
        <f aca="false">M889+F889</f>
        <v>23572.6</v>
      </c>
      <c r="Q889" s="31" t="n">
        <f aca="false">P889-Summary!$C$5</f>
        <v>13572.6</v>
      </c>
      <c r="R889" s="2" t="str">
        <f aca="false">TEXT(A889,"ddd")</f>
        <v>Fri</v>
      </c>
    </row>
    <row r="890" customFormat="false" ht="15" hidden="false" customHeight="false" outlineLevel="0" collapsed="false">
      <c r="A890" s="43" t="n">
        <v>46104</v>
      </c>
      <c r="B890" s="29" t="n">
        <f aca="false">COUNTIFS(Trades!$D$2:$D$1146,$A890)</f>
        <v>2</v>
      </c>
      <c r="C890" s="29" t="n">
        <f aca="false">COUNTIFS(Trades!$D$2:$D$1146,$A890,Trades!$Z$2:$Z$1146,"Win")</f>
        <v>0</v>
      </c>
      <c r="D890" s="29" t="n">
        <f aca="false">COUNTIFS(Trades!$D$2:$D$1146,$A890,Trades!$Z$2:$Z$1146,"Loss")</f>
        <v>2</v>
      </c>
      <c r="E890" s="30" t="n">
        <f aca="false">IFERROR(C890/B890,0)</f>
        <v>0</v>
      </c>
      <c r="F890" s="31" t="n">
        <f aca="false">SUMIFS(Trades!$X$2:$X$1146,Trades!$D$2:$D$1146,$A890)</f>
        <v>-596.56</v>
      </c>
      <c r="G890" s="31" t="n">
        <f aca="false">SUMIFS(Trades!$X$2:$X$1146,Trades!$D$2:$D$1146,$A890,Trades!$X$2:$X$1146,"&gt;0")</f>
        <v>0</v>
      </c>
      <c r="H890" s="31" t="n">
        <f aca="false">SUMIFS(Trades!$X$2:$X$1146,Trades!$D$2:$D$1146,$A890,Trades!$X$2:$X$1146,"&lt;0")</f>
        <v>-596.56</v>
      </c>
      <c r="I890" s="32" t="n">
        <f aca="false">IFERROR(G890/-H890,"no loss")</f>
        <v>0</v>
      </c>
      <c r="J890" s="31" t="n">
        <f aca="false">_xlfn.MAXIFS(Trades!$X$2:$X$1146,Trades!$D$2:$D$1146,$A890)</f>
        <v>-219.24</v>
      </c>
      <c r="K890" s="31" t="n">
        <f aca="false">_xlfn.MINIFS(Trades!$X$2:$X$1146,Trades!$D$2:$D$1146,$A890)</f>
        <v>-377.32</v>
      </c>
      <c r="L890" s="33" t="n">
        <f aca="false">SUMIFS(Trades!$Y$2:$Y$1146,Trades!$D$2:$D$1146,$A890)</f>
        <v>-1.57478470193158</v>
      </c>
      <c r="M890" s="31" t="n">
        <f aca="false">P889</f>
        <v>23572.6</v>
      </c>
      <c r="N890" s="30" t="n">
        <f aca="false">IFERROR(F890/M890,0)</f>
        <v>-0.0253073483620814</v>
      </c>
      <c r="O890" s="29" t="str">
        <f aca="false">IF(-N890&gt;=Summary!$C$7,"BREACH","")</f>
        <v>BREACH</v>
      </c>
      <c r="P890" s="31" t="n">
        <f aca="false">M890+F890</f>
        <v>22976.04</v>
      </c>
      <c r="Q890" s="31" t="n">
        <f aca="false">P890-Summary!$C$5</f>
        <v>12976.04</v>
      </c>
      <c r="R890" s="2" t="str">
        <f aca="false">TEXT(A890,"ddd")</f>
        <v>Mon</v>
      </c>
    </row>
    <row r="891" customFormat="false" ht="15" hidden="false" customHeight="false" outlineLevel="0" collapsed="false">
      <c r="A891" s="43" t="n">
        <v>46106</v>
      </c>
      <c r="B891" s="29" t="n">
        <f aca="false">COUNTIFS(Trades!$D$2:$D$1146,$A891)</f>
        <v>1</v>
      </c>
      <c r="C891" s="29" t="n">
        <f aca="false">COUNTIFS(Trades!$D$2:$D$1146,$A891,Trades!$Z$2:$Z$1146,"Win")</f>
        <v>0</v>
      </c>
      <c r="D891" s="29" t="n">
        <f aca="false">COUNTIFS(Trades!$D$2:$D$1146,$A891,Trades!$Z$2:$Z$1146,"Loss")</f>
        <v>1</v>
      </c>
      <c r="E891" s="30" t="n">
        <f aca="false">IFERROR(C891/B891,0)</f>
        <v>0</v>
      </c>
      <c r="F891" s="31" t="n">
        <f aca="false">SUMIFS(Trades!$X$2:$X$1146,Trades!$D$2:$D$1146,$A891)</f>
        <v>-0.8</v>
      </c>
      <c r="G891" s="31" t="n">
        <f aca="false">SUMIFS(Trades!$X$2:$X$1146,Trades!$D$2:$D$1146,$A891,Trades!$X$2:$X$1146,"&gt;0")</f>
        <v>0</v>
      </c>
      <c r="H891" s="31" t="n">
        <f aca="false">SUMIFS(Trades!$X$2:$X$1146,Trades!$D$2:$D$1146,$A891,Trades!$X$2:$X$1146,"&lt;0")</f>
        <v>-0.8</v>
      </c>
      <c r="I891" s="32" t="n">
        <f aca="false">IFERROR(G891/-H891,"no loss")</f>
        <v>0</v>
      </c>
      <c r="J891" s="31" t="n">
        <f aca="false">_xlfn.MAXIFS(Trades!$X$2:$X$1146,Trades!$D$2:$D$1146,$A891)</f>
        <v>-0.8</v>
      </c>
      <c r="K891" s="31" t="n">
        <f aca="false">_xlfn.MINIFS(Trades!$X$2:$X$1146,Trades!$D$2:$D$1146,$A891)</f>
        <v>-0.8</v>
      </c>
      <c r="L891" s="33" t="n">
        <f aca="false">SUMIFS(Trades!$Y$2:$Y$1146,Trades!$D$2:$D$1146,$A891)</f>
        <v>-0.0139762403913335</v>
      </c>
      <c r="M891" s="31" t="n">
        <f aca="false">P890</f>
        <v>22976.04</v>
      </c>
      <c r="N891" s="30" t="n">
        <f aca="false">IFERROR(F891/M891,0)</f>
        <v>-3.48188808863494E-005</v>
      </c>
      <c r="O891" s="29" t="str">
        <f aca="false">IF(-N891&gt;=Summary!$C$7,"BREACH","")</f>
        <v/>
      </c>
      <c r="P891" s="31" t="n">
        <f aca="false">M891+F891</f>
        <v>22975.24</v>
      </c>
      <c r="Q891" s="31" t="n">
        <f aca="false">P891-Summary!$C$5</f>
        <v>12975.24</v>
      </c>
      <c r="R891" s="2" t="str">
        <f aca="false">TEXT(A891,"ddd")</f>
        <v>Wed</v>
      </c>
    </row>
    <row r="892" customFormat="false" ht="15" hidden="false" customHeight="false" outlineLevel="0" collapsed="false">
      <c r="A892" s="43" t="n">
        <v>46107</v>
      </c>
      <c r="B892" s="29" t="n">
        <f aca="false">COUNTIFS(Trades!$D$2:$D$1146,$A892)</f>
        <v>1</v>
      </c>
      <c r="C892" s="29" t="n">
        <f aca="false">COUNTIFS(Trades!$D$2:$D$1146,$A892,Trades!$Z$2:$Z$1146,"Win")</f>
        <v>0</v>
      </c>
      <c r="D892" s="29" t="n">
        <f aca="false">COUNTIFS(Trades!$D$2:$D$1146,$A892,Trades!$Z$2:$Z$1146,"Loss")</f>
        <v>1</v>
      </c>
      <c r="E892" s="30" t="n">
        <f aca="false">IFERROR(C892/B892,0)</f>
        <v>0</v>
      </c>
      <c r="F892" s="31" t="n">
        <f aca="false">SUMIFS(Trades!$X$2:$X$1146,Trades!$D$2:$D$1146,$A892)</f>
        <v>-0.12</v>
      </c>
      <c r="G892" s="31" t="n">
        <f aca="false">SUMIFS(Trades!$X$2:$X$1146,Trades!$D$2:$D$1146,$A892,Trades!$X$2:$X$1146,"&gt;0")</f>
        <v>0</v>
      </c>
      <c r="H892" s="31" t="n">
        <f aca="false">SUMIFS(Trades!$X$2:$X$1146,Trades!$D$2:$D$1146,$A892,Trades!$X$2:$X$1146,"&lt;0")</f>
        <v>-0.12</v>
      </c>
      <c r="I892" s="32" t="n">
        <f aca="false">IFERROR(G892/-H892,"no loss")</f>
        <v>0</v>
      </c>
      <c r="J892" s="31" t="n">
        <f aca="false">_xlfn.MAXIFS(Trades!$X$2:$X$1146,Trades!$D$2:$D$1146,$A892)</f>
        <v>-0.12</v>
      </c>
      <c r="K892" s="31" t="n">
        <f aca="false">_xlfn.MINIFS(Trades!$X$2:$X$1146,Trades!$D$2:$D$1146,$A892)</f>
        <v>-0.12</v>
      </c>
      <c r="L892" s="33" t="n">
        <f aca="false">SUMIFS(Trades!$Y$2:$Y$1146,Trades!$D$2:$D$1146,$A892)</f>
        <v>-0.00236406619385367</v>
      </c>
      <c r="M892" s="31" t="n">
        <f aca="false">P891</f>
        <v>22975.24</v>
      </c>
      <c r="N892" s="30" t="n">
        <f aca="false">IFERROR(F892/M892,0)</f>
        <v>-5.22301399245449E-006</v>
      </c>
      <c r="O892" s="29" t="str">
        <f aca="false">IF(-N892&gt;=Summary!$C$7,"BREACH","")</f>
        <v/>
      </c>
      <c r="P892" s="31" t="n">
        <f aca="false">M892+F892</f>
        <v>22975.12</v>
      </c>
      <c r="Q892" s="31" t="n">
        <f aca="false">P892-Summary!$C$5</f>
        <v>12975.12</v>
      </c>
      <c r="R892" s="2" t="str">
        <f aca="false">TEXT(A892,"ddd")</f>
        <v>Thu</v>
      </c>
    </row>
    <row r="893" customFormat="false" ht="15" hidden="false" customHeight="false" outlineLevel="0" collapsed="false">
      <c r="A893" s="43" t="n">
        <v>46108</v>
      </c>
      <c r="B893" s="29" t="n">
        <f aca="false">COUNTIFS(Trades!$D$2:$D$1146,$A893)</f>
        <v>1</v>
      </c>
      <c r="C893" s="29" t="n">
        <f aca="false">COUNTIFS(Trades!$D$2:$D$1146,$A893,Trades!$Z$2:$Z$1146,"Win")</f>
        <v>1</v>
      </c>
      <c r="D893" s="29" t="n">
        <f aca="false">COUNTIFS(Trades!$D$2:$D$1146,$A893,Trades!$Z$2:$Z$1146,"Loss")</f>
        <v>0</v>
      </c>
      <c r="E893" s="30" t="n">
        <f aca="false">IFERROR(C893/B893,0)</f>
        <v>1</v>
      </c>
      <c r="F893" s="31" t="n">
        <f aca="false">SUMIFS(Trades!$X$2:$X$1146,Trades!$D$2:$D$1146,$A893)</f>
        <v>149.2</v>
      </c>
      <c r="G893" s="31" t="n">
        <f aca="false">SUMIFS(Trades!$X$2:$X$1146,Trades!$D$2:$D$1146,$A893,Trades!$X$2:$X$1146,"&gt;0")</f>
        <v>149.2</v>
      </c>
      <c r="H893" s="31" t="n">
        <f aca="false">SUMIFS(Trades!$X$2:$X$1146,Trades!$D$2:$D$1146,$A893,Trades!$X$2:$X$1146,"&lt;0")</f>
        <v>0</v>
      </c>
      <c r="I893" s="32" t="str">
        <f aca="false">IFERROR(G893/-H893,"no loss")</f>
        <v>no loss</v>
      </c>
      <c r="J893" s="31" t="n">
        <f aca="false">_xlfn.MAXIFS(Trades!$X$2:$X$1146,Trades!$D$2:$D$1146,$A893)</f>
        <v>149.2</v>
      </c>
      <c r="K893" s="31" t="n">
        <f aca="false">_xlfn.MINIFS(Trades!$X$2:$X$1146,Trades!$D$2:$D$1146,$A893)</f>
        <v>149.2</v>
      </c>
      <c r="L893" s="33" t="n">
        <f aca="false">SUMIFS(Trades!$Y$2:$Y$1146,Trades!$D$2:$D$1146,$A893)</f>
        <v>2.42050616482806</v>
      </c>
      <c r="M893" s="31" t="n">
        <f aca="false">P892</f>
        <v>22975.12</v>
      </c>
      <c r="N893" s="30" t="n">
        <f aca="false">IFERROR(F893/M893,0)</f>
        <v>0.00649398131544036</v>
      </c>
      <c r="O893" s="29" t="str">
        <f aca="false">IF(-N893&gt;=Summary!$C$7,"BREACH","")</f>
        <v/>
      </c>
      <c r="P893" s="31" t="n">
        <f aca="false">M893+F893</f>
        <v>23124.32</v>
      </c>
      <c r="Q893" s="31" t="n">
        <f aca="false">P893-Summary!$C$5</f>
        <v>13124.32</v>
      </c>
      <c r="R893" s="2" t="str">
        <f aca="false">TEXT(A893,"ddd")</f>
        <v>Fri</v>
      </c>
    </row>
    <row r="894" customFormat="false" ht="15" hidden="false" customHeight="false" outlineLevel="0" collapsed="false">
      <c r="A894" s="43" t="n">
        <v>46111</v>
      </c>
      <c r="B894" s="29" t="n">
        <f aca="false">COUNTIFS(Trades!$D$2:$D$1146,$A894)</f>
        <v>1</v>
      </c>
      <c r="C894" s="29" t="n">
        <f aca="false">COUNTIFS(Trades!$D$2:$D$1146,$A894,Trades!$Z$2:$Z$1146,"Win")</f>
        <v>0</v>
      </c>
      <c r="D894" s="29" t="n">
        <f aca="false">COUNTIFS(Trades!$D$2:$D$1146,$A894,Trades!$Z$2:$Z$1146,"Loss")</f>
        <v>1</v>
      </c>
      <c r="E894" s="30" t="n">
        <f aca="false">IFERROR(C894/B894,0)</f>
        <v>0</v>
      </c>
      <c r="F894" s="31" t="n">
        <f aca="false">SUMIFS(Trades!$X$2:$X$1146,Trades!$D$2:$D$1146,$A894)</f>
        <v>-137.6</v>
      </c>
      <c r="G894" s="31" t="n">
        <f aca="false">SUMIFS(Trades!$X$2:$X$1146,Trades!$D$2:$D$1146,$A894,Trades!$X$2:$X$1146,"&gt;0")</f>
        <v>0</v>
      </c>
      <c r="H894" s="31" t="n">
        <f aca="false">SUMIFS(Trades!$X$2:$X$1146,Trades!$D$2:$D$1146,$A894,Trades!$X$2:$X$1146,"&lt;0")</f>
        <v>-137.6</v>
      </c>
      <c r="I894" s="32" t="n">
        <f aca="false">IFERROR(G894/-H894,"no loss")</f>
        <v>0</v>
      </c>
      <c r="J894" s="31" t="n">
        <f aca="false">_xlfn.MAXIFS(Trades!$X$2:$X$1146,Trades!$D$2:$D$1146,$A894)</f>
        <v>-137.6</v>
      </c>
      <c r="K894" s="31" t="n">
        <f aca="false">_xlfn.MINIFS(Trades!$X$2:$X$1146,Trades!$D$2:$D$1146,$A894)</f>
        <v>-137.6</v>
      </c>
      <c r="L894" s="33" t="n">
        <f aca="false">SUMIFS(Trades!$Y$2:$Y$1146,Trades!$D$2:$D$1146,$A894)</f>
        <v>-1.00548045305069</v>
      </c>
      <c r="M894" s="31" t="n">
        <f aca="false">P893</f>
        <v>23124.32</v>
      </c>
      <c r="N894" s="30" t="n">
        <f aca="false">IFERROR(F894/M894,0)</f>
        <v>-0.00595044524552506</v>
      </c>
      <c r="O894" s="29" t="str">
        <f aca="false">IF(-N894&gt;=Summary!$C$7,"BREACH","")</f>
        <v/>
      </c>
      <c r="P894" s="31" t="n">
        <f aca="false">M894+F894</f>
        <v>22986.72</v>
      </c>
      <c r="Q894" s="31" t="n">
        <f aca="false">P894-Summary!$C$5</f>
        <v>12986.72</v>
      </c>
      <c r="R894" s="2" t="str">
        <f aca="false">TEXT(A894,"ddd")</f>
        <v>Mon</v>
      </c>
    </row>
    <row r="895" customFormat="false" ht="15" hidden="false" customHeight="false" outlineLevel="0" collapsed="false">
      <c r="A895" s="43" t="n">
        <v>46112</v>
      </c>
      <c r="B895" s="29" t="n">
        <f aca="false">COUNTIFS(Trades!$D$2:$D$1146,$A895)</f>
        <v>2</v>
      </c>
      <c r="C895" s="29" t="n">
        <f aca="false">COUNTIFS(Trades!$D$2:$D$1146,$A895,Trades!$Z$2:$Z$1146,"Win")</f>
        <v>1</v>
      </c>
      <c r="D895" s="29" t="n">
        <f aca="false">COUNTIFS(Trades!$D$2:$D$1146,$A895,Trades!$Z$2:$Z$1146,"Loss")</f>
        <v>1</v>
      </c>
      <c r="E895" s="30" t="n">
        <f aca="false">IFERROR(C895/B895,0)</f>
        <v>0.5</v>
      </c>
      <c r="F895" s="31" t="n">
        <f aca="false">SUMIFS(Trades!$X$2:$X$1146,Trades!$D$2:$D$1146,$A895)</f>
        <v>92.85</v>
      </c>
      <c r="G895" s="31" t="n">
        <f aca="false">SUMIFS(Trades!$X$2:$X$1146,Trades!$D$2:$D$1146,$A895,Trades!$X$2:$X$1146,"&gt;0")</f>
        <v>206.45</v>
      </c>
      <c r="H895" s="31" t="n">
        <f aca="false">SUMIFS(Trades!$X$2:$X$1146,Trades!$D$2:$D$1146,$A895,Trades!$X$2:$X$1146,"&lt;0")</f>
        <v>-113.6</v>
      </c>
      <c r="I895" s="32" t="n">
        <f aca="false">IFERROR(G895/-H895,"no loss")</f>
        <v>1.81734154929577</v>
      </c>
      <c r="J895" s="31" t="n">
        <f aca="false">_xlfn.MAXIFS(Trades!$X$2:$X$1146,Trades!$D$2:$D$1146,$A895)</f>
        <v>206.45</v>
      </c>
      <c r="K895" s="31" t="n">
        <f aca="false">_xlfn.MINIFS(Trades!$X$2:$X$1146,Trades!$D$2:$D$1146,$A895)</f>
        <v>-113.6</v>
      </c>
      <c r="L895" s="33" t="n">
        <f aca="false">SUMIFS(Trades!$Y$2:$Y$1146,Trades!$D$2:$D$1146,$A895)</f>
        <v>1.4346013513966</v>
      </c>
      <c r="M895" s="31" t="n">
        <f aca="false">P894</f>
        <v>22986.72</v>
      </c>
      <c r="N895" s="30" t="n">
        <f aca="false">IFERROR(F895/M895,0)</f>
        <v>0.00403928877195181</v>
      </c>
      <c r="O895" s="29" t="str">
        <f aca="false">IF(-N895&gt;=Summary!$C$7,"BREACH","")</f>
        <v/>
      </c>
      <c r="P895" s="31" t="n">
        <f aca="false">M895+F895</f>
        <v>23079.57</v>
      </c>
      <c r="Q895" s="31" t="n">
        <f aca="false">P895-Summary!$C$5</f>
        <v>13079.57</v>
      </c>
      <c r="R895" s="2" t="str">
        <f aca="false">TEXT(A895,"ddd")</f>
        <v>Tue</v>
      </c>
    </row>
    <row r="896" customFormat="false" ht="15" hidden="false" customHeight="false" outlineLevel="0" collapsed="false">
      <c r="A896" s="43" t="n">
        <v>46113</v>
      </c>
      <c r="B896" s="29" t="n">
        <f aca="false">COUNTIFS(Trades!$D$2:$D$1146,$A896)</f>
        <v>1</v>
      </c>
      <c r="C896" s="29" t="n">
        <f aca="false">COUNTIFS(Trades!$D$2:$D$1146,$A896,Trades!$Z$2:$Z$1146,"Win")</f>
        <v>0</v>
      </c>
      <c r="D896" s="29" t="n">
        <f aca="false">COUNTIFS(Trades!$D$2:$D$1146,$A896,Trades!$Z$2:$Z$1146,"Loss")</f>
        <v>1</v>
      </c>
      <c r="E896" s="30" t="n">
        <f aca="false">IFERROR(C896/B896,0)</f>
        <v>0</v>
      </c>
      <c r="F896" s="31" t="n">
        <f aca="false">SUMIFS(Trades!$X$2:$X$1146,Trades!$D$2:$D$1146,$A896)</f>
        <v>-43.68</v>
      </c>
      <c r="G896" s="31" t="n">
        <f aca="false">SUMIFS(Trades!$X$2:$X$1146,Trades!$D$2:$D$1146,$A896,Trades!$X$2:$X$1146,"&gt;0")</f>
        <v>0</v>
      </c>
      <c r="H896" s="31" t="n">
        <f aca="false">SUMIFS(Trades!$X$2:$X$1146,Trades!$D$2:$D$1146,$A896,Trades!$X$2:$X$1146,"&lt;0")</f>
        <v>-43.68</v>
      </c>
      <c r="I896" s="32" t="n">
        <f aca="false">IFERROR(G896/-H896,"no loss")</f>
        <v>0</v>
      </c>
      <c r="J896" s="31" t="n">
        <f aca="false">_xlfn.MAXIFS(Trades!$X$2:$X$1146,Trades!$D$2:$D$1146,$A896)</f>
        <v>-43.68</v>
      </c>
      <c r="K896" s="31" t="n">
        <f aca="false">_xlfn.MINIFS(Trades!$X$2:$X$1146,Trades!$D$2:$D$1146,$A896)</f>
        <v>-43.68</v>
      </c>
      <c r="L896" s="33" t="n">
        <f aca="false">SUMIFS(Trades!$Y$2:$Y$1146,Trades!$D$2:$D$1146,$A896)</f>
        <v>-1.05303760848575</v>
      </c>
      <c r="M896" s="31" t="n">
        <f aca="false">P895</f>
        <v>23079.57</v>
      </c>
      <c r="N896" s="30" t="n">
        <f aca="false">IFERROR(F896/M896,0)</f>
        <v>-0.00189258292073899</v>
      </c>
      <c r="O896" s="29" t="str">
        <f aca="false">IF(-N896&gt;=Summary!$C$7,"BREACH","")</f>
        <v/>
      </c>
      <c r="P896" s="31" t="n">
        <f aca="false">M896+F896</f>
        <v>23035.89</v>
      </c>
      <c r="Q896" s="31" t="n">
        <f aca="false">P896-Summary!$C$5</f>
        <v>13035.89</v>
      </c>
      <c r="R896" s="2" t="str">
        <f aca="false">TEXT(A896,"ddd")</f>
        <v>Wed</v>
      </c>
    </row>
    <row r="897" customFormat="false" ht="15" hidden="false" customHeight="false" outlineLevel="0" collapsed="false">
      <c r="A897" s="43" t="n">
        <v>46114</v>
      </c>
      <c r="B897" s="29" t="n">
        <f aca="false">COUNTIFS(Trades!$D$2:$D$1146,$A897)</f>
        <v>1</v>
      </c>
      <c r="C897" s="29" t="n">
        <f aca="false">COUNTIFS(Trades!$D$2:$D$1146,$A897,Trades!$Z$2:$Z$1146,"Win")</f>
        <v>0</v>
      </c>
      <c r="D897" s="29" t="n">
        <f aca="false">COUNTIFS(Trades!$D$2:$D$1146,$A897,Trades!$Z$2:$Z$1146,"Loss")</f>
        <v>1</v>
      </c>
      <c r="E897" s="30" t="n">
        <f aca="false">IFERROR(C897/B897,0)</f>
        <v>0</v>
      </c>
      <c r="F897" s="31" t="n">
        <f aca="false">SUMIFS(Trades!$X$2:$X$1146,Trades!$D$2:$D$1146,$A897)</f>
        <v>-72.88</v>
      </c>
      <c r="G897" s="31" t="n">
        <f aca="false">SUMIFS(Trades!$X$2:$X$1146,Trades!$D$2:$D$1146,$A897,Trades!$X$2:$X$1146,"&gt;0")</f>
        <v>0</v>
      </c>
      <c r="H897" s="31" t="n">
        <f aca="false">SUMIFS(Trades!$X$2:$X$1146,Trades!$D$2:$D$1146,$A897,Trades!$X$2:$X$1146,"&lt;0")</f>
        <v>-72.88</v>
      </c>
      <c r="I897" s="32" t="n">
        <f aca="false">IFERROR(G897/-H897,"no loss")</f>
        <v>0</v>
      </c>
      <c r="J897" s="31" t="n">
        <f aca="false">_xlfn.MAXIFS(Trades!$X$2:$X$1146,Trades!$D$2:$D$1146,$A897)</f>
        <v>-72.88</v>
      </c>
      <c r="K897" s="31" t="n">
        <f aca="false">_xlfn.MINIFS(Trades!$X$2:$X$1146,Trades!$D$2:$D$1146,$A897)</f>
        <v>-72.88</v>
      </c>
      <c r="L897" s="33" t="n">
        <f aca="false">SUMIFS(Trades!$Y$2:$Y$1146,Trades!$D$2:$D$1146,$A897)</f>
        <v>-1.05135603000566</v>
      </c>
      <c r="M897" s="31" t="n">
        <f aca="false">P896</f>
        <v>23035.89</v>
      </c>
      <c r="N897" s="30" t="n">
        <f aca="false">IFERROR(F897/M897,0)</f>
        <v>-0.00316375881287851</v>
      </c>
      <c r="O897" s="29" t="str">
        <f aca="false">IF(-N897&gt;=Summary!$C$7,"BREACH","")</f>
        <v/>
      </c>
      <c r="P897" s="31" t="n">
        <f aca="false">M897+F897</f>
        <v>22963.01</v>
      </c>
      <c r="Q897" s="31" t="n">
        <f aca="false">P897-Summary!$C$5</f>
        <v>12963.01</v>
      </c>
      <c r="R897" s="2" t="str">
        <f aca="false">TEXT(A897,"ddd")</f>
        <v>Thu</v>
      </c>
    </row>
    <row r="898" customFormat="false" ht="15" hidden="false" customHeight="false" outlineLevel="0" collapsed="false">
      <c r="A898" s="43" t="n">
        <v>46118</v>
      </c>
      <c r="B898" s="29" t="n">
        <f aca="false">COUNTIFS(Trades!$D$2:$D$1146,$A898)</f>
        <v>1</v>
      </c>
      <c r="C898" s="29" t="n">
        <f aca="false">COUNTIFS(Trades!$D$2:$D$1146,$A898,Trades!$Z$2:$Z$1146,"Win")</f>
        <v>0</v>
      </c>
      <c r="D898" s="29" t="n">
        <f aca="false">COUNTIFS(Trades!$D$2:$D$1146,$A898,Trades!$Z$2:$Z$1146,"Loss")</f>
        <v>1</v>
      </c>
      <c r="E898" s="30" t="n">
        <f aca="false">IFERROR(C898/B898,0)</f>
        <v>0</v>
      </c>
      <c r="F898" s="31" t="n">
        <f aca="false">SUMIFS(Trades!$X$2:$X$1146,Trades!$D$2:$D$1146,$A898)</f>
        <v>-0.28</v>
      </c>
      <c r="G898" s="31" t="n">
        <f aca="false">SUMIFS(Trades!$X$2:$X$1146,Trades!$D$2:$D$1146,$A898,Trades!$X$2:$X$1146,"&gt;0")</f>
        <v>0</v>
      </c>
      <c r="H898" s="31" t="n">
        <f aca="false">SUMIFS(Trades!$X$2:$X$1146,Trades!$D$2:$D$1146,$A898,Trades!$X$2:$X$1146,"&lt;0")</f>
        <v>-0.28</v>
      </c>
      <c r="I898" s="32" t="n">
        <f aca="false">IFERROR(G898/-H898,"no loss")</f>
        <v>0</v>
      </c>
      <c r="J898" s="31" t="n">
        <f aca="false">_xlfn.MAXIFS(Trades!$X$2:$X$1146,Trades!$D$2:$D$1146,$A898)</f>
        <v>-0.28</v>
      </c>
      <c r="K898" s="31" t="n">
        <f aca="false">_xlfn.MINIFS(Trades!$X$2:$X$1146,Trades!$D$2:$D$1146,$A898)</f>
        <v>-0.28</v>
      </c>
      <c r="L898" s="33" t="n">
        <f aca="false">SUMIFS(Trades!$Y$2:$Y$1146,Trades!$D$2:$D$1146,$A898)</f>
        <v>-0.00382096069869002</v>
      </c>
      <c r="M898" s="31" t="n">
        <f aca="false">P897</f>
        <v>22963.01</v>
      </c>
      <c r="N898" s="30" t="n">
        <f aca="false">IFERROR(F898/M898,0)</f>
        <v>-1.21935234100408E-005</v>
      </c>
      <c r="O898" s="29" t="str">
        <f aca="false">IF(-N898&gt;=Summary!$C$7,"BREACH","")</f>
        <v/>
      </c>
      <c r="P898" s="31" t="n">
        <f aca="false">M898+F898</f>
        <v>22962.73</v>
      </c>
      <c r="Q898" s="31" t="n">
        <f aca="false">P898-Summary!$C$5</f>
        <v>12962.73</v>
      </c>
      <c r="R898" s="2" t="str">
        <f aca="false">TEXT(A898,"ddd")</f>
        <v>Mon</v>
      </c>
    </row>
    <row r="899" customFormat="false" ht="15" hidden="false" customHeight="false" outlineLevel="0" collapsed="false">
      <c r="A899" s="43" t="n">
        <v>46119</v>
      </c>
      <c r="B899" s="29" t="n">
        <f aca="false">COUNTIFS(Trades!$D$2:$D$1146,$A899)</f>
        <v>1</v>
      </c>
      <c r="C899" s="29" t="n">
        <f aca="false">COUNTIFS(Trades!$D$2:$D$1146,$A899,Trades!$Z$2:$Z$1146,"Win")</f>
        <v>0</v>
      </c>
      <c r="D899" s="29" t="n">
        <f aca="false">COUNTIFS(Trades!$D$2:$D$1146,$A899,Trades!$Z$2:$Z$1146,"Loss")</f>
        <v>1</v>
      </c>
      <c r="E899" s="30" t="n">
        <f aca="false">IFERROR(C899/B899,0)</f>
        <v>0</v>
      </c>
      <c r="F899" s="31" t="n">
        <f aca="false">SUMIFS(Trades!$X$2:$X$1146,Trades!$D$2:$D$1146,$A899)</f>
        <v>-85.6</v>
      </c>
      <c r="G899" s="31" t="n">
        <f aca="false">SUMIFS(Trades!$X$2:$X$1146,Trades!$D$2:$D$1146,$A899,Trades!$X$2:$X$1146,"&gt;0")</f>
        <v>0</v>
      </c>
      <c r="H899" s="31" t="n">
        <f aca="false">SUMIFS(Trades!$X$2:$X$1146,Trades!$D$2:$D$1146,$A899,Trades!$X$2:$X$1146,"&lt;0")</f>
        <v>-85.6</v>
      </c>
      <c r="I899" s="32" t="n">
        <f aca="false">IFERROR(G899/-H899,"no loss")</f>
        <v>0</v>
      </c>
      <c r="J899" s="31" t="n">
        <f aca="false">_xlfn.MAXIFS(Trades!$X$2:$X$1146,Trades!$D$2:$D$1146,$A899)</f>
        <v>-85.6</v>
      </c>
      <c r="K899" s="31" t="n">
        <f aca="false">_xlfn.MINIFS(Trades!$X$2:$X$1146,Trades!$D$2:$D$1146,$A899)</f>
        <v>-85.6</v>
      </c>
      <c r="L899" s="33" t="n">
        <f aca="false">SUMIFS(Trades!$Y$2:$Y$1146,Trades!$D$2:$D$1146,$A899)</f>
        <v>-1.02490421455952</v>
      </c>
      <c r="M899" s="31" t="n">
        <f aca="false">P898</f>
        <v>22962.73</v>
      </c>
      <c r="N899" s="30" t="n">
        <f aca="false">IFERROR(F899/M899,0)</f>
        <v>-0.00372777975441073</v>
      </c>
      <c r="O899" s="29" t="str">
        <f aca="false">IF(-N899&gt;=Summary!$C$7,"BREACH","")</f>
        <v/>
      </c>
      <c r="P899" s="31" t="n">
        <f aca="false">M899+F899</f>
        <v>22877.13</v>
      </c>
      <c r="Q899" s="31" t="n">
        <f aca="false">P899-Summary!$C$5</f>
        <v>12877.13</v>
      </c>
      <c r="R899" s="2" t="str">
        <f aca="false">TEXT(A899,"ddd")</f>
        <v>Tue</v>
      </c>
    </row>
    <row r="900" customFormat="false" ht="15" hidden="false" customHeight="false" outlineLevel="0" collapsed="false">
      <c r="A900" s="43" t="n">
        <v>46120</v>
      </c>
      <c r="B900" s="29" t="n">
        <f aca="false">COUNTIFS(Trades!$D$2:$D$1146,$A900)</f>
        <v>1</v>
      </c>
      <c r="C900" s="29" t="n">
        <f aca="false">COUNTIFS(Trades!$D$2:$D$1146,$A900,Trades!$Z$2:$Z$1146,"Win")</f>
        <v>0</v>
      </c>
      <c r="D900" s="29" t="n">
        <f aca="false">COUNTIFS(Trades!$D$2:$D$1146,$A900,Trades!$Z$2:$Z$1146,"Loss")</f>
        <v>1</v>
      </c>
      <c r="E900" s="30" t="n">
        <f aca="false">IFERROR(C900/B900,0)</f>
        <v>0</v>
      </c>
      <c r="F900" s="31" t="n">
        <f aca="false">SUMIFS(Trades!$X$2:$X$1146,Trades!$D$2:$D$1146,$A900)</f>
        <v>-461.04</v>
      </c>
      <c r="G900" s="31" t="n">
        <f aca="false">SUMIFS(Trades!$X$2:$X$1146,Trades!$D$2:$D$1146,$A900,Trades!$X$2:$X$1146,"&gt;0")</f>
        <v>0</v>
      </c>
      <c r="H900" s="31" t="n">
        <f aca="false">SUMIFS(Trades!$X$2:$X$1146,Trades!$D$2:$D$1146,$A900,Trades!$X$2:$X$1146,"&lt;0")</f>
        <v>-461.04</v>
      </c>
      <c r="I900" s="32" t="n">
        <f aca="false">IFERROR(G900/-H900,"no loss")</f>
        <v>0</v>
      </c>
      <c r="J900" s="31" t="n">
        <f aca="false">_xlfn.MAXIFS(Trades!$X$2:$X$1146,Trades!$D$2:$D$1146,$A900)</f>
        <v>-461.04</v>
      </c>
      <c r="K900" s="31" t="n">
        <f aca="false">_xlfn.MINIFS(Trades!$X$2:$X$1146,Trades!$D$2:$D$1146,$A900)</f>
        <v>-461.04</v>
      </c>
      <c r="L900" s="33" t="n">
        <f aca="false">SUMIFS(Trades!$Y$2:$Y$1146,Trades!$D$2:$D$1146,$A900)</f>
        <v>-1.88548993947322</v>
      </c>
      <c r="M900" s="31" t="n">
        <f aca="false">P899</f>
        <v>22877.13</v>
      </c>
      <c r="N900" s="30" t="n">
        <f aca="false">IFERROR(F900/M900,0)</f>
        <v>-0.0201528775681215</v>
      </c>
      <c r="O900" s="29" t="str">
        <f aca="false">IF(-N900&gt;=Summary!$C$7,"BREACH","")</f>
        <v/>
      </c>
      <c r="P900" s="31" t="n">
        <f aca="false">M900+F900</f>
        <v>22416.09</v>
      </c>
      <c r="Q900" s="31" t="n">
        <f aca="false">P900-Summary!$C$5</f>
        <v>12416.09</v>
      </c>
      <c r="R900" s="2" t="str">
        <f aca="false">TEXT(A900,"ddd")</f>
        <v>Wed</v>
      </c>
    </row>
    <row r="901" customFormat="false" ht="15" hidden="false" customHeight="false" outlineLevel="0" collapsed="false">
      <c r="A901" s="43" t="n">
        <v>46121</v>
      </c>
      <c r="B901" s="29" t="n">
        <f aca="false">COUNTIFS(Trades!$D$2:$D$1146,$A901)</f>
        <v>1</v>
      </c>
      <c r="C901" s="29" t="n">
        <f aca="false">COUNTIFS(Trades!$D$2:$D$1146,$A901,Trades!$Z$2:$Z$1146,"Win")</f>
        <v>0</v>
      </c>
      <c r="D901" s="29" t="n">
        <f aca="false">COUNTIFS(Trades!$D$2:$D$1146,$A901,Trades!$Z$2:$Z$1146,"Loss")</f>
        <v>1</v>
      </c>
      <c r="E901" s="30" t="n">
        <f aca="false">IFERROR(C901/B901,0)</f>
        <v>0</v>
      </c>
      <c r="F901" s="31" t="n">
        <f aca="false">SUMIFS(Trades!$X$2:$X$1146,Trades!$D$2:$D$1146,$A901)</f>
        <v>-46.56</v>
      </c>
      <c r="G901" s="31" t="n">
        <f aca="false">SUMIFS(Trades!$X$2:$X$1146,Trades!$D$2:$D$1146,$A901,Trades!$X$2:$X$1146,"&gt;0")</f>
        <v>0</v>
      </c>
      <c r="H901" s="31" t="n">
        <f aca="false">SUMIFS(Trades!$X$2:$X$1146,Trades!$D$2:$D$1146,$A901,Trades!$X$2:$X$1146,"&lt;0")</f>
        <v>-46.56</v>
      </c>
      <c r="I901" s="32" t="n">
        <f aca="false">IFERROR(G901/-H901,"no loss")</f>
        <v>0</v>
      </c>
      <c r="J901" s="31" t="n">
        <f aca="false">_xlfn.MAXIFS(Trades!$X$2:$X$1146,Trades!$D$2:$D$1146,$A901)</f>
        <v>-46.56</v>
      </c>
      <c r="K901" s="31" t="n">
        <f aca="false">_xlfn.MINIFS(Trades!$X$2:$X$1146,Trades!$D$2:$D$1146,$A901)</f>
        <v>-46.56</v>
      </c>
      <c r="L901" s="33" t="n">
        <f aca="false">SUMIFS(Trades!$Y$2:$Y$1146,Trades!$D$2:$D$1146,$A901)</f>
        <v>-1.00866551126509</v>
      </c>
      <c r="M901" s="31" t="n">
        <f aca="false">P900</f>
        <v>22416.09</v>
      </c>
      <c r="N901" s="30" t="n">
        <f aca="false">IFERROR(F901/M901,0)</f>
        <v>-0.00207707945498078</v>
      </c>
      <c r="O901" s="29" t="str">
        <f aca="false">IF(-N901&gt;=Summary!$C$7,"BREACH","")</f>
        <v/>
      </c>
      <c r="P901" s="31" t="n">
        <f aca="false">M901+F901</f>
        <v>22369.53</v>
      </c>
      <c r="Q901" s="31" t="n">
        <f aca="false">P901-Summary!$C$5</f>
        <v>12369.53</v>
      </c>
      <c r="R901" s="2" t="str">
        <f aca="false">TEXT(A901,"ddd")</f>
        <v>Thu</v>
      </c>
    </row>
    <row r="902" customFormat="false" ht="15" hidden="false" customHeight="false" outlineLevel="0" collapsed="false">
      <c r="A902" s="43" t="n">
        <v>46122</v>
      </c>
      <c r="B902" s="29" t="n">
        <f aca="false">COUNTIFS(Trades!$D$2:$D$1146,$A902)</f>
        <v>1</v>
      </c>
      <c r="C902" s="29" t="n">
        <f aca="false">COUNTIFS(Trades!$D$2:$D$1146,$A902,Trades!$Z$2:$Z$1146,"Win")</f>
        <v>0</v>
      </c>
      <c r="D902" s="29" t="n">
        <f aca="false">COUNTIFS(Trades!$D$2:$D$1146,$A902,Trades!$Z$2:$Z$1146,"Loss")</f>
        <v>1</v>
      </c>
      <c r="E902" s="30" t="n">
        <f aca="false">IFERROR(C902/B902,0)</f>
        <v>0</v>
      </c>
      <c r="F902" s="31" t="n">
        <f aca="false">SUMIFS(Trades!$X$2:$X$1146,Trades!$D$2:$D$1146,$A902)</f>
        <v>-38.04</v>
      </c>
      <c r="G902" s="31" t="n">
        <f aca="false">SUMIFS(Trades!$X$2:$X$1146,Trades!$D$2:$D$1146,$A902,Trades!$X$2:$X$1146,"&gt;0")</f>
        <v>0</v>
      </c>
      <c r="H902" s="31" t="n">
        <f aca="false">SUMIFS(Trades!$X$2:$X$1146,Trades!$D$2:$D$1146,$A902,Trades!$X$2:$X$1146,"&lt;0")</f>
        <v>-38.04</v>
      </c>
      <c r="I902" s="32" t="n">
        <f aca="false">IFERROR(G902/-H902,"no loss")</f>
        <v>0</v>
      </c>
      <c r="J902" s="31" t="n">
        <f aca="false">_xlfn.MAXIFS(Trades!$X$2:$X$1146,Trades!$D$2:$D$1146,$A902)</f>
        <v>-38.04</v>
      </c>
      <c r="K902" s="31" t="n">
        <f aca="false">_xlfn.MINIFS(Trades!$X$2:$X$1146,Trades!$D$2:$D$1146,$A902)</f>
        <v>-38.04</v>
      </c>
      <c r="L902" s="33" t="n">
        <f aca="false">SUMIFS(Trades!$Y$2:$Y$1146,Trades!$D$2:$D$1146,$A902)</f>
        <v>-1.02368137782552</v>
      </c>
      <c r="M902" s="31" t="n">
        <f aca="false">P901</f>
        <v>22369.53</v>
      </c>
      <c r="N902" s="30" t="n">
        <f aca="false">IFERROR(F902/M902,0)</f>
        <v>-0.00170052745855635</v>
      </c>
      <c r="O902" s="29" t="str">
        <f aca="false">IF(-N902&gt;=Summary!$C$7,"BREACH","")</f>
        <v/>
      </c>
      <c r="P902" s="31" t="n">
        <f aca="false">M902+F902</f>
        <v>22331.49</v>
      </c>
      <c r="Q902" s="31" t="n">
        <f aca="false">P902-Summary!$C$5</f>
        <v>12331.49</v>
      </c>
      <c r="R902" s="2" t="str">
        <f aca="false">TEXT(A902,"ddd")</f>
        <v>Fri</v>
      </c>
    </row>
    <row r="903" customFormat="false" ht="15" hidden="false" customHeight="false" outlineLevel="0" collapsed="false">
      <c r="A903" s="43" t="n">
        <v>46125</v>
      </c>
      <c r="B903" s="29" t="n">
        <f aca="false">COUNTIFS(Trades!$D$2:$D$1146,$A903)</f>
        <v>2</v>
      </c>
      <c r="C903" s="29" t="n">
        <f aca="false">COUNTIFS(Trades!$D$2:$D$1146,$A903,Trades!$Z$2:$Z$1146,"Win")</f>
        <v>0</v>
      </c>
      <c r="D903" s="29" t="n">
        <f aca="false">COUNTIFS(Trades!$D$2:$D$1146,$A903,Trades!$Z$2:$Z$1146,"Loss")</f>
        <v>2</v>
      </c>
      <c r="E903" s="30" t="n">
        <f aca="false">IFERROR(C903/B903,0)</f>
        <v>0</v>
      </c>
      <c r="F903" s="31" t="n">
        <f aca="false">SUMIFS(Trades!$X$2:$X$1146,Trades!$D$2:$D$1146,$A903)</f>
        <v>-386.6</v>
      </c>
      <c r="G903" s="31" t="n">
        <f aca="false">SUMIFS(Trades!$X$2:$X$1146,Trades!$D$2:$D$1146,$A903,Trades!$X$2:$X$1146,"&gt;0")</f>
        <v>0</v>
      </c>
      <c r="H903" s="31" t="n">
        <f aca="false">SUMIFS(Trades!$X$2:$X$1146,Trades!$D$2:$D$1146,$A903,Trades!$X$2:$X$1146,"&lt;0")</f>
        <v>-386.6</v>
      </c>
      <c r="I903" s="32" t="n">
        <f aca="false">IFERROR(G903/-H903,"no loss")</f>
        <v>0</v>
      </c>
      <c r="J903" s="31" t="n">
        <f aca="false">_xlfn.MAXIFS(Trades!$X$2:$X$1146,Trades!$D$2:$D$1146,$A903)</f>
        <v>-89.32</v>
      </c>
      <c r="K903" s="31" t="n">
        <f aca="false">_xlfn.MINIFS(Trades!$X$2:$X$1146,Trades!$D$2:$D$1146,$A903)</f>
        <v>-297.28</v>
      </c>
      <c r="L903" s="33" t="n">
        <f aca="false">SUMIFS(Trades!$Y$2:$Y$1146,Trades!$D$2:$D$1146,$A903)</f>
        <v>-2.01475133014319</v>
      </c>
      <c r="M903" s="31" t="n">
        <f aca="false">P902</f>
        <v>22331.49</v>
      </c>
      <c r="N903" s="30" t="n">
        <f aca="false">IFERROR(F903/M903,0)</f>
        <v>-0.0173118766369821</v>
      </c>
      <c r="O903" s="29" t="str">
        <f aca="false">IF(-N903&gt;=Summary!$C$7,"BREACH","")</f>
        <v/>
      </c>
      <c r="P903" s="31" t="n">
        <f aca="false">M903+F903</f>
        <v>21944.89</v>
      </c>
      <c r="Q903" s="31" t="n">
        <f aca="false">P903-Summary!$C$5</f>
        <v>11944.89</v>
      </c>
      <c r="R903" s="2" t="str">
        <f aca="false">TEXT(A903,"ddd")</f>
        <v>Mon</v>
      </c>
    </row>
    <row r="904" customFormat="false" ht="15" hidden="false" customHeight="false" outlineLevel="0" collapsed="false">
      <c r="A904" s="43" t="n">
        <v>46126</v>
      </c>
      <c r="B904" s="29" t="n">
        <f aca="false">COUNTIFS(Trades!$D$2:$D$1146,$A904)</f>
        <v>1</v>
      </c>
      <c r="C904" s="29" t="n">
        <f aca="false">COUNTIFS(Trades!$D$2:$D$1146,$A904,Trades!$Z$2:$Z$1146,"Win")</f>
        <v>1</v>
      </c>
      <c r="D904" s="29" t="n">
        <f aca="false">COUNTIFS(Trades!$D$2:$D$1146,$A904,Trades!$Z$2:$Z$1146,"Loss")</f>
        <v>0</v>
      </c>
      <c r="E904" s="30" t="n">
        <f aca="false">IFERROR(C904/B904,0)</f>
        <v>1</v>
      </c>
      <c r="F904" s="31" t="n">
        <f aca="false">SUMIFS(Trades!$X$2:$X$1146,Trades!$D$2:$D$1146,$A904)</f>
        <v>84.24</v>
      </c>
      <c r="G904" s="31" t="n">
        <f aca="false">SUMIFS(Trades!$X$2:$X$1146,Trades!$D$2:$D$1146,$A904,Trades!$X$2:$X$1146,"&gt;0")</f>
        <v>84.24</v>
      </c>
      <c r="H904" s="31" t="n">
        <f aca="false">SUMIFS(Trades!$X$2:$X$1146,Trades!$D$2:$D$1146,$A904,Trades!$X$2:$X$1146,"&lt;0")</f>
        <v>0</v>
      </c>
      <c r="I904" s="32" t="str">
        <f aca="false">IFERROR(G904/-H904,"no loss")</f>
        <v>no loss</v>
      </c>
      <c r="J904" s="31" t="n">
        <f aca="false">_xlfn.MAXIFS(Trades!$X$2:$X$1146,Trades!$D$2:$D$1146,$A904)</f>
        <v>84.24</v>
      </c>
      <c r="K904" s="31" t="n">
        <f aca="false">_xlfn.MINIFS(Trades!$X$2:$X$1146,Trades!$D$2:$D$1146,$A904)</f>
        <v>84.24</v>
      </c>
      <c r="L904" s="33" t="n">
        <f aca="false">SUMIFS(Trades!$Y$2:$Y$1146,Trades!$D$2:$D$1146,$A904)</f>
        <v>2.45168800931311</v>
      </c>
      <c r="M904" s="31" t="n">
        <f aca="false">P903</f>
        <v>21944.89</v>
      </c>
      <c r="N904" s="30" t="n">
        <f aca="false">IFERROR(F904/M904,0)</f>
        <v>0.00383870686979976</v>
      </c>
      <c r="O904" s="29" t="str">
        <f aca="false">IF(-N904&gt;=Summary!$C$7,"BREACH","")</f>
        <v/>
      </c>
      <c r="P904" s="31" t="n">
        <f aca="false">M904+F904</f>
        <v>22029.13</v>
      </c>
      <c r="Q904" s="31" t="n">
        <f aca="false">P904-Summary!$C$5</f>
        <v>12029.13</v>
      </c>
      <c r="R904" s="2" t="str">
        <f aca="false">TEXT(A904,"ddd")</f>
        <v>Tue</v>
      </c>
    </row>
    <row r="905" customFormat="false" ht="15" hidden="false" customHeight="false" outlineLevel="0" collapsed="false">
      <c r="A905" s="43" t="n">
        <v>46127</v>
      </c>
      <c r="B905" s="29" t="n">
        <f aca="false">COUNTIFS(Trades!$D$2:$D$1146,$A905)</f>
        <v>1</v>
      </c>
      <c r="C905" s="29" t="n">
        <f aca="false">COUNTIFS(Trades!$D$2:$D$1146,$A905,Trades!$Z$2:$Z$1146,"Win")</f>
        <v>0</v>
      </c>
      <c r="D905" s="29" t="n">
        <f aca="false">COUNTIFS(Trades!$D$2:$D$1146,$A905,Trades!$Z$2:$Z$1146,"Loss")</f>
        <v>1</v>
      </c>
      <c r="E905" s="30" t="n">
        <f aca="false">IFERROR(C905/B905,0)</f>
        <v>0</v>
      </c>
      <c r="F905" s="31" t="n">
        <f aca="false">SUMIFS(Trades!$X$2:$X$1146,Trades!$D$2:$D$1146,$A905)</f>
        <v>-4.48</v>
      </c>
      <c r="G905" s="31" t="n">
        <f aca="false">SUMIFS(Trades!$X$2:$X$1146,Trades!$D$2:$D$1146,$A905,Trades!$X$2:$X$1146,"&gt;0")</f>
        <v>0</v>
      </c>
      <c r="H905" s="31" t="n">
        <f aca="false">SUMIFS(Trades!$X$2:$X$1146,Trades!$D$2:$D$1146,$A905,Trades!$X$2:$X$1146,"&lt;0")</f>
        <v>-4.48</v>
      </c>
      <c r="I905" s="32" t="n">
        <f aca="false">IFERROR(G905/-H905,"no loss")</f>
        <v>0</v>
      </c>
      <c r="J905" s="31" t="n">
        <f aca="false">_xlfn.MAXIFS(Trades!$X$2:$X$1146,Trades!$D$2:$D$1146,$A905)</f>
        <v>-4.48</v>
      </c>
      <c r="K905" s="31" t="n">
        <f aca="false">_xlfn.MINIFS(Trades!$X$2:$X$1146,Trades!$D$2:$D$1146,$A905)</f>
        <v>-4.48</v>
      </c>
      <c r="L905" s="33" t="n">
        <f aca="false">SUMIFS(Trades!$Y$2:$Y$1146,Trades!$D$2:$D$1146,$A905)</f>
        <v>-0.148936170212757</v>
      </c>
      <c r="M905" s="31" t="n">
        <f aca="false">P904</f>
        <v>22029.13</v>
      </c>
      <c r="N905" s="30" t="n">
        <f aca="false">IFERROR(F905/M905,0)</f>
        <v>-0.000203367087125093</v>
      </c>
      <c r="O905" s="29" t="str">
        <f aca="false">IF(-N905&gt;=Summary!$C$7,"BREACH","")</f>
        <v/>
      </c>
      <c r="P905" s="31" t="n">
        <f aca="false">M905+F905</f>
        <v>22024.65</v>
      </c>
      <c r="Q905" s="31" t="n">
        <f aca="false">P905-Summary!$C$5</f>
        <v>12024.65</v>
      </c>
      <c r="R905" s="2" t="str">
        <f aca="false">TEXT(A905,"ddd")</f>
        <v>Wed</v>
      </c>
    </row>
    <row r="906" customFormat="false" ht="15" hidden="false" customHeight="false" outlineLevel="0" collapsed="false">
      <c r="A906" s="43" t="n">
        <v>46128</v>
      </c>
      <c r="B906" s="29" t="n">
        <f aca="false">COUNTIFS(Trades!$D$2:$D$1146,$A906)</f>
        <v>1</v>
      </c>
      <c r="C906" s="29" t="n">
        <f aca="false">COUNTIFS(Trades!$D$2:$D$1146,$A906,Trades!$Z$2:$Z$1146,"Win")</f>
        <v>0</v>
      </c>
      <c r="D906" s="29" t="n">
        <f aca="false">COUNTIFS(Trades!$D$2:$D$1146,$A906,Trades!$Z$2:$Z$1146,"Loss")</f>
        <v>1</v>
      </c>
      <c r="E906" s="30" t="n">
        <f aca="false">IFERROR(C906/B906,0)</f>
        <v>0</v>
      </c>
      <c r="F906" s="31" t="n">
        <f aca="false">SUMIFS(Trades!$X$2:$X$1146,Trades!$D$2:$D$1146,$A906)</f>
        <v>-19.6</v>
      </c>
      <c r="G906" s="31" t="n">
        <f aca="false">SUMIFS(Trades!$X$2:$X$1146,Trades!$D$2:$D$1146,$A906,Trades!$X$2:$X$1146,"&gt;0")</f>
        <v>0</v>
      </c>
      <c r="H906" s="31" t="n">
        <f aca="false">SUMIFS(Trades!$X$2:$X$1146,Trades!$D$2:$D$1146,$A906,Trades!$X$2:$X$1146,"&lt;0")</f>
        <v>-19.6</v>
      </c>
      <c r="I906" s="32" t="n">
        <f aca="false">IFERROR(G906/-H906,"no loss")</f>
        <v>0</v>
      </c>
      <c r="J906" s="31" t="n">
        <f aca="false">_xlfn.MAXIFS(Trades!$X$2:$X$1146,Trades!$D$2:$D$1146,$A906)</f>
        <v>-19.6</v>
      </c>
      <c r="K906" s="31" t="n">
        <f aca="false">_xlfn.MINIFS(Trades!$X$2:$X$1146,Trades!$D$2:$D$1146,$A906)</f>
        <v>-19.6</v>
      </c>
      <c r="L906" s="33" t="n">
        <f aca="false">SUMIFS(Trades!$Y$2:$Y$1146,Trades!$D$2:$D$1146,$A906)</f>
        <v>-1.07929515418481</v>
      </c>
      <c r="M906" s="31" t="n">
        <f aca="false">P905</f>
        <v>22024.65</v>
      </c>
      <c r="N906" s="30" t="n">
        <f aca="false">IFERROR(F906/M906,0)</f>
        <v>-0.000889911984980465</v>
      </c>
      <c r="O906" s="29" t="str">
        <f aca="false">IF(-N906&gt;=Summary!$C$7,"BREACH","")</f>
        <v/>
      </c>
      <c r="P906" s="31" t="n">
        <f aca="false">M906+F906</f>
        <v>22005.05</v>
      </c>
      <c r="Q906" s="31" t="n">
        <f aca="false">P906-Summary!$C$5</f>
        <v>12005.05</v>
      </c>
      <c r="R906" s="2" t="str">
        <f aca="false">TEXT(A906,"ddd")</f>
        <v>Thu</v>
      </c>
    </row>
    <row r="907" customFormat="false" ht="15" hidden="false" customHeight="false" outlineLevel="0" collapsed="false">
      <c r="A907" s="43" t="n">
        <v>46129</v>
      </c>
      <c r="B907" s="29" t="n">
        <f aca="false">COUNTIFS(Trades!$D$2:$D$1146,$A907)</f>
        <v>1</v>
      </c>
      <c r="C907" s="29" t="n">
        <f aca="false">COUNTIFS(Trades!$D$2:$D$1146,$A907,Trades!$Z$2:$Z$1146,"Win")</f>
        <v>0</v>
      </c>
      <c r="D907" s="29" t="n">
        <f aca="false">COUNTIFS(Trades!$D$2:$D$1146,$A907,Trades!$Z$2:$Z$1146,"Loss")</f>
        <v>1</v>
      </c>
      <c r="E907" s="30" t="n">
        <f aca="false">IFERROR(C907/B907,0)</f>
        <v>0</v>
      </c>
      <c r="F907" s="31" t="n">
        <f aca="false">SUMIFS(Trades!$X$2:$X$1146,Trades!$D$2:$D$1146,$A907)</f>
        <v>-19.36</v>
      </c>
      <c r="G907" s="31" t="n">
        <f aca="false">SUMIFS(Trades!$X$2:$X$1146,Trades!$D$2:$D$1146,$A907,Trades!$X$2:$X$1146,"&gt;0")</f>
        <v>0</v>
      </c>
      <c r="H907" s="31" t="n">
        <f aca="false">SUMIFS(Trades!$X$2:$X$1146,Trades!$D$2:$D$1146,$A907,Trades!$X$2:$X$1146,"&lt;0")</f>
        <v>-19.36</v>
      </c>
      <c r="I907" s="32" t="n">
        <f aca="false">IFERROR(G907/-H907,"no loss")</f>
        <v>0</v>
      </c>
      <c r="J907" s="31" t="n">
        <f aca="false">_xlfn.MAXIFS(Trades!$X$2:$X$1146,Trades!$D$2:$D$1146,$A907)</f>
        <v>-19.36</v>
      </c>
      <c r="K907" s="31" t="n">
        <f aca="false">_xlfn.MINIFS(Trades!$X$2:$X$1146,Trades!$D$2:$D$1146,$A907)</f>
        <v>-19.36</v>
      </c>
      <c r="L907" s="33" t="n">
        <f aca="false">SUMIFS(Trades!$Y$2:$Y$1146,Trades!$D$2:$D$1146,$A907)</f>
        <v>-1.19506172839528</v>
      </c>
      <c r="M907" s="31" t="n">
        <f aca="false">P906</f>
        <v>22005.05</v>
      </c>
      <c r="N907" s="30" t="n">
        <f aca="false">IFERROR(F907/M907,0)</f>
        <v>-0.000879798046357541</v>
      </c>
      <c r="O907" s="29" t="str">
        <f aca="false">IF(-N907&gt;=Summary!$C$7,"BREACH","")</f>
        <v/>
      </c>
      <c r="P907" s="31" t="n">
        <f aca="false">M907+F907</f>
        <v>21985.69</v>
      </c>
      <c r="Q907" s="31" t="n">
        <f aca="false">P907-Summary!$C$5</f>
        <v>11985.69</v>
      </c>
      <c r="R907" s="2" t="str">
        <f aca="false">TEXT(A907,"ddd")</f>
        <v>Fri</v>
      </c>
    </row>
    <row r="908" customFormat="false" ht="15" hidden="false" customHeight="false" outlineLevel="0" collapsed="false">
      <c r="A908" s="43" t="n">
        <v>46133</v>
      </c>
      <c r="B908" s="29" t="n">
        <f aca="false">COUNTIFS(Trades!$D$2:$D$1146,$A908)</f>
        <v>1</v>
      </c>
      <c r="C908" s="29" t="n">
        <f aca="false">COUNTIFS(Trades!$D$2:$D$1146,$A908,Trades!$Z$2:$Z$1146,"Win")</f>
        <v>0</v>
      </c>
      <c r="D908" s="29" t="n">
        <f aca="false">COUNTIFS(Trades!$D$2:$D$1146,$A908,Trades!$Z$2:$Z$1146,"Loss")</f>
        <v>1</v>
      </c>
      <c r="E908" s="30" t="n">
        <f aca="false">IFERROR(C908/B908,0)</f>
        <v>0</v>
      </c>
      <c r="F908" s="31" t="n">
        <f aca="false">SUMIFS(Trades!$X$2:$X$1146,Trades!$D$2:$D$1146,$A908)</f>
        <v>-43.08</v>
      </c>
      <c r="G908" s="31" t="n">
        <f aca="false">SUMIFS(Trades!$X$2:$X$1146,Trades!$D$2:$D$1146,$A908,Trades!$X$2:$X$1146,"&gt;0")</f>
        <v>0</v>
      </c>
      <c r="H908" s="31" t="n">
        <f aca="false">SUMIFS(Trades!$X$2:$X$1146,Trades!$D$2:$D$1146,$A908,Trades!$X$2:$X$1146,"&lt;0")</f>
        <v>-43.08</v>
      </c>
      <c r="I908" s="32" t="n">
        <f aca="false">IFERROR(G908/-H908,"no loss")</f>
        <v>0</v>
      </c>
      <c r="J908" s="31" t="n">
        <f aca="false">_xlfn.MAXIFS(Trades!$X$2:$X$1146,Trades!$D$2:$D$1146,$A908)</f>
        <v>-43.08</v>
      </c>
      <c r="K908" s="31" t="n">
        <f aca="false">_xlfn.MINIFS(Trades!$X$2:$X$1146,Trades!$D$2:$D$1146,$A908)</f>
        <v>-43.08</v>
      </c>
      <c r="L908" s="33" t="n">
        <f aca="false">SUMIFS(Trades!$Y$2:$Y$1146,Trades!$D$2:$D$1146,$A908)</f>
        <v>-1.01508011310079</v>
      </c>
      <c r="M908" s="31" t="n">
        <f aca="false">P907</f>
        <v>21985.69</v>
      </c>
      <c r="N908" s="30" t="n">
        <f aca="false">IFERROR(F908/M908,0)</f>
        <v>-0.00195945635547486</v>
      </c>
      <c r="O908" s="29" t="str">
        <f aca="false">IF(-N908&gt;=Summary!$C$7,"BREACH","")</f>
        <v/>
      </c>
      <c r="P908" s="31" t="n">
        <f aca="false">M908+F908</f>
        <v>21942.61</v>
      </c>
      <c r="Q908" s="31" t="n">
        <f aca="false">P908-Summary!$C$5</f>
        <v>11942.61</v>
      </c>
      <c r="R908" s="2" t="str">
        <f aca="false">TEXT(A908,"ddd")</f>
        <v>Tue</v>
      </c>
    </row>
    <row r="909" customFormat="false" ht="15" hidden="false" customHeight="false" outlineLevel="0" collapsed="false">
      <c r="A909" s="43" t="n">
        <v>46134</v>
      </c>
      <c r="B909" s="29" t="n">
        <f aca="false">COUNTIFS(Trades!$D$2:$D$1146,$A909)</f>
        <v>1</v>
      </c>
      <c r="C909" s="29" t="n">
        <f aca="false">COUNTIFS(Trades!$D$2:$D$1146,$A909,Trades!$Z$2:$Z$1146,"Win")</f>
        <v>1</v>
      </c>
      <c r="D909" s="29" t="n">
        <f aca="false">COUNTIFS(Trades!$D$2:$D$1146,$A909,Trades!$Z$2:$Z$1146,"Loss")</f>
        <v>0</v>
      </c>
      <c r="E909" s="30" t="n">
        <f aca="false">IFERROR(C909/B909,0)</f>
        <v>1</v>
      </c>
      <c r="F909" s="31" t="n">
        <f aca="false">SUMIFS(Trades!$X$2:$X$1146,Trades!$D$2:$D$1146,$A909)</f>
        <v>231.12</v>
      </c>
      <c r="G909" s="31" t="n">
        <f aca="false">SUMIFS(Trades!$X$2:$X$1146,Trades!$D$2:$D$1146,$A909,Trades!$X$2:$X$1146,"&gt;0")</f>
        <v>231.12</v>
      </c>
      <c r="H909" s="31" t="n">
        <f aca="false">SUMIFS(Trades!$X$2:$X$1146,Trades!$D$2:$D$1146,$A909,Trades!$X$2:$X$1146,"&lt;0")</f>
        <v>0</v>
      </c>
      <c r="I909" s="32" t="str">
        <f aca="false">IFERROR(G909/-H909,"no loss")</f>
        <v>no loss</v>
      </c>
      <c r="J909" s="31" t="n">
        <f aca="false">_xlfn.MAXIFS(Trades!$X$2:$X$1146,Trades!$D$2:$D$1146,$A909)</f>
        <v>231.12</v>
      </c>
      <c r="K909" s="31" t="n">
        <f aca="false">_xlfn.MINIFS(Trades!$X$2:$X$1146,Trades!$D$2:$D$1146,$A909)</f>
        <v>231.12</v>
      </c>
      <c r="L909" s="33" t="n">
        <f aca="false">SUMIFS(Trades!$Y$2:$Y$1146,Trades!$D$2:$D$1146,$A909)</f>
        <v>2.68994413407827</v>
      </c>
      <c r="M909" s="31" t="n">
        <f aca="false">P908</f>
        <v>21942.61</v>
      </c>
      <c r="N909" s="30" t="n">
        <f aca="false">IFERROR(F909/M909,0)</f>
        <v>0.0105329311326228</v>
      </c>
      <c r="O909" s="29" t="str">
        <f aca="false">IF(-N909&gt;=Summary!$C$7,"BREACH","")</f>
        <v/>
      </c>
      <c r="P909" s="31" t="n">
        <f aca="false">M909+F909</f>
        <v>22173.73</v>
      </c>
      <c r="Q909" s="31" t="n">
        <f aca="false">P909-Summary!$C$5</f>
        <v>12173.73</v>
      </c>
      <c r="R909" s="2" t="str">
        <f aca="false">TEXT(A909,"ddd")</f>
        <v>Wed</v>
      </c>
    </row>
    <row r="910" customFormat="false" ht="15" hidden="false" customHeight="false" outlineLevel="0" collapsed="false">
      <c r="A910" s="43" t="n">
        <v>46135</v>
      </c>
      <c r="B910" s="29" t="n">
        <f aca="false">COUNTIFS(Trades!$D$2:$D$1146,$A910)</f>
        <v>2</v>
      </c>
      <c r="C910" s="29" t="n">
        <f aca="false">COUNTIFS(Trades!$D$2:$D$1146,$A910,Trades!$Z$2:$Z$1146,"Win")</f>
        <v>0</v>
      </c>
      <c r="D910" s="29" t="n">
        <f aca="false">COUNTIFS(Trades!$D$2:$D$1146,$A910,Trades!$Z$2:$Z$1146,"Loss")</f>
        <v>1</v>
      </c>
      <c r="E910" s="30" t="n">
        <f aca="false">IFERROR(C910/B910,0)</f>
        <v>0</v>
      </c>
      <c r="F910" s="31" t="n">
        <f aca="false">SUMIFS(Trades!$X$2:$X$1146,Trades!$D$2:$D$1146,$A910)</f>
        <v>-165.52</v>
      </c>
      <c r="G910" s="31" t="n">
        <f aca="false">SUMIFS(Trades!$X$2:$X$1146,Trades!$D$2:$D$1146,$A910,Trades!$X$2:$X$1146,"&gt;0")</f>
        <v>0</v>
      </c>
      <c r="H910" s="31" t="n">
        <f aca="false">SUMIFS(Trades!$X$2:$X$1146,Trades!$D$2:$D$1146,$A910,Trades!$X$2:$X$1146,"&lt;0")</f>
        <v>-165.52</v>
      </c>
      <c r="I910" s="32" t="n">
        <f aca="false">IFERROR(G910/-H910,"no loss")</f>
        <v>0</v>
      </c>
      <c r="J910" s="31" t="n">
        <f aca="false">_xlfn.MAXIFS(Trades!$X$2:$X$1146,Trades!$D$2:$D$1146,$A910)</f>
        <v>0</v>
      </c>
      <c r="K910" s="31" t="n">
        <f aca="false">_xlfn.MINIFS(Trades!$X$2:$X$1146,Trades!$D$2:$D$1146,$A910)</f>
        <v>-165.52</v>
      </c>
      <c r="L910" s="33" t="n">
        <f aca="false">SUMIFS(Trades!$Y$2:$Y$1146,Trades!$D$2:$D$1146,$A910)</f>
        <v>-1.04732978992664</v>
      </c>
      <c r="M910" s="31" t="n">
        <f aca="false">P909</f>
        <v>22173.73</v>
      </c>
      <c r="N910" s="30" t="n">
        <f aca="false">IFERROR(F910/M910,0)</f>
        <v>-0.00746468907125685</v>
      </c>
      <c r="O910" s="29" t="str">
        <f aca="false">IF(-N910&gt;=Summary!$C$7,"BREACH","")</f>
        <v/>
      </c>
      <c r="P910" s="31" t="n">
        <f aca="false">M910+F910</f>
        <v>22008.21</v>
      </c>
      <c r="Q910" s="31" t="n">
        <f aca="false">P910-Summary!$C$5</f>
        <v>12008.21</v>
      </c>
      <c r="R910" s="2" t="str">
        <f aca="false">TEXT(A910,"ddd")</f>
        <v>Thu</v>
      </c>
    </row>
    <row r="911" customFormat="false" ht="15" hidden="false" customHeight="false" outlineLevel="0" collapsed="false">
      <c r="A911" s="43" t="n">
        <v>46136</v>
      </c>
      <c r="B911" s="29" t="n">
        <f aca="false">COUNTIFS(Trades!$D$2:$D$1146,$A911)</f>
        <v>1</v>
      </c>
      <c r="C911" s="29" t="n">
        <f aca="false">COUNTIFS(Trades!$D$2:$D$1146,$A911,Trades!$Z$2:$Z$1146,"Win")</f>
        <v>0</v>
      </c>
      <c r="D911" s="29" t="n">
        <f aca="false">COUNTIFS(Trades!$D$2:$D$1146,$A911,Trades!$Z$2:$Z$1146,"Loss")</f>
        <v>1</v>
      </c>
      <c r="E911" s="30" t="n">
        <f aca="false">IFERROR(C911/B911,0)</f>
        <v>0</v>
      </c>
      <c r="F911" s="31" t="n">
        <f aca="false">SUMIFS(Trades!$X$2:$X$1146,Trades!$D$2:$D$1146,$A911)</f>
        <v>-2.4</v>
      </c>
      <c r="G911" s="31" t="n">
        <f aca="false">SUMIFS(Trades!$X$2:$X$1146,Trades!$D$2:$D$1146,$A911,Trades!$X$2:$X$1146,"&gt;0")</f>
        <v>0</v>
      </c>
      <c r="H911" s="31" t="n">
        <f aca="false">SUMIFS(Trades!$X$2:$X$1146,Trades!$D$2:$D$1146,$A911,Trades!$X$2:$X$1146,"&lt;0")</f>
        <v>-2.4</v>
      </c>
      <c r="I911" s="32" t="n">
        <f aca="false">IFERROR(G911/-H911,"no loss")</f>
        <v>0</v>
      </c>
      <c r="J911" s="31" t="n">
        <f aca="false">_xlfn.MAXIFS(Trades!$X$2:$X$1146,Trades!$D$2:$D$1146,$A911)</f>
        <v>-2.4</v>
      </c>
      <c r="K911" s="31" t="n">
        <f aca="false">_xlfn.MINIFS(Trades!$X$2:$X$1146,Trades!$D$2:$D$1146,$A911)</f>
        <v>-2.4</v>
      </c>
      <c r="L911" s="33" t="n">
        <f aca="false">SUMIFS(Trades!$Y$2:$Y$1146,Trades!$D$2:$D$1146,$A911)</f>
        <v>-0.0816326530612407</v>
      </c>
      <c r="M911" s="31" t="n">
        <f aca="false">P910</f>
        <v>22008.21</v>
      </c>
      <c r="N911" s="30" t="n">
        <f aca="false">IFERROR(F911/M911,0)</f>
        <v>-0.000109050213533949</v>
      </c>
      <c r="O911" s="29" t="str">
        <f aca="false">IF(-N911&gt;=Summary!$C$7,"BREACH","")</f>
        <v/>
      </c>
      <c r="P911" s="31" t="n">
        <f aca="false">M911+F911</f>
        <v>22005.81</v>
      </c>
      <c r="Q911" s="31" t="n">
        <f aca="false">P911-Summary!$C$5</f>
        <v>12005.81</v>
      </c>
      <c r="R911" s="2" t="str">
        <f aca="false">TEXT(A911,"ddd")</f>
        <v>Fri</v>
      </c>
    </row>
    <row r="912" customFormat="false" ht="15" hidden="false" customHeight="false" outlineLevel="0" collapsed="false">
      <c r="A912" s="43" t="n">
        <v>46139</v>
      </c>
      <c r="B912" s="29" t="n">
        <f aca="false">COUNTIFS(Trades!$D$2:$D$1146,$A912)</f>
        <v>1</v>
      </c>
      <c r="C912" s="29" t="n">
        <f aca="false">COUNTIFS(Trades!$D$2:$D$1146,$A912,Trades!$Z$2:$Z$1146,"Win")</f>
        <v>1</v>
      </c>
      <c r="D912" s="29" t="n">
        <f aca="false">COUNTIFS(Trades!$D$2:$D$1146,$A912,Trades!$Z$2:$Z$1146,"Loss")</f>
        <v>0</v>
      </c>
      <c r="E912" s="30" t="n">
        <f aca="false">IFERROR(C912/B912,0)</f>
        <v>1</v>
      </c>
      <c r="F912" s="31" t="n">
        <f aca="false">SUMIFS(Trades!$X$2:$X$1146,Trades!$D$2:$D$1146,$A912)</f>
        <v>82.36</v>
      </c>
      <c r="G912" s="31" t="n">
        <f aca="false">SUMIFS(Trades!$X$2:$X$1146,Trades!$D$2:$D$1146,$A912,Trades!$X$2:$X$1146,"&gt;0")</f>
        <v>82.36</v>
      </c>
      <c r="H912" s="31" t="n">
        <f aca="false">SUMIFS(Trades!$X$2:$X$1146,Trades!$D$2:$D$1146,$A912,Trades!$X$2:$X$1146,"&lt;0")</f>
        <v>0</v>
      </c>
      <c r="I912" s="32" t="str">
        <f aca="false">IFERROR(G912/-H912,"no loss")</f>
        <v>no loss</v>
      </c>
      <c r="J912" s="31" t="n">
        <f aca="false">_xlfn.MAXIFS(Trades!$X$2:$X$1146,Trades!$D$2:$D$1146,$A912)</f>
        <v>82.36</v>
      </c>
      <c r="K912" s="31" t="n">
        <f aca="false">_xlfn.MINIFS(Trades!$X$2:$X$1146,Trades!$D$2:$D$1146,$A912)</f>
        <v>82.36</v>
      </c>
      <c r="L912" s="33" t="n">
        <f aca="false">SUMIFS(Trades!$Y$2:$Y$1146,Trades!$D$2:$D$1146,$A912)</f>
        <v>3.42595673876963</v>
      </c>
      <c r="M912" s="31" t="n">
        <f aca="false">P911</f>
        <v>22005.81</v>
      </c>
      <c r="N912" s="30" t="n">
        <f aca="false">IFERROR(F912/M912,0)</f>
        <v>0.00374264796433306</v>
      </c>
      <c r="O912" s="29" t="str">
        <f aca="false">IF(-N912&gt;=Summary!$C$7,"BREACH","")</f>
        <v/>
      </c>
      <c r="P912" s="31" t="n">
        <f aca="false">M912+F912</f>
        <v>22088.17</v>
      </c>
      <c r="Q912" s="31" t="n">
        <f aca="false">P912-Summary!$C$5</f>
        <v>12088.17</v>
      </c>
      <c r="R912" s="2" t="str">
        <f aca="false">TEXT(A912,"ddd")</f>
        <v>Mon</v>
      </c>
    </row>
    <row r="913" customFormat="false" ht="15" hidden="false" customHeight="false" outlineLevel="0" collapsed="false">
      <c r="A913" s="43" t="n">
        <v>46140</v>
      </c>
      <c r="B913" s="29" t="n">
        <f aca="false">COUNTIFS(Trades!$D$2:$D$1146,$A913)</f>
        <v>1</v>
      </c>
      <c r="C913" s="29" t="n">
        <f aca="false">COUNTIFS(Trades!$D$2:$D$1146,$A913,Trades!$Z$2:$Z$1146,"Win")</f>
        <v>0</v>
      </c>
      <c r="D913" s="29" t="n">
        <f aca="false">COUNTIFS(Trades!$D$2:$D$1146,$A913,Trades!$Z$2:$Z$1146,"Loss")</f>
        <v>1</v>
      </c>
      <c r="E913" s="30" t="n">
        <f aca="false">IFERROR(C913/B913,0)</f>
        <v>0</v>
      </c>
      <c r="F913" s="31" t="n">
        <f aca="false">SUMIFS(Trades!$X$2:$X$1146,Trades!$D$2:$D$1146,$A913)</f>
        <v>-0.72</v>
      </c>
      <c r="G913" s="31" t="n">
        <f aca="false">SUMIFS(Trades!$X$2:$X$1146,Trades!$D$2:$D$1146,$A913,Trades!$X$2:$X$1146,"&gt;0")</f>
        <v>0</v>
      </c>
      <c r="H913" s="31" t="n">
        <f aca="false">SUMIFS(Trades!$X$2:$X$1146,Trades!$D$2:$D$1146,$A913,Trades!$X$2:$X$1146,"&lt;0")</f>
        <v>-0.72</v>
      </c>
      <c r="I913" s="32" t="n">
        <f aca="false">IFERROR(G913/-H913,"no loss")</f>
        <v>0</v>
      </c>
      <c r="J913" s="31" t="n">
        <f aca="false">_xlfn.MAXIFS(Trades!$X$2:$X$1146,Trades!$D$2:$D$1146,$A913)</f>
        <v>-0.72</v>
      </c>
      <c r="K913" s="31" t="n">
        <f aca="false">_xlfn.MINIFS(Trades!$X$2:$X$1146,Trades!$D$2:$D$1146,$A913)</f>
        <v>-0.72</v>
      </c>
      <c r="L913" s="33" t="n">
        <f aca="false">SUMIFS(Trades!$Y$2:$Y$1146,Trades!$D$2:$D$1146,$A913)</f>
        <v>-0.0361445783132562</v>
      </c>
      <c r="M913" s="31" t="n">
        <f aca="false">P912</f>
        <v>22088.17</v>
      </c>
      <c r="N913" s="30" t="n">
        <f aca="false">IFERROR(F913/M913,0)</f>
        <v>-3.25966343069616E-005</v>
      </c>
      <c r="O913" s="29" t="str">
        <f aca="false">IF(-N913&gt;=Summary!$C$7,"BREACH","")</f>
        <v/>
      </c>
      <c r="P913" s="31" t="n">
        <f aca="false">M913+F913</f>
        <v>22087.45</v>
      </c>
      <c r="Q913" s="31" t="n">
        <f aca="false">P913-Summary!$C$5</f>
        <v>12087.45</v>
      </c>
      <c r="R913" s="2" t="str">
        <f aca="false">TEXT(A913,"ddd")</f>
        <v>Tue</v>
      </c>
    </row>
    <row r="914" customFormat="false" ht="15" hidden="false" customHeight="false" outlineLevel="0" collapsed="false">
      <c r="A914" s="43" t="n">
        <v>46142</v>
      </c>
      <c r="B914" s="29" t="n">
        <f aca="false">COUNTIFS(Trades!$D$2:$D$1146,$A914)</f>
        <v>1</v>
      </c>
      <c r="C914" s="29" t="n">
        <f aca="false">COUNTIFS(Trades!$D$2:$D$1146,$A914,Trades!$Z$2:$Z$1146,"Win")</f>
        <v>1</v>
      </c>
      <c r="D914" s="29" t="n">
        <f aca="false">COUNTIFS(Trades!$D$2:$D$1146,$A914,Trades!$Z$2:$Z$1146,"Loss")</f>
        <v>0</v>
      </c>
      <c r="E914" s="30" t="n">
        <f aca="false">IFERROR(C914/B914,0)</f>
        <v>1</v>
      </c>
      <c r="F914" s="31" t="n">
        <f aca="false">SUMIFS(Trades!$X$2:$X$1146,Trades!$D$2:$D$1146,$A914)</f>
        <v>195.2</v>
      </c>
      <c r="G914" s="31" t="n">
        <f aca="false">SUMIFS(Trades!$X$2:$X$1146,Trades!$D$2:$D$1146,$A914,Trades!$X$2:$X$1146,"&gt;0")</f>
        <v>195.2</v>
      </c>
      <c r="H914" s="31" t="n">
        <f aca="false">SUMIFS(Trades!$X$2:$X$1146,Trades!$D$2:$D$1146,$A914,Trades!$X$2:$X$1146,"&lt;0")</f>
        <v>0</v>
      </c>
      <c r="I914" s="32" t="str">
        <f aca="false">IFERROR(G914/-H914,"no loss")</f>
        <v>no loss</v>
      </c>
      <c r="J914" s="31" t="n">
        <f aca="false">_xlfn.MAXIFS(Trades!$X$2:$X$1146,Trades!$D$2:$D$1146,$A914)</f>
        <v>195.2</v>
      </c>
      <c r="K914" s="31" t="n">
        <f aca="false">_xlfn.MINIFS(Trades!$X$2:$X$1146,Trades!$D$2:$D$1146,$A914)</f>
        <v>195.2</v>
      </c>
      <c r="L914" s="33" t="n">
        <f aca="false">SUMIFS(Trades!$Y$2:$Y$1146,Trades!$D$2:$D$1146,$A914)</f>
        <v>2.43027888446238</v>
      </c>
      <c r="M914" s="31" t="n">
        <f aca="false">P913</f>
        <v>22087.45</v>
      </c>
      <c r="N914" s="30" t="n">
        <f aca="false">IFERROR(F914/M914,0)</f>
        <v>0.00883759782138726</v>
      </c>
      <c r="O914" s="29" t="str">
        <f aca="false">IF(-N914&gt;=Summary!$C$7,"BREACH","")</f>
        <v/>
      </c>
      <c r="P914" s="31" t="n">
        <f aca="false">M914+F914</f>
        <v>22282.65</v>
      </c>
      <c r="Q914" s="31" t="n">
        <f aca="false">P914-Summary!$C$5</f>
        <v>12282.65</v>
      </c>
      <c r="R914" s="2" t="str">
        <f aca="false">TEXT(A914,"ddd")</f>
        <v>Thu</v>
      </c>
    </row>
    <row r="915" customFormat="false" ht="15" hidden="false" customHeight="false" outlineLevel="0" collapsed="false">
      <c r="A915" s="43" t="n">
        <v>46143</v>
      </c>
      <c r="B915" s="29" t="n">
        <f aca="false">COUNTIFS(Trades!$D$2:$D$1146,$A915)</f>
        <v>1</v>
      </c>
      <c r="C915" s="29" t="n">
        <f aca="false">COUNTIFS(Trades!$D$2:$D$1146,$A915,Trades!$Z$2:$Z$1146,"Win")</f>
        <v>0</v>
      </c>
      <c r="D915" s="29" t="n">
        <f aca="false">COUNTIFS(Trades!$D$2:$D$1146,$A915,Trades!$Z$2:$Z$1146,"Loss")</f>
        <v>1</v>
      </c>
      <c r="E915" s="30" t="n">
        <f aca="false">IFERROR(C915/B915,0)</f>
        <v>0</v>
      </c>
      <c r="F915" s="31" t="n">
        <f aca="false">SUMIFS(Trades!$X$2:$X$1146,Trades!$D$2:$D$1146,$A915)</f>
        <v>-69</v>
      </c>
      <c r="G915" s="31" t="n">
        <f aca="false">SUMIFS(Trades!$X$2:$X$1146,Trades!$D$2:$D$1146,$A915,Trades!$X$2:$X$1146,"&gt;0")</f>
        <v>0</v>
      </c>
      <c r="H915" s="31" t="n">
        <f aca="false">SUMIFS(Trades!$X$2:$X$1146,Trades!$D$2:$D$1146,$A915,Trades!$X$2:$X$1146,"&lt;0")</f>
        <v>-69</v>
      </c>
      <c r="I915" s="32" t="n">
        <f aca="false">IFERROR(G915/-H915,"no loss")</f>
        <v>0</v>
      </c>
      <c r="J915" s="31" t="n">
        <f aca="false">_xlfn.MAXIFS(Trades!$X$2:$X$1146,Trades!$D$2:$D$1146,$A915)</f>
        <v>-69</v>
      </c>
      <c r="K915" s="31" t="n">
        <f aca="false">_xlfn.MINIFS(Trades!$X$2:$X$1146,Trades!$D$2:$D$1146,$A915)</f>
        <v>-69</v>
      </c>
      <c r="L915" s="33" t="n">
        <f aca="false">SUMIFS(Trades!$Y$2:$Y$1146,Trades!$D$2:$D$1146,$A915)</f>
        <v>-1.0159010600707</v>
      </c>
      <c r="M915" s="31" t="n">
        <f aca="false">P914</f>
        <v>22282.65</v>
      </c>
      <c r="N915" s="30" t="n">
        <f aca="false">IFERROR(F915/M915,0)</f>
        <v>-0.0030965796258524</v>
      </c>
      <c r="O915" s="29" t="str">
        <f aca="false">IF(-N915&gt;=Summary!$C$7,"BREACH","")</f>
        <v/>
      </c>
      <c r="P915" s="31" t="n">
        <f aca="false">M915+F915</f>
        <v>22213.65</v>
      </c>
      <c r="Q915" s="31" t="n">
        <f aca="false">P915-Summary!$C$5</f>
        <v>12213.65</v>
      </c>
      <c r="R915" s="2" t="str">
        <f aca="false">TEXT(A915,"ddd")</f>
        <v>Fri</v>
      </c>
    </row>
    <row r="916" customFormat="false" ht="15" hidden="false" customHeight="false" outlineLevel="0" collapsed="false">
      <c r="A916" s="43" t="n">
        <v>46146</v>
      </c>
      <c r="B916" s="29" t="n">
        <f aca="false">COUNTIFS(Trades!$D$2:$D$1146,$A916)</f>
        <v>1</v>
      </c>
      <c r="C916" s="29" t="n">
        <f aca="false">COUNTIFS(Trades!$D$2:$D$1146,$A916,Trades!$Z$2:$Z$1146,"Win")</f>
        <v>0</v>
      </c>
      <c r="D916" s="29" t="n">
        <f aca="false">COUNTIFS(Trades!$D$2:$D$1146,$A916,Trades!$Z$2:$Z$1146,"Loss")</f>
        <v>1</v>
      </c>
      <c r="E916" s="30" t="n">
        <f aca="false">IFERROR(C916/B916,0)</f>
        <v>0</v>
      </c>
      <c r="F916" s="31" t="n">
        <f aca="false">SUMIFS(Trades!$X$2:$X$1146,Trades!$D$2:$D$1146,$A916)</f>
        <v>-0.42</v>
      </c>
      <c r="G916" s="31" t="n">
        <f aca="false">SUMIFS(Trades!$X$2:$X$1146,Trades!$D$2:$D$1146,$A916,Trades!$X$2:$X$1146,"&gt;0")</f>
        <v>0</v>
      </c>
      <c r="H916" s="31" t="n">
        <f aca="false">SUMIFS(Trades!$X$2:$X$1146,Trades!$D$2:$D$1146,$A916,Trades!$X$2:$X$1146,"&lt;0")</f>
        <v>-0.42</v>
      </c>
      <c r="I916" s="32" t="n">
        <f aca="false">IFERROR(G916/-H916,"no loss")</f>
        <v>0</v>
      </c>
      <c r="J916" s="31" t="n">
        <f aca="false">_xlfn.MAXIFS(Trades!$X$2:$X$1146,Trades!$D$2:$D$1146,$A916)</f>
        <v>-0.42</v>
      </c>
      <c r="K916" s="31" t="n">
        <f aca="false">_xlfn.MINIFS(Trades!$X$2:$X$1146,Trades!$D$2:$D$1146,$A916)</f>
        <v>-0.42</v>
      </c>
      <c r="L916" s="33" t="n">
        <f aca="false">SUMIFS(Trades!$Y$2:$Y$1146,Trades!$D$2:$D$1146,$A916)</f>
        <v>-0.0289855072463663</v>
      </c>
      <c r="M916" s="31" t="n">
        <f aca="false">P915</f>
        <v>22213.65</v>
      </c>
      <c r="N916" s="30" t="n">
        <f aca="false">IFERROR(F916/M916,0)</f>
        <v>-1.89072934884632E-005</v>
      </c>
      <c r="O916" s="29" t="str">
        <f aca="false">IF(-N916&gt;=Summary!$C$7,"BREACH","")</f>
        <v/>
      </c>
      <c r="P916" s="31" t="n">
        <f aca="false">M916+F916</f>
        <v>22213.23</v>
      </c>
      <c r="Q916" s="31" t="n">
        <f aca="false">P916-Summary!$C$5</f>
        <v>12213.23</v>
      </c>
      <c r="R916" s="2" t="str">
        <f aca="false">TEXT(A916,"ddd")</f>
        <v>Mon</v>
      </c>
    </row>
    <row r="917" customFormat="false" ht="15" hidden="false" customHeight="false" outlineLevel="0" collapsed="false">
      <c r="A917" s="43" t="n">
        <v>46147</v>
      </c>
      <c r="B917" s="29" t="n">
        <f aca="false">COUNTIFS(Trades!$D$2:$D$1146,$A917)</f>
        <v>1</v>
      </c>
      <c r="C917" s="29" t="n">
        <f aca="false">COUNTIFS(Trades!$D$2:$D$1146,$A917,Trades!$Z$2:$Z$1146,"Win")</f>
        <v>1</v>
      </c>
      <c r="D917" s="29" t="n">
        <f aca="false">COUNTIFS(Trades!$D$2:$D$1146,$A917,Trades!$Z$2:$Z$1146,"Loss")</f>
        <v>0</v>
      </c>
      <c r="E917" s="30" t="n">
        <f aca="false">IFERROR(C917/B917,0)</f>
        <v>1</v>
      </c>
      <c r="F917" s="31" t="n">
        <f aca="false">SUMIFS(Trades!$X$2:$X$1146,Trades!$D$2:$D$1146,$A917)</f>
        <v>93.66</v>
      </c>
      <c r="G917" s="31" t="n">
        <f aca="false">SUMIFS(Trades!$X$2:$X$1146,Trades!$D$2:$D$1146,$A917,Trades!$X$2:$X$1146,"&gt;0")</f>
        <v>93.66</v>
      </c>
      <c r="H917" s="31" t="n">
        <f aca="false">SUMIFS(Trades!$X$2:$X$1146,Trades!$D$2:$D$1146,$A917,Trades!$X$2:$X$1146,"&lt;0")</f>
        <v>0</v>
      </c>
      <c r="I917" s="32" t="str">
        <f aca="false">IFERROR(G917/-H917,"no loss")</f>
        <v>no loss</v>
      </c>
      <c r="J917" s="31" t="n">
        <f aca="false">_xlfn.MAXIFS(Trades!$X$2:$X$1146,Trades!$D$2:$D$1146,$A917)</f>
        <v>93.66</v>
      </c>
      <c r="K917" s="31" t="n">
        <f aca="false">_xlfn.MINIFS(Trades!$X$2:$X$1146,Trades!$D$2:$D$1146,$A917)</f>
        <v>93.66</v>
      </c>
      <c r="L917" s="33" t="n">
        <f aca="false">SUMIFS(Trades!$Y$2:$Y$1146,Trades!$D$2:$D$1146,$A917)</f>
        <v>2.6147403685087</v>
      </c>
      <c r="M917" s="31" t="n">
        <f aca="false">P916</f>
        <v>22213.23</v>
      </c>
      <c r="N917" s="30" t="n">
        <f aca="false">IFERROR(F917/M917,0)</f>
        <v>0.00421640616875619</v>
      </c>
      <c r="O917" s="29" t="str">
        <f aca="false">IF(-N917&gt;=Summary!$C$7,"BREACH","")</f>
        <v/>
      </c>
      <c r="P917" s="31" t="n">
        <f aca="false">M917+F917</f>
        <v>22306.89</v>
      </c>
      <c r="Q917" s="31" t="n">
        <f aca="false">P917-Summary!$C$5</f>
        <v>12306.89</v>
      </c>
      <c r="R917" s="2" t="str">
        <f aca="false">TEXT(A917,"ddd")</f>
        <v>Tue</v>
      </c>
    </row>
    <row r="918" customFormat="false" ht="15" hidden="false" customHeight="false" outlineLevel="0" collapsed="false">
      <c r="A918" s="43" t="n">
        <v>46148</v>
      </c>
      <c r="B918" s="29" t="n">
        <f aca="false">COUNTIFS(Trades!$D$2:$D$1146,$A918)</f>
        <v>1</v>
      </c>
      <c r="C918" s="29" t="n">
        <f aca="false">COUNTIFS(Trades!$D$2:$D$1146,$A918,Trades!$Z$2:$Z$1146,"Win")</f>
        <v>1</v>
      </c>
      <c r="D918" s="29" t="n">
        <f aca="false">COUNTIFS(Trades!$D$2:$D$1146,$A918,Trades!$Z$2:$Z$1146,"Loss")</f>
        <v>0</v>
      </c>
      <c r="E918" s="30" t="n">
        <f aca="false">IFERROR(C918/B918,0)</f>
        <v>1</v>
      </c>
      <c r="F918" s="31" t="n">
        <f aca="false">SUMIFS(Trades!$X$2:$X$1146,Trades!$D$2:$D$1146,$A918)</f>
        <v>406.05</v>
      </c>
      <c r="G918" s="31" t="n">
        <f aca="false">SUMIFS(Trades!$X$2:$X$1146,Trades!$D$2:$D$1146,$A918,Trades!$X$2:$X$1146,"&gt;0")</f>
        <v>406.05</v>
      </c>
      <c r="H918" s="31" t="n">
        <f aca="false">SUMIFS(Trades!$X$2:$X$1146,Trades!$D$2:$D$1146,$A918,Trades!$X$2:$X$1146,"&lt;0")</f>
        <v>0</v>
      </c>
      <c r="I918" s="32" t="str">
        <f aca="false">IFERROR(G918/-H918,"no loss")</f>
        <v>no loss</v>
      </c>
      <c r="J918" s="31" t="n">
        <f aca="false">_xlfn.MAXIFS(Trades!$X$2:$X$1146,Trades!$D$2:$D$1146,$A918)</f>
        <v>406.05</v>
      </c>
      <c r="K918" s="31" t="n">
        <f aca="false">_xlfn.MINIFS(Trades!$X$2:$X$1146,Trades!$D$2:$D$1146,$A918)</f>
        <v>406.05</v>
      </c>
      <c r="L918" s="33" t="n">
        <f aca="false">SUMIFS(Trades!$Y$2:$Y$1146,Trades!$D$2:$D$1146,$A918)</f>
        <v>5.33083891295798</v>
      </c>
      <c r="M918" s="31" t="n">
        <f aca="false">P917</f>
        <v>22306.89</v>
      </c>
      <c r="N918" s="30" t="n">
        <f aca="false">IFERROR(F918/M918,0)</f>
        <v>0.0182028960558823</v>
      </c>
      <c r="O918" s="29" t="str">
        <f aca="false">IF(-N918&gt;=Summary!$C$7,"BREACH","")</f>
        <v/>
      </c>
      <c r="P918" s="31" t="n">
        <f aca="false">M918+F918</f>
        <v>22712.94</v>
      </c>
      <c r="Q918" s="31" t="n">
        <f aca="false">P918-Summary!$C$5</f>
        <v>12712.94</v>
      </c>
      <c r="R918" s="2" t="str">
        <f aca="false">TEXT(A918,"ddd")</f>
        <v>Wed</v>
      </c>
    </row>
    <row r="919" customFormat="false" ht="15" hidden="false" customHeight="false" outlineLevel="0" collapsed="false">
      <c r="A919" s="43" t="n">
        <v>46149</v>
      </c>
      <c r="B919" s="29" t="n">
        <f aca="false">COUNTIFS(Trades!$D$2:$D$1146,$A919)</f>
        <v>1</v>
      </c>
      <c r="C919" s="29" t="n">
        <f aca="false">COUNTIFS(Trades!$D$2:$D$1146,$A919,Trades!$Z$2:$Z$1146,"Win")</f>
        <v>0</v>
      </c>
      <c r="D919" s="29" t="n">
        <f aca="false">COUNTIFS(Trades!$D$2:$D$1146,$A919,Trades!$Z$2:$Z$1146,"Loss")</f>
        <v>1</v>
      </c>
      <c r="E919" s="30" t="n">
        <f aca="false">IFERROR(C919/B919,0)</f>
        <v>0</v>
      </c>
      <c r="F919" s="31" t="n">
        <f aca="false">SUMIFS(Trades!$X$2:$X$1146,Trades!$D$2:$D$1146,$A919)</f>
        <v>-40.86</v>
      </c>
      <c r="G919" s="31" t="n">
        <f aca="false">SUMIFS(Trades!$X$2:$X$1146,Trades!$D$2:$D$1146,$A919,Trades!$X$2:$X$1146,"&gt;0")</f>
        <v>0</v>
      </c>
      <c r="H919" s="31" t="n">
        <f aca="false">SUMIFS(Trades!$X$2:$X$1146,Trades!$D$2:$D$1146,$A919,Trades!$X$2:$X$1146,"&lt;0")</f>
        <v>-40.86</v>
      </c>
      <c r="I919" s="32" t="n">
        <f aca="false">IFERROR(G919/-H919,"no loss")</f>
        <v>0</v>
      </c>
      <c r="J919" s="31" t="n">
        <f aca="false">_xlfn.MAXIFS(Trades!$X$2:$X$1146,Trades!$D$2:$D$1146,$A919)</f>
        <v>-40.86</v>
      </c>
      <c r="K919" s="31" t="n">
        <f aca="false">_xlfn.MINIFS(Trades!$X$2:$X$1146,Trades!$D$2:$D$1146,$A919)</f>
        <v>-40.86</v>
      </c>
      <c r="L919" s="33" t="n">
        <f aca="false">SUMIFS(Trades!$Y$2:$Y$1146,Trades!$D$2:$D$1146,$A919)</f>
        <v>-1.0014705882354</v>
      </c>
      <c r="M919" s="31" t="n">
        <f aca="false">P918</f>
        <v>22712.94</v>
      </c>
      <c r="N919" s="30" t="n">
        <f aca="false">IFERROR(F919/M919,0)</f>
        <v>-0.00179897450528201</v>
      </c>
      <c r="O919" s="29" t="str">
        <f aca="false">IF(-N919&gt;=Summary!$C$7,"BREACH","")</f>
        <v/>
      </c>
      <c r="P919" s="31" t="n">
        <f aca="false">M919+F919</f>
        <v>22672.08</v>
      </c>
      <c r="Q919" s="31" t="n">
        <f aca="false">P919-Summary!$C$5</f>
        <v>12672.08</v>
      </c>
      <c r="R919" s="2" t="str">
        <f aca="false">TEXT(A919,"ddd")</f>
        <v>Thu</v>
      </c>
    </row>
    <row r="920" customFormat="false" ht="15" hidden="false" customHeight="false" outlineLevel="0" collapsed="false">
      <c r="A920" s="43" t="n">
        <v>46150</v>
      </c>
      <c r="B920" s="29" t="n">
        <f aca="false">COUNTIFS(Trades!$D$2:$D$1146,$A920)</f>
        <v>1</v>
      </c>
      <c r="C920" s="29" t="n">
        <f aca="false">COUNTIFS(Trades!$D$2:$D$1146,$A920,Trades!$Z$2:$Z$1146,"Win")</f>
        <v>0</v>
      </c>
      <c r="D920" s="29" t="n">
        <f aca="false">COUNTIFS(Trades!$D$2:$D$1146,$A920,Trades!$Z$2:$Z$1146,"Loss")</f>
        <v>1</v>
      </c>
      <c r="E920" s="30" t="n">
        <f aca="false">IFERROR(C920/B920,0)</f>
        <v>0</v>
      </c>
      <c r="F920" s="31" t="n">
        <f aca="false">SUMIFS(Trades!$X$2:$X$1146,Trades!$D$2:$D$1146,$A920)</f>
        <v>-55.26</v>
      </c>
      <c r="G920" s="31" t="n">
        <f aca="false">SUMIFS(Trades!$X$2:$X$1146,Trades!$D$2:$D$1146,$A920,Trades!$X$2:$X$1146,"&gt;0")</f>
        <v>0</v>
      </c>
      <c r="H920" s="31" t="n">
        <f aca="false">SUMIFS(Trades!$X$2:$X$1146,Trades!$D$2:$D$1146,$A920,Trades!$X$2:$X$1146,"&lt;0")</f>
        <v>-55.26</v>
      </c>
      <c r="I920" s="32" t="n">
        <f aca="false">IFERROR(G920/-H920,"no loss")</f>
        <v>0</v>
      </c>
      <c r="J920" s="31" t="n">
        <f aca="false">_xlfn.MAXIFS(Trades!$X$2:$X$1146,Trades!$D$2:$D$1146,$A920)</f>
        <v>-55.26</v>
      </c>
      <c r="K920" s="31" t="n">
        <f aca="false">_xlfn.MINIFS(Trades!$X$2:$X$1146,Trades!$D$2:$D$1146,$A920)</f>
        <v>-55.26</v>
      </c>
      <c r="L920" s="33" t="n">
        <f aca="false">SUMIFS(Trades!$Y$2:$Y$1146,Trades!$D$2:$D$1146,$A920)</f>
        <v>-1.00821018062395</v>
      </c>
      <c r="M920" s="31" t="n">
        <f aca="false">P919</f>
        <v>22672.08</v>
      </c>
      <c r="N920" s="30" t="n">
        <f aca="false">IFERROR(F920/M920,0)</f>
        <v>-0.00243735907777319</v>
      </c>
      <c r="O920" s="29" t="str">
        <f aca="false">IF(-N920&gt;=Summary!$C$7,"BREACH","")</f>
        <v/>
      </c>
      <c r="P920" s="31" t="n">
        <f aca="false">M920+F920</f>
        <v>22616.82</v>
      </c>
      <c r="Q920" s="31" t="n">
        <f aca="false">P920-Summary!$C$5</f>
        <v>12616.82</v>
      </c>
      <c r="R920" s="2" t="str">
        <f aca="false">TEXT(A920,"ddd")</f>
        <v>Fri</v>
      </c>
    </row>
    <row r="921" customFormat="false" ht="15" hidden="false" customHeight="false" outlineLevel="0" collapsed="false">
      <c r="A921" s="43" t="n">
        <v>46153</v>
      </c>
      <c r="B921" s="29" t="n">
        <f aca="false">COUNTIFS(Trades!$D$2:$D$1146,$A921)</f>
        <v>1</v>
      </c>
      <c r="C921" s="29" t="n">
        <f aca="false">COUNTIFS(Trades!$D$2:$D$1146,$A921,Trades!$Z$2:$Z$1146,"Win")</f>
        <v>0</v>
      </c>
      <c r="D921" s="29" t="n">
        <f aca="false">COUNTIFS(Trades!$D$2:$D$1146,$A921,Trades!$Z$2:$Z$1146,"Loss")</f>
        <v>1</v>
      </c>
      <c r="E921" s="30" t="n">
        <f aca="false">IFERROR(C921/B921,0)</f>
        <v>0</v>
      </c>
      <c r="F921" s="31" t="n">
        <f aca="false">SUMIFS(Trades!$X$2:$X$1146,Trades!$D$2:$D$1146,$A921)</f>
        <v>-0.6</v>
      </c>
      <c r="G921" s="31" t="n">
        <f aca="false">SUMIFS(Trades!$X$2:$X$1146,Trades!$D$2:$D$1146,$A921,Trades!$X$2:$X$1146,"&gt;0")</f>
        <v>0</v>
      </c>
      <c r="H921" s="31" t="n">
        <f aca="false">SUMIFS(Trades!$X$2:$X$1146,Trades!$D$2:$D$1146,$A921,Trades!$X$2:$X$1146,"&lt;0")</f>
        <v>-0.6</v>
      </c>
      <c r="I921" s="32" t="n">
        <f aca="false">IFERROR(G921/-H921,"no loss")</f>
        <v>0</v>
      </c>
      <c r="J921" s="31" t="n">
        <f aca="false">_xlfn.MAXIFS(Trades!$X$2:$X$1146,Trades!$D$2:$D$1146,$A921)</f>
        <v>-0.6</v>
      </c>
      <c r="K921" s="31" t="n">
        <f aca="false">_xlfn.MINIFS(Trades!$X$2:$X$1146,Trades!$D$2:$D$1146,$A921)</f>
        <v>-0.6</v>
      </c>
      <c r="L921" s="33" t="n">
        <f aca="false">SUMIFS(Trades!$Y$2:$Y$1146,Trades!$D$2:$D$1146,$A921)</f>
        <v>-0.0242130750605374</v>
      </c>
      <c r="M921" s="31" t="n">
        <f aca="false">P920</f>
        <v>22616.82</v>
      </c>
      <c r="N921" s="30" t="n">
        <f aca="false">IFERROR(F921/M921,0)</f>
        <v>-2.65289284700502E-005</v>
      </c>
      <c r="O921" s="29" t="str">
        <f aca="false">IF(-N921&gt;=Summary!$C$7,"BREACH","")</f>
        <v/>
      </c>
      <c r="P921" s="31" t="n">
        <f aca="false">M921+F921</f>
        <v>22616.22</v>
      </c>
      <c r="Q921" s="31" t="n">
        <f aca="false">P921-Summary!$C$5</f>
        <v>12616.22</v>
      </c>
      <c r="R921" s="2" t="str">
        <f aca="false">TEXT(A921,"ddd")</f>
        <v>Mon</v>
      </c>
    </row>
    <row r="922" customFormat="false" ht="15" hidden="false" customHeight="false" outlineLevel="0" collapsed="false">
      <c r="A922" s="43" t="n">
        <v>46154</v>
      </c>
      <c r="B922" s="29" t="n">
        <f aca="false">COUNTIFS(Trades!$D$2:$D$1146,$A922)</f>
        <v>1</v>
      </c>
      <c r="C922" s="29" t="n">
        <f aca="false">COUNTIFS(Trades!$D$2:$D$1146,$A922,Trades!$Z$2:$Z$1146,"Win")</f>
        <v>0</v>
      </c>
      <c r="D922" s="29" t="n">
        <f aca="false">COUNTIFS(Trades!$D$2:$D$1146,$A922,Trades!$Z$2:$Z$1146,"Loss")</f>
        <v>1</v>
      </c>
      <c r="E922" s="30" t="n">
        <f aca="false">IFERROR(C922/B922,0)</f>
        <v>0</v>
      </c>
      <c r="F922" s="31" t="n">
        <f aca="false">SUMIFS(Trades!$X$2:$X$1146,Trades!$D$2:$D$1146,$A922)</f>
        <v>-22.29</v>
      </c>
      <c r="G922" s="31" t="n">
        <f aca="false">SUMIFS(Trades!$X$2:$X$1146,Trades!$D$2:$D$1146,$A922,Trades!$X$2:$X$1146,"&gt;0")</f>
        <v>0</v>
      </c>
      <c r="H922" s="31" t="n">
        <f aca="false">SUMIFS(Trades!$X$2:$X$1146,Trades!$D$2:$D$1146,$A922,Trades!$X$2:$X$1146,"&lt;0")</f>
        <v>-22.29</v>
      </c>
      <c r="I922" s="32" t="n">
        <f aca="false">IFERROR(G922/-H922,"no loss")</f>
        <v>0</v>
      </c>
      <c r="J922" s="31" t="n">
        <f aca="false">_xlfn.MAXIFS(Trades!$X$2:$X$1146,Trades!$D$2:$D$1146,$A922)</f>
        <v>-22.29</v>
      </c>
      <c r="K922" s="31" t="n">
        <f aca="false">_xlfn.MINIFS(Trades!$X$2:$X$1146,Trades!$D$2:$D$1146,$A922)</f>
        <v>-22.29</v>
      </c>
      <c r="L922" s="33" t="n">
        <f aca="false">SUMIFS(Trades!$Y$2:$Y$1146,Trades!$D$2:$D$1146,$A922)</f>
        <v>-1.01502732240441</v>
      </c>
      <c r="M922" s="31" t="n">
        <f aca="false">P921</f>
        <v>22616.22</v>
      </c>
      <c r="N922" s="30" t="n">
        <f aca="false">IFERROR(F922/M922,0)</f>
        <v>-0.000985575838933297</v>
      </c>
      <c r="O922" s="29" t="str">
        <f aca="false">IF(-N922&gt;=Summary!$C$7,"BREACH","")</f>
        <v/>
      </c>
      <c r="P922" s="31" t="n">
        <f aca="false">M922+F922</f>
        <v>22593.93</v>
      </c>
      <c r="Q922" s="31" t="n">
        <f aca="false">P922-Summary!$C$5</f>
        <v>12593.93</v>
      </c>
      <c r="R922" s="2" t="str">
        <f aca="false">TEXT(A922,"ddd")</f>
        <v>Tue</v>
      </c>
    </row>
    <row r="923" customFormat="false" ht="15" hidden="false" customHeight="false" outlineLevel="0" collapsed="false">
      <c r="A923" s="43" t="n">
        <v>46155</v>
      </c>
      <c r="B923" s="29" t="n">
        <f aca="false">COUNTIFS(Trades!$D$2:$D$1146,$A923)</f>
        <v>1</v>
      </c>
      <c r="C923" s="29" t="n">
        <f aca="false">COUNTIFS(Trades!$D$2:$D$1146,$A923,Trades!$Z$2:$Z$1146,"Win")</f>
        <v>0</v>
      </c>
      <c r="D923" s="29" t="n">
        <f aca="false">COUNTIFS(Trades!$D$2:$D$1146,$A923,Trades!$Z$2:$Z$1146,"Loss")</f>
        <v>1</v>
      </c>
      <c r="E923" s="30" t="n">
        <f aca="false">IFERROR(C923/B923,0)</f>
        <v>0</v>
      </c>
      <c r="F923" s="31" t="n">
        <f aca="false">SUMIFS(Trades!$X$2:$X$1146,Trades!$D$2:$D$1146,$A923)</f>
        <v>-41.43</v>
      </c>
      <c r="G923" s="31" t="n">
        <f aca="false">SUMIFS(Trades!$X$2:$X$1146,Trades!$D$2:$D$1146,$A923,Trades!$X$2:$X$1146,"&gt;0")</f>
        <v>0</v>
      </c>
      <c r="H923" s="31" t="n">
        <f aca="false">SUMIFS(Trades!$X$2:$X$1146,Trades!$D$2:$D$1146,$A923,Trades!$X$2:$X$1146,"&lt;0")</f>
        <v>-41.43</v>
      </c>
      <c r="I923" s="32" t="n">
        <f aca="false">IFERROR(G923/-H923,"no loss")</f>
        <v>0</v>
      </c>
      <c r="J923" s="31" t="n">
        <f aca="false">_xlfn.MAXIFS(Trades!$X$2:$X$1146,Trades!$D$2:$D$1146,$A923)</f>
        <v>-41.43</v>
      </c>
      <c r="K923" s="31" t="n">
        <f aca="false">_xlfn.MINIFS(Trades!$X$2:$X$1146,Trades!$D$2:$D$1146,$A923)</f>
        <v>-41.43</v>
      </c>
      <c r="L923" s="33" t="n">
        <f aca="false">SUMIFS(Trades!$Y$2:$Y$1146,Trades!$D$2:$D$1146,$A923)</f>
        <v>-1.16638513513512</v>
      </c>
      <c r="M923" s="31" t="n">
        <f aca="false">P922</f>
        <v>22593.93</v>
      </c>
      <c r="N923" s="30" t="n">
        <f aca="false">IFERROR(F923/M923,0)</f>
        <v>-0.00183367833750038</v>
      </c>
      <c r="O923" s="29" t="str">
        <f aca="false">IF(-N923&gt;=Summary!$C$7,"BREACH","")</f>
        <v/>
      </c>
      <c r="P923" s="31" t="n">
        <f aca="false">M923+F923</f>
        <v>22552.5</v>
      </c>
      <c r="Q923" s="31" t="n">
        <f aca="false">P923-Summary!$C$5</f>
        <v>12552.5</v>
      </c>
      <c r="R923" s="2" t="str">
        <f aca="false">TEXT(A923,"ddd")</f>
        <v>Wed</v>
      </c>
    </row>
    <row r="924" customFormat="false" ht="15" hidden="false" customHeight="false" outlineLevel="0" collapsed="false">
      <c r="A924" s="43" t="n">
        <v>46156</v>
      </c>
      <c r="B924" s="29" t="n">
        <f aca="false">COUNTIFS(Trades!$D$2:$D$1146,$A924)</f>
        <v>1</v>
      </c>
      <c r="C924" s="29" t="n">
        <f aca="false">COUNTIFS(Trades!$D$2:$D$1146,$A924,Trades!$Z$2:$Z$1146,"Win")</f>
        <v>0</v>
      </c>
      <c r="D924" s="29" t="n">
        <f aca="false">COUNTIFS(Trades!$D$2:$D$1146,$A924,Trades!$Z$2:$Z$1146,"Loss")</f>
        <v>1</v>
      </c>
      <c r="E924" s="30" t="n">
        <f aca="false">IFERROR(C924/B924,0)</f>
        <v>0</v>
      </c>
      <c r="F924" s="31" t="n">
        <f aca="false">SUMIFS(Trades!$X$2:$X$1146,Trades!$D$2:$D$1146,$A924)</f>
        <v>-0.03</v>
      </c>
      <c r="G924" s="31" t="n">
        <f aca="false">SUMIFS(Trades!$X$2:$X$1146,Trades!$D$2:$D$1146,$A924,Trades!$X$2:$X$1146,"&gt;0")</f>
        <v>0</v>
      </c>
      <c r="H924" s="31" t="n">
        <f aca="false">SUMIFS(Trades!$X$2:$X$1146,Trades!$D$2:$D$1146,$A924,Trades!$X$2:$X$1146,"&lt;0")</f>
        <v>-0.03</v>
      </c>
      <c r="I924" s="32" t="n">
        <f aca="false">IFERROR(G924/-H924,"no loss")</f>
        <v>0</v>
      </c>
      <c r="J924" s="31" t="n">
        <f aca="false">_xlfn.MAXIFS(Trades!$X$2:$X$1146,Trades!$D$2:$D$1146,$A924)</f>
        <v>-0.03</v>
      </c>
      <c r="K924" s="31" t="n">
        <f aca="false">_xlfn.MINIFS(Trades!$X$2:$X$1146,Trades!$D$2:$D$1146,$A924)</f>
        <v>-0.03</v>
      </c>
      <c r="L924" s="33" t="n">
        <f aca="false">SUMIFS(Trades!$Y$2:$Y$1146,Trades!$D$2:$D$1146,$A924)</f>
        <v>-0.00194552529182901</v>
      </c>
      <c r="M924" s="31" t="n">
        <f aca="false">P923</f>
        <v>22552.5</v>
      </c>
      <c r="N924" s="30" t="n">
        <f aca="false">IFERROR(F924/M924,0)</f>
        <v>-1.33022946458264E-006</v>
      </c>
      <c r="O924" s="29" t="str">
        <f aca="false">IF(-N924&gt;=Summary!$C$7,"BREACH","")</f>
        <v/>
      </c>
      <c r="P924" s="31" t="n">
        <f aca="false">M924+F924</f>
        <v>22552.47</v>
      </c>
      <c r="Q924" s="31" t="n">
        <f aca="false">P924-Summary!$C$5</f>
        <v>12552.47</v>
      </c>
      <c r="R924" s="2" t="str">
        <f aca="false">TEXT(A924,"ddd")</f>
        <v>Thu</v>
      </c>
    </row>
    <row r="925" customFormat="false" ht="15" hidden="false" customHeight="false" outlineLevel="0" collapsed="false">
      <c r="A925" s="43" t="n">
        <v>46157</v>
      </c>
      <c r="B925" s="29" t="n">
        <f aca="false">COUNTIFS(Trades!$D$2:$D$1146,$A925)</f>
        <v>1</v>
      </c>
      <c r="C925" s="29" t="n">
        <f aca="false">COUNTIFS(Trades!$D$2:$D$1146,$A925,Trades!$Z$2:$Z$1146,"Win")</f>
        <v>0</v>
      </c>
      <c r="D925" s="29" t="n">
        <f aca="false">COUNTIFS(Trades!$D$2:$D$1146,$A925,Trades!$Z$2:$Z$1146,"Loss")</f>
        <v>1</v>
      </c>
      <c r="E925" s="30" t="n">
        <f aca="false">IFERROR(C925/B925,0)</f>
        <v>0</v>
      </c>
      <c r="F925" s="31" t="n">
        <f aca="false">SUMIFS(Trades!$X$2:$X$1146,Trades!$D$2:$D$1146,$A925)</f>
        <v>-59.52</v>
      </c>
      <c r="G925" s="31" t="n">
        <f aca="false">SUMIFS(Trades!$X$2:$X$1146,Trades!$D$2:$D$1146,$A925,Trades!$X$2:$X$1146,"&gt;0")</f>
        <v>0</v>
      </c>
      <c r="H925" s="31" t="n">
        <f aca="false">SUMIFS(Trades!$X$2:$X$1146,Trades!$D$2:$D$1146,$A925,Trades!$X$2:$X$1146,"&lt;0")</f>
        <v>-59.52</v>
      </c>
      <c r="I925" s="32" t="n">
        <f aca="false">IFERROR(G925/-H925,"no loss")</f>
        <v>0</v>
      </c>
      <c r="J925" s="31" t="n">
        <f aca="false">_xlfn.MAXIFS(Trades!$X$2:$X$1146,Trades!$D$2:$D$1146,$A925)</f>
        <v>-59.52</v>
      </c>
      <c r="K925" s="31" t="n">
        <f aca="false">_xlfn.MINIFS(Trades!$X$2:$X$1146,Trades!$D$2:$D$1146,$A925)</f>
        <v>-59.52</v>
      </c>
      <c r="L925" s="33" t="n">
        <f aca="false">SUMIFS(Trades!$Y$2:$Y$1146,Trades!$D$2:$D$1146,$A925)</f>
        <v>-1.01848049281316</v>
      </c>
      <c r="M925" s="31" t="n">
        <f aca="false">P924</f>
        <v>22552.47</v>
      </c>
      <c r="N925" s="30" t="n">
        <f aca="false">IFERROR(F925/M925,0)</f>
        <v>-0.00263917876844532</v>
      </c>
      <c r="O925" s="29" t="str">
        <f aca="false">IF(-N925&gt;=Summary!$C$7,"BREACH","")</f>
        <v/>
      </c>
      <c r="P925" s="31" t="n">
        <f aca="false">M925+F925</f>
        <v>22492.95</v>
      </c>
      <c r="Q925" s="31" t="n">
        <f aca="false">P925-Summary!$C$5</f>
        <v>12492.95</v>
      </c>
      <c r="R925" s="2" t="str">
        <f aca="false">TEXT(A925,"ddd")</f>
        <v>Fri</v>
      </c>
    </row>
    <row r="926" customFormat="false" ht="15" hidden="false" customHeight="false" outlineLevel="0" collapsed="false">
      <c r="A926" s="43" t="n">
        <v>46160</v>
      </c>
      <c r="B926" s="29" t="n">
        <f aca="false">COUNTIFS(Trades!$D$2:$D$1146,$A926)</f>
        <v>1</v>
      </c>
      <c r="C926" s="29" t="n">
        <f aca="false">COUNTIFS(Trades!$D$2:$D$1146,$A926,Trades!$Z$2:$Z$1146,"Win")</f>
        <v>0</v>
      </c>
      <c r="D926" s="29" t="n">
        <f aca="false">COUNTIFS(Trades!$D$2:$D$1146,$A926,Trades!$Z$2:$Z$1146,"Loss")</f>
        <v>1</v>
      </c>
      <c r="E926" s="30" t="n">
        <f aca="false">IFERROR(C926/B926,0)</f>
        <v>0</v>
      </c>
      <c r="F926" s="31" t="n">
        <f aca="false">SUMIFS(Trades!$X$2:$X$1146,Trades!$D$2:$D$1146,$A926)</f>
        <v>-3.12</v>
      </c>
      <c r="G926" s="31" t="n">
        <f aca="false">SUMIFS(Trades!$X$2:$X$1146,Trades!$D$2:$D$1146,$A926,Trades!$X$2:$X$1146,"&gt;0")</f>
        <v>0</v>
      </c>
      <c r="H926" s="31" t="n">
        <f aca="false">SUMIFS(Trades!$X$2:$X$1146,Trades!$D$2:$D$1146,$A926,Trades!$X$2:$X$1146,"&lt;0")</f>
        <v>-3.12</v>
      </c>
      <c r="I926" s="32" t="n">
        <f aca="false">IFERROR(G926/-H926,"no loss")</f>
        <v>0</v>
      </c>
      <c r="J926" s="31" t="n">
        <f aca="false">_xlfn.MAXIFS(Trades!$X$2:$X$1146,Trades!$D$2:$D$1146,$A926)</f>
        <v>-3.12</v>
      </c>
      <c r="K926" s="31" t="n">
        <f aca="false">_xlfn.MINIFS(Trades!$X$2:$X$1146,Trades!$D$2:$D$1146,$A926)</f>
        <v>-3.12</v>
      </c>
      <c r="L926" s="33" t="n">
        <f aca="false">SUMIFS(Trades!$Y$2:$Y$1146,Trades!$D$2:$D$1146,$A926)</f>
        <v>-0.0359612724757975</v>
      </c>
      <c r="M926" s="31" t="n">
        <f aca="false">P925</f>
        <v>22492.95</v>
      </c>
      <c r="N926" s="30" t="n">
        <f aca="false">IFERROR(F926/M926,0)</f>
        <v>-0.000138710129173808</v>
      </c>
      <c r="O926" s="29" t="str">
        <f aca="false">IF(-N926&gt;=Summary!$C$7,"BREACH","")</f>
        <v/>
      </c>
      <c r="P926" s="31" t="n">
        <f aca="false">M926+F926</f>
        <v>22489.83</v>
      </c>
      <c r="Q926" s="31" t="n">
        <f aca="false">P926-Summary!$C$5</f>
        <v>12489.83</v>
      </c>
      <c r="R926" s="2" t="str">
        <f aca="false">TEXT(A926,"ddd")</f>
        <v>Mon</v>
      </c>
    </row>
    <row r="927" customFormat="false" ht="15" hidden="false" customHeight="false" outlineLevel="0" collapsed="false">
      <c r="A927" s="43" t="n">
        <v>46161</v>
      </c>
      <c r="B927" s="29" t="n">
        <f aca="false">COUNTIFS(Trades!$D$2:$D$1146,$A927)</f>
        <v>1</v>
      </c>
      <c r="C927" s="29" t="n">
        <f aca="false">COUNTIFS(Trades!$D$2:$D$1146,$A927,Trades!$Z$2:$Z$1146,"Win")</f>
        <v>0</v>
      </c>
      <c r="D927" s="29" t="n">
        <f aca="false">COUNTIFS(Trades!$D$2:$D$1146,$A927,Trades!$Z$2:$Z$1146,"Loss")</f>
        <v>1</v>
      </c>
      <c r="E927" s="30" t="n">
        <f aca="false">IFERROR(C927/B927,0)</f>
        <v>0</v>
      </c>
      <c r="F927" s="31" t="n">
        <f aca="false">SUMIFS(Trades!$X$2:$X$1146,Trades!$D$2:$D$1146,$A927)</f>
        <v>-52.71</v>
      </c>
      <c r="G927" s="31" t="n">
        <f aca="false">SUMIFS(Trades!$X$2:$X$1146,Trades!$D$2:$D$1146,$A927,Trades!$X$2:$X$1146,"&gt;0")</f>
        <v>0</v>
      </c>
      <c r="H927" s="31" t="n">
        <f aca="false">SUMIFS(Trades!$X$2:$X$1146,Trades!$D$2:$D$1146,$A927,Trades!$X$2:$X$1146,"&lt;0")</f>
        <v>-52.71</v>
      </c>
      <c r="I927" s="32" t="n">
        <f aca="false">IFERROR(G927/-H927,"no loss")</f>
        <v>0</v>
      </c>
      <c r="J927" s="31" t="n">
        <f aca="false">_xlfn.MAXIFS(Trades!$X$2:$X$1146,Trades!$D$2:$D$1146,$A927)</f>
        <v>-52.71</v>
      </c>
      <c r="K927" s="31" t="n">
        <f aca="false">_xlfn.MINIFS(Trades!$X$2:$X$1146,Trades!$D$2:$D$1146,$A927)</f>
        <v>-52.71</v>
      </c>
      <c r="L927" s="33" t="n">
        <f aca="false">SUMIFS(Trades!$Y$2:$Y$1146,Trades!$D$2:$D$1146,$A927)</f>
        <v>-1.01560693641623</v>
      </c>
      <c r="M927" s="31" t="n">
        <f aca="false">P926</f>
        <v>22489.83</v>
      </c>
      <c r="N927" s="30" t="n">
        <f aca="false">IFERROR(F927/M927,0)</f>
        <v>-0.0023437260308326</v>
      </c>
      <c r="O927" s="29" t="str">
        <f aca="false">IF(-N927&gt;=Summary!$C$7,"BREACH","")</f>
        <v/>
      </c>
      <c r="P927" s="31" t="n">
        <f aca="false">M927+F927</f>
        <v>22437.12</v>
      </c>
      <c r="Q927" s="31" t="n">
        <f aca="false">P927-Summary!$C$5</f>
        <v>12437.12</v>
      </c>
      <c r="R927" s="2" t="str">
        <f aca="false">TEXT(A927,"ddd")</f>
        <v>Tue</v>
      </c>
    </row>
    <row r="928" customFormat="false" ht="15" hidden="false" customHeight="false" outlineLevel="0" collapsed="false">
      <c r="A928" s="43" t="n">
        <v>46162</v>
      </c>
      <c r="B928" s="29" t="n">
        <f aca="false">COUNTIFS(Trades!$D$2:$D$1146,$A928)</f>
        <v>1</v>
      </c>
      <c r="C928" s="29" t="n">
        <f aca="false">COUNTIFS(Trades!$D$2:$D$1146,$A928,Trades!$Z$2:$Z$1146,"Win")</f>
        <v>0</v>
      </c>
      <c r="D928" s="29" t="n">
        <f aca="false">COUNTIFS(Trades!$D$2:$D$1146,$A928,Trades!$Z$2:$Z$1146,"Loss")</f>
        <v>1</v>
      </c>
      <c r="E928" s="30" t="n">
        <f aca="false">IFERROR(C928/B928,0)</f>
        <v>0</v>
      </c>
      <c r="F928" s="31" t="n">
        <f aca="false">SUMIFS(Trades!$X$2:$X$1146,Trades!$D$2:$D$1146,$A928)</f>
        <v>-137.01</v>
      </c>
      <c r="G928" s="31" t="n">
        <f aca="false">SUMIFS(Trades!$X$2:$X$1146,Trades!$D$2:$D$1146,$A928,Trades!$X$2:$X$1146,"&gt;0")</f>
        <v>0</v>
      </c>
      <c r="H928" s="31" t="n">
        <f aca="false">SUMIFS(Trades!$X$2:$X$1146,Trades!$D$2:$D$1146,$A928,Trades!$X$2:$X$1146,"&lt;0")</f>
        <v>-137.01</v>
      </c>
      <c r="I928" s="32" t="n">
        <f aca="false">IFERROR(G928/-H928,"no loss")</f>
        <v>0</v>
      </c>
      <c r="J928" s="31" t="n">
        <f aca="false">_xlfn.MAXIFS(Trades!$X$2:$X$1146,Trades!$D$2:$D$1146,$A928)</f>
        <v>-137.01</v>
      </c>
      <c r="K928" s="31" t="n">
        <f aca="false">_xlfn.MINIFS(Trades!$X$2:$X$1146,Trades!$D$2:$D$1146,$A928)</f>
        <v>-137.01</v>
      </c>
      <c r="L928" s="33" t="n">
        <f aca="false">SUMIFS(Trades!$Y$2:$Y$1146,Trades!$D$2:$D$1146,$A928)</f>
        <v>-1.08145867866447</v>
      </c>
      <c r="M928" s="31" t="n">
        <f aca="false">P927</f>
        <v>22437.12</v>
      </c>
      <c r="N928" s="30" t="n">
        <f aca="false">IFERROR(F928/M928,0)</f>
        <v>-0.00610639868218381</v>
      </c>
      <c r="O928" s="29" t="str">
        <f aca="false">IF(-N928&gt;=Summary!$C$7,"BREACH","")</f>
        <v/>
      </c>
      <c r="P928" s="31" t="n">
        <f aca="false">M928+F928</f>
        <v>22300.11</v>
      </c>
      <c r="Q928" s="31" t="n">
        <f aca="false">P928-Summary!$C$5</f>
        <v>12300.11</v>
      </c>
      <c r="R928" s="2" t="str">
        <f aca="false">TEXT(A928,"ddd")</f>
        <v>Wed</v>
      </c>
    </row>
    <row r="929" customFormat="false" ht="15" hidden="false" customHeight="false" outlineLevel="0" collapsed="false">
      <c r="A929" s="43" t="n">
        <v>46163</v>
      </c>
      <c r="B929" s="29" t="n">
        <f aca="false">COUNTIFS(Trades!$D$2:$D$1146,$A929)</f>
        <v>1</v>
      </c>
      <c r="C929" s="29" t="n">
        <f aca="false">COUNTIFS(Trades!$D$2:$D$1146,$A929,Trades!$Z$2:$Z$1146,"Win")</f>
        <v>0</v>
      </c>
      <c r="D929" s="29" t="n">
        <f aca="false">COUNTIFS(Trades!$D$2:$D$1146,$A929,Trades!$Z$2:$Z$1146,"Loss")</f>
        <v>1</v>
      </c>
      <c r="E929" s="30" t="n">
        <f aca="false">IFERROR(C929/B929,0)</f>
        <v>0</v>
      </c>
      <c r="F929" s="31" t="n">
        <f aca="false">SUMIFS(Trades!$X$2:$X$1146,Trades!$D$2:$D$1146,$A929)</f>
        <v>-0.48</v>
      </c>
      <c r="G929" s="31" t="n">
        <f aca="false">SUMIFS(Trades!$X$2:$X$1146,Trades!$D$2:$D$1146,$A929,Trades!$X$2:$X$1146,"&gt;0")</f>
        <v>0</v>
      </c>
      <c r="H929" s="31" t="n">
        <f aca="false">SUMIFS(Trades!$X$2:$X$1146,Trades!$D$2:$D$1146,$A929,Trades!$X$2:$X$1146,"&lt;0")</f>
        <v>-0.48</v>
      </c>
      <c r="I929" s="32" t="n">
        <f aca="false">IFERROR(G929/-H929,"no loss")</f>
        <v>0</v>
      </c>
      <c r="J929" s="31" t="n">
        <f aca="false">_xlfn.MAXIFS(Trades!$X$2:$X$1146,Trades!$D$2:$D$1146,$A929)</f>
        <v>-0.48</v>
      </c>
      <c r="K929" s="31" t="n">
        <f aca="false">_xlfn.MINIFS(Trades!$X$2:$X$1146,Trades!$D$2:$D$1146,$A929)</f>
        <v>-0.48</v>
      </c>
      <c r="L929" s="33" t="n">
        <f aca="false">SUMIFS(Trades!$Y$2:$Y$1146,Trades!$D$2:$D$1146,$A929)</f>
        <v>-0.0316205533596756</v>
      </c>
      <c r="M929" s="31" t="n">
        <f aca="false">P928</f>
        <v>22300.11</v>
      </c>
      <c r="N929" s="30" t="n">
        <f aca="false">IFERROR(F929/M929,0)</f>
        <v>-2.15245575021827E-005</v>
      </c>
      <c r="O929" s="29" t="str">
        <f aca="false">IF(-N929&gt;=Summary!$C$7,"BREACH","")</f>
        <v/>
      </c>
      <c r="P929" s="31" t="n">
        <f aca="false">M929+F929</f>
        <v>22299.63</v>
      </c>
      <c r="Q929" s="31" t="n">
        <f aca="false">P929-Summary!$C$5</f>
        <v>12299.63</v>
      </c>
      <c r="R929" s="2" t="str">
        <f aca="false">TEXT(A929,"ddd")</f>
        <v>Thu</v>
      </c>
    </row>
    <row r="930" customFormat="false" ht="15" hidden="false" customHeight="false" outlineLevel="0" collapsed="false">
      <c r="A930" s="43" t="n">
        <v>46164</v>
      </c>
      <c r="B930" s="29" t="n">
        <f aca="false">COUNTIFS(Trades!$D$2:$D$1146,$A930)</f>
        <v>1</v>
      </c>
      <c r="C930" s="29" t="n">
        <f aca="false">COUNTIFS(Trades!$D$2:$D$1146,$A930,Trades!$Z$2:$Z$1146,"Win")</f>
        <v>0</v>
      </c>
      <c r="D930" s="29" t="n">
        <f aca="false">COUNTIFS(Trades!$D$2:$D$1146,$A930,Trades!$Z$2:$Z$1146,"Loss")</f>
        <v>1</v>
      </c>
      <c r="E930" s="30" t="n">
        <f aca="false">IFERROR(C930/B930,0)</f>
        <v>0</v>
      </c>
      <c r="F930" s="31" t="n">
        <f aca="false">SUMIFS(Trades!$X$2:$X$1146,Trades!$D$2:$D$1146,$A930)</f>
        <v>-19.77</v>
      </c>
      <c r="G930" s="31" t="n">
        <f aca="false">SUMIFS(Trades!$X$2:$X$1146,Trades!$D$2:$D$1146,$A930,Trades!$X$2:$X$1146,"&gt;0")</f>
        <v>0</v>
      </c>
      <c r="H930" s="31" t="n">
        <f aca="false">SUMIFS(Trades!$X$2:$X$1146,Trades!$D$2:$D$1146,$A930,Trades!$X$2:$X$1146,"&lt;0")</f>
        <v>-19.77</v>
      </c>
      <c r="I930" s="32" t="n">
        <f aca="false">IFERROR(G930/-H930,"no loss")</f>
        <v>0</v>
      </c>
      <c r="J930" s="31" t="n">
        <f aca="false">_xlfn.MAXIFS(Trades!$X$2:$X$1146,Trades!$D$2:$D$1146,$A930)</f>
        <v>-19.77</v>
      </c>
      <c r="K930" s="31" t="n">
        <f aca="false">_xlfn.MINIFS(Trades!$X$2:$X$1146,Trades!$D$2:$D$1146,$A930)</f>
        <v>-19.77</v>
      </c>
      <c r="L930" s="33" t="n">
        <f aca="false">SUMIFS(Trades!$Y$2:$Y$1146,Trades!$D$2:$D$1146,$A930)</f>
        <v>-1.15614035087778</v>
      </c>
      <c r="M930" s="31" t="n">
        <f aca="false">P929</f>
        <v>22299.63</v>
      </c>
      <c r="N930" s="30" t="n">
        <f aca="false">IFERROR(F930/M930,0)</f>
        <v>-0.000886561794971486</v>
      </c>
      <c r="O930" s="29" t="str">
        <f aca="false">IF(-N930&gt;=Summary!$C$7,"BREACH","")</f>
        <v/>
      </c>
      <c r="P930" s="31" t="n">
        <f aca="false">M930+F930</f>
        <v>22279.86</v>
      </c>
      <c r="Q930" s="31" t="n">
        <f aca="false">P930-Summary!$C$5</f>
        <v>12279.86</v>
      </c>
      <c r="R930" s="2" t="str">
        <f aca="false">TEXT(A930,"ddd")</f>
        <v>Fri</v>
      </c>
    </row>
    <row r="931" customFormat="false" ht="15" hidden="false" customHeight="false" outlineLevel="0" collapsed="false">
      <c r="A931" s="43" t="n">
        <v>46167</v>
      </c>
      <c r="B931" s="29" t="n">
        <f aca="false">COUNTIFS(Trades!$D$2:$D$1146,$A931)</f>
        <v>1</v>
      </c>
      <c r="C931" s="29" t="n">
        <f aca="false">COUNTIFS(Trades!$D$2:$D$1146,$A931,Trades!$Z$2:$Z$1146,"Win")</f>
        <v>1</v>
      </c>
      <c r="D931" s="29" t="n">
        <f aca="false">COUNTIFS(Trades!$D$2:$D$1146,$A931,Trades!$Z$2:$Z$1146,"Loss")</f>
        <v>0</v>
      </c>
      <c r="E931" s="30" t="n">
        <f aca="false">IFERROR(C931/B931,0)</f>
        <v>1</v>
      </c>
      <c r="F931" s="31" t="n">
        <f aca="false">SUMIFS(Trades!$X$2:$X$1146,Trades!$D$2:$D$1146,$A931)</f>
        <v>330.96</v>
      </c>
      <c r="G931" s="31" t="n">
        <f aca="false">SUMIFS(Trades!$X$2:$X$1146,Trades!$D$2:$D$1146,$A931,Trades!$X$2:$X$1146,"&gt;0")</f>
        <v>330.96</v>
      </c>
      <c r="H931" s="31" t="n">
        <f aca="false">SUMIFS(Trades!$X$2:$X$1146,Trades!$D$2:$D$1146,$A931,Trades!$X$2:$X$1146,"&lt;0")</f>
        <v>0</v>
      </c>
      <c r="I931" s="32" t="str">
        <f aca="false">IFERROR(G931/-H931,"no loss")</f>
        <v>no loss</v>
      </c>
      <c r="J931" s="31" t="n">
        <f aca="false">_xlfn.MAXIFS(Trades!$X$2:$X$1146,Trades!$D$2:$D$1146,$A931)</f>
        <v>330.96</v>
      </c>
      <c r="K931" s="31" t="n">
        <f aca="false">_xlfn.MINIFS(Trades!$X$2:$X$1146,Trades!$D$2:$D$1146,$A931)</f>
        <v>330.96</v>
      </c>
      <c r="L931" s="33" t="n">
        <f aca="false">SUMIFS(Trades!$Y$2:$Y$1146,Trades!$D$2:$D$1146,$A931)</f>
        <v>2.41770764847683</v>
      </c>
      <c r="M931" s="31" t="n">
        <f aca="false">P930</f>
        <v>22279.86</v>
      </c>
      <c r="N931" s="30" t="n">
        <f aca="false">IFERROR(F931/M931,0)</f>
        <v>0.0148546714386895</v>
      </c>
      <c r="O931" s="29" t="str">
        <f aca="false">IF(-N931&gt;=Summary!$C$7,"BREACH","")</f>
        <v/>
      </c>
      <c r="P931" s="31" t="n">
        <f aca="false">M931+F931</f>
        <v>22610.82</v>
      </c>
      <c r="Q931" s="31" t="n">
        <f aca="false">P931-Summary!$C$5</f>
        <v>12610.82</v>
      </c>
      <c r="R931" s="2" t="str">
        <f aca="false">TEXT(A931,"ddd")</f>
        <v>Mon</v>
      </c>
    </row>
    <row r="932" customFormat="false" ht="15" hidden="false" customHeight="false" outlineLevel="0" collapsed="false">
      <c r="A932" s="43" t="n">
        <v>46168</v>
      </c>
      <c r="B932" s="29" t="n">
        <f aca="false">COUNTIFS(Trades!$D$2:$D$1146,$A932)</f>
        <v>1</v>
      </c>
      <c r="C932" s="29" t="n">
        <f aca="false">COUNTIFS(Trades!$D$2:$D$1146,$A932,Trades!$Z$2:$Z$1146,"Win")</f>
        <v>1</v>
      </c>
      <c r="D932" s="29" t="n">
        <f aca="false">COUNTIFS(Trades!$D$2:$D$1146,$A932,Trades!$Z$2:$Z$1146,"Loss")</f>
        <v>0</v>
      </c>
      <c r="E932" s="30" t="n">
        <f aca="false">IFERROR(C932/B932,0)</f>
        <v>1</v>
      </c>
      <c r="F932" s="31" t="n">
        <f aca="false">SUMIFS(Trades!$X$2:$X$1146,Trades!$D$2:$D$1146,$A932)</f>
        <v>181.2</v>
      </c>
      <c r="G932" s="31" t="n">
        <f aca="false">SUMIFS(Trades!$X$2:$X$1146,Trades!$D$2:$D$1146,$A932,Trades!$X$2:$X$1146,"&gt;0")</f>
        <v>181.2</v>
      </c>
      <c r="H932" s="31" t="n">
        <f aca="false">SUMIFS(Trades!$X$2:$X$1146,Trades!$D$2:$D$1146,$A932,Trades!$X$2:$X$1146,"&lt;0")</f>
        <v>0</v>
      </c>
      <c r="I932" s="32" t="str">
        <f aca="false">IFERROR(G932/-H932,"no loss")</f>
        <v>no loss</v>
      </c>
      <c r="J932" s="31" t="n">
        <f aca="false">_xlfn.MAXIFS(Trades!$X$2:$X$1146,Trades!$D$2:$D$1146,$A932)</f>
        <v>181.2</v>
      </c>
      <c r="K932" s="31" t="n">
        <f aca="false">_xlfn.MINIFS(Trades!$X$2:$X$1146,Trades!$D$2:$D$1146,$A932)</f>
        <v>181.2</v>
      </c>
      <c r="L932" s="33" t="n">
        <f aca="false">SUMIFS(Trades!$Y$2:$Y$1146,Trades!$D$2:$D$1146,$A932)</f>
        <v>2.45528455284567</v>
      </c>
      <c r="M932" s="31" t="n">
        <f aca="false">P931</f>
        <v>22610.82</v>
      </c>
      <c r="N932" s="30" t="n">
        <f aca="false">IFERROR(F932/M932,0)</f>
        <v>0.00801386238977622</v>
      </c>
      <c r="O932" s="29" t="str">
        <f aca="false">IF(-N932&gt;=Summary!$C$7,"BREACH","")</f>
        <v/>
      </c>
      <c r="P932" s="31" t="n">
        <f aca="false">M932+F932</f>
        <v>22792.02</v>
      </c>
      <c r="Q932" s="31" t="n">
        <f aca="false">P932-Summary!$C$5</f>
        <v>12792.02</v>
      </c>
      <c r="R932" s="2" t="str">
        <f aca="false">TEXT(A932,"ddd")</f>
        <v>Tue</v>
      </c>
    </row>
    <row r="933" customFormat="false" ht="15" hidden="false" customHeight="false" outlineLevel="0" collapsed="false">
      <c r="A933" s="43" t="n">
        <v>46169</v>
      </c>
      <c r="B933" s="29" t="n">
        <f aca="false">COUNTIFS(Trades!$D$2:$D$1146,$A933)</f>
        <v>1</v>
      </c>
      <c r="C933" s="29" t="n">
        <f aca="false">COUNTIFS(Trades!$D$2:$D$1146,$A933,Trades!$Z$2:$Z$1146,"Win")</f>
        <v>0</v>
      </c>
      <c r="D933" s="29" t="n">
        <f aca="false">COUNTIFS(Trades!$D$2:$D$1146,$A933,Trades!$Z$2:$Z$1146,"Loss")</f>
        <v>1</v>
      </c>
      <c r="E933" s="30" t="n">
        <f aca="false">IFERROR(C933/B933,0)</f>
        <v>0</v>
      </c>
      <c r="F933" s="31" t="n">
        <f aca="false">SUMIFS(Trades!$X$2:$X$1146,Trades!$D$2:$D$1146,$A933)</f>
        <v>-39.39</v>
      </c>
      <c r="G933" s="31" t="n">
        <f aca="false">SUMIFS(Trades!$X$2:$X$1146,Trades!$D$2:$D$1146,$A933,Trades!$X$2:$X$1146,"&gt;0")</f>
        <v>0</v>
      </c>
      <c r="H933" s="31" t="n">
        <f aca="false">SUMIFS(Trades!$X$2:$X$1146,Trades!$D$2:$D$1146,$A933,Trades!$X$2:$X$1146,"&lt;0")</f>
        <v>-39.39</v>
      </c>
      <c r="I933" s="32" t="n">
        <f aca="false">IFERROR(G933/-H933,"no loss")</f>
        <v>0</v>
      </c>
      <c r="J933" s="31" t="n">
        <f aca="false">_xlfn.MAXIFS(Trades!$X$2:$X$1146,Trades!$D$2:$D$1146,$A933)</f>
        <v>-39.39</v>
      </c>
      <c r="K933" s="31" t="n">
        <f aca="false">_xlfn.MINIFS(Trades!$X$2:$X$1146,Trades!$D$2:$D$1146,$A933)</f>
        <v>-39.39</v>
      </c>
      <c r="L933" s="33" t="n">
        <f aca="false">SUMIFS(Trades!$Y$2:$Y$1146,Trades!$D$2:$D$1146,$A933)</f>
        <v>-1.18075539568356</v>
      </c>
      <c r="M933" s="31" t="n">
        <f aca="false">P932</f>
        <v>22792.02</v>
      </c>
      <c r="N933" s="30" t="n">
        <f aca="false">IFERROR(F933/M933,0)</f>
        <v>-0.00172823646170897</v>
      </c>
      <c r="O933" s="29" t="str">
        <f aca="false">IF(-N933&gt;=Summary!$C$7,"BREACH","")</f>
        <v/>
      </c>
      <c r="P933" s="31" t="n">
        <f aca="false">M933+F933</f>
        <v>22752.63</v>
      </c>
      <c r="Q933" s="31" t="n">
        <f aca="false">P933-Summary!$C$5</f>
        <v>12752.63</v>
      </c>
      <c r="R933" s="2" t="str">
        <f aca="false">TEXT(A933,"ddd")</f>
        <v>Wed</v>
      </c>
    </row>
    <row r="934" customFormat="false" ht="15" hidden="false" customHeight="false" outlineLevel="0" collapsed="false">
      <c r="A934" s="43" t="n">
        <v>46170</v>
      </c>
      <c r="B934" s="29" t="n">
        <f aca="false">COUNTIFS(Trades!$D$2:$D$1146,$A934)</f>
        <v>1</v>
      </c>
      <c r="C934" s="29" t="n">
        <f aca="false">COUNTIFS(Trades!$D$2:$D$1146,$A934,Trades!$Z$2:$Z$1146,"Win")</f>
        <v>1</v>
      </c>
      <c r="D934" s="29" t="n">
        <f aca="false">COUNTIFS(Trades!$D$2:$D$1146,$A934,Trades!$Z$2:$Z$1146,"Loss")</f>
        <v>0</v>
      </c>
      <c r="E934" s="30" t="n">
        <f aca="false">IFERROR(C934/B934,0)</f>
        <v>1</v>
      </c>
      <c r="F934" s="31" t="n">
        <f aca="false">SUMIFS(Trades!$X$2:$X$1146,Trades!$D$2:$D$1146,$A934)</f>
        <v>100.38</v>
      </c>
      <c r="G934" s="31" t="n">
        <f aca="false">SUMIFS(Trades!$X$2:$X$1146,Trades!$D$2:$D$1146,$A934,Trades!$X$2:$X$1146,"&gt;0")</f>
        <v>100.38</v>
      </c>
      <c r="H934" s="31" t="n">
        <f aca="false">SUMIFS(Trades!$X$2:$X$1146,Trades!$D$2:$D$1146,$A934,Trades!$X$2:$X$1146,"&lt;0")</f>
        <v>0</v>
      </c>
      <c r="I934" s="32" t="str">
        <f aca="false">IFERROR(G934/-H934,"no loss")</f>
        <v>no loss</v>
      </c>
      <c r="J934" s="31" t="n">
        <f aca="false">_xlfn.MAXIFS(Trades!$X$2:$X$1146,Trades!$D$2:$D$1146,$A934)</f>
        <v>100.38</v>
      </c>
      <c r="K934" s="31" t="n">
        <f aca="false">_xlfn.MINIFS(Trades!$X$2:$X$1146,Trades!$D$2:$D$1146,$A934)</f>
        <v>100.38</v>
      </c>
      <c r="L934" s="33" t="n">
        <f aca="false">SUMIFS(Trades!$Y$2:$Y$1146,Trades!$D$2:$D$1146,$A934)</f>
        <v>2.82362869198347</v>
      </c>
      <c r="M934" s="31" t="n">
        <f aca="false">P933</f>
        <v>22752.63</v>
      </c>
      <c r="N934" s="30" t="n">
        <f aca="false">IFERROR(F934/M934,0)</f>
        <v>0.00441179766910463</v>
      </c>
      <c r="O934" s="29" t="str">
        <f aca="false">IF(-N934&gt;=Summary!$C$7,"BREACH","")</f>
        <v/>
      </c>
      <c r="P934" s="31" t="n">
        <f aca="false">M934+F934</f>
        <v>22853.01</v>
      </c>
      <c r="Q934" s="31" t="n">
        <f aca="false">P934-Summary!$C$5</f>
        <v>12853.01</v>
      </c>
      <c r="R934" s="2" t="str">
        <f aca="false">TEXT(A934,"ddd")</f>
        <v>Thu</v>
      </c>
    </row>
    <row r="935" customFormat="false" ht="15" hidden="false" customHeight="false" outlineLevel="0" collapsed="false">
      <c r="A935" s="43" t="n">
        <v>46171</v>
      </c>
      <c r="B935" s="29" t="n">
        <f aca="false">COUNTIFS(Trades!$D$2:$D$1146,$A935)</f>
        <v>1</v>
      </c>
      <c r="C935" s="29" t="n">
        <f aca="false">COUNTIFS(Trades!$D$2:$D$1146,$A935,Trades!$Z$2:$Z$1146,"Win")</f>
        <v>0</v>
      </c>
      <c r="D935" s="29" t="n">
        <f aca="false">COUNTIFS(Trades!$D$2:$D$1146,$A935,Trades!$Z$2:$Z$1146,"Loss")</f>
        <v>1</v>
      </c>
      <c r="E935" s="30" t="n">
        <f aca="false">IFERROR(C935/B935,0)</f>
        <v>0</v>
      </c>
      <c r="F935" s="31" t="n">
        <f aca="false">SUMIFS(Trades!$X$2:$X$1146,Trades!$D$2:$D$1146,$A935)</f>
        <v>-31.02</v>
      </c>
      <c r="G935" s="31" t="n">
        <f aca="false">SUMIFS(Trades!$X$2:$X$1146,Trades!$D$2:$D$1146,$A935,Trades!$X$2:$X$1146,"&gt;0")</f>
        <v>0</v>
      </c>
      <c r="H935" s="31" t="n">
        <f aca="false">SUMIFS(Trades!$X$2:$X$1146,Trades!$D$2:$D$1146,$A935,Trades!$X$2:$X$1146,"&lt;0")</f>
        <v>-31.02</v>
      </c>
      <c r="I935" s="32" t="n">
        <f aca="false">IFERROR(G935/-H935,"no loss")</f>
        <v>0</v>
      </c>
      <c r="J935" s="31" t="n">
        <f aca="false">_xlfn.MAXIFS(Trades!$X$2:$X$1146,Trades!$D$2:$D$1146,$A935)</f>
        <v>-31.02</v>
      </c>
      <c r="K935" s="31" t="n">
        <f aca="false">_xlfn.MINIFS(Trades!$X$2:$X$1146,Trades!$D$2:$D$1146,$A935)</f>
        <v>-31.02</v>
      </c>
      <c r="L935" s="33" t="n">
        <f aca="false">SUMIFS(Trades!$Y$2:$Y$1146,Trades!$D$2:$D$1146,$A935)</f>
        <v>-1.08727655099913</v>
      </c>
      <c r="M935" s="31" t="n">
        <f aca="false">P934</f>
        <v>22853.01</v>
      </c>
      <c r="N935" s="30" t="n">
        <f aca="false">IFERROR(F935/M935,0)</f>
        <v>-0.00135737042954079</v>
      </c>
      <c r="O935" s="29" t="str">
        <f aca="false">IF(-N935&gt;=Summary!$C$7,"BREACH","")</f>
        <v/>
      </c>
      <c r="P935" s="31" t="n">
        <f aca="false">M935+F935</f>
        <v>22821.99</v>
      </c>
      <c r="Q935" s="31" t="n">
        <f aca="false">P935-Summary!$C$5</f>
        <v>12821.99</v>
      </c>
      <c r="R935" s="2" t="str">
        <f aca="false">TEXT(A935,"ddd")</f>
        <v>Fri</v>
      </c>
    </row>
    <row r="936" customFormat="false" ht="15" hidden="false" customHeight="false" outlineLevel="0" collapsed="false">
      <c r="A936" s="43" t="n">
        <v>46174</v>
      </c>
      <c r="B936" s="29" t="n">
        <f aca="false">COUNTIFS(Trades!$D$2:$D$1146,$A936)</f>
        <v>1</v>
      </c>
      <c r="C936" s="29" t="n">
        <f aca="false">COUNTIFS(Trades!$D$2:$D$1146,$A936,Trades!$Z$2:$Z$1146,"Win")</f>
        <v>1</v>
      </c>
      <c r="D936" s="29" t="n">
        <f aca="false">COUNTIFS(Trades!$D$2:$D$1146,$A936,Trades!$Z$2:$Z$1146,"Loss")</f>
        <v>0</v>
      </c>
      <c r="E936" s="30" t="n">
        <f aca="false">IFERROR(C936/B936,0)</f>
        <v>1</v>
      </c>
      <c r="F936" s="31" t="n">
        <f aca="false">SUMIFS(Trades!$X$2:$X$1146,Trades!$D$2:$D$1146,$A936)</f>
        <v>48.69</v>
      </c>
      <c r="G936" s="31" t="n">
        <f aca="false">SUMIFS(Trades!$X$2:$X$1146,Trades!$D$2:$D$1146,$A936,Trades!$X$2:$X$1146,"&gt;0")</f>
        <v>48.69</v>
      </c>
      <c r="H936" s="31" t="n">
        <f aca="false">SUMIFS(Trades!$X$2:$X$1146,Trades!$D$2:$D$1146,$A936,Trades!$X$2:$X$1146,"&lt;0")</f>
        <v>0</v>
      </c>
      <c r="I936" s="32" t="str">
        <f aca="false">IFERROR(G936/-H936,"no loss")</f>
        <v>no loss</v>
      </c>
      <c r="J936" s="31" t="n">
        <f aca="false">_xlfn.MAXIFS(Trades!$X$2:$X$1146,Trades!$D$2:$D$1146,$A936)</f>
        <v>48.69</v>
      </c>
      <c r="K936" s="31" t="n">
        <f aca="false">_xlfn.MINIFS(Trades!$X$2:$X$1146,Trades!$D$2:$D$1146,$A936)</f>
        <v>48.69</v>
      </c>
      <c r="L936" s="33" t="n">
        <f aca="false">SUMIFS(Trades!$Y$2:$Y$1146,Trades!$D$2:$D$1146,$A936)</f>
        <v>2.4406015037602</v>
      </c>
      <c r="M936" s="31" t="n">
        <f aca="false">P935</f>
        <v>22821.99</v>
      </c>
      <c r="N936" s="30" t="n">
        <f aca="false">IFERROR(F936/M936,0)</f>
        <v>0.00213346864142873</v>
      </c>
      <c r="O936" s="29" t="str">
        <f aca="false">IF(-N936&gt;=Summary!$C$7,"BREACH","")</f>
        <v/>
      </c>
      <c r="P936" s="31" t="n">
        <f aca="false">M936+F936</f>
        <v>22870.68</v>
      </c>
      <c r="Q936" s="31" t="n">
        <f aca="false">P936-Summary!$C$5</f>
        <v>12870.68</v>
      </c>
      <c r="R936" s="2" t="str">
        <f aca="false">TEXT(A936,"ddd")</f>
        <v>Mon</v>
      </c>
    </row>
    <row r="937" customFormat="false" ht="15" hidden="false" customHeight="false" outlineLevel="0" collapsed="false">
      <c r="A937" s="43" t="n">
        <v>46175</v>
      </c>
      <c r="B937" s="29" t="n">
        <f aca="false">COUNTIFS(Trades!$D$2:$D$1146,$A937)</f>
        <v>1</v>
      </c>
      <c r="C937" s="29" t="n">
        <f aca="false">COUNTIFS(Trades!$D$2:$D$1146,$A937,Trades!$Z$2:$Z$1146,"Win")</f>
        <v>0</v>
      </c>
      <c r="D937" s="29" t="n">
        <f aca="false">COUNTIFS(Trades!$D$2:$D$1146,$A937,Trades!$Z$2:$Z$1146,"Loss")</f>
        <v>1</v>
      </c>
      <c r="E937" s="30" t="n">
        <f aca="false">IFERROR(C937/B937,0)</f>
        <v>0</v>
      </c>
      <c r="F937" s="31" t="n">
        <f aca="false">SUMIFS(Trades!$X$2:$X$1146,Trades!$D$2:$D$1146,$A937)</f>
        <v>-0.96</v>
      </c>
      <c r="G937" s="31" t="n">
        <f aca="false">SUMIFS(Trades!$X$2:$X$1146,Trades!$D$2:$D$1146,$A937,Trades!$X$2:$X$1146,"&gt;0")</f>
        <v>0</v>
      </c>
      <c r="H937" s="31" t="n">
        <f aca="false">SUMIFS(Trades!$X$2:$X$1146,Trades!$D$2:$D$1146,$A937,Trades!$X$2:$X$1146,"&lt;0")</f>
        <v>-0.96</v>
      </c>
      <c r="I937" s="32" t="n">
        <f aca="false">IFERROR(G937/-H937,"no loss")</f>
        <v>0</v>
      </c>
      <c r="J937" s="31" t="n">
        <f aca="false">_xlfn.MAXIFS(Trades!$X$2:$X$1146,Trades!$D$2:$D$1146,$A937)</f>
        <v>-0.96</v>
      </c>
      <c r="K937" s="31" t="n">
        <f aca="false">_xlfn.MINIFS(Trades!$X$2:$X$1146,Trades!$D$2:$D$1146,$A937)</f>
        <v>-0.96</v>
      </c>
      <c r="L937" s="33" t="n">
        <f aca="false">SUMIFS(Trades!$Y$2:$Y$1146,Trades!$D$2:$D$1146,$A937)</f>
        <v>-0.0305052430886618</v>
      </c>
      <c r="M937" s="31" t="n">
        <f aca="false">P936</f>
        <v>22870.68</v>
      </c>
      <c r="N937" s="30" t="n">
        <f aca="false">IFERROR(F937/M937,0)</f>
        <v>-4.19751402232028E-005</v>
      </c>
      <c r="O937" s="29" t="str">
        <f aca="false">IF(-N937&gt;=Summary!$C$7,"BREACH","")</f>
        <v/>
      </c>
      <c r="P937" s="31" t="n">
        <f aca="false">M937+F937</f>
        <v>22869.72</v>
      </c>
      <c r="Q937" s="31" t="n">
        <f aca="false">P937-Summary!$C$5</f>
        <v>12869.72</v>
      </c>
      <c r="R937" s="2" t="str">
        <f aca="false">TEXT(A937,"ddd")</f>
        <v>Tue</v>
      </c>
    </row>
    <row r="938" customFormat="false" ht="15" hidden="false" customHeight="false" outlineLevel="0" collapsed="false">
      <c r="A938" s="43" t="n">
        <v>46176</v>
      </c>
      <c r="B938" s="29" t="n">
        <f aca="false">COUNTIFS(Trades!$D$2:$D$1146,$A938)</f>
        <v>1</v>
      </c>
      <c r="C938" s="29" t="n">
        <f aca="false">COUNTIFS(Trades!$D$2:$D$1146,$A938,Trades!$Z$2:$Z$1146,"Win")</f>
        <v>0</v>
      </c>
      <c r="D938" s="29" t="n">
        <f aca="false">COUNTIFS(Trades!$D$2:$D$1146,$A938,Trades!$Z$2:$Z$1146,"Loss")</f>
        <v>1</v>
      </c>
      <c r="E938" s="30" t="n">
        <f aca="false">IFERROR(C938/B938,0)</f>
        <v>0</v>
      </c>
      <c r="F938" s="31" t="n">
        <f aca="false">SUMIFS(Trades!$X$2:$X$1146,Trades!$D$2:$D$1146,$A938)</f>
        <v>-29.97</v>
      </c>
      <c r="G938" s="31" t="n">
        <f aca="false">SUMIFS(Trades!$X$2:$X$1146,Trades!$D$2:$D$1146,$A938,Trades!$X$2:$X$1146,"&gt;0")</f>
        <v>0</v>
      </c>
      <c r="H938" s="31" t="n">
        <f aca="false">SUMIFS(Trades!$X$2:$X$1146,Trades!$D$2:$D$1146,$A938,Trades!$X$2:$X$1146,"&lt;0")</f>
        <v>-29.97</v>
      </c>
      <c r="I938" s="32" t="n">
        <f aca="false">IFERROR(G938/-H938,"no loss")</f>
        <v>0</v>
      </c>
      <c r="J938" s="31" t="n">
        <f aca="false">_xlfn.MAXIFS(Trades!$X$2:$X$1146,Trades!$D$2:$D$1146,$A938)</f>
        <v>-29.97</v>
      </c>
      <c r="K938" s="31" t="n">
        <f aca="false">_xlfn.MINIFS(Trades!$X$2:$X$1146,Trades!$D$2:$D$1146,$A938)</f>
        <v>-29.97</v>
      </c>
      <c r="L938" s="33" t="n">
        <f aca="false">SUMIFS(Trades!$Y$2:$Y$1146,Trades!$D$2:$D$1146,$A938)</f>
        <v>-1.01113360323913</v>
      </c>
      <c r="M938" s="31" t="n">
        <f aca="false">P937</f>
        <v>22869.72</v>
      </c>
      <c r="N938" s="30" t="n">
        <f aca="false">IFERROR(F938/M938,0)</f>
        <v>-0.00131046641585468</v>
      </c>
      <c r="O938" s="29" t="str">
        <f aca="false">IF(-N938&gt;=Summary!$C$7,"BREACH","")</f>
        <v/>
      </c>
      <c r="P938" s="31" t="n">
        <f aca="false">M938+F938</f>
        <v>22839.75</v>
      </c>
      <c r="Q938" s="31" t="n">
        <f aca="false">P938-Summary!$C$5</f>
        <v>12839.75</v>
      </c>
      <c r="R938" s="2" t="str">
        <f aca="false">TEXT(A938,"ddd")</f>
        <v>Wed</v>
      </c>
    </row>
    <row r="939" customFormat="false" ht="15" hidden="false" customHeight="false" outlineLevel="0" collapsed="false">
      <c r="A939" s="43" t="n">
        <v>46177</v>
      </c>
      <c r="B939" s="29" t="n">
        <f aca="false">COUNTIFS(Trades!$D$2:$D$1146,$A939)</f>
        <v>1</v>
      </c>
      <c r="C939" s="29" t="n">
        <f aca="false">COUNTIFS(Trades!$D$2:$D$1146,$A939,Trades!$Z$2:$Z$1146,"Win")</f>
        <v>0</v>
      </c>
      <c r="D939" s="29" t="n">
        <f aca="false">COUNTIFS(Trades!$D$2:$D$1146,$A939,Trades!$Z$2:$Z$1146,"Loss")</f>
        <v>1</v>
      </c>
      <c r="E939" s="30" t="n">
        <f aca="false">IFERROR(C939/B939,0)</f>
        <v>0</v>
      </c>
      <c r="F939" s="31" t="n">
        <f aca="false">SUMIFS(Trades!$X$2:$X$1146,Trades!$D$2:$D$1146,$A939)</f>
        <v>-0.75</v>
      </c>
      <c r="G939" s="31" t="n">
        <f aca="false">SUMIFS(Trades!$X$2:$X$1146,Trades!$D$2:$D$1146,$A939,Trades!$X$2:$X$1146,"&gt;0")</f>
        <v>0</v>
      </c>
      <c r="H939" s="31" t="n">
        <f aca="false">SUMIFS(Trades!$X$2:$X$1146,Trades!$D$2:$D$1146,$A939,Trades!$X$2:$X$1146,"&lt;0")</f>
        <v>-0.75</v>
      </c>
      <c r="I939" s="32" t="n">
        <f aca="false">IFERROR(G939/-H939,"no loss")</f>
        <v>0</v>
      </c>
      <c r="J939" s="31" t="n">
        <f aca="false">_xlfn.MAXIFS(Trades!$X$2:$X$1146,Trades!$D$2:$D$1146,$A939)</f>
        <v>-0.75</v>
      </c>
      <c r="K939" s="31" t="n">
        <f aca="false">_xlfn.MINIFS(Trades!$X$2:$X$1146,Trades!$D$2:$D$1146,$A939)</f>
        <v>-0.75</v>
      </c>
      <c r="L939" s="33" t="n">
        <f aca="false">SUMIFS(Trades!$Y$2:$Y$1146,Trades!$D$2:$D$1146,$A939)</f>
        <v>-0.00579642939949027</v>
      </c>
      <c r="M939" s="31" t="n">
        <f aca="false">P938</f>
        <v>22839.75</v>
      </c>
      <c r="N939" s="30" t="n">
        <f aca="false">IFERROR(F939/M939,0)</f>
        <v>-3.28374872754737E-005</v>
      </c>
      <c r="O939" s="29" t="str">
        <f aca="false">IF(-N939&gt;=Summary!$C$7,"BREACH","")</f>
        <v/>
      </c>
      <c r="P939" s="31" t="n">
        <f aca="false">M939+F939</f>
        <v>22839</v>
      </c>
      <c r="Q939" s="31" t="n">
        <f aca="false">P939-Summary!$C$5</f>
        <v>12839</v>
      </c>
      <c r="R939" s="2" t="str">
        <f aca="false">TEXT(A939,"ddd")</f>
        <v>Thu</v>
      </c>
    </row>
    <row r="940" customFormat="false" ht="15" hidden="false" customHeight="false" outlineLevel="0" collapsed="false">
      <c r="A940" s="43" t="n">
        <v>46178</v>
      </c>
      <c r="B940" s="29" t="n">
        <f aca="false">COUNTIFS(Trades!$D$2:$D$1146,$A940)</f>
        <v>1</v>
      </c>
      <c r="C940" s="29" t="n">
        <f aca="false">COUNTIFS(Trades!$D$2:$D$1146,$A940,Trades!$Z$2:$Z$1146,"Win")</f>
        <v>0</v>
      </c>
      <c r="D940" s="29" t="n">
        <f aca="false">COUNTIFS(Trades!$D$2:$D$1146,$A940,Trades!$Z$2:$Z$1146,"Loss")</f>
        <v>1</v>
      </c>
      <c r="E940" s="30" t="n">
        <f aca="false">IFERROR(C940/B940,0)</f>
        <v>0</v>
      </c>
      <c r="F940" s="31" t="n">
        <f aca="false">SUMIFS(Trades!$X$2:$X$1146,Trades!$D$2:$D$1146,$A940)</f>
        <v>-2.22</v>
      </c>
      <c r="G940" s="31" t="n">
        <f aca="false">SUMIFS(Trades!$X$2:$X$1146,Trades!$D$2:$D$1146,$A940,Trades!$X$2:$X$1146,"&gt;0")</f>
        <v>0</v>
      </c>
      <c r="H940" s="31" t="n">
        <f aca="false">SUMIFS(Trades!$X$2:$X$1146,Trades!$D$2:$D$1146,$A940,Trades!$X$2:$X$1146,"&lt;0")</f>
        <v>-2.22</v>
      </c>
      <c r="I940" s="32" t="n">
        <f aca="false">IFERROR(G940/-H940,"no loss")</f>
        <v>0</v>
      </c>
      <c r="J940" s="31" t="n">
        <f aca="false">_xlfn.MAXIFS(Trades!$X$2:$X$1146,Trades!$D$2:$D$1146,$A940)</f>
        <v>-2.22</v>
      </c>
      <c r="K940" s="31" t="n">
        <f aca="false">_xlfn.MINIFS(Trades!$X$2:$X$1146,Trades!$D$2:$D$1146,$A940)</f>
        <v>-2.22</v>
      </c>
      <c r="L940" s="33" t="n">
        <f aca="false">SUMIFS(Trades!$Y$2:$Y$1146,Trades!$D$2:$D$1146,$A940)</f>
        <v>-0.0502376103190782</v>
      </c>
      <c r="M940" s="31" t="n">
        <f aca="false">P939</f>
        <v>22839</v>
      </c>
      <c r="N940" s="30" t="n">
        <f aca="false">IFERROR(F940/M940,0)</f>
        <v>-9.72021542099041E-005</v>
      </c>
      <c r="O940" s="29" t="str">
        <f aca="false">IF(-N940&gt;=Summary!$C$7,"BREACH","")</f>
        <v/>
      </c>
      <c r="P940" s="31" t="n">
        <f aca="false">M940+F940</f>
        <v>22836.78</v>
      </c>
      <c r="Q940" s="31" t="n">
        <f aca="false">P940-Summary!$C$5</f>
        <v>12836.78</v>
      </c>
      <c r="R940" s="2" t="str">
        <f aca="false">TEXT(A940,"ddd")</f>
        <v>Fri</v>
      </c>
    </row>
    <row r="941" customFormat="false" ht="15" hidden="false" customHeight="false" outlineLevel="0" collapsed="false">
      <c r="A941" s="43" t="n">
        <v>46182</v>
      </c>
      <c r="B941" s="29" t="n">
        <f aca="false">COUNTIFS(Trades!$D$2:$D$1146,$A941)</f>
        <v>2</v>
      </c>
      <c r="C941" s="29" t="n">
        <f aca="false">COUNTIFS(Trades!$D$2:$D$1146,$A941,Trades!$Z$2:$Z$1146,"Win")</f>
        <v>0</v>
      </c>
      <c r="D941" s="29" t="n">
        <f aca="false">COUNTIFS(Trades!$D$2:$D$1146,$A941,Trades!$Z$2:$Z$1146,"Loss")</f>
        <v>2</v>
      </c>
      <c r="E941" s="30" t="n">
        <f aca="false">IFERROR(C941/B941,0)</f>
        <v>0</v>
      </c>
      <c r="F941" s="31" t="n">
        <f aca="false">SUMIFS(Trades!$X$2:$X$1146,Trades!$D$2:$D$1146,$A941)</f>
        <v>-186.57</v>
      </c>
      <c r="G941" s="31" t="n">
        <f aca="false">SUMIFS(Trades!$X$2:$X$1146,Trades!$D$2:$D$1146,$A941,Trades!$X$2:$X$1146,"&gt;0")</f>
        <v>0</v>
      </c>
      <c r="H941" s="31" t="n">
        <f aca="false">SUMIFS(Trades!$X$2:$X$1146,Trades!$D$2:$D$1146,$A941,Trades!$X$2:$X$1146,"&lt;0")</f>
        <v>-186.57</v>
      </c>
      <c r="I941" s="32" t="n">
        <f aca="false">IFERROR(G941/-H941,"no loss")</f>
        <v>0</v>
      </c>
      <c r="J941" s="31" t="n">
        <f aca="false">_xlfn.MAXIFS(Trades!$X$2:$X$1146,Trades!$D$2:$D$1146,$A941)</f>
        <v>-47.79</v>
      </c>
      <c r="K941" s="31" t="n">
        <f aca="false">_xlfn.MINIFS(Trades!$X$2:$X$1146,Trades!$D$2:$D$1146,$A941)</f>
        <v>-138.78</v>
      </c>
      <c r="L941" s="33" t="n">
        <f aca="false">SUMIFS(Trades!$Y$2:$Y$1146,Trades!$D$2:$D$1146,$A941)</f>
        <v>-2.02506147469152</v>
      </c>
      <c r="M941" s="31" t="n">
        <f aca="false">P940</f>
        <v>22836.78</v>
      </c>
      <c r="N941" s="30" t="n">
        <f aca="false">IFERROR(F941/M941,0)</f>
        <v>-0.0081697156954702</v>
      </c>
      <c r="O941" s="29" t="str">
        <f aca="false">IF(-N941&gt;=Summary!$C$7,"BREACH","")</f>
        <v/>
      </c>
      <c r="P941" s="31" t="n">
        <f aca="false">M941+F941</f>
        <v>22650.21</v>
      </c>
      <c r="Q941" s="31" t="n">
        <f aca="false">P941-Summary!$C$5</f>
        <v>12650.21</v>
      </c>
      <c r="R941" s="2" t="str">
        <f aca="false">TEXT(A941,"ddd")</f>
        <v>Tue</v>
      </c>
    </row>
    <row r="942" customFormat="false" ht="15" hidden="false" customHeight="false" outlineLevel="0" collapsed="false">
      <c r="A942" s="43" t="n">
        <v>46184</v>
      </c>
      <c r="B942" s="29" t="n">
        <f aca="false">COUNTIFS(Trades!$D$2:$D$1146,$A942)</f>
        <v>2</v>
      </c>
      <c r="C942" s="29" t="n">
        <f aca="false">COUNTIFS(Trades!$D$2:$D$1146,$A942,Trades!$Z$2:$Z$1146,"Win")</f>
        <v>0</v>
      </c>
      <c r="D942" s="29" t="n">
        <f aca="false">COUNTIFS(Trades!$D$2:$D$1146,$A942,Trades!$Z$2:$Z$1146,"Loss")</f>
        <v>2</v>
      </c>
      <c r="E942" s="30" t="n">
        <f aca="false">IFERROR(C942/B942,0)</f>
        <v>0</v>
      </c>
      <c r="F942" s="31" t="n">
        <f aca="false">SUMIFS(Trades!$X$2:$X$1146,Trades!$D$2:$D$1146,$A942)</f>
        <v>-153.03</v>
      </c>
      <c r="G942" s="31" t="n">
        <f aca="false">SUMIFS(Trades!$X$2:$X$1146,Trades!$D$2:$D$1146,$A942,Trades!$X$2:$X$1146,"&gt;0")</f>
        <v>0</v>
      </c>
      <c r="H942" s="31" t="n">
        <f aca="false">SUMIFS(Trades!$X$2:$X$1146,Trades!$D$2:$D$1146,$A942,Trades!$X$2:$X$1146,"&lt;0")</f>
        <v>-153.03</v>
      </c>
      <c r="I942" s="32" t="n">
        <f aca="false">IFERROR(G942/-H942,"no loss")</f>
        <v>0</v>
      </c>
      <c r="J942" s="31" t="n">
        <f aca="false">_xlfn.MAXIFS(Trades!$X$2:$X$1146,Trades!$D$2:$D$1146,$A942)</f>
        <v>-4.26</v>
      </c>
      <c r="K942" s="31" t="n">
        <f aca="false">_xlfn.MINIFS(Trades!$X$2:$X$1146,Trades!$D$2:$D$1146,$A942)</f>
        <v>-148.77</v>
      </c>
      <c r="L942" s="33" t="n">
        <f aca="false">SUMIFS(Trades!$Y$2:$Y$1146,Trades!$D$2:$D$1146,$A942)</f>
        <v>-1.18269096811872</v>
      </c>
      <c r="M942" s="31" t="n">
        <f aca="false">P941</f>
        <v>22650.21</v>
      </c>
      <c r="N942" s="30" t="n">
        <f aca="false">IFERROR(F942/M942,0)</f>
        <v>-0.00675622875019702</v>
      </c>
      <c r="O942" s="29" t="str">
        <f aca="false">IF(-N942&gt;=Summary!$C$7,"BREACH","")</f>
        <v/>
      </c>
      <c r="P942" s="31" t="n">
        <f aca="false">M942+F942</f>
        <v>22497.18</v>
      </c>
      <c r="Q942" s="31" t="n">
        <f aca="false">P942-Summary!$C$5</f>
        <v>12497.18</v>
      </c>
      <c r="R942" s="2" t="str">
        <f aca="false">TEXT(A942,"ddd")</f>
        <v>Thu</v>
      </c>
    </row>
    <row r="943" customFormat="false" ht="15" hidden="false" customHeight="false" outlineLevel="0" collapsed="false">
      <c r="A943" s="43" t="n">
        <v>46185</v>
      </c>
      <c r="B943" s="29" t="n">
        <f aca="false">COUNTIFS(Trades!$D$2:$D$1146,$A943)</f>
        <v>1</v>
      </c>
      <c r="C943" s="29" t="n">
        <f aca="false">COUNTIFS(Trades!$D$2:$D$1146,$A943,Trades!$Z$2:$Z$1146,"Win")</f>
        <v>0</v>
      </c>
      <c r="D943" s="29" t="n">
        <f aca="false">COUNTIFS(Trades!$D$2:$D$1146,$A943,Trades!$Z$2:$Z$1146,"Loss")</f>
        <v>1</v>
      </c>
      <c r="E943" s="30" t="n">
        <f aca="false">IFERROR(C943/B943,0)</f>
        <v>0</v>
      </c>
      <c r="F943" s="31" t="n">
        <f aca="false">SUMIFS(Trades!$X$2:$X$1146,Trades!$D$2:$D$1146,$A943)</f>
        <v>-46.5</v>
      </c>
      <c r="G943" s="31" t="n">
        <f aca="false">SUMIFS(Trades!$X$2:$X$1146,Trades!$D$2:$D$1146,$A943,Trades!$X$2:$X$1146,"&gt;0")</f>
        <v>0</v>
      </c>
      <c r="H943" s="31" t="n">
        <f aca="false">SUMIFS(Trades!$X$2:$X$1146,Trades!$D$2:$D$1146,$A943,Trades!$X$2:$X$1146,"&lt;0")</f>
        <v>-46.5</v>
      </c>
      <c r="I943" s="32" t="n">
        <f aca="false">IFERROR(G943/-H943,"no loss")</f>
        <v>0</v>
      </c>
      <c r="J943" s="31" t="n">
        <f aca="false">_xlfn.MAXIFS(Trades!$X$2:$X$1146,Trades!$D$2:$D$1146,$A943)</f>
        <v>-46.5</v>
      </c>
      <c r="K943" s="31" t="n">
        <f aca="false">_xlfn.MINIFS(Trades!$X$2:$X$1146,Trades!$D$2:$D$1146,$A943)</f>
        <v>-46.5</v>
      </c>
      <c r="L943" s="33" t="n">
        <f aca="false">SUMIFS(Trades!$Y$2:$Y$1146,Trades!$D$2:$D$1146,$A943)</f>
        <v>-1.04871447902579</v>
      </c>
      <c r="M943" s="31" t="n">
        <f aca="false">P942</f>
        <v>22497.18</v>
      </c>
      <c r="N943" s="30" t="n">
        <f aca="false">IFERROR(F943/M943,0)</f>
        <v>-0.00206692572135708</v>
      </c>
      <c r="O943" s="29" t="str">
        <f aca="false">IF(-N943&gt;=Summary!$C$7,"BREACH","")</f>
        <v/>
      </c>
      <c r="P943" s="31" t="n">
        <f aca="false">M943+F943</f>
        <v>22450.68</v>
      </c>
      <c r="Q943" s="31" t="n">
        <f aca="false">P943-Summary!$C$5</f>
        <v>12450.68</v>
      </c>
      <c r="R943" s="2" t="str">
        <f aca="false">TEXT(A943,"ddd")</f>
        <v>Fri</v>
      </c>
    </row>
    <row r="944" customFormat="false" ht="15" hidden="false" customHeight="false" outlineLevel="0" collapsed="false">
      <c r="A944" s="43" t="n">
        <v>46188</v>
      </c>
      <c r="B944" s="29" t="n">
        <f aca="false">COUNTIFS(Trades!$D$2:$D$1146,$A944)</f>
        <v>1</v>
      </c>
      <c r="C944" s="29" t="n">
        <f aca="false">COUNTIFS(Trades!$D$2:$D$1146,$A944,Trades!$Z$2:$Z$1146,"Win")</f>
        <v>1</v>
      </c>
      <c r="D944" s="29" t="n">
        <f aca="false">COUNTIFS(Trades!$D$2:$D$1146,$A944,Trades!$Z$2:$Z$1146,"Loss")</f>
        <v>0</v>
      </c>
      <c r="E944" s="30" t="n">
        <f aca="false">IFERROR(C944/B944,0)</f>
        <v>1</v>
      </c>
      <c r="F944" s="31" t="n">
        <f aca="false">SUMIFS(Trades!$X$2:$X$1146,Trades!$D$2:$D$1146,$A944)</f>
        <v>564.9</v>
      </c>
      <c r="G944" s="31" t="n">
        <f aca="false">SUMIFS(Trades!$X$2:$X$1146,Trades!$D$2:$D$1146,$A944,Trades!$X$2:$X$1146,"&gt;0")</f>
        <v>564.9</v>
      </c>
      <c r="H944" s="31" t="n">
        <f aca="false">SUMIFS(Trades!$X$2:$X$1146,Trades!$D$2:$D$1146,$A944,Trades!$X$2:$X$1146,"&lt;0")</f>
        <v>0</v>
      </c>
      <c r="I944" s="32" t="str">
        <f aca="false">IFERROR(G944/-H944,"no loss")</f>
        <v>no loss</v>
      </c>
      <c r="J944" s="31" t="n">
        <f aca="false">_xlfn.MAXIFS(Trades!$X$2:$X$1146,Trades!$D$2:$D$1146,$A944)</f>
        <v>564.9</v>
      </c>
      <c r="K944" s="31" t="n">
        <f aca="false">_xlfn.MINIFS(Trades!$X$2:$X$1146,Trades!$D$2:$D$1146,$A944)</f>
        <v>564.9</v>
      </c>
      <c r="L944" s="33" t="n">
        <f aca="false">SUMIFS(Trades!$Y$2:$Y$1146,Trades!$D$2:$D$1146,$A944)</f>
        <v>2.45246157853611</v>
      </c>
      <c r="M944" s="31" t="n">
        <f aca="false">P943</f>
        <v>22450.68</v>
      </c>
      <c r="N944" s="30" t="n">
        <f aca="false">IFERROR(F944/M944,0)</f>
        <v>0.0251618213791297</v>
      </c>
      <c r="O944" s="29" t="str">
        <f aca="false">IF(-N944&gt;=Summary!$C$7,"BREACH","")</f>
        <v/>
      </c>
      <c r="P944" s="31" t="n">
        <f aca="false">M944+F944</f>
        <v>23015.58</v>
      </c>
      <c r="Q944" s="31" t="n">
        <f aca="false">P944-Summary!$C$5</f>
        <v>13015.58</v>
      </c>
      <c r="R944" s="2" t="str">
        <f aca="false">TEXT(A944,"ddd")</f>
        <v>Mon</v>
      </c>
    </row>
    <row r="945" customFormat="false" ht="15" hidden="false" customHeight="false" outlineLevel="0" collapsed="false">
      <c r="A945" s="43" t="n">
        <v>46189</v>
      </c>
      <c r="B945" s="29" t="n">
        <f aca="false">COUNTIFS(Trades!$D$2:$D$1146,$A945)</f>
        <v>1</v>
      </c>
      <c r="C945" s="29" t="n">
        <f aca="false">COUNTIFS(Trades!$D$2:$D$1146,$A945,Trades!$Z$2:$Z$1146,"Win")</f>
        <v>0</v>
      </c>
      <c r="D945" s="29" t="n">
        <f aca="false">COUNTIFS(Trades!$D$2:$D$1146,$A945,Trades!$Z$2:$Z$1146,"Loss")</f>
        <v>1</v>
      </c>
      <c r="E945" s="30" t="n">
        <f aca="false">IFERROR(C945/B945,0)</f>
        <v>0</v>
      </c>
      <c r="F945" s="31" t="n">
        <f aca="false">SUMIFS(Trades!$X$2:$X$1146,Trades!$D$2:$D$1146,$A945)</f>
        <v>-4.47</v>
      </c>
      <c r="G945" s="31" t="n">
        <f aca="false">SUMIFS(Trades!$X$2:$X$1146,Trades!$D$2:$D$1146,$A945,Trades!$X$2:$X$1146,"&gt;0")</f>
        <v>0</v>
      </c>
      <c r="H945" s="31" t="n">
        <f aca="false">SUMIFS(Trades!$X$2:$X$1146,Trades!$D$2:$D$1146,$A945,Trades!$X$2:$X$1146,"&lt;0")</f>
        <v>-4.47</v>
      </c>
      <c r="I945" s="32" t="n">
        <f aca="false">IFERROR(G945/-H945,"no loss")</f>
        <v>0</v>
      </c>
      <c r="J945" s="31" t="n">
        <f aca="false">_xlfn.MAXIFS(Trades!$X$2:$X$1146,Trades!$D$2:$D$1146,$A945)</f>
        <v>-4.47</v>
      </c>
      <c r="K945" s="31" t="n">
        <f aca="false">_xlfn.MINIFS(Trades!$X$2:$X$1146,Trades!$D$2:$D$1146,$A945)</f>
        <v>-4.47</v>
      </c>
      <c r="L945" s="33" t="n">
        <f aca="false">SUMIFS(Trades!$Y$2:$Y$1146,Trades!$D$2:$D$1146,$A945)</f>
        <v>-0.0975769482645683</v>
      </c>
      <c r="M945" s="31" t="n">
        <f aca="false">P944</f>
        <v>23015.58</v>
      </c>
      <c r="N945" s="30" t="n">
        <f aca="false">IFERROR(F945/M945,0)</f>
        <v>-0.000194216265677424</v>
      </c>
      <c r="O945" s="29" t="str">
        <f aca="false">IF(-N945&gt;=Summary!$C$7,"BREACH","")</f>
        <v/>
      </c>
      <c r="P945" s="31" t="n">
        <f aca="false">M945+F945</f>
        <v>23011.11</v>
      </c>
      <c r="Q945" s="31" t="n">
        <f aca="false">P945-Summary!$C$5</f>
        <v>13011.11</v>
      </c>
      <c r="R945" s="2" t="str">
        <f aca="false">TEXT(A945,"ddd")</f>
        <v>Tue</v>
      </c>
    </row>
    <row r="946" customFormat="false" ht="15" hidden="false" customHeight="false" outlineLevel="0" collapsed="false">
      <c r="A946" s="43" t="n">
        <v>46190</v>
      </c>
      <c r="B946" s="29" t="n">
        <f aca="false">COUNTIFS(Trades!$D$2:$D$1146,$A946)</f>
        <v>1</v>
      </c>
      <c r="C946" s="29" t="n">
        <f aca="false">COUNTIFS(Trades!$D$2:$D$1146,$A946,Trades!$Z$2:$Z$1146,"Win")</f>
        <v>1</v>
      </c>
      <c r="D946" s="29" t="n">
        <f aca="false">COUNTIFS(Trades!$D$2:$D$1146,$A946,Trades!$Z$2:$Z$1146,"Loss")</f>
        <v>0</v>
      </c>
      <c r="E946" s="30" t="n">
        <f aca="false">IFERROR(C946/B946,0)</f>
        <v>1</v>
      </c>
      <c r="F946" s="31" t="n">
        <f aca="false">SUMIFS(Trades!$X$2:$X$1146,Trades!$D$2:$D$1146,$A946)</f>
        <v>499.59</v>
      </c>
      <c r="G946" s="31" t="n">
        <f aca="false">SUMIFS(Trades!$X$2:$X$1146,Trades!$D$2:$D$1146,$A946,Trades!$X$2:$X$1146,"&gt;0")</f>
        <v>499.59</v>
      </c>
      <c r="H946" s="31" t="n">
        <f aca="false">SUMIFS(Trades!$X$2:$X$1146,Trades!$D$2:$D$1146,$A946,Trades!$X$2:$X$1146,"&lt;0")</f>
        <v>0</v>
      </c>
      <c r="I946" s="32" t="str">
        <f aca="false">IFERROR(G946/-H946,"no loss")</f>
        <v>no loss</v>
      </c>
      <c r="J946" s="31" t="n">
        <f aca="false">_xlfn.MAXIFS(Trades!$X$2:$X$1146,Trades!$D$2:$D$1146,$A946)</f>
        <v>499.59</v>
      </c>
      <c r="K946" s="31" t="n">
        <f aca="false">_xlfn.MINIFS(Trades!$X$2:$X$1146,Trades!$D$2:$D$1146,$A946)</f>
        <v>499.59</v>
      </c>
      <c r="L946" s="33" t="n">
        <f aca="false">SUMIFS(Trades!$Y$2:$Y$1146,Trades!$D$2:$D$1146,$A946)</f>
        <v>2.4360737273259</v>
      </c>
      <c r="M946" s="31" t="n">
        <f aca="false">P945</f>
        <v>23011.11</v>
      </c>
      <c r="N946" s="30" t="n">
        <f aca="false">IFERROR(F946/M946,0)</f>
        <v>0.0217108170792283</v>
      </c>
      <c r="O946" s="29" t="str">
        <f aca="false">IF(-N946&gt;=Summary!$C$7,"BREACH","")</f>
        <v/>
      </c>
      <c r="P946" s="31" t="n">
        <f aca="false">M946+F946</f>
        <v>23510.7</v>
      </c>
      <c r="Q946" s="31" t="n">
        <f aca="false">P946-Summary!$C$5</f>
        <v>13510.7</v>
      </c>
      <c r="R946" s="2" t="str">
        <f aca="false">TEXT(A946,"ddd")</f>
        <v>Wed</v>
      </c>
    </row>
    <row r="947" customFormat="false" ht="15" hidden="false" customHeight="false" outlineLevel="0" collapsed="false">
      <c r="A947" s="43" t="n">
        <v>46191</v>
      </c>
      <c r="B947" s="29" t="n">
        <f aca="false">COUNTIFS(Trades!$D$2:$D$1146,$A947)</f>
        <v>1</v>
      </c>
      <c r="C947" s="29" t="n">
        <f aca="false">COUNTIFS(Trades!$D$2:$D$1146,$A947,Trades!$Z$2:$Z$1146,"Win")</f>
        <v>0</v>
      </c>
      <c r="D947" s="29" t="n">
        <f aca="false">COUNTIFS(Trades!$D$2:$D$1146,$A947,Trades!$Z$2:$Z$1146,"Loss")</f>
        <v>1</v>
      </c>
      <c r="E947" s="30" t="n">
        <f aca="false">IFERROR(C947/B947,0)</f>
        <v>0</v>
      </c>
      <c r="F947" s="31" t="n">
        <f aca="false">SUMIFS(Trades!$X$2:$X$1146,Trades!$D$2:$D$1146,$A947)</f>
        <v>-74.07</v>
      </c>
      <c r="G947" s="31" t="n">
        <f aca="false">SUMIFS(Trades!$X$2:$X$1146,Trades!$D$2:$D$1146,$A947,Trades!$X$2:$X$1146,"&gt;0")</f>
        <v>0</v>
      </c>
      <c r="H947" s="31" t="n">
        <f aca="false">SUMIFS(Trades!$X$2:$X$1146,Trades!$D$2:$D$1146,$A947,Trades!$X$2:$X$1146,"&lt;0")</f>
        <v>-74.07</v>
      </c>
      <c r="I947" s="32" t="n">
        <f aca="false">IFERROR(G947/-H947,"no loss")</f>
        <v>0</v>
      </c>
      <c r="J947" s="31" t="n">
        <f aca="false">_xlfn.MAXIFS(Trades!$X$2:$X$1146,Trades!$D$2:$D$1146,$A947)</f>
        <v>-74.07</v>
      </c>
      <c r="K947" s="31" t="n">
        <f aca="false">_xlfn.MINIFS(Trades!$X$2:$X$1146,Trades!$D$2:$D$1146,$A947)</f>
        <v>-74.07</v>
      </c>
      <c r="L947" s="33" t="n">
        <f aca="false">SUMIFS(Trades!$Y$2:$Y$1146,Trades!$D$2:$D$1146,$A947)</f>
        <v>-1.01688632619445</v>
      </c>
      <c r="M947" s="31" t="n">
        <f aca="false">P946</f>
        <v>23510.7</v>
      </c>
      <c r="N947" s="30" t="n">
        <f aca="false">IFERROR(F947/M947,0)</f>
        <v>-0.00315048041955365</v>
      </c>
      <c r="O947" s="29" t="str">
        <f aca="false">IF(-N947&gt;=Summary!$C$7,"BREACH","")</f>
        <v/>
      </c>
      <c r="P947" s="31" t="n">
        <f aca="false">M947+F947</f>
        <v>23436.63</v>
      </c>
      <c r="Q947" s="31" t="n">
        <f aca="false">P947-Summary!$C$5</f>
        <v>13436.63</v>
      </c>
      <c r="R947" s="2" t="str">
        <f aca="false">TEXT(A947,"ddd")</f>
        <v>Thu</v>
      </c>
    </row>
    <row r="948" customFormat="false" ht="15" hidden="false" customHeight="false" outlineLevel="0" collapsed="false">
      <c r="A948" s="43" t="n">
        <v>46195</v>
      </c>
      <c r="B948" s="29" t="n">
        <f aca="false">COUNTIFS(Trades!$D$2:$D$1146,$A948)</f>
        <v>2</v>
      </c>
      <c r="C948" s="29" t="n">
        <f aca="false">COUNTIFS(Trades!$D$2:$D$1146,$A948,Trades!$Z$2:$Z$1146,"Win")</f>
        <v>1</v>
      </c>
      <c r="D948" s="29" t="n">
        <f aca="false">COUNTIFS(Trades!$D$2:$D$1146,$A948,Trades!$Z$2:$Z$1146,"Loss")</f>
        <v>1</v>
      </c>
      <c r="E948" s="30" t="n">
        <f aca="false">IFERROR(C948/B948,0)</f>
        <v>0.5</v>
      </c>
      <c r="F948" s="31" t="n">
        <f aca="false">SUMIFS(Trades!$X$2:$X$1146,Trades!$D$2:$D$1146,$A948)</f>
        <v>96.3</v>
      </c>
      <c r="G948" s="31" t="n">
        <f aca="false">SUMIFS(Trades!$X$2:$X$1146,Trades!$D$2:$D$1146,$A948,Trades!$X$2:$X$1146,"&gt;0")</f>
        <v>134.46</v>
      </c>
      <c r="H948" s="31" t="n">
        <f aca="false">SUMIFS(Trades!$X$2:$X$1146,Trades!$D$2:$D$1146,$A948,Trades!$X$2:$X$1146,"&lt;0")</f>
        <v>-38.16</v>
      </c>
      <c r="I948" s="32" t="n">
        <f aca="false">IFERROR(G948/-H948,"no loss")</f>
        <v>3.52358490566038</v>
      </c>
      <c r="J948" s="31" t="n">
        <f aca="false">_xlfn.MAXIFS(Trades!$X$2:$X$1146,Trades!$D$2:$D$1146,$A948)</f>
        <v>134.46</v>
      </c>
      <c r="K948" s="31" t="n">
        <f aca="false">_xlfn.MINIFS(Trades!$X$2:$X$1146,Trades!$D$2:$D$1146,$A948)</f>
        <v>-38.16</v>
      </c>
      <c r="L948" s="33" t="n">
        <f aca="false">SUMIFS(Trades!$Y$2:$Y$1146,Trades!$D$2:$D$1146,$A948)</f>
        <v>1.42221842301583</v>
      </c>
      <c r="M948" s="31" t="n">
        <f aca="false">P947</f>
        <v>23436.63</v>
      </c>
      <c r="N948" s="30" t="n">
        <f aca="false">IFERROR(F948/M948,0)</f>
        <v>0.0041089525243177</v>
      </c>
      <c r="O948" s="29" t="str">
        <f aca="false">IF(-N948&gt;=Summary!$C$7,"BREACH","")</f>
        <v/>
      </c>
      <c r="P948" s="31" t="n">
        <f aca="false">M948+F948</f>
        <v>23532.93</v>
      </c>
      <c r="Q948" s="31" t="n">
        <f aca="false">P948-Summary!$C$5</f>
        <v>13532.93</v>
      </c>
      <c r="R948" s="2" t="str">
        <f aca="false">TEXT(A948,"ddd")</f>
        <v>Mon</v>
      </c>
    </row>
    <row r="949" customFormat="false" ht="15" hidden="false" customHeight="false" outlineLevel="0" collapsed="false">
      <c r="A949" s="43" t="n">
        <v>46196</v>
      </c>
      <c r="B949" s="29" t="n">
        <f aca="false">COUNTIFS(Trades!$D$2:$D$1146,$A949)</f>
        <v>1</v>
      </c>
      <c r="C949" s="29" t="n">
        <f aca="false">COUNTIFS(Trades!$D$2:$D$1146,$A949,Trades!$Z$2:$Z$1146,"Win")</f>
        <v>0</v>
      </c>
      <c r="D949" s="29" t="n">
        <f aca="false">COUNTIFS(Trades!$D$2:$D$1146,$A949,Trades!$Z$2:$Z$1146,"Loss")</f>
        <v>1</v>
      </c>
      <c r="E949" s="30" t="n">
        <f aca="false">IFERROR(C949/B949,0)</f>
        <v>0</v>
      </c>
      <c r="F949" s="31" t="n">
        <f aca="false">SUMIFS(Trades!$X$2:$X$1146,Trades!$D$2:$D$1146,$A949)</f>
        <v>-2.46</v>
      </c>
      <c r="G949" s="31" t="n">
        <f aca="false">SUMIFS(Trades!$X$2:$X$1146,Trades!$D$2:$D$1146,$A949,Trades!$X$2:$X$1146,"&gt;0")</f>
        <v>0</v>
      </c>
      <c r="H949" s="31" t="n">
        <f aca="false">SUMIFS(Trades!$X$2:$X$1146,Trades!$D$2:$D$1146,$A949,Trades!$X$2:$X$1146,"&lt;0")</f>
        <v>-2.46</v>
      </c>
      <c r="I949" s="32" t="n">
        <f aca="false">IFERROR(G949/-H949,"no loss")</f>
        <v>0</v>
      </c>
      <c r="J949" s="31" t="n">
        <f aca="false">_xlfn.MAXIFS(Trades!$X$2:$X$1146,Trades!$D$2:$D$1146,$A949)</f>
        <v>-2.46</v>
      </c>
      <c r="K949" s="31" t="n">
        <f aca="false">_xlfn.MINIFS(Trades!$X$2:$X$1146,Trades!$D$2:$D$1146,$A949)</f>
        <v>-2.46</v>
      </c>
      <c r="L949" s="33" t="n">
        <f aca="false">SUMIFS(Trades!$Y$2:$Y$1146,Trades!$D$2:$D$1146,$A949)</f>
        <v>-0.0576652601969011</v>
      </c>
      <c r="M949" s="31" t="n">
        <f aca="false">P948</f>
        <v>23532.93</v>
      </c>
      <c r="N949" s="30" t="n">
        <f aca="false">IFERROR(F949/M949,0)</f>
        <v>-0.000104534369498401</v>
      </c>
      <c r="O949" s="29" t="str">
        <f aca="false">IF(-N949&gt;=Summary!$C$7,"BREACH","")</f>
        <v/>
      </c>
      <c r="P949" s="31" t="n">
        <f aca="false">M949+F949</f>
        <v>23530.47</v>
      </c>
      <c r="Q949" s="31" t="n">
        <f aca="false">P949-Summary!$C$5</f>
        <v>13530.47</v>
      </c>
      <c r="R949" s="2" t="str">
        <f aca="false">TEXT(A949,"ddd")</f>
        <v>Tue</v>
      </c>
    </row>
    <row r="950" customFormat="false" ht="15" hidden="false" customHeight="false" outlineLevel="0" collapsed="false">
      <c r="A950" s="43" t="n">
        <v>46197</v>
      </c>
      <c r="B950" s="29" t="n">
        <f aca="false">COUNTIFS(Trades!$D$2:$D$1146,$A950)</f>
        <v>1</v>
      </c>
      <c r="C950" s="29" t="n">
        <f aca="false">COUNTIFS(Trades!$D$2:$D$1146,$A950,Trades!$Z$2:$Z$1146,"Win")</f>
        <v>0</v>
      </c>
      <c r="D950" s="29" t="n">
        <f aca="false">COUNTIFS(Trades!$D$2:$D$1146,$A950,Trades!$Z$2:$Z$1146,"Loss")</f>
        <v>1</v>
      </c>
      <c r="E950" s="30" t="n">
        <f aca="false">IFERROR(C950/B950,0)</f>
        <v>0</v>
      </c>
      <c r="F950" s="31" t="n">
        <f aca="false">SUMIFS(Trades!$X$2:$X$1146,Trades!$D$2:$D$1146,$A950)</f>
        <v>-157.32</v>
      </c>
      <c r="G950" s="31" t="n">
        <f aca="false">SUMIFS(Trades!$X$2:$X$1146,Trades!$D$2:$D$1146,$A950,Trades!$X$2:$X$1146,"&gt;0")</f>
        <v>0</v>
      </c>
      <c r="H950" s="31" t="n">
        <f aca="false">SUMIFS(Trades!$X$2:$X$1146,Trades!$D$2:$D$1146,$A950,Trades!$X$2:$X$1146,"&lt;0")</f>
        <v>-157.32</v>
      </c>
      <c r="I950" s="32" t="n">
        <f aca="false">IFERROR(G950/-H950,"no loss")</f>
        <v>0</v>
      </c>
      <c r="J950" s="31" t="n">
        <f aca="false">_xlfn.MAXIFS(Trades!$X$2:$X$1146,Trades!$D$2:$D$1146,$A950)</f>
        <v>-157.32</v>
      </c>
      <c r="K950" s="31" t="n">
        <f aca="false">_xlfn.MINIFS(Trades!$X$2:$X$1146,Trades!$D$2:$D$1146,$A950)</f>
        <v>-157.32</v>
      </c>
      <c r="L950" s="33" t="n">
        <f aca="false">SUMIFS(Trades!$Y$2:$Y$1146,Trades!$D$2:$D$1146,$A950)</f>
        <v>-1.00511116790184</v>
      </c>
      <c r="M950" s="31" t="n">
        <f aca="false">P949</f>
        <v>23530.47</v>
      </c>
      <c r="N950" s="30" t="n">
        <f aca="false">IFERROR(F950/M950,0)</f>
        <v>-0.0066857993061762</v>
      </c>
      <c r="O950" s="29" t="str">
        <f aca="false">IF(-N950&gt;=Summary!$C$7,"BREACH","")</f>
        <v/>
      </c>
      <c r="P950" s="31" t="n">
        <f aca="false">M950+F950</f>
        <v>23373.15</v>
      </c>
      <c r="Q950" s="31" t="n">
        <f aca="false">P950-Summary!$C$5</f>
        <v>13373.15</v>
      </c>
      <c r="R950" s="2" t="str">
        <f aca="false">TEXT(A950,"ddd")</f>
        <v>Wed</v>
      </c>
    </row>
    <row r="951" customFormat="false" ht="15" hidden="false" customHeight="false" outlineLevel="0" collapsed="false">
      <c r="A951" s="43" t="n">
        <v>46198</v>
      </c>
      <c r="B951" s="29" t="n">
        <f aca="false">COUNTIFS(Trades!$D$2:$D$1146,$A951)</f>
        <v>1</v>
      </c>
      <c r="C951" s="29" t="n">
        <f aca="false">COUNTIFS(Trades!$D$2:$D$1146,$A951,Trades!$Z$2:$Z$1146,"Win")</f>
        <v>0</v>
      </c>
      <c r="D951" s="29" t="n">
        <f aca="false">COUNTIFS(Trades!$D$2:$D$1146,$A951,Trades!$Z$2:$Z$1146,"Loss")</f>
        <v>1</v>
      </c>
      <c r="E951" s="30" t="n">
        <f aca="false">IFERROR(C951/B951,0)</f>
        <v>0</v>
      </c>
      <c r="F951" s="31" t="n">
        <f aca="false">SUMIFS(Trades!$X$2:$X$1146,Trades!$D$2:$D$1146,$A951)</f>
        <v>-254.76</v>
      </c>
      <c r="G951" s="31" t="n">
        <f aca="false">SUMIFS(Trades!$X$2:$X$1146,Trades!$D$2:$D$1146,$A951,Trades!$X$2:$X$1146,"&gt;0")</f>
        <v>0</v>
      </c>
      <c r="H951" s="31" t="n">
        <f aca="false">SUMIFS(Trades!$X$2:$X$1146,Trades!$D$2:$D$1146,$A951,Trades!$X$2:$X$1146,"&lt;0")</f>
        <v>-254.76</v>
      </c>
      <c r="I951" s="32" t="n">
        <f aca="false">IFERROR(G951/-H951,"no loss")</f>
        <v>0</v>
      </c>
      <c r="J951" s="31" t="n">
        <f aca="false">_xlfn.MAXIFS(Trades!$X$2:$X$1146,Trades!$D$2:$D$1146,$A951)</f>
        <v>-254.76</v>
      </c>
      <c r="K951" s="31" t="n">
        <f aca="false">_xlfn.MINIFS(Trades!$X$2:$X$1146,Trades!$D$2:$D$1146,$A951)</f>
        <v>-254.76</v>
      </c>
      <c r="L951" s="33" t="n">
        <f aca="false">SUMIFS(Trades!$Y$2:$Y$1146,Trades!$D$2:$D$1146,$A951)</f>
        <v>-1.00354526116758</v>
      </c>
      <c r="M951" s="31" t="n">
        <f aca="false">P950</f>
        <v>23373.15</v>
      </c>
      <c r="N951" s="30" t="n">
        <f aca="false">IFERROR(F951/M951,0)</f>
        <v>-0.0108996861783713</v>
      </c>
      <c r="O951" s="29" t="str">
        <f aca="false">IF(-N951&gt;=Summary!$C$7,"BREACH","")</f>
        <v/>
      </c>
      <c r="P951" s="31" t="n">
        <f aca="false">M951+F951</f>
        <v>23118.39</v>
      </c>
      <c r="Q951" s="31" t="n">
        <f aca="false">P951-Summary!$C$5</f>
        <v>13118.39</v>
      </c>
      <c r="R951" s="2" t="str">
        <f aca="false">TEXT(A951,"ddd")</f>
        <v>Thu</v>
      </c>
    </row>
    <row r="952" customFormat="false" ht="15" hidden="false" customHeight="false" outlineLevel="0" collapsed="false">
      <c r="A952" s="43" t="n">
        <v>46199</v>
      </c>
      <c r="B952" s="29" t="n">
        <f aca="false">COUNTIFS(Trades!$D$2:$D$1146,$A952)</f>
        <v>1</v>
      </c>
      <c r="C952" s="29" t="n">
        <f aca="false">COUNTIFS(Trades!$D$2:$D$1146,$A952,Trades!$Z$2:$Z$1146,"Win")</f>
        <v>1</v>
      </c>
      <c r="D952" s="29" t="n">
        <f aca="false">COUNTIFS(Trades!$D$2:$D$1146,$A952,Trades!$Z$2:$Z$1146,"Loss")</f>
        <v>0</v>
      </c>
      <c r="E952" s="30" t="n">
        <f aca="false">IFERROR(C952/B952,0)</f>
        <v>1</v>
      </c>
      <c r="F952" s="31" t="n">
        <f aca="false">SUMIFS(Trades!$X$2:$X$1146,Trades!$D$2:$D$1146,$A952)</f>
        <v>124.98</v>
      </c>
      <c r="G952" s="31" t="n">
        <f aca="false">SUMIFS(Trades!$X$2:$X$1146,Trades!$D$2:$D$1146,$A952,Trades!$X$2:$X$1146,"&gt;0")</f>
        <v>124.98</v>
      </c>
      <c r="H952" s="31" t="n">
        <f aca="false">SUMIFS(Trades!$X$2:$X$1146,Trades!$D$2:$D$1146,$A952,Trades!$X$2:$X$1146,"&lt;0")</f>
        <v>0</v>
      </c>
      <c r="I952" s="32" t="str">
        <f aca="false">IFERROR(G952/-H952,"no loss")</f>
        <v>no loss</v>
      </c>
      <c r="J952" s="31" t="n">
        <f aca="false">_xlfn.MAXIFS(Trades!$X$2:$X$1146,Trades!$D$2:$D$1146,$A952)</f>
        <v>124.98</v>
      </c>
      <c r="K952" s="31" t="n">
        <f aca="false">_xlfn.MINIFS(Trades!$X$2:$X$1146,Trades!$D$2:$D$1146,$A952)</f>
        <v>124.98</v>
      </c>
      <c r="L952" s="33" t="n">
        <f aca="false">SUMIFS(Trades!$Y$2:$Y$1146,Trades!$D$2:$D$1146,$A952)</f>
        <v>2.45636792452843</v>
      </c>
      <c r="M952" s="31" t="n">
        <f aca="false">P951</f>
        <v>23118.39</v>
      </c>
      <c r="N952" s="30" t="n">
        <f aca="false">IFERROR(F952/M952,0)</f>
        <v>0.00540608580441804</v>
      </c>
      <c r="O952" s="29" t="str">
        <f aca="false">IF(-N952&gt;=Summary!$C$7,"BREACH","")</f>
        <v/>
      </c>
      <c r="P952" s="31" t="n">
        <f aca="false">M952+F952</f>
        <v>23243.37</v>
      </c>
      <c r="Q952" s="31" t="n">
        <f aca="false">P952-Summary!$C$5</f>
        <v>13243.37</v>
      </c>
      <c r="R952" s="2" t="str">
        <f aca="false">TEXT(A952,"ddd")</f>
        <v>Fri</v>
      </c>
    </row>
    <row r="953" customFormat="false" ht="15" hidden="false" customHeight="false" outlineLevel="0" collapsed="false">
      <c r="A953" s="43" t="n">
        <v>46202</v>
      </c>
      <c r="B953" s="29" t="n">
        <f aca="false">COUNTIFS(Trades!$D$2:$D$1146,$A953)</f>
        <v>1</v>
      </c>
      <c r="C953" s="29" t="n">
        <f aca="false">COUNTIFS(Trades!$D$2:$D$1146,$A953,Trades!$Z$2:$Z$1146,"Win")</f>
        <v>0</v>
      </c>
      <c r="D953" s="29" t="n">
        <f aca="false">COUNTIFS(Trades!$D$2:$D$1146,$A953,Trades!$Z$2:$Z$1146,"Loss")</f>
        <v>1</v>
      </c>
      <c r="E953" s="30" t="n">
        <f aca="false">IFERROR(C953/B953,0)</f>
        <v>0</v>
      </c>
      <c r="F953" s="31" t="n">
        <f aca="false">SUMIFS(Trades!$X$2:$X$1146,Trades!$D$2:$D$1146,$A953)</f>
        <v>-51.15</v>
      </c>
      <c r="G953" s="31" t="n">
        <f aca="false">SUMIFS(Trades!$X$2:$X$1146,Trades!$D$2:$D$1146,$A953,Trades!$X$2:$X$1146,"&gt;0")</f>
        <v>0</v>
      </c>
      <c r="H953" s="31" t="n">
        <f aca="false">SUMIFS(Trades!$X$2:$X$1146,Trades!$D$2:$D$1146,$A953,Trades!$X$2:$X$1146,"&lt;0")</f>
        <v>-51.15</v>
      </c>
      <c r="I953" s="32" t="n">
        <f aca="false">IFERROR(G953/-H953,"no loss")</f>
        <v>0</v>
      </c>
      <c r="J953" s="31" t="n">
        <f aca="false">_xlfn.MAXIFS(Trades!$X$2:$X$1146,Trades!$D$2:$D$1146,$A953)</f>
        <v>-51.15</v>
      </c>
      <c r="K953" s="31" t="n">
        <f aca="false">_xlfn.MINIFS(Trades!$X$2:$X$1146,Trades!$D$2:$D$1146,$A953)</f>
        <v>-51.15</v>
      </c>
      <c r="L953" s="33" t="n">
        <f aca="false">SUMIFS(Trades!$Y$2:$Y$1146,Trades!$D$2:$D$1146,$A953)</f>
        <v>-1.01973684210519</v>
      </c>
      <c r="M953" s="31" t="n">
        <f aca="false">P952</f>
        <v>23243.37</v>
      </c>
      <c r="N953" s="30" t="n">
        <f aca="false">IFERROR(F953/M953,0)</f>
        <v>-0.00220062753378705</v>
      </c>
      <c r="O953" s="29" t="str">
        <f aca="false">IF(-N953&gt;=Summary!$C$7,"BREACH","")</f>
        <v/>
      </c>
      <c r="P953" s="31" t="n">
        <f aca="false">M953+F953</f>
        <v>23192.22</v>
      </c>
      <c r="Q953" s="31" t="n">
        <f aca="false">P953-Summary!$C$5</f>
        <v>13192.22</v>
      </c>
      <c r="R953" s="2" t="str">
        <f aca="false">TEXT(A953,"ddd")</f>
        <v>Mon</v>
      </c>
    </row>
    <row r="954" customFormat="false" ht="15" hidden="false" customHeight="false" outlineLevel="0" collapsed="false">
      <c r="A954" s="43" t="n">
        <v>46203</v>
      </c>
      <c r="B954" s="29" t="n">
        <f aca="false">COUNTIFS(Trades!$D$2:$D$1146,$A954)</f>
        <v>1</v>
      </c>
      <c r="C954" s="29" t="n">
        <f aca="false">COUNTIFS(Trades!$D$2:$D$1146,$A954,Trades!$Z$2:$Z$1146,"Win")</f>
        <v>0</v>
      </c>
      <c r="D954" s="29" t="n">
        <f aca="false">COUNTIFS(Trades!$D$2:$D$1146,$A954,Trades!$Z$2:$Z$1146,"Loss")</f>
        <v>1</v>
      </c>
      <c r="E954" s="30" t="n">
        <f aca="false">IFERROR(C954/B954,0)</f>
        <v>0</v>
      </c>
      <c r="F954" s="31" t="n">
        <f aca="false">SUMIFS(Trades!$X$2:$X$1146,Trades!$D$2:$D$1146,$A954)</f>
        <v>-60.42</v>
      </c>
      <c r="G954" s="31" t="n">
        <f aca="false">SUMIFS(Trades!$X$2:$X$1146,Trades!$D$2:$D$1146,$A954,Trades!$X$2:$X$1146,"&gt;0")</f>
        <v>0</v>
      </c>
      <c r="H954" s="31" t="n">
        <f aca="false">SUMIFS(Trades!$X$2:$X$1146,Trades!$D$2:$D$1146,$A954,Trades!$X$2:$X$1146,"&lt;0")</f>
        <v>-60.42</v>
      </c>
      <c r="I954" s="32" t="n">
        <f aca="false">IFERROR(G954/-H954,"no loss")</f>
        <v>0</v>
      </c>
      <c r="J954" s="31" t="n">
        <f aca="false">_xlfn.MAXIFS(Trades!$X$2:$X$1146,Trades!$D$2:$D$1146,$A954)</f>
        <v>-60.42</v>
      </c>
      <c r="K954" s="31" t="n">
        <f aca="false">_xlfn.MINIFS(Trades!$X$2:$X$1146,Trades!$D$2:$D$1146,$A954)</f>
        <v>-60.42</v>
      </c>
      <c r="L954" s="33" t="n">
        <f aca="false">SUMIFS(Trades!$Y$2:$Y$1146,Trades!$D$2:$D$1146,$A954)</f>
        <v>-1.05279665446936</v>
      </c>
      <c r="M954" s="31" t="n">
        <f aca="false">P953</f>
        <v>23192.22</v>
      </c>
      <c r="N954" s="30" t="n">
        <f aca="false">IFERROR(F954/M954,0)</f>
        <v>-0.00260518397980012</v>
      </c>
      <c r="O954" s="29" t="str">
        <f aca="false">IF(-N954&gt;=Summary!$C$7,"BREACH","")</f>
        <v/>
      </c>
      <c r="P954" s="31" t="n">
        <f aca="false">M954+F954</f>
        <v>23131.8</v>
      </c>
      <c r="Q954" s="31" t="n">
        <f aca="false">P954-Summary!$C$5</f>
        <v>13131.8</v>
      </c>
      <c r="R954" s="2" t="str">
        <f aca="false">TEXT(A954,"ddd")</f>
        <v>Tue</v>
      </c>
    </row>
    <row r="955" customFormat="false" ht="15" hidden="false" customHeight="false" outlineLevel="0" collapsed="false">
      <c r="A955" s="43" t="n">
        <v>46205</v>
      </c>
      <c r="B955" s="29" t="n">
        <f aca="false">COUNTIFS(Trades!$D$2:$D$1146,$A955)</f>
        <v>1</v>
      </c>
      <c r="C955" s="29" t="n">
        <f aca="false">COUNTIFS(Trades!$D$2:$D$1146,$A955,Trades!$Z$2:$Z$1146,"Win")</f>
        <v>0</v>
      </c>
      <c r="D955" s="29" t="n">
        <f aca="false">COUNTIFS(Trades!$D$2:$D$1146,$A955,Trades!$Z$2:$Z$1146,"Loss")</f>
        <v>1</v>
      </c>
      <c r="E955" s="30" t="n">
        <f aca="false">IFERROR(C955/B955,0)</f>
        <v>0</v>
      </c>
      <c r="F955" s="31" t="n">
        <f aca="false">SUMIFS(Trades!$X$2:$X$1146,Trades!$D$2:$D$1146,$A955)</f>
        <v>-5.97</v>
      </c>
      <c r="G955" s="31" t="n">
        <f aca="false">SUMIFS(Trades!$X$2:$X$1146,Trades!$D$2:$D$1146,$A955,Trades!$X$2:$X$1146,"&gt;0")</f>
        <v>0</v>
      </c>
      <c r="H955" s="31" t="n">
        <f aca="false">SUMIFS(Trades!$X$2:$X$1146,Trades!$D$2:$D$1146,$A955,Trades!$X$2:$X$1146,"&lt;0")</f>
        <v>-5.97</v>
      </c>
      <c r="I955" s="32" t="n">
        <f aca="false">IFERROR(G955/-H955,"no loss")</f>
        <v>0</v>
      </c>
      <c r="J955" s="31" t="n">
        <f aca="false">_xlfn.MAXIFS(Trades!$X$2:$X$1146,Trades!$D$2:$D$1146,$A955)</f>
        <v>-5.97</v>
      </c>
      <c r="K955" s="31" t="n">
        <f aca="false">_xlfn.MINIFS(Trades!$X$2:$X$1146,Trades!$D$2:$D$1146,$A955)</f>
        <v>-5.97</v>
      </c>
      <c r="L955" s="33" t="n">
        <f aca="false">SUMIFS(Trades!$Y$2:$Y$1146,Trades!$D$2:$D$1146,$A955)</f>
        <v>-0.0905368516833353</v>
      </c>
      <c r="M955" s="31" t="n">
        <f aca="false">P954</f>
        <v>23131.8</v>
      </c>
      <c r="N955" s="30" t="n">
        <f aca="false">IFERROR(F955/M955,0)</f>
        <v>-0.000258086270847924</v>
      </c>
      <c r="O955" s="29" t="str">
        <f aca="false">IF(-N955&gt;=Summary!$C$7,"BREACH","")</f>
        <v/>
      </c>
      <c r="P955" s="31" t="n">
        <f aca="false">M955+F955</f>
        <v>23125.83</v>
      </c>
      <c r="Q955" s="31" t="n">
        <f aca="false">P955-Summary!$C$5</f>
        <v>13125.83</v>
      </c>
      <c r="R955" s="2" t="str">
        <f aca="false">TEXT(A955,"ddd")</f>
        <v>Thu</v>
      </c>
    </row>
    <row r="956" customFormat="false" ht="15" hidden="false" customHeight="false" outlineLevel="0" collapsed="false">
      <c r="A956" s="43" t="n">
        <v>46209</v>
      </c>
      <c r="B956" s="29" t="n">
        <f aca="false">COUNTIFS(Trades!$D$2:$D$1146,$A956)</f>
        <v>1</v>
      </c>
      <c r="C956" s="29" t="n">
        <f aca="false">COUNTIFS(Trades!$D$2:$D$1146,$A956,Trades!$Z$2:$Z$1146,"Win")</f>
        <v>0</v>
      </c>
      <c r="D956" s="29" t="n">
        <f aca="false">COUNTIFS(Trades!$D$2:$D$1146,$A956,Trades!$Z$2:$Z$1146,"Loss")</f>
        <v>1</v>
      </c>
      <c r="E956" s="30" t="n">
        <f aca="false">IFERROR(C956/B956,0)</f>
        <v>0</v>
      </c>
      <c r="F956" s="31" t="n">
        <f aca="false">SUMIFS(Trades!$X$2:$X$1146,Trades!$D$2:$D$1146,$A956)</f>
        <v>-36.33</v>
      </c>
      <c r="G956" s="31" t="n">
        <f aca="false">SUMIFS(Trades!$X$2:$X$1146,Trades!$D$2:$D$1146,$A956,Trades!$X$2:$X$1146,"&gt;0")</f>
        <v>0</v>
      </c>
      <c r="H956" s="31" t="n">
        <f aca="false">SUMIFS(Trades!$X$2:$X$1146,Trades!$D$2:$D$1146,$A956,Trades!$X$2:$X$1146,"&lt;0")</f>
        <v>-36.33</v>
      </c>
      <c r="I956" s="32" t="n">
        <f aca="false">IFERROR(G956/-H956,"no loss")</f>
        <v>0</v>
      </c>
      <c r="J956" s="31" t="n">
        <f aca="false">_xlfn.MAXIFS(Trades!$X$2:$X$1146,Trades!$D$2:$D$1146,$A956)</f>
        <v>-36.33</v>
      </c>
      <c r="K956" s="31" t="n">
        <f aca="false">_xlfn.MINIFS(Trades!$X$2:$X$1146,Trades!$D$2:$D$1146,$A956)</f>
        <v>-36.33</v>
      </c>
      <c r="L956" s="33" t="n">
        <f aca="false">SUMIFS(Trades!$Y$2:$Y$1146,Trades!$D$2:$D$1146,$A956)</f>
        <v>-1.04037800687258</v>
      </c>
      <c r="M956" s="31" t="n">
        <f aca="false">P955</f>
        <v>23125.83</v>
      </c>
      <c r="N956" s="30" t="n">
        <f aca="false">IFERROR(F956/M956,0)</f>
        <v>-0.00157097064191858</v>
      </c>
      <c r="O956" s="29" t="str">
        <f aca="false">IF(-N956&gt;=Summary!$C$7,"BREACH","")</f>
        <v/>
      </c>
      <c r="P956" s="31" t="n">
        <f aca="false">M956+F956</f>
        <v>23089.5</v>
      </c>
      <c r="Q956" s="31" t="n">
        <f aca="false">P956-Summary!$C$5</f>
        <v>13089.5</v>
      </c>
      <c r="R956" s="2" t="str">
        <f aca="false">TEXT(A956,"ddd")</f>
        <v>Mon</v>
      </c>
    </row>
    <row r="957" customFormat="false" ht="15" hidden="false" customHeight="false" outlineLevel="0" collapsed="false">
      <c r="A957" s="43" t="n">
        <v>46210</v>
      </c>
      <c r="B957" s="29" t="n">
        <f aca="false">COUNTIFS(Trades!$D$2:$D$1146,$A957)</f>
        <v>1</v>
      </c>
      <c r="C957" s="29" t="n">
        <f aca="false">COUNTIFS(Trades!$D$2:$D$1146,$A957,Trades!$Z$2:$Z$1146,"Win")</f>
        <v>0</v>
      </c>
      <c r="D957" s="29" t="n">
        <f aca="false">COUNTIFS(Trades!$D$2:$D$1146,$A957,Trades!$Z$2:$Z$1146,"Loss")</f>
        <v>1</v>
      </c>
      <c r="E957" s="30" t="n">
        <f aca="false">IFERROR(C957/B957,0)</f>
        <v>0</v>
      </c>
      <c r="F957" s="31" t="n">
        <f aca="false">SUMIFS(Trades!$X$2:$X$1146,Trades!$D$2:$D$1146,$A957)</f>
        <v>-45.93</v>
      </c>
      <c r="G957" s="31" t="n">
        <f aca="false">SUMIFS(Trades!$X$2:$X$1146,Trades!$D$2:$D$1146,$A957,Trades!$X$2:$X$1146,"&gt;0")</f>
        <v>0</v>
      </c>
      <c r="H957" s="31" t="n">
        <f aca="false">SUMIFS(Trades!$X$2:$X$1146,Trades!$D$2:$D$1146,$A957,Trades!$X$2:$X$1146,"&lt;0")</f>
        <v>-45.93</v>
      </c>
      <c r="I957" s="32" t="n">
        <f aca="false">IFERROR(G957/-H957,"no loss")</f>
        <v>0</v>
      </c>
      <c r="J957" s="31" t="n">
        <f aca="false">_xlfn.MAXIFS(Trades!$X$2:$X$1146,Trades!$D$2:$D$1146,$A957)</f>
        <v>-45.93</v>
      </c>
      <c r="K957" s="31" t="n">
        <f aca="false">_xlfn.MINIFS(Trades!$X$2:$X$1146,Trades!$D$2:$D$1146,$A957)</f>
        <v>-45.93</v>
      </c>
      <c r="L957" s="33" t="n">
        <f aca="false">SUMIFS(Trades!$Y$2:$Y$1146,Trades!$D$2:$D$1146,$A957)</f>
        <v>-1.01727574750836</v>
      </c>
      <c r="M957" s="31" t="n">
        <f aca="false">P956</f>
        <v>23089.5</v>
      </c>
      <c r="N957" s="30" t="n">
        <f aca="false">IFERROR(F957/M957,0)</f>
        <v>-0.00198921587734685</v>
      </c>
      <c r="O957" s="29" t="str">
        <f aca="false">IF(-N957&gt;=Summary!$C$7,"BREACH","")</f>
        <v/>
      </c>
      <c r="P957" s="31" t="n">
        <f aca="false">M957+F957</f>
        <v>23043.57</v>
      </c>
      <c r="Q957" s="31" t="n">
        <f aca="false">P957-Summary!$C$5</f>
        <v>13043.57</v>
      </c>
      <c r="R957" s="2" t="str">
        <f aca="false">TEXT(A957,"ddd")</f>
        <v>Tue</v>
      </c>
    </row>
    <row r="958" customFormat="false" ht="15" hidden="false" customHeight="false" outlineLevel="0" collapsed="false">
      <c r="A958" s="43" t="n">
        <v>46211</v>
      </c>
      <c r="B958" s="29" t="n">
        <f aca="false">COUNTIFS(Trades!$D$2:$D$1146,$A958)</f>
        <v>1</v>
      </c>
      <c r="C958" s="29" t="n">
        <f aca="false">COUNTIFS(Trades!$D$2:$D$1146,$A958,Trades!$Z$2:$Z$1146,"Win")</f>
        <v>1</v>
      </c>
      <c r="D958" s="29" t="n">
        <f aca="false">COUNTIFS(Trades!$D$2:$D$1146,$A958,Trades!$Z$2:$Z$1146,"Loss")</f>
        <v>0</v>
      </c>
      <c r="E958" s="30" t="n">
        <f aca="false">IFERROR(C958/B958,0)</f>
        <v>1</v>
      </c>
      <c r="F958" s="31" t="n">
        <f aca="false">SUMIFS(Trades!$X$2:$X$1146,Trades!$D$2:$D$1146,$A958)</f>
        <v>291.39</v>
      </c>
      <c r="G958" s="31" t="n">
        <f aca="false">SUMIFS(Trades!$X$2:$X$1146,Trades!$D$2:$D$1146,$A958,Trades!$X$2:$X$1146,"&gt;0")</f>
        <v>291.39</v>
      </c>
      <c r="H958" s="31" t="n">
        <f aca="false">SUMIFS(Trades!$X$2:$X$1146,Trades!$D$2:$D$1146,$A958,Trades!$X$2:$X$1146,"&lt;0")</f>
        <v>0</v>
      </c>
      <c r="I958" s="32" t="str">
        <f aca="false">IFERROR(G958/-H958,"no loss")</f>
        <v>no loss</v>
      </c>
      <c r="J958" s="31" t="n">
        <f aca="false">_xlfn.MAXIFS(Trades!$X$2:$X$1146,Trades!$D$2:$D$1146,$A958)</f>
        <v>291.39</v>
      </c>
      <c r="K958" s="31" t="n">
        <f aca="false">_xlfn.MINIFS(Trades!$X$2:$X$1146,Trades!$D$2:$D$1146,$A958)</f>
        <v>291.39</v>
      </c>
      <c r="L958" s="33" t="n">
        <f aca="false">SUMIFS(Trades!$Y$2:$Y$1146,Trades!$D$2:$D$1146,$A958)</f>
        <v>2.2145462836297</v>
      </c>
      <c r="M958" s="31" t="n">
        <f aca="false">P957</f>
        <v>23043.57</v>
      </c>
      <c r="N958" s="30" t="n">
        <f aca="false">IFERROR(F958/M958,0)</f>
        <v>0.0126451760729783</v>
      </c>
      <c r="O958" s="29" t="str">
        <f aca="false">IF(-N958&gt;=Summary!$C$7,"BREACH","")</f>
        <v/>
      </c>
      <c r="P958" s="31" t="n">
        <f aca="false">M958+F958</f>
        <v>23334.96</v>
      </c>
      <c r="Q958" s="31" t="n">
        <f aca="false">P958-Summary!$C$5</f>
        <v>13334.96</v>
      </c>
      <c r="R958" s="2" t="str">
        <f aca="false">TEXT(A958,"ddd")</f>
        <v>Wed</v>
      </c>
    </row>
    <row r="959" customFormat="false" ht="15" hidden="false" customHeight="false" outlineLevel="0" collapsed="false">
      <c r="A959" s="43" t="n">
        <v>46212</v>
      </c>
      <c r="B959" s="29" t="n">
        <f aca="false">COUNTIFS(Trades!$D$2:$D$1146,$A959)</f>
        <v>1</v>
      </c>
      <c r="C959" s="29" t="n">
        <f aca="false">COUNTIFS(Trades!$D$2:$D$1146,$A959,Trades!$Z$2:$Z$1146,"Win")</f>
        <v>0</v>
      </c>
      <c r="D959" s="29" t="n">
        <f aca="false">COUNTIFS(Trades!$D$2:$D$1146,$A959,Trades!$Z$2:$Z$1146,"Loss")</f>
        <v>1</v>
      </c>
      <c r="E959" s="30" t="n">
        <f aca="false">IFERROR(C959/B959,0)</f>
        <v>0</v>
      </c>
      <c r="F959" s="31" t="n">
        <f aca="false">SUMIFS(Trades!$X$2:$X$1146,Trades!$D$2:$D$1146,$A959)</f>
        <v>-0.09</v>
      </c>
      <c r="G959" s="31" t="n">
        <f aca="false">SUMIFS(Trades!$X$2:$X$1146,Trades!$D$2:$D$1146,$A959,Trades!$X$2:$X$1146,"&gt;0")</f>
        <v>0</v>
      </c>
      <c r="H959" s="31" t="n">
        <f aca="false">SUMIFS(Trades!$X$2:$X$1146,Trades!$D$2:$D$1146,$A959,Trades!$X$2:$X$1146,"&lt;0")</f>
        <v>-0.09</v>
      </c>
      <c r="I959" s="32" t="n">
        <f aca="false">IFERROR(G959/-H959,"no loss")</f>
        <v>0</v>
      </c>
      <c r="J959" s="31" t="n">
        <f aca="false">_xlfn.MAXIFS(Trades!$X$2:$X$1146,Trades!$D$2:$D$1146,$A959)</f>
        <v>-0.09</v>
      </c>
      <c r="K959" s="31" t="n">
        <f aca="false">_xlfn.MINIFS(Trades!$X$2:$X$1146,Trades!$D$2:$D$1146,$A959)</f>
        <v>-0.09</v>
      </c>
      <c r="L959" s="33" t="n">
        <f aca="false">SUMIFS(Trades!$Y$2:$Y$1146,Trades!$D$2:$D$1146,$A959)</f>
        <v>-0.00165471594043013</v>
      </c>
      <c r="M959" s="31" t="n">
        <f aca="false">P958</f>
        <v>23334.96</v>
      </c>
      <c r="N959" s="30" t="n">
        <f aca="false">IFERROR(F959/M959,0)</f>
        <v>-3.8568739779284E-006</v>
      </c>
      <c r="O959" s="29" t="str">
        <f aca="false">IF(-N959&gt;=Summary!$C$7,"BREACH","")</f>
        <v/>
      </c>
      <c r="P959" s="31" t="n">
        <f aca="false">M959+F959</f>
        <v>23334.87</v>
      </c>
      <c r="Q959" s="31" t="n">
        <f aca="false">P959-Summary!$C$5</f>
        <v>13334.87</v>
      </c>
      <c r="R959" s="2" t="str">
        <f aca="false">TEXT(A959,"ddd")</f>
        <v>Thu</v>
      </c>
    </row>
    <row r="960" customFormat="false" ht="15" hidden="false" customHeight="false" outlineLevel="0" collapsed="false">
      <c r="A960" s="43" t="n">
        <v>46213</v>
      </c>
      <c r="B960" s="29" t="n">
        <f aca="false">COUNTIFS(Trades!$D$2:$D$1146,$A960)</f>
        <v>1</v>
      </c>
      <c r="C960" s="29" t="n">
        <f aca="false">COUNTIFS(Trades!$D$2:$D$1146,$A960,Trades!$Z$2:$Z$1146,"Win")</f>
        <v>0</v>
      </c>
      <c r="D960" s="29" t="n">
        <f aca="false">COUNTIFS(Trades!$D$2:$D$1146,$A960,Trades!$Z$2:$Z$1146,"Loss")</f>
        <v>1</v>
      </c>
      <c r="E960" s="30" t="n">
        <f aca="false">IFERROR(C960/B960,0)</f>
        <v>0</v>
      </c>
      <c r="F960" s="31" t="n">
        <f aca="false">SUMIFS(Trades!$X$2:$X$1146,Trades!$D$2:$D$1146,$A960)</f>
        <v>-47.25</v>
      </c>
      <c r="G960" s="31" t="n">
        <f aca="false">SUMIFS(Trades!$X$2:$X$1146,Trades!$D$2:$D$1146,$A960,Trades!$X$2:$X$1146,"&gt;0")</f>
        <v>0</v>
      </c>
      <c r="H960" s="31" t="n">
        <f aca="false">SUMIFS(Trades!$X$2:$X$1146,Trades!$D$2:$D$1146,$A960,Trades!$X$2:$X$1146,"&lt;0")</f>
        <v>-47.25</v>
      </c>
      <c r="I960" s="32" t="n">
        <f aca="false">IFERROR(G960/-H960,"no loss")</f>
        <v>0</v>
      </c>
      <c r="J960" s="31" t="n">
        <f aca="false">_xlfn.MAXIFS(Trades!$X$2:$X$1146,Trades!$D$2:$D$1146,$A960)</f>
        <v>-47.25</v>
      </c>
      <c r="K960" s="31" t="n">
        <f aca="false">_xlfn.MINIFS(Trades!$X$2:$X$1146,Trades!$D$2:$D$1146,$A960)</f>
        <v>-47.25</v>
      </c>
      <c r="L960" s="33" t="n">
        <f aca="false">SUMIFS(Trades!$Y$2:$Y$1146,Trades!$D$2:$D$1146,$A960)</f>
        <v>-1.09756097560959</v>
      </c>
      <c r="M960" s="31" t="n">
        <f aca="false">P959</f>
        <v>23334.87</v>
      </c>
      <c r="N960" s="30" t="n">
        <f aca="false">IFERROR(F960/M960,0)</f>
        <v>-0.00202486664806789</v>
      </c>
      <c r="O960" s="29" t="str">
        <f aca="false">IF(-N960&gt;=Summary!$C$7,"BREACH","")</f>
        <v/>
      </c>
      <c r="P960" s="31" t="n">
        <f aca="false">M960+F960</f>
        <v>23287.62</v>
      </c>
      <c r="Q960" s="31" t="n">
        <f aca="false">P960-Summary!$C$5</f>
        <v>13287.62</v>
      </c>
      <c r="R960" s="2" t="str">
        <f aca="false">TEXT(A960,"ddd")</f>
        <v>Fri</v>
      </c>
    </row>
    <row r="961" customFormat="false" ht="15" hidden="false" customHeight="false" outlineLevel="0" collapsed="false">
      <c r="A961" s="43" t="n">
        <v>46216</v>
      </c>
      <c r="B961" s="29" t="n">
        <f aca="false">COUNTIFS(Trades!$D$2:$D$1146,$A961)</f>
        <v>1</v>
      </c>
      <c r="C961" s="29" t="n">
        <f aca="false">COUNTIFS(Trades!$D$2:$D$1146,$A961,Trades!$Z$2:$Z$1146,"Win")</f>
        <v>0</v>
      </c>
      <c r="D961" s="29" t="n">
        <f aca="false">COUNTIFS(Trades!$D$2:$D$1146,$A961,Trades!$Z$2:$Z$1146,"Loss")</f>
        <v>1</v>
      </c>
      <c r="E961" s="30" t="n">
        <f aca="false">IFERROR(C961/B961,0)</f>
        <v>0</v>
      </c>
      <c r="F961" s="31" t="n">
        <f aca="false">SUMIFS(Trades!$X$2:$X$1146,Trades!$D$2:$D$1146,$A961)</f>
        <v>-0.48</v>
      </c>
      <c r="G961" s="31" t="n">
        <f aca="false">SUMIFS(Trades!$X$2:$X$1146,Trades!$D$2:$D$1146,$A961,Trades!$X$2:$X$1146,"&gt;0")</f>
        <v>0</v>
      </c>
      <c r="H961" s="31" t="n">
        <f aca="false">SUMIFS(Trades!$X$2:$X$1146,Trades!$D$2:$D$1146,$A961,Trades!$X$2:$X$1146,"&lt;0")</f>
        <v>-0.48</v>
      </c>
      <c r="I961" s="32" t="n">
        <f aca="false">IFERROR(G961/-H961,"no loss")</f>
        <v>0</v>
      </c>
      <c r="J961" s="31" t="n">
        <f aca="false">_xlfn.MAXIFS(Trades!$X$2:$X$1146,Trades!$D$2:$D$1146,$A961)</f>
        <v>-0.48</v>
      </c>
      <c r="K961" s="31" t="n">
        <f aca="false">_xlfn.MINIFS(Trades!$X$2:$X$1146,Trades!$D$2:$D$1146,$A961)</f>
        <v>-0.48</v>
      </c>
      <c r="L961" s="33" t="n">
        <f aca="false">SUMIFS(Trades!$Y$2:$Y$1146,Trades!$D$2:$D$1146,$A961)</f>
        <v>-0.0148285449490307</v>
      </c>
      <c r="M961" s="31" t="n">
        <f aca="false">P960</f>
        <v>23287.62</v>
      </c>
      <c r="N961" s="30" t="n">
        <f aca="false">IFERROR(F961/M961,0)</f>
        <v>-2.06118100518645E-005</v>
      </c>
      <c r="O961" s="29" t="str">
        <f aca="false">IF(-N961&gt;=Summary!$C$7,"BREACH","")</f>
        <v/>
      </c>
      <c r="P961" s="31" t="n">
        <f aca="false">M961+F961</f>
        <v>23287.14</v>
      </c>
      <c r="Q961" s="31" t="n">
        <f aca="false">P961-Summary!$C$5</f>
        <v>13287.14</v>
      </c>
      <c r="R961" s="2" t="str">
        <f aca="false">TEXT(A961,"ddd")</f>
        <v>Mon</v>
      </c>
    </row>
    <row r="962" customFormat="false" ht="15" hidden="false" customHeight="false" outlineLevel="0" collapsed="false">
      <c r="A962" s="43" t="n">
        <v>46217</v>
      </c>
      <c r="B962" s="29" t="n">
        <f aca="false">COUNTIFS(Trades!$D$2:$D$1146,$A962)</f>
        <v>1</v>
      </c>
      <c r="C962" s="29" t="n">
        <f aca="false">COUNTIFS(Trades!$D$2:$D$1146,$A962,Trades!$Z$2:$Z$1146,"Win")</f>
        <v>1</v>
      </c>
      <c r="D962" s="29" t="n">
        <f aca="false">COUNTIFS(Trades!$D$2:$D$1146,$A962,Trades!$Z$2:$Z$1146,"Loss")</f>
        <v>0</v>
      </c>
      <c r="E962" s="30" t="n">
        <f aca="false">IFERROR(C962/B962,0)</f>
        <v>1</v>
      </c>
      <c r="F962" s="31" t="n">
        <f aca="false">SUMIFS(Trades!$X$2:$X$1146,Trades!$D$2:$D$1146,$A962)</f>
        <v>55.89</v>
      </c>
      <c r="G962" s="31" t="n">
        <f aca="false">SUMIFS(Trades!$X$2:$X$1146,Trades!$D$2:$D$1146,$A962,Trades!$X$2:$X$1146,"&gt;0")</f>
        <v>55.89</v>
      </c>
      <c r="H962" s="31" t="n">
        <f aca="false">SUMIFS(Trades!$X$2:$X$1146,Trades!$D$2:$D$1146,$A962,Trades!$X$2:$X$1146,"&lt;0")</f>
        <v>0</v>
      </c>
      <c r="I962" s="32" t="str">
        <f aca="false">IFERROR(G962/-H962,"no loss")</f>
        <v>no loss</v>
      </c>
      <c r="J962" s="31" t="n">
        <f aca="false">_xlfn.MAXIFS(Trades!$X$2:$X$1146,Trades!$D$2:$D$1146,$A962)</f>
        <v>55.89</v>
      </c>
      <c r="K962" s="31" t="n">
        <f aca="false">_xlfn.MINIFS(Trades!$X$2:$X$1146,Trades!$D$2:$D$1146,$A962)</f>
        <v>55.89</v>
      </c>
      <c r="L962" s="33" t="n">
        <f aca="false">SUMIFS(Trades!$Y$2:$Y$1146,Trades!$D$2:$D$1146,$A962)</f>
        <v>2.46754966887322</v>
      </c>
      <c r="M962" s="31" t="n">
        <f aca="false">P961</f>
        <v>23287.14</v>
      </c>
      <c r="N962" s="30" t="n">
        <f aca="false">IFERROR(F962/M962,0)</f>
        <v>0.00240003710202283</v>
      </c>
      <c r="O962" s="29" t="str">
        <f aca="false">IF(-N962&gt;=Summary!$C$7,"BREACH","")</f>
        <v/>
      </c>
      <c r="P962" s="31" t="n">
        <f aca="false">M962+F962</f>
        <v>23343.03</v>
      </c>
      <c r="Q962" s="31" t="n">
        <f aca="false">P962-Summary!$C$5</f>
        <v>13343.03</v>
      </c>
      <c r="R962" s="2" t="str">
        <f aca="false">TEXT(A962,"ddd")</f>
        <v>Tue</v>
      </c>
    </row>
    <row r="963" customFormat="false" ht="15" hidden="false" customHeight="false" outlineLevel="0" collapsed="false">
      <c r="A963" s="43" t="n">
        <v>46218</v>
      </c>
      <c r="B963" s="29" t="n">
        <f aca="false">COUNTIFS(Trades!$D$2:$D$1146,$A963)</f>
        <v>1</v>
      </c>
      <c r="C963" s="29" t="n">
        <f aca="false">COUNTIFS(Trades!$D$2:$D$1146,$A963,Trades!$Z$2:$Z$1146,"Win")</f>
        <v>0</v>
      </c>
      <c r="D963" s="29" t="n">
        <f aca="false">COUNTIFS(Trades!$D$2:$D$1146,$A963,Trades!$Z$2:$Z$1146,"Loss")</f>
        <v>1</v>
      </c>
      <c r="E963" s="30" t="n">
        <f aca="false">IFERROR(C963/B963,0)</f>
        <v>0</v>
      </c>
      <c r="F963" s="31" t="n">
        <f aca="false">SUMIFS(Trades!$X$2:$X$1146,Trades!$D$2:$D$1146,$A963)</f>
        <v>-52.17</v>
      </c>
      <c r="G963" s="31" t="n">
        <f aca="false">SUMIFS(Trades!$X$2:$X$1146,Trades!$D$2:$D$1146,$A963,Trades!$X$2:$X$1146,"&gt;0")</f>
        <v>0</v>
      </c>
      <c r="H963" s="31" t="n">
        <f aca="false">SUMIFS(Trades!$X$2:$X$1146,Trades!$D$2:$D$1146,$A963,Trades!$X$2:$X$1146,"&lt;0")</f>
        <v>-52.17</v>
      </c>
      <c r="I963" s="32" t="n">
        <f aca="false">IFERROR(G963/-H963,"no loss")</f>
        <v>0</v>
      </c>
      <c r="J963" s="31" t="n">
        <f aca="false">_xlfn.MAXIFS(Trades!$X$2:$X$1146,Trades!$D$2:$D$1146,$A963)</f>
        <v>-52.17</v>
      </c>
      <c r="K963" s="31" t="n">
        <f aca="false">_xlfn.MINIFS(Trades!$X$2:$X$1146,Trades!$D$2:$D$1146,$A963)</f>
        <v>-52.17</v>
      </c>
      <c r="L963" s="33" t="n">
        <f aca="false">SUMIFS(Trades!$Y$2:$Y$1146,Trades!$D$2:$D$1146,$A963)</f>
        <v>-1.00115141047789</v>
      </c>
      <c r="M963" s="31" t="n">
        <f aca="false">P962</f>
        <v>23343.03</v>
      </c>
      <c r="N963" s="30" t="n">
        <f aca="false">IFERROR(F963/M963,0)</f>
        <v>-0.00223492837048147</v>
      </c>
      <c r="O963" s="29" t="str">
        <f aca="false">IF(-N963&gt;=Summary!$C$7,"BREACH","")</f>
        <v/>
      </c>
      <c r="P963" s="31" t="n">
        <f aca="false">M963+F963</f>
        <v>23290.86</v>
      </c>
      <c r="Q963" s="31" t="n">
        <f aca="false">P963-Summary!$C$5</f>
        <v>13290.86</v>
      </c>
      <c r="R963" s="2" t="str">
        <f aca="false">TEXT(A963,"ddd")</f>
        <v>Wed</v>
      </c>
    </row>
    <row r="964" customFormat="false" ht="15" hidden="false" customHeight="false" outlineLevel="0" collapsed="false">
      <c r="A964" s="43" t="n">
        <v>46219</v>
      </c>
      <c r="B964" s="29" t="n">
        <f aca="false">COUNTIFS(Trades!$D$2:$D$1146,$A964)</f>
        <v>1</v>
      </c>
      <c r="C964" s="29" t="n">
        <f aca="false">COUNTIFS(Trades!$D$2:$D$1146,$A964,Trades!$Z$2:$Z$1146,"Win")</f>
        <v>0</v>
      </c>
      <c r="D964" s="29" t="n">
        <f aca="false">COUNTIFS(Trades!$D$2:$D$1146,$A964,Trades!$Z$2:$Z$1146,"Loss")</f>
        <v>1</v>
      </c>
      <c r="E964" s="30" t="n">
        <f aca="false">IFERROR(C964/B964,0)</f>
        <v>0</v>
      </c>
      <c r="F964" s="31" t="n">
        <f aca="false">SUMIFS(Trades!$X$2:$X$1146,Trades!$D$2:$D$1146,$A964)</f>
        <v>-84.06</v>
      </c>
      <c r="G964" s="31" t="n">
        <f aca="false">SUMIFS(Trades!$X$2:$X$1146,Trades!$D$2:$D$1146,$A964,Trades!$X$2:$X$1146,"&gt;0")</f>
        <v>0</v>
      </c>
      <c r="H964" s="31" t="n">
        <f aca="false">SUMIFS(Trades!$X$2:$X$1146,Trades!$D$2:$D$1146,$A964,Trades!$X$2:$X$1146,"&lt;0")</f>
        <v>-84.06</v>
      </c>
      <c r="I964" s="32" t="n">
        <f aca="false">IFERROR(G964/-H964,"no loss")</f>
        <v>0</v>
      </c>
      <c r="J964" s="31" t="n">
        <f aca="false">_xlfn.MAXIFS(Trades!$X$2:$X$1146,Trades!$D$2:$D$1146,$A964)</f>
        <v>-84.06</v>
      </c>
      <c r="K964" s="31" t="n">
        <f aca="false">_xlfn.MINIFS(Trades!$X$2:$X$1146,Trades!$D$2:$D$1146,$A964)</f>
        <v>-84.06</v>
      </c>
      <c r="L964" s="33" t="n">
        <f aca="false">SUMIFS(Trades!$Y$2:$Y$1146,Trades!$D$2:$D$1146,$A964)</f>
        <v>-1.00071428571429</v>
      </c>
      <c r="M964" s="31" t="n">
        <f aca="false">P963</f>
        <v>23290.86</v>
      </c>
      <c r="N964" s="30" t="n">
        <f aca="false">IFERROR(F964/M964,0)</f>
        <v>-0.00360914109655032</v>
      </c>
      <c r="O964" s="29" t="str">
        <f aca="false">IF(-N964&gt;=Summary!$C$7,"BREACH","")</f>
        <v/>
      </c>
      <c r="P964" s="31" t="n">
        <f aca="false">M964+F964</f>
        <v>23206.8</v>
      </c>
      <c r="Q964" s="31" t="n">
        <f aca="false">P964-Summary!$C$5</f>
        <v>13206.8</v>
      </c>
      <c r="R964" s="2" t="str">
        <f aca="false">TEXT(A964,"ddd")</f>
        <v>Thu</v>
      </c>
    </row>
    <row r="965" customFormat="false" ht="15" hidden="false" customHeight="false" outlineLevel="0" collapsed="false">
      <c r="A965" s="43" t="n">
        <v>46220</v>
      </c>
      <c r="B965" s="29" t="n">
        <f aca="false">COUNTIFS(Trades!$D$2:$D$1146,$A965)</f>
        <v>1</v>
      </c>
      <c r="C965" s="29" t="n">
        <f aca="false">COUNTIFS(Trades!$D$2:$D$1146,$A965,Trades!$Z$2:$Z$1146,"Win")</f>
        <v>0</v>
      </c>
      <c r="D965" s="29" t="n">
        <f aca="false">COUNTIFS(Trades!$D$2:$D$1146,$A965,Trades!$Z$2:$Z$1146,"Loss")</f>
        <v>1</v>
      </c>
      <c r="E965" s="30" t="n">
        <f aca="false">IFERROR(C965/B965,0)</f>
        <v>0</v>
      </c>
      <c r="F965" s="31" t="n">
        <f aca="false">SUMIFS(Trades!$X$2:$X$1146,Trades!$D$2:$D$1146,$A965)</f>
        <v>-54.88</v>
      </c>
      <c r="G965" s="31" t="n">
        <f aca="false">SUMIFS(Trades!$X$2:$X$1146,Trades!$D$2:$D$1146,$A965,Trades!$X$2:$X$1146,"&gt;0")</f>
        <v>0</v>
      </c>
      <c r="H965" s="31" t="n">
        <f aca="false">SUMIFS(Trades!$X$2:$X$1146,Trades!$D$2:$D$1146,$A965,Trades!$X$2:$X$1146,"&lt;0")</f>
        <v>-54.88</v>
      </c>
      <c r="I965" s="32" t="n">
        <f aca="false">IFERROR(G965/-H965,"no loss")</f>
        <v>0</v>
      </c>
      <c r="J965" s="31" t="n">
        <f aca="false">_xlfn.MAXIFS(Trades!$X$2:$X$1146,Trades!$D$2:$D$1146,$A965)</f>
        <v>-54.88</v>
      </c>
      <c r="K965" s="31" t="n">
        <f aca="false">_xlfn.MINIFS(Trades!$X$2:$X$1146,Trades!$D$2:$D$1146,$A965)</f>
        <v>-54.88</v>
      </c>
      <c r="L965" s="33" t="n">
        <f aca="false">SUMIFS(Trades!$Y$2:$Y$1146,Trades!$D$2:$D$1146,$A965)</f>
        <v>-1.10823909531493</v>
      </c>
      <c r="M965" s="31" t="n">
        <f aca="false">P964</f>
        <v>23206.8</v>
      </c>
      <c r="N965" s="30" t="n">
        <f aca="false">IFERROR(F965/M965,0)</f>
        <v>-0.00236482410328007</v>
      </c>
      <c r="O965" s="29" t="str">
        <f aca="false">IF(-N965&gt;=Summary!$C$7,"BREACH","")</f>
        <v/>
      </c>
      <c r="P965" s="31" t="n">
        <f aca="false">M965+F965</f>
        <v>23151.92</v>
      </c>
      <c r="Q965" s="31" t="n">
        <f aca="false">P965-Summary!$C$5</f>
        <v>13151.92</v>
      </c>
      <c r="R965" s="2" t="str">
        <f aca="false">TEXT(A965,"ddd")</f>
        <v>Fri</v>
      </c>
    </row>
    <row r="966" customFormat="false" ht="15" hidden="false" customHeight="false" outlineLevel="0" collapsed="false">
      <c r="A966" s="43" t="n">
        <v>46224</v>
      </c>
      <c r="B966" s="29" t="n">
        <f aca="false">COUNTIFS(Trades!$D$2:$D$1146,$A966)</f>
        <v>1</v>
      </c>
      <c r="C966" s="29" t="n">
        <f aca="false">COUNTIFS(Trades!$D$2:$D$1146,$A966,Trades!$Z$2:$Z$1146,"Win")</f>
        <v>0</v>
      </c>
      <c r="D966" s="29" t="n">
        <f aca="false">COUNTIFS(Trades!$D$2:$D$1146,$A966,Trades!$Z$2:$Z$1146,"Loss")</f>
        <v>1</v>
      </c>
      <c r="E966" s="30" t="n">
        <f aca="false">IFERROR(C966/B966,0)</f>
        <v>0</v>
      </c>
      <c r="F966" s="31" t="n">
        <f aca="false">SUMIFS(Trades!$X$2:$X$1146,Trades!$D$2:$D$1146,$A966)</f>
        <v>-1.26</v>
      </c>
      <c r="G966" s="31" t="n">
        <f aca="false">SUMIFS(Trades!$X$2:$X$1146,Trades!$D$2:$D$1146,$A966,Trades!$X$2:$X$1146,"&gt;0")</f>
        <v>0</v>
      </c>
      <c r="H966" s="31" t="n">
        <f aca="false">SUMIFS(Trades!$X$2:$X$1146,Trades!$D$2:$D$1146,$A966,Trades!$X$2:$X$1146,"&lt;0")</f>
        <v>-1.26</v>
      </c>
      <c r="I966" s="32" t="n">
        <f aca="false">IFERROR(G966/-H966,"no loss")</f>
        <v>0</v>
      </c>
      <c r="J966" s="31" t="n">
        <f aca="false">_xlfn.MAXIFS(Trades!$X$2:$X$1146,Trades!$D$2:$D$1146,$A966)</f>
        <v>-1.26</v>
      </c>
      <c r="K966" s="31" t="n">
        <f aca="false">_xlfn.MINIFS(Trades!$X$2:$X$1146,Trades!$D$2:$D$1146,$A966)</f>
        <v>-1.26</v>
      </c>
      <c r="L966" s="33" t="n">
        <f aca="false">SUMIFS(Trades!$Y$2:$Y$1146,Trades!$D$2:$D$1146,$A966)</f>
        <v>-0.0624999999999892</v>
      </c>
      <c r="M966" s="31" t="n">
        <f aca="false">P965</f>
        <v>23151.92</v>
      </c>
      <c r="N966" s="30" t="n">
        <f aca="false">IFERROR(F966/M966,0)</f>
        <v>-5.44231320771668E-005</v>
      </c>
      <c r="O966" s="29" t="str">
        <f aca="false">IF(-N966&gt;=Summary!$C$7,"BREACH","")</f>
        <v/>
      </c>
      <c r="P966" s="31" t="n">
        <f aca="false">M966+F966</f>
        <v>23150.66</v>
      </c>
      <c r="Q966" s="31" t="n">
        <f aca="false">P966-Summary!$C$5</f>
        <v>13150.66</v>
      </c>
      <c r="R966" s="2" t="str">
        <f aca="false">TEXT(A966,"ddd")</f>
        <v>Tue</v>
      </c>
    </row>
    <row r="967" customFormat="false" ht="15" hidden="false" customHeight="false" outlineLevel="0" collapsed="false">
      <c r="A967" s="43" t="n">
        <v>46226</v>
      </c>
      <c r="B967" s="29" t="n">
        <f aca="false">COUNTIFS(Trades!$D$2:$D$1146,$A967)</f>
        <v>1</v>
      </c>
      <c r="C967" s="29" t="n">
        <f aca="false">COUNTIFS(Trades!$D$2:$D$1146,$A967,Trades!$Z$2:$Z$1146,"Win")</f>
        <v>0</v>
      </c>
      <c r="D967" s="29" t="n">
        <f aca="false">COUNTIFS(Trades!$D$2:$D$1146,$A967,Trades!$Z$2:$Z$1146,"Loss")</f>
        <v>1</v>
      </c>
      <c r="E967" s="30" t="n">
        <f aca="false">IFERROR(C967/B967,0)</f>
        <v>0</v>
      </c>
      <c r="F967" s="31" t="n">
        <f aca="false">SUMIFS(Trades!$X$2:$X$1146,Trades!$D$2:$D$1146,$A967)</f>
        <v>-89.32</v>
      </c>
      <c r="G967" s="31" t="n">
        <f aca="false">SUMIFS(Trades!$X$2:$X$1146,Trades!$D$2:$D$1146,$A967,Trades!$X$2:$X$1146,"&gt;0")</f>
        <v>0</v>
      </c>
      <c r="H967" s="31" t="n">
        <f aca="false">SUMIFS(Trades!$X$2:$X$1146,Trades!$D$2:$D$1146,$A967,Trades!$X$2:$X$1146,"&lt;0")</f>
        <v>-89.32</v>
      </c>
      <c r="I967" s="32" t="n">
        <f aca="false">IFERROR(G967/-H967,"no loss")</f>
        <v>0</v>
      </c>
      <c r="J967" s="31" t="n">
        <f aca="false">_xlfn.MAXIFS(Trades!$X$2:$X$1146,Trades!$D$2:$D$1146,$A967)</f>
        <v>-89.32</v>
      </c>
      <c r="K967" s="31" t="n">
        <f aca="false">_xlfn.MINIFS(Trades!$X$2:$X$1146,Trades!$D$2:$D$1146,$A967)</f>
        <v>-89.32</v>
      </c>
      <c r="L967" s="33" t="n">
        <f aca="false">SUMIFS(Trades!$Y$2:$Y$1146,Trades!$D$2:$D$1146,$A967)</f>
        <v>-1.06232159847762</v>
      </c>
      <c r="M967" s="31" t="n">
        <f aca="false">P966</f>
        <v>23150.66</v>
      </c>
      <c r="N967" s="30" t="n">
        <f aca="false">IFERROR(F967/M967,0)</f>
        <v>-0.00385820533842232</v>
      </c>
      <c r="O967" s="29" t="str">
        <f aca="false">IF(-N967&gt;=Summary!$C$7,"BREACH","")</f>
        <v/>
      </c>
      <c r="P967" s="31" t="n">
        <f aca="false">M967+F967</f>
        <v>23061.34</v>
      </c>
      <c r="Q967" s="31" t="n">
        <f aca="false">P967-Summary!$C$5</f>
        <v>13061.34</v>
      </c>
      <c r="R967" s="2" t="str">
        <f aca="false">TEXT(A967,"ddd")</f>
        <v>Thu</v>
      </c>
    </row>
    <row r="968" customFormat="false" ht="15" hidden="false" customHeight="false" outlineLevel="0" collapsed="false">
      <c r="A968" s="43" t="n">
        <v>46227</v>
      </c>
      <c r="B968" s="29" t="n">
        <f aca="false">COUNTIFS(Trades!$D$2:$D$1146,$A968)</f>
        <v>1</v>
      </c>
      <c r="C968" s="29" t="n">
        <f aca="false">COUNTIFS(Trades!$D$2:$D$1146,$A968,Trades!$Z$2:$Z$1146,"Win")</f>
        <v>0</v>
      </c>
      <c r="D968" s="29" t="n">
        <f aca="false">COUNTIFS(Trades!$D$2:$D$1146,$A968,Trades!$Z$2:$Z$1146,"Loss")</f>
        <v>1</v>
      </c>
      <c r="E968" s="30" t="n">
        <f aca="false">IFERROR(C968/B968,0)</f>
        <v>0</v>
      </c>
      <c r="F968" s="31" t="n">
        <f aca="false">SUMIFS(Trades!$X$2:$X$1146,Trades!$D$2:$D$1146,$A968)</f>
        <v>-6.68</v>
      </c>
      <c r="G968" s="31" t="n">
        <f aca="false">SUMIFS(Trades!$X$2:$X$1146,Trades!$D$2:$D$1146,$A968,Trades!$X$2:$X$1146,"&gt;0")</f>
        <v>0</v>
      </c>
      <c r="H968" s="31" t="n">
        <f aca="false">SUMIFS(Trades!$X$2:$X$1146,Trades!$D$2:$D$1146,$A968,Trades!$X$2:$X$1146,"&lt;0")</f>
        <v>-6.68</v>
      </c>
      <c r="I968" s="32" t="n">
        <f aca="false">IFERROR(G968/-H968,"no loss")</f>
        <v>0</v>
      </c>
      <c r="J968" s="31" t="n">
        <f aca="false">_xlfn.MAXIFS(Trades!$X$2:$X$1146,Trades!$D$2:$D$1146,$A968)</f>
        <v>-6.68</v>
      </c>
      <c r="K968" s="31" t="n">
        <f aca="false">_xlfn.MINIFS(Trades!$X$2:$X$1146,Trades!$D$2:$D$1146,$A968)</f>
        <v>-6.68</v>
      </c>
      <c r="L968" s="33" t="n">
        <f aca="false">SUMIFS(Trades!$Y$2:$Y$1146,Trades!$D$2:$D$1146,$A968)</f>
        <v>-0.0348206839032533</v>
      </c>
      <c r="M968" s="31" t="n">
        <f aca="false">P967</f>
        <v>23061.34</v>
      </c>
      <c r="N968" s="30" t="n">
        <f aca="false">IFERROR(F968/M968,0)</f>
        <v>-0.000289662265939447</v>
      </c>
      <c r="O968" s="29" t="str">
        <f aca="false">IF(-N968&gt;=Summary!$C$7,"BREACH","")</f>
        <v/>
      </c>
      <c r="P968" s="31" t="n">
        <f aca="false">M968+F968</f>
        <v>23054.66</v>
      </c>
      <c r="Q968" s="31" t="n">
        <f aca="false">P968-Summary!$C$5</f>
        <v>13054.66</v>
      </c>
      <c r="R968" s="2" t="str">
        <f aca="false">TEXT(A968,"ddd")</f>
        <v>Fri</v>
      </c>
    </row>
    <row r="969" customFormat="false" ht="15" hidden="false" customHeight="false" outlineLevel="0" collapsed="false">
      <c r="A969" s="43" t="n">
        <v>46230</v>
      </c>
      <c r="B969" s="29" t="n">
        <f aca="false">COUNTIFS(Trades!$D$2:$D$1146,$A969)</f>
        <v>2</v>
      </c>
      <c r="C969" s="29" t="n">
        <f aca="false">COUNTIFS(Trades!$D$2:$D$1146,$A969,Trades!$Z$2:$Z$1146,"Win")</f>
        <v>1</v>
      </c>
      <c r="D969" s="29" t="n">
        <f aca="false">COUNTIFS(Trades!$D$2:$D$1146,$A969,Trades!$Z$2:$Z$1146,"Loss")</f>
        <v>1</v>
      </c>
      <c r="E969" s="30" t="n">
        <f aca="false">IFERROR(C969/B969,0)</f>
        <v>0.5</v>
      </c>
      <c r="F969" s="31" t="n">
        <f aca="false">SUMIFS(Trades!$X$2:$X$1146,Trades!$D$2:$D$1146,$A969)</f>
        <v>381.32</v>
      </c>
      <c r="G969" s="31" t="n">
        <f aca="false">SUMIFS(Trades!$X$2:$X$1146,Trades!$D$2:$D$1146,$A969,Trades!$X$2:$X$1146,"&gt;0")</f>
        <v>420.52</v>
      </c>
      <c r="H969" s="31" t="n">
        <f aca="false">SUMIFS(Trades!$X$2:$X$1146,Trades!$D$2:$D$1146,$A969,Trades!$X$2:$X$1146,"&lt;0")</f>
        <v>-39.2</v>
      </c>
      <c r="I969" s="32" t="n">
        <f aca="false">IFERROR(G969/-H969,"no loss")</f>
        <v>10.7275510204082</v>
      </c>
      <c r="J969" s="31" t="n">
        <f aca="false">_xlfn.MAXIFS(Trades!$X$2:$X$1146,Trades!$D$2:$D$1146,$A969)</f>
        <v>420.52</v>
      </c>
      <c r="K969" s="31" t="n">
        <f aca="false">_xlfn.MINIFS(Trades!$X$2:$X$1146,Trades!$D$2:$D$1146,$A969)</f>
        <v>-39.2</v>
      </c>
      <c r="L969" s="33" t="n">
        <f aca="false">SUMIFS(Trades!$Y$2:$Y$1146,Trades!$D$2:$D$1146,$A969)</f>
        <v>1.41907206119157</v>
      </c>
      <c r="M969" s="31" t="n">
        <f aca="false">P968</f>
        <v>23054.66</v>
      </c>
      <c r="N969" s="30" t="n">
        <f aca="false">IFERROR(F969/M969,0)</f>
        <v>0.0165398231854211</v>
      </c>
      <c r="O969" s="29" t="str">
        <f aca="false">IF(-N969&gt;=Summary!$C$7,"BREACH","")</f>
        <v/>
      </c>
      <c r="P969" s="31" t="n">
        <f aca="false">M969+F969</f>
        <v>23435.98</v>
      </c>
      <c r="Q969" s="31" t="n">
        <f aca="false">P969-Summary!$C$5</f>
        <v>13435.98</v>
      </c>
      <c r="R969" s="2" t="str">
        <f aca="false">TEXT(A969,"ddd")</f>
        <v>Mon</v>
      </c>
    </row>
    <row r="970" customFormat="false" ht="15" hidden="false" customHeight="false" outlineLevel="0" collapsed="false">
      <c r="A970" s="43" t="n">
        <v>46231</v>
      </c>
      <c r="B970" s="29" t="n">
        <f aca="false">COUNTIFS(Trades!$D$2:$D$1146,$A970)</f>
        <v>1</v>
      </c>
      <c r="C970" s="29" t="n">
        <f aca="false">COUNTIFS(Trades!$D$2:$D$1146,$A970,Trades!$Z$2:$Z$1146,"Win")</f>
        <v>0</v>
      </c>
      <c r="D970" s="29" t="n">
        <f aca="false">COUNTIFS(Trades!$D$2:$D$1146,$A970,Trades!$Z$2:$Z$1146,"Loss")</f>
        <v>1</v>
      </c>
      <c r="E970" s="30" t="n">
        <f aca="false">IFERROR(C970/B970,0)</f>
        <v>0</v>
      </c>
      <c r="F970" s="31" t="n">
        <f aca="false">SUMIFS(Trades!$X$2:$X$1146,Trades!$D$2:$D$1146,$A970)</f>
        <v>-0.76</v>
      </c>
      <c r="G970" s="31" t="n">
        <f aca="false">SUMIFS(Trades!$X$2:$X$1146,Trades!$D$2:$D$1146,$A970,Trades!$X$2:$X$1146,"&gt;0")</f>
        <v>0</v>
      </c>
      <c r="H970" s="31" t="n">
        <f aca="false">SUMIFS(Trades!$X$2:$X$1146,Trades!$D$2:$D$1146,$A970,Trades!$X$2:$X$1146,"&lt;0")</f>
        <v>-0.76</v>
      </c>
      <c r="I970" s="32" t="n">
        <f aca="false">IFERROR(G970/-H970,"no loss")</f>
        <v>0</v>
      </c>
      <c r="J970" s="31" t="n">
        <f aca="false">_xlfn.MAXIFS(Trades!$X$2:$X$1146,Trades!$D$2:$D$1146,$A970)</f>
        <v>-0.76</v>
      </c>
      <c r="K970" s="31" t="n">
        <f aca="false">_xlfn.MINIFS(Trades!$X$2:$X$1146,Trades!$D$2:$D$1146,$A970)</f>
        <v>-0.76</v>
      </c>
      <c r="L970" s="33" t="n">
        <f aca="false">SUMIFS(Trades!$Y$2:$Y$1146,Trades!$D$2:$D$1146,$A970)</f>
        <v>-0.0226730310262601</v>
      </c>
      <c r="M970" s="31" t="n">
        <f aca="false">P969</f>
        <v>23435.98</v>
      </c>
      <c r="N970" s="30" t="n">
        <f aca="false">IFERROR(F970/M970,0)</f>
        <v>-3.24287697804828E-005</v>
      </c>
      <c r="O970" s="29" t="str">
        <f aca="false">IF(-N970&gt;=Summary!$C$7,"BREACH","")</f>
        <v/>
      </c>
      <c r="P970" s="31" t="n">
        <f aca="false">M970+F970</f>
        <v>23435.22</v>
      </c>
      <c r="Q970" s="31" t="n">
        <f aca="false">P970-Summary!$C$5</f>
        <v>13435.22</v>
      </c>
      <c r="R970" s="2" t="str">
        <f aca="false">TEXT(A970,"ddd")</f>
        <v>Tue</v>
      </c>
    </row>
    <row r="971" customFormat="false" ht="15" hidden="false" customHeight="false" outlineLevel="0" collapsed="false">
      <c r="A971" s="43" t="n">
        <v>46232</v>
      </c>
      <c r="B971" s="29" t="n">
        <f aca="false">COUNTIFS(Trades!$D$2:$D$1146,$A971)</f>
        <v>1</v>
      </c>
      <c r="C971" s="29" t="n">
        <f aca="false">COUNTIFS(Trades!$D$2:$D$1146,$A971,Trades!$Z$2:$Z$1146,"Win")</f>
        <v>0</v>
      </c>
      <c r="D971" s="29" t="n">
        <f aca="false">COUNTIFS(Trades!$D$2:$D$1146,$A971,Trades!$Z$2:$Z$1146,"Loss")</f>
        <v>1</v>
      </c>
      <c r="E971" s="30" t="n">
        <f aca="false">IFERROR(C971/B971,0)</f>
        <v>0</v>
      </c>
      <c r="F971" s="31" t="n">
        <f aca="false">SUMIFS(Trades!$X$2:$X$1146,Trades!$D$2:$D$1146,$A971)</f>
        <v>-5.76</v>
      </c>
      <c r="G971" s="31" t="n">
        <f aca="false">SUMIFS(Trades!$X$2:$X$1146,Trades!$D$2:$D$1146,$A971,Trades!$X$2:$X$1146,"&gt;0")</f>
        <v>0</v>
      </c>
      <c r="H971" s="31" t="n">
        <f aca="false">SUMIFS(Trades!$X$2:$X$1146,Trades!$D$2:$D$1146,$A971,Trades!$X$2:$X$1146,"&lt;0")</f>
        <v>-5.76</v>
      </c>
      <c r="I971" s="32" t="n">
        <f aca="false">IFERROR(G971/-H971,"no loss")</f>
        <v>0</v>
      </c>
      <c r="J971" s="31" t="n">
        <f aca="false">_xlfn.MAXIFS(Trades!$X$2:$X$1146,Trades!$D$2:$D$1146,$A971)</f>
        <v>-5.76</v>
      </c>
      <c r="K971" s="31" t="n">
        <f aca="false">_xlfn.MINIFS(Trades!$X$2:$X$1146,Trades!$D$2:$D$1146,$A971)</f>
        <v>-5.76</v>
      </c>
      <c r="L971" s="33" t="n">
        <f aca="false">SUMIFS(Trades!$Y$2:$Y$1146,Trades!$D$2:$D$1146,$A971)</f>
        <v>-0.0403700588730004</v>
      </c>
      <c r="M971" s="31" t="n">
        <f aca="false">P970</f>
        <v>23435.22</v>
      </c>
      <c r="N971" s="30" t="n">
        <f aca="false">IFERROR(F971/M971,0)</f>
        <v>-0.000245783909858751</v>
      </c>
      <c r="O971" s="29" t="str">
        <f aca="false">IF(-N971&gt;=Summary!$C$7,"BREACH","")</f>
        <v/>
      </c>
      <c r="P971" s="31" t="n">
        <f aca="false">M971+F971</f>
        <v>23429.46</v>
      </c>
      <c r="Q971" s="31" t="n">
        <f aca="false">P971-Summary!$C$5</f>
        <v>13429.46</v>
      </c>
      <c r="R971" s="2" t="str">
        <f aca="false">TEXT(A971,"ddd")</f>
        <v>Wed</v>
      </c>
    </row>
    <row r="972" customFormat="false" ht="15" hidden="false" customHeight="false" outlineLevel="0" collapsed="false">
      <c r="A972" s="43" t="n">
        <v>46233</v>
      </c>
      <c r="B972" s="29" t="n">
        <f aca="false">COUNTIFS(Trades!$D$2:$D$1146,$A972)</f>
        <v>1</v>
      </c>
      <c r="C972" s="29" t="n">
        <f aca="false">COUNTIFS(Trades!$D$2:$D$1146,$A972,Trades!$Z$2:$Z$1146,"Win")</f>
        <v>0</v>
      </c>
      <c r="D972" s="29" t="n">
        <f aca="false">COUNTIFS(Trades!$D$2:$D$1146,$A972,Trades!$Z$2:$Z$1146,"Loss")</f>
        <v>1</v>
      </c>
      <c r="E972" s="30" t="n">
        <f aca="false">IFERROR(C972/B972,0)</f>
        <v>0</v>
      </c>
      <c r="F972" s="31" t="n">
        <f aca="false">SUMIFS(Trades!$X$2:$X$1146,Trades!$D$2:$D$1146,$A972)</f>
        <v>-114.44</v>
      </c>
      <c r="G972" s="31" t="n">
        <f aca="false">SUMIFS(Trades!$X$2:$X$1146,Trades!$D$2:$D$1146,$A972,Trades!$X$2:$X$1146,"&gt;0")</f>
        <v>0</v>
      </c>
      <c r="H972" s="31" t="n">
        <f aca="false">SUMIFS(Trades!$X$2:$X$1146,Trades!$D$2:$D$1146,$A972,Trades!$X$2:$X$1146,"&lt;0")</f>
        <v>-114.44</v>
      </c>
      <c r="I972" s="32" t="n">
        <f aca="false">IFERROR(G972/-H972,"no loss")</f>
        <v>0</v>
      </c>
      <c r="J972" s="31" t="n">
        <f aca="false">_xlfn.MAXIFS(Trades!$X$2:$X$1146,Trades!$D$2:$D$1146,$A972)</f>
        <v>-114.44</v>
      </c>
      <c r="K972" s="31" t="n">
        <f aca="false">_xlfn.MINIFS(Trades!$X$2:$X$1146,Trades!$D$2:$D$1146,$A972)</f>
        <v>-114.44</v>
      </c>
      <c r="L972" s="33" t="n">
        <f aca="false">SUMIFS(Trades!$Y$2:$Y$1146,Trades!$D$2:$D$1146,$A972)</f>
        <v>-1.05029368575618</v>
      </c>
      <c r="M972" s="31" t="n">
        <f aca="false">P971</f>
        <v>23429.46</v>
      </c>
      <c r="N972" s="30" t="n">
        <f aca="false">IFERROR(F972/M972,0)</f>
        <v>-0.00488444889468217</v>
      </c>
      <c r="O972" s="29" t="str">
        <f aca="false">IF(-N972&gt;=Summary!$C$7,"BREACH","")</f>
        <v/>
      </c>
      <c r="P972" s="31" t="n">
        <f aca="false">M972+F972</f>
        <v>23315.02</v>
      </c>
      <c r="Q972" s="31" t="n">
        <f aca="false">P972-Summary!$C$5</f>
        <v>13315.02</v>
      </c>
      <c r="R972" s="2" t="str">
        <f aca="false">TEXT(A972,"ddd")</f>
        <v>Thu</v>
      </c>
    </row>
    <row r="973" customFormat="false" ht="15" hidden="false" customHeight="false" outlineLevel="0" collapsed="false">
      <c r="A973" s="43" t="n">
        <v>46234</v>
      </c>
      <c r="B973" s="29" t="n">
        <f aca="false">COUNTIFS(Trades!$D$2:$D$1146,$A973)</f>
        <v>1</v>
      </c>
      <c r="C973" s="29" t="n">
        <f aca="false">COUNTIFS(Trades!$D$2:$D$1146,$A973,Trades!$Z$2:$Z$1146,"Win")</f>
        <v>0</v>
      </c>
      <c r="D973" s="29" t="n">
        <f aca="false">COUNTIFS(Trades!$D$2:$D$1146,$A973,Trades!$Z$2:$Z$1146,"Loss")</f>
        <v>1</v>
      </c>
      <c r="E973" s="30" t="n">
        <f aca="false">IFERROR(C973/B973,0)</f>
        <v>0</v>
      </c>
      <c r="F973" s="31" t="n">
        <f aca="false">SUMIFS(Trades!$X$2:$X$1146,Trades!$D$2:$D$1146,$A973)</f>
        <v>-128.04</v>
      </c>
      <c r="G973" s="31" t="n">
        <f aca="false">SUMIFS(Trades!$X$2:$X$1146,Trades!$D$2:$D$1146,$A973,Trades!$X$2:$X$1146,"&gt;0")</f>
        <v>0</v>
      </c>
      <c r="H973" s="31" t="n">
        <f aca="false">SUMIFS(Trades!$X$2:$X$1146,Trades!$D$2:$D$1146,$A973,Trades!$X$2:$X$1146,"&lt;0")</f>
        <v>-128.04</v>
      </c>
      <c r="I973" s="32" t="n">
        <f aca="false">IFERROR(G973/-H973,"no loss")</f>
        <v>0</v>
      </c>
      <c r="J973" s="31" t="n">
        <f aca="false">_xlfn.MAXIFS(Trades!$X$2:$X$1146,Trades!$D$2:$D$1146,$A973)</f>
        <v>-128.04</v>
      </c>
      <c r="K973" s="31" t="n">
        <f aca="false">_xlfn.MINIFS(Trades!$X$2:$X$1146,Trades!$D$2:$D$1146,$A973)</f>
        <v>-128.04</v>
      </c>
      <c r="L973" s="33" t="n">
        <f aca="false">SUMIFS(Trades!$Y$2:$Y$1146,Trades!$D$2:$D$1146,$A973)</f>
        <v>-1.01683608640408</v>
      </c>
      <c r="M973" s="31" t="n">
        <f aca="false">P972</f>
        <v>23315.02</v>
      </c>
      <c r="N973" s="30" t="n">
        <f aca="false">IFERROR(F973/M973,0)</f>
        <v>-0.00549173880185391</v>
      </c>
      <c r="O973" s="29" t="str">
        <f aca="false">IF(-N973&gt;=Summary!$C$7,"BREACH","")</f>
        <v/>
      </c>
      <c r="P973" s="31" t="n">
        <f aca="false">M973+F973</f>
        <v>23186.98</v>
      </c>
      <c r="Q973" s="31" t="n">
        <f aca="false">P973-Summary!$C$5</f>
        <v>13186.98</v>
      </c>
      <c r="R973" s="2" t="str">
        <f aca="false">TEXT(A973,"ddd")</f>
        <v>Fri</v>
      </c>
    </row>
    <row r="974" customFormat="false" ht="15" hidden="false" customHeight="false" outlineLevel="0" collapsed="false">
      <c r="A974" s="43" t="n">
        <v>46237</v>
      </c>
      <c r="B974" s="29" t="n">
        <f aca="false">COUNTIFS(Trades!$D$2:$D$1146,$A974)</f>
        <v>1</v>
      </c>
      <c r="C974" s="29" t="n">
        <f aca="false">COUNTIFS(Trades!$D$2:$D$1146,$A974,Trades!$Z$2:$Z$1146,"Win")</f>
        <v>0</v>
      </c>
      <c r="D974" s="29" t="n">
        <f aca="false">COUNTIFS(Trades!$D$2:$D$1146,$A974,Trades!$Z$2:$Z$1146,"Loss")</f>
        <v>1</v>
      </c>
      <c r="E974" s="30" t="n">
        <f aca="false">IFERROR(C974/B974,0)</f>
        <v>0</v>
      </c>
      <c r="F974" s="31" t="n">
        <f aca="false">SUMIFS(Trades!$X$2:$X$1146,Trades!$D$2:$D$1146,$A974)</f>
        <v>-73.84</v>
      </c>
      <c r="G974" s="31" t="n">
        <f aca="false">SUMIFS(Trades!$X$2:$X$1146,Trades!$D$2:$D$1146,$A974,Trades!$X$2:$X$1146,"&gt;0")</f>
        <v>0</v>
      </c>
      <c r="H974" s="31" t="n">
        <f aca="false">SUMIFS(Trades!$X$2:$X$1146,Trades!$D$2:$D$1146,$A974,Trades!$X$2:$X$1146,"&lt;0")</f>
        <v>-73.84</v>
      </c>
      <c r="I974" s="32" t="n">
        <f aca="false">IFERROR(G974/-H974,"no loss")</f>
        <v>0</v>
      </c>
      <c r="J974" s="31" t="n">
        <f aca="false">_xlfn.MAXIFS(Trades!$X$2:$X$1146,Trades!$D$2:$D$1146,$A974)</f>
        <v>-73.84</v>
      </c>
      <c r="K974" s="31" t="n">
        <f aca="false">_xlfn.MINIFS(Trades!$X$2:$X$1146,Trades!$D$2:$D$1146,$A974)</f>
        <v>-73.84</v>
      </c>
      <c r="L974" s="33" t="n">
        <f aca="false">SUMIFS(Trades!$Y$2:$Y$1146,Trades!$D$2:$D$1146,$A974)</f>
        <v>-1.01596037424315</v>
      </c>
      <c r="M974" s="31" t="n">
        <f aca="false">P973</f>
        <v>23186.98</v>
      </c>
      <c r="N974" s="30" t="n">
        <f aca="false">IFERROR(F974/M974,0)</f>
        <v>-0.00318454580976048</v>
      </c>
      <c r="O974" s="29" t="str">
        <f aca="false">IF(-N974&gt;=Summary!$C$7,"BREACH","")</f>
        <v/>
      </c>
      <c r="P974" s="31" t="n">
        <f aca="false">M974+F974</f>
        <v>23113.14</v>
      </c>
      <c r="Q974" s="31" t="n">
        <f aca="false">P974-Summary!$C$5</f>
        <v>13113.14</v>
      </c>
      <c r="R974" s="2" t="str">
        <f aca="false">TEXT(A974,"ddd")</f>
        <v>Mon</v>
      </c>
    </row>
    <row r="975" customFormat="false" ht="15" hidden="false" customHeight="false" outlineLevel="0" collapsed="false">
      <c r="A975" s="43" t="n">
        <v>46238</v>
      </c>
      <c r="B975" s="29" t="n">
        <f aca="false">COUNTIFS(Trades!$D$2:$D$1146,$A975)</f>
        <v>1</v>
      </c>
      <c r="C975" s="29" t="n">
        <f aca="false">COUNTIFS(Trades!$D$2:$D$1146,$A975,Trades!$Z$2:$Z$1146,"Win")</f>
        <v>0</v>
      </c>
      <c r="D975" s="29" t="n">
        <f aca="false">COUNTIFS(Trades!$D$2:$D$1146,$A975,Trades!$Z$2:$Z$1146,"Loss")</f>
        <v>1</v>
      </c>
      <c r="E975" s="30" t="n">
        <f aca="false">IFERROR(C975/B975,0)</f>
        <v>0</v>
      </c>
      <c r="F975" s="31" t="n">
        <f aca="false">SUMIFS(Trades!$X$2:$X$1146,Trades!$D$2:$D$1146,$A975)</f>
        <v>-3.96</v>
      </c>
      <c r="G975" s="31" t="n">
        <f aca="false">SUMIFS(Trades!$X$2:$X$1146,Trades!$D$2:$D$1146,$A975,Trades!$X$2:$X$1146,"&gt;0")</f>
        <v>0</v>
      </c>
      <c r="H975" s="31" t="n">
        <f aca="false">SUMIFS(Trades!$X$2:$X$1146,Trades!$D$2:$D$1146,$A975,Trades!$X$2:$X$1146,"&lt;0")</f>
        <v>-3.96</v>
      </c>
      <c r="I975" s="32" t="n">
        <f aca="false">IFERROR(G975/-H975,"no loss")</f>
        <v>0</v>
      </c>
      <c r="J975" s="31" t="n">
        <f aca="false">_xlfn.MAXIFS(Trades!$X$2:$X$1146,Trades!$D$2:$D$1146,$A975)</f>
        <v>-3.96</v>
      </c>
      <c r="K975" s="31" t="n">
        <f aca="false">_xlfn.MINIFS(Trades!$X$2:$X$1146,Trades!$D$2:$D$1146,$A975)</f>
        <v>-3.96</v>
      </c>
      <c r="L975" s="33" t="n">
        <f aca="false">SUMIFS(Trades!$Y$2:$Y$1146,Trades!$D$2:$D$1146,$A975)</f>
        <v>-0.159420289855095</v>
      </c>
      <c r="M975" s="31" t="n">
        <f aca="false">P974</f>
        <v>23113.14</v>
      </c>
      <c r="N975" s="30" t="n">
        <f aca="false">IFERROR(F975/M975,0)</f>
        <v>-0.000171331112951334</v>
      </c>
      <c r="O975" s="29" t="str">
        <f aca="false">IF(-N975&gt;=Summary!$C$7,"BREACH","")</f>
        <v/>
      </c>
      <c r="P975" s="31" t="n">
        <f aca="false">M975+F975</f>
        <v>23109.18</v>
      </c>
      <c r="Q975" s="31" t="n">
        <f aca="false">P975-Summary!$C$5</f>
        <v>13109.18</v>
      </c>
      <c r="R975" s="2" t="str">
        <f aca="false">TEXT(A975,"ddd")</f>
        <v>Tue</v>
      </c>
    </row>
    <row r="976" customFormat="false" ht="15" hidden="false" customHeight="false" outlineLevel="0" collapsed="false">
      <c r="A976" s="43" t="n">
        <v>46239</v>
      </c>
      <c r="B976" s="29" t="n">
        <f aca="false">COUNTIFS(Trades!$D$2:$D$1146,$A976)</f>
        <v>1</v>
      </c>
      <c r="C976" s="29" t="n">
        <f aca="false">COUNTIFS(Trades!$D$2:$D$1146,$A976,Trades!$Z$2:$Z$1146,"Win")</f>
        <v>1</v>
      </c>
      <c r="D976" s="29" t="n">
        <f aca="false">COUNTIFS(Trades!$D$2:$D$1146,$A976,Trades!$Z$2:$Z$1146,"Loss")</f>
        <v>0</v>
      </c>
      <c r="E976" s="30" t="n">
        <f aca="false">IFERROR(C976/B976,0)</f>
        <v>1</v>
      </c>
      <c r="F976" s="31" t="n">
        <f aca="false">SUMIFS(Trades!$X$2:$X$1146,Trades!$D$2:$D$1146,$A976)</f>
        <v>47.43</v>
      </c>
      <c r="G976" s="31" t="n">
        <f aca="false">SUMIFS(Trades!$X$2:$X$1146,Trades!$D$2:$D$1146,$A976,Trades!$X$2:$X$1146,"&gt;0")</f>
        <v>47.43</v>
      </c>
      <c r="H976" s="31" t="n">
        <f aca="false">SUMIFS(Trades!$X$2:$X$1146,Trades!$D$2:$D$1146,$A976,Trades!$X$2:$X$1146,"&lt;0")</f>
        <v>0</v>
      </c>
      <c r="I976" s="32" t="str">
        <f aca="false">IFERROR(G976/-H976,"no loss")</f>
        <v>no loss</v>
      </c>
      <c r="J976" s="31" t="n">
        <f aca="false">_xlfn.MAXIFS(Trades!$X$2:$X$1146,Trades!$D$2:$D$1146,$A976)</f>
        <v>47.43</v>
      </c>
      <c r="K976" s="31" t="n">
        <f aca="false">_xlfn.MINIFS(Trades!$X$2:$X$1146,Trades!$D$2:$D$1146,$A976)</f>
        <v>47.43</v>
      </c>
      <c r="L976" s="33" t="n">
        <f aca="false">SUMIFS(Trades!$Y$2:$Y$1146,Trades!$D$2:$D$1146,$A976)</f>
        <v>2.54589371980712</v>
      </c>
      <c r="M976" s="31" t="n">
        <f aca="false">P975</f>
        <v>23109.18</v>
      </c>
      <c r="N976" s="30" t="n">
        <f aca="false">IFERROR(F976/M976,0)</f>
        <v>0.00205243111179194</v>
      </c>
      <c r="O976" s="29" t="str">
        <f aca="false">IF(-N976&gt;=Summary!$C$7,"BREACH","")</f>
        <v/>
      </c>
      <c r="P976" s="31" t="n">
        <f aca="false">M976+F976</f>
        <v>23156.61</v>
      </c>
      <c r="Q976" s="31" t="n">
        <f aca="false">P976-Summary!$C$5</f>
        <v>13156.61</v>
      </c>
      <c r="R976" s="2" t="str">
        <f aca="false">TEXT(A976,"ddd")</f>
        <v>Wed</v>
      </c>
    </row>
    <row r="977" customFormat="false" ht="15" hidden="false" customHeight="false" outlineLevel="0" collapsed="false">
      <c r="A977" s="43" t="n">
        <v>46240</v>
      </c>
      <c r="B977" s="29" t="n">
        <f aca="false">COUNTIFS(Trades!$D$2:$D$1146,$A977)</f>
        <v>1</v>
      </c>
      <c r="C977" s="29" t="n">
        <f aca="false">COUNTIFS(Trades!$D$2:$D$1146,$A977,Trades!$Z$2:$Z$1146,"Win")</f>
        <v>0</v>
      </c>
      <c r="D977" s="29" t="n">
        <f aca="false">COUNTIFS(Trades!$D$2:$D$1146,$A977,Trades!$Z$2:$Z$1146,"Loss")</f>
        <v>1</v>
      </c>
      <c r="E977" s="30" t="n">
        <f aca="false">IFERROR(C977/B977,0)</f>
        <v>0</v>
      </c>
      <c r="F977" s="31" t="n">
        <f aca="false">SUMIFS(Trades!$X$2:$X$1146,Trades!$D$2:$D$1146,$A977)</f>
        <v>-1.71</v>
      </c>
      <c r="G977" s="31" t="n">
        <f aca="false">SUMIFS(Trades!$X$2:$X$1146,Trades!$D$2:$D$1146,$A977,Trades!$X$2:$X$1146,"&gt;0")</f>
        <v>0</v>
      </c>
      <c r="H977" s="31" t="n">
        <f aca="false">SUMIFS(Trades!$X$2:$X$1146,Trades!$D$2:$D$1146,$A977,Trades!$X$2:$X$1146,"&lt;0")</f>
        <v>-1.71</v>
      </c>
      <c r="I977" s="32" t="n">
        <f aca="false">IFERROR(G977/-H977,"no loss")</f>
        <v>0</v>
      </c>
      <c r="J977" s="31" t="n">
        <f aca="false">_xlfn.MAXIFS(Trades!$X$2:$X$1146,Trades!$D$2:$D$1146,$A977)</f>
        <v>-1.71</v>
      </c>
      <c r="K977" s="31" t="n">
        <f aca="false">_xlfn.MINIFS(Trades!$X$2:$X$1146,Trades!$D$2:$D$1146,$A977)</f>
        <v>-1.71</v>
      </c>
      <c r="L977" s="33" t="n">
        <f aca="false">SUMIFS(Trades!$Y$2:$Y$1146,Trades!$D$2:$D$1146,$A977)</f>
        <v>-0.0629834254143444</v>
      </c>
      <c r="M977" s="31" t="n">
        <f aca="false">P976</f>
        <v>23156.61</v>
      </c>
      <c r="N977" s="30" t="n">
        <f aca="false">IFERROR(F977/M977,0)</f>
        <v>-7.3845005810436E-005</v>
      </c>
      <c r="O977" s="29" t="str">
        <f aca="false">IF(-N977&gt;=Summary!$C$7,"BREACH","")</f>
        <v/>
      </c>
      <c r="P977" s="31" t="n">
        <f aca="false">M977+F977</f>
        <v>23154.9</v>
      </c>
      <c r="Q977" s="31" t="n">
        <f aca="false">P977-Summary!$C$5</f>
        <v>13154.9</v>
      </c>
      <c r="R977" s="2" t="str">
        <f aca="false">TEXT(A977,"ddd")</f>
        <v>Thu</v>
      </c>
    </row>
    <row r="978" customFormat="false" ht="15" hidden="false" customHeight="false" outlineLevel="0" collapsed="false">
      <c r="A978" s="43" t="n">
        <v>46241</v>
      </c>
      <c r="B978" s="29" t="n">
        <f aca="false">COUNTIFS(Trades!$D$2:$D$1146,$A978)</f>
        <v>1</v>
      </c>
      <c r="C978" s="29" t="n">
        <f aca="false">COUNTIFS(Trades!$D$2:$D$1146,$A978,Trades!$Z$2:$Z$1146,"Win")</f>
        <v>1</v>
      </c>
      <c r="D978" s="29" t="n">
        <f aca="false">COUNTIFS(Trades!$D$2:$D$1146,$A978,Trades!$Z$2:$Z$1146,"Loss")</f>
        <v>0</v>
      </c>
      <c r="E978" s="30" t="n">
        <f aca="false">IFERROR(C978/B978,0)</f>
        <v>1</v>
      </c>
      <c r="F978" s="31" t="n">
        <f aca="false">SUMIFS(Trades!$X$2:$X$1146,Trades!$D$2:$D$1146,$A978)</f>
        <v>283.02</v>
      </c>
      <c r="G978" s="31" t="n">
        <f aca="false">SUMIFS(Trades!$X$2:$X$1146,Trades!$D$2:$D$1146,$A978,Trades!$X$2:$X$1146,"&gt;0")</f>
        <v>283.02</v>
      </c>
      <c r="H978" s="31" t="n">
        <f aca="false">SUMIFS(Trades!$X$2:$X$1146,Trades!$D$2:$D$1146,$A978,Trades!$X$2:$X$1146,"&lt;0")</f>
        <v>0</v>
      </c>
      <c r="I978" s="32" t="str">
        <f aca="false">IFERROR(G978/-H978,"no loss")</f>
        <v>no loss</v>
      </c>
      <c r="J978" s="31" t="n">
        <f aca="false">_xlfn.MAXIFS(Trades!$X$2:$X$1146,Trades!$D$2:$D$1146,$A978)</f>
        <v>283.02</v>
      </c>
      <c r="K978" s="31" t="n">
        <f aca="false">_xlfn.MINIFS(Trades!$X$2:$X$1146,Trades!$D$2:$D$1146,$A978)</f>
        <v>283.02</v>
      </c>
      <c r="L978" s="33" t="n">
        <f aca="false">SUMIFS(Trades!$Y$2:$Y$1146,Trades!$D$2:$D$1146,$A978)</f>
        <v>2.55110870740944</v>
      </c>
      <c r="M978" s="31" t="n">
        <f aca="false">P977</f>
        <v>23154.9</v>
      </c>
      <c r="N978" s="30" t="n">
        <f aca="false">IFERROR(F978/M978,0)</f>
        <v>0.0122228988248708</v>
      </c>
      <c r="O978" s="29" t="str">
        <f aca="false">IF(-N978&gt;=Summary!$C$7,"BREACH","")</f>
        <v/>
      </c>
      <c r="P978" s="31" t="n">
        <f aca="false">M978+F978</f>
        <v>23437.92</v>
      </c>
      <c r="Q978" s="31" t="n">
        <f aca="false">P978-Summary!$C$5</f>
        <v>13437.92</v>
      </c>
      <c r="R978" s="2" t="str">
        <f aca="false">TEXT(A978,"ddd")</f>
        <v>Fri</v>
      </c>
    </row>
    <row r="979" customFormat="false" ht="15" hidden="false" customHeight="false" outlineLevel="0" collapsed="false">
      <c r="A979" s="43" t="n">
        <v>46244</v>
      </c>
      <c r="B979" s="29" t="n">
        <f aca="false">COUNTIFS(Trades!$D$2:$D$1146,$A979)</f>
        <v>1</v>
      </c>
      <c r="C979" s="29" t="n">
        <f aca="false">COUNTIFS(Trades!$D$2:$D$1146,$A979,Trades!$Z$2:$Z$1146,"Win")</f>
        <v>0</v>
      </c>
      <c r="D979" s="29" t="n">
        <f aca="false">COUNTIFS(Trades!$D$2:$D$1146,$A979,Trades!$Z$2:$Z$1146,"Loss")</f>
        <v>1</v>
      </c>
      <c r="E979" s="30" t="n">
        <f aca="false">IFERROR(C979/B979,0)</f>
        <v>0</v>
      </c>
      <c r="F979" s="31" t="n">
        <f aca="false">SUMIFS(Trades!$X$2:$X$1146,Trades!$D$2:$D$1146,$A979)</f>
        <v>-59.94</v>
      </c>
      <c r="G979" s="31" t="n">
        <f aca="false">SUMIFS(Trades!$X$2:$X$1146,Trades!$D$2:$D$1146,$A979,Trades!$X$2:$X$1146,"&gt;0")</f>
        <v>0</v>
      </c>
      <c r="H979" s="31" t="n">
        <f aca="false">SUMIFS(Trades!$X$2:$X$1146,Trades!$D$2:$D$1146,$A979,Trades!$X$2:$X$1146,"&lt;0")</f>
        <v>-59.94</v>
      </c>
      <c r="I979" s="32" t="n">
        <f aca="false">IFERROR(G979/-H979,"no loss")</f>
        <v>0</v>
      </c>
      <c r="J979" s="31" t="n">
        <f aca="false">_xlfn.MAXIFS(Trades!$X$2:$X$1146,Trades!$D$2:$D$1146,$A979)</f>
        <v>-59.94</v>
      </c>
      <c r="K979" s="31" t="n">
        <f aca="false">_xlfn.MINIFS(Trades!$X$2:$X$1146,Trades!$D$2:$D$1146,$A979)</f>
        <v>-59.94</v>
      </c>
      <c r="L979" s="33" t="n">
        <f aca="false">SUMIFS(Trades!$Y$2:$Y$1146,Trades!$D$2:$D$1146,$A979)</f>
        <v>-1.00756429652033</v>
      </c>
      <c r="M979" s="31" t="n">
        <f aca="false">P978</f>
        <v>23437.92</v>
      </c>
      <c r="N979" s="30" t="n">
        <f aca="false">IFERROR(F979/M979,0)</f>
        <v>-0.00255739417149645</v>
      </c>
      <c r="O979" s="29" t="str">
        <f aca="false">IF(-N979&gt;=Summary!$C$7,"BREACH","")</f>
        <v/>
      </c>
      <c r="P979" s="31" t="n">
        <f aca="false">M979+F979</f>
        <v>23377.98</v>
      </c>
      <c r="Q979" s="31" t="n">
        <f aca="false">P979-Summary!$C$5</f>
        <v>13377.98</v>
      </c>
      <c r="R979" s="2" t="str">
        <f aca="false">TEXT(A979,"ddd")</f>
        <v>Mon</v>
      </c>
    </row>
    <row r="980" customFormat="false" ht="15" hidden="false" customHeight="false" outlineLevel="0" collapsed="false">
      <c r="A980" s="43" t="n">
        <v>46245</v>
      </c>
      <c r="B980" s="29" t="n">
        <f aca="false">COUNTIFS(Trades!$D$2:$D$1146,$A980)</f>
        <v>1</v>
      </c>
      <c r="C980" s="29" t="n">
        <f aca="false">COUNTIFS(Trades!$D$2:$D$1146,$A980,Trades!$Z$2:$Z$1146,"Win")</f>
        <v>0</v>
      </c>
      <c r="D980" s="29" t="n">
        <f aca="false">COUNTIFS(Trades!$D$2:$D$1146,$A980,Trades!$Z$2:$Z$1146,"Loss")</f>
        <v>1</v>
      </c>
      <c r="E980" s="30" t="n">
        <f aca="false">IFERROR(C980/B980,0)</f>
        <v>0</v>
      </c>
      <c r="F980" s="31" t="n">
        <f aca="false">SUMIFS(Trades!$X$2:$X$1146,Trades!$D$2:$D$1146,$A980)</f>
        <v>-16.23</v>
      </c>
      <c r="G980" s="31" t="n">
        <f aca="false">SUMIFS(Trades!$X$2:$X$1146,Trades!$D$2:$D$1146,$A980,Trades!$X$2:$X$1146,"&gt;0")</f>
        <v>0</v>
      </c>
      <c r="H980" s="31" t="n">
        <f aca="false">SUMIFS(Trades!$X$2:$X$1146,Trades!$D$2:$D$1146,$A980,Trades!$X$2:$X$1146,"&lt;0")</f>
        <v>-16.23</v>
      </c>
      <c r="I980" s="32" t="n">
        <f aca="false">IFERROR(G980/-H980,"no loss")</f>
        <v>0</v>
      </c>
      <c r="J980" s="31" t="n">
        <f aca="false">_xlfn.MAXIFS(Trades!$X$2:$X$1146,Trades!$D$2:$D$1146,$A980)</f>
        <v>-16.23</v>
      </c>
      <c r="K980" s="31" t="n">
        <f aca="false">_xlfn.MINIFS(Trades!$X$2:$X$1146,Trades!$D$2:$D$1146,$A980)</f>
        <v>-16.23</v>
      </c>
      <c r="L980" s="33" t="n">
        <f aca="false">SUMIFS(Trades!$Y$2:$Y$1146,Trades!$D$2:$D$1146,$A980)</f>
        <v>-1.05458089668595</v>
      </c>
      <c r="M980" s="31" t="n">
        <f aca="false">P979</f>
        <v>23377.98</v>
      </c>
      <c r="N980" s="30" t="n">
        <f aca="false">IFERROR(F980/M980,0)</f>
        <v>-0.000694243044095341</v>
      </c>
      <c r="O980" s="29" t="str">
        <f aca="false">IF(-N980&gt;=Summary!$C$7,"BREACH","")</f>
        <v/>
      </c>
      <c r="P980" s="31" t="n">
        <f aca="false">M980+F980</f>
        <v>23361.75</v>
      </c>
      <c r="Q980" s="31" t="n">
        <f aca="false">P980-Summary!$C$5</f>
        <v>13361.75</v>
      </c>
      <c r="R980" s="2" t="str">
        <f aca="false">TEXT(A980,"ddd")</f>
        <v>Tue</v>
      </c>
    </row>
    <row r="981" customFormat="false" ht="15" hidden="false" customHeight="false" outlineLevel="0" collapsed="false">
      <c r="A981" s="43" t="n">
        <v>46246</v>
      </c>
      <c r="B981" s="29" t="n">
        <f aca="false">COUNTIFS(Trades!$D$2:$D$1146,$A981)</f>
        <v>1</v>
      </c>
      <c r="C981" s="29" t="n">
        <f aca="false">COUNTIFS(Trades!$D$2:$D$1146,$A981,Trades!$Z$2:$Z$1146,"Win")</f>
        <v>0</v>
      </c>
      <c r="D981" s="29" t="n">
        <f aca="false">COUNTIFS(Trades!$D$2:$D$1146,$A981,Trades!$Z$2:$Z$1146,"Loss")</f>
        <v>1</v>
      </c>
      <c r="E981" s="30" t="n">
        <f aca="false">IFERROR(C981/B981,0)</f>
        <v>0</v>
      </c>
      <c r="F981" s="31" t="n">
        <f aca="false">SUMIFS(Trades!$X$2:$X$1146,Trades!$D$2:$D$1146,$A981)</f>
        <v>-80.79</v>
      </c>
      <c r="G981" s="31" t="n">
        <f aca="false">SUMIFS(Trades!$X$2:$X$1146,Trades!$D$2:$D$1146,$A981,Trades!$X$2:$X$1146,"&gt;0")</f>
        <v>0</v>
      </c>
      <c r="H981" s="31" t="n">
        <f aca="false">SUMIFS(Trades!$X$2:$X$1146,Trades!$D$2:$D$1146,$A981,Trades!$X$2:$X$1146,"&lt;0")</f>
        <v>-80.79</v>
      </c>
      <c r="I981" s="32" t="n">
        <f aca="false">IFERROR(G981/-H981,"no loss")</f>
        <v>0</v>
      </c>
      <c r="J981" s="31" t="n">
        <f aca="false">_xlfn.MAXIFS(Trades!$X$2:$X$1146,Trades!$D$2:$D$1146,$A981)</f>
        <v>-80.79</v>
      </c>
      <c r="K981" s="31" t="n">
        <f aca="false">_xlfn.MINIFS(Trades!$X$2:$X$1146,Trades!$D$2:$D$1146,$A981)</f>
        <v>-80.79</v>
      </c>
      <c r="L981" s="33" t="n">
        <f aca="false">SUMIFS(Trades!$Y$2:$Y$1146,Trades!$D$2:$D$1146,$A981)</f>
        <v>-1.42110817941947</v>
      </c>
      <c r="M981" s="31" t="n">
        <f aca="false">P980</f>
        <v>23361.75</v>
      </c>
      <c r="N981" s="30" t="n">
        <f aca="false">IFERROR(F981/M981,0)</f>
        <v>-0.00345821695720569</v>
      </c>
      <c r="O981" s="29" t="str">
        <f aca="false">IF(-N981&gt;=Summary!$C$7,"BREACH","")</f>
        <v/>
      </c>
      <c r="P981" s="31" t="n">
        <f aca="false">M981+F981</f>
        <v>23280.96</v>
      </c>
      <c r="Q981" s="31" t="n">
        <f aca="false">P981-Summary!$C$5</f>
        <v>13280.96</v>
      </c>
      <c r="R981" s="2" t="str">
        <f aca="false">TEXT(A981,"ddd")</f>
        <v>Wed</v>
      </c>
    </row>
    <row r="982" customFormat="false" ht="15" hidden="false" customHeight="false" outlineLevel="0" collapsed="false">
      <c r="A982" s="43" t="n">
        <v>46247</v>
      </c>
      <c r="B982" s="29" t="n">
        <f aca="false">COUNTIFS(Trades!$D$2:$D$1146,$A982)</f>
        <v>1</v>
      </c>
      <c r="C982" s="29" t="n">
        <f aca="false">COUNTIFS(Trades!$D$2:$D$1146,$A982,Trades!$Z$2:$Z$1146,"Win")</f>
        <v>1</v>
      </c>
      <c r="D982" s="29" t="n">
        <f aca="false">COUNTIFS(Trades!$D$2:$D$1146,$A982,Trades!$Z$2:$Z$1146,"Loss")</f>
        <v>0</v>
      </c>
      <c r="E982" s="30" t="n">
        <f aca="false">IFERROR(C982/B982,0)</f>
        <v>1</v>
      </c>
      <c r="F982" s="31" t="n">
        <f aca="false">SUMIFS(Trades!$X$2:$X$1146,Trades!$D$2:$D$1146,$A982)</f>
        <v>275.43</v>
      </c>
      <c r="G982" s="31" t="n">
        <f aca="false">SUMIFS(Trades!$X$2:$X$1146,Trades!$D$2:$D$1146,$A982,Trades!$X$2:$X$1146,"&gt;0")</f>
        <v>275.43</v>
      </c>
      <c r="H982" s="31" t="n">
        <f aca="false">SUMIFS(Trades!$X$2:$X$1146,Trades!$D$2:$D$1146,$A982,Trades!$X$2:$X$1146,"&lt;0")</f>
        <v>0</v>
      </c>
      <c r="I982" s="32" t="str">
        <f aca="false">IFERROR(G982/-H982,"no loss")</f>
        <v>no loss</v>
      </c>
      <c r="J982" s="31" t="n">
        <f aca="false">_xlfn.MAXIFS(Trades!$X$2:$X$1146,Trades!$D$2:$D$1146,$A982)</f>
        <v>275.43</v>
      </c>
      <c r="K982" s="31" t="n">
        <f aca="false">_xlfn.MINIFS(Trades!$X$2:$X$1146,Trades!$D$2:$D$1146,$A982)</f>
        <v>275.43</v>
      </c>
      <c r="L982" s="33" t="n">
        <f aca="false">SUMIFS(Trades!$Y$2:$Y$1146,Trades!$D$2:$D$1146,$A982)</f>
        <v>2.45415664260894</v>
      </c>
      <c r="M982" s="31" t="n">
        <f aca="false">P981</f>
        <v>23280.96</v>
      </c>
      <c r="N982" s="30" t="n">
        <f aca="false">IFERROR(F982/M982,0)</f>
        <v>0.0118306977031875</v>
      </c>
      <c r="O982" s="29" t="str">
        <f aca="false">IF(-N982&gt;=Summary!$C$7,"BREACH","")</f>
        <v/>
      </c>
      <c r="P982" s="31" t="n">
        <f aca="false">M982+F982</f>
        <v>23556.39</v>
      </c>
      <c r="Q982" s="31" t="n">
        <f aca="false">P982-Summary!$C$5</f>
        <v>13556.39</v>
      </c>
      <c r="R982" s="2" t="str">
        <f aca="false">TEXT(A982,"ddd")</f>
        <v>Thu</v>
      </c>
    </row>
    <row r="983" customFormat="false" ht="15" hidden="false" customHeight="false" outlineLevel="0" collapsed="false">
      <c r="A983" s="43" t="n">
        <v>46248</v>
      </c>
      <c r="B983" s="29" t="n">
        <f aca="false">COUNTIFS(Trades!$D$2:$D$1146,$A983)</f>
        <v>1</v>
      </c>
      <c r="C983" s="29" t="n">
        <f aca="false">COUNTIFS(Trades!$D$2:$D$1146,$A983,Trades!$Z$2:$Z$1146,"Win")</f>
        <v>0</v>
      </c>
      <c r="D983" s="29" t="n">
        <f aca="false">COUNTIFS(Trades!$D$2:$D$1146,$A983,Trades!$Z$2:$Z$1146,"Loss")</f>
        <v>1</v>
      </c>
      <c r="E983" s="30" t="n">
        <f aca="false">IFERROR(C983/B983,0)</f>
        <v>0</v>
      </c>
      <c r="F983" s="31" t="n">
        <f aca="false">SUMIFS(Trades!$X$2:$X$1146,Trades!$D$2:$D$1146,$A983)</f>
        <v>-11.94</v>
      </c>
      <c r="G983" s="31" t="n">
        <f aca="false">SUMIFS(Trades!$X$2:$X$1146,Trades!$D$2:$D$1146,$A983,Trades!$X$2:$X$1146,"&gt;0")</f>
        <v>0</v>
      </c>
      <c r="H983" s="31" t="n">
        <f aca="false">SUMIFS(Trades!$X$2:$X$1146,Trades!$D$2:$D$1146,$A983,Trades!$X$2:$X$1146,"&lt;0")</f>
        <v>-11.94</v>
      </c>
      <c r="I983" s="32" t="n">
        <f aca="false">IFERROR(G983/-H983,"no loss")</f>
        <v>0</v>
      </c>
      <c r="J983" s="31" t="n">
        <f aca="false">_xlfn.MAXIFS(Trades!$X$2:$X$1146,Trades!$D$2:$D$1146,$A983)</f>
        <v>-11.94</v>
      </c>
      <c r="K983" s="31" t="n">
        <f aca="false">_xlfn.MINIFS(Trades!$X$2:$X$1146,Trades!$D$2:$D$1146,$A983)</f>
        <v>-11.94</v>
      </c>
      <c r="L983" s="33" t="n">
        <f aca="false">SUMIFS(Trades!$Y$2:$Y$1146,Trades!$D$2:$D$1146,$A983)</f>
        <v>-1.03645833333329</v>
      </c>
      <c r="M983" s="31" t="n">
        <f aca="false">P982</f>
        <v>23556.39</v>
      </c>
      <c r="N983" s="30" t="n">
        <f aca="false">IFERROR(F983/M983,0)</f>
        <v>-0.000506868836863373</v>
      </c>
      <c r="O983" s="29" t="str">
        <f aca="false">IF(-N983&gt;=Summary!$C$7,"BREACH","")</f>
        <v/>
      </c>
      <c r="P983" s="31" t="n">
        <f aca="false">M983+F983</f>
        <v>23544.45</v>
      </c>
      <c r="Q983" s="31" t="n">
        <f aca="false">P983-Summary!$C$5</f>
        <v>13544.45</v>
      </c>
      <c r="R983" s="2" t="str">
        <f aca="false">TEXT(A983,"ddd")</f>
        <v>Fri</v>
      </c>
    </row>
    <row r="984" customFormat="false" ht="15" hidden="false" customHeight="false" outlineLevel="0" collapsed="false">
      <c r="A984" s="43" t="n">
        <v>46251</v>
      </c>
      <c r="B984" s="29" t="n">
        <f aca="false">COUNTIFS(Trades!$D$2:$D$1146,$A984)</f>
        <v>1</v>
      </c>
      <c r="C984" s="29" t="n">
        <f aca="false">COUNTIFS(Trades!$D$2:$D$1146,$A984,Trades!$Z$2:$Z$1146,"Win")</f>
        <v>1</v>
      </c>
      <c r="D984" s="29" t="n">
        <f aca="false">COUNTIFS(Trades!$D$2:$D$1146,$A984,Trades!$Z$2:$Z$1146,"Loss")</f>
        <v>0</v>
      </c>
      <c r="E984" s="30" t="n">
        <f aca="false">IFERROR(C984/B984,0)</f>
        <v>1</v>
      </c>
      <c r="F984" s="31" t="n">
        <f aca="false">SUMIFS(Trades!$X$2:$X$1146,Trades!$D$2:$D$1146,$A984)</f>
        <v>40.77</v>
      </c>
      <c r="G984" s="31" t="n">
        <f aca="false">SUMIFS(Trades!$X$2:$X$1146,Trades!$D$2:$D$1146,$A984,Trades!$X$2:$X$1146,"&gt;0")</f>
        <v>40.77</v>
      </c>
      <c r="H984" s="31" t="n">
        <f aca="false">SUMIFS(Trades!$X$2:$X$1146,Trades!$D$2:$D$1146,$A984,Trades!$X$2:$X$1146,"&lt;0")</f>
        <v>0</v>
      </c>
      <c r="I984" s="32" t="str">
        <f aca="false">IFERROR(G984/-H984,"no loss")</f>
        <v>no loss</v>
      </c>
      <c r="J984" s="31" t="n">
        <f aca="false">_xlfn.MAXIFS(Trades!$X$2:$X$1146,Trades!$D$2:$D$1146,$A984)</f>
        <v>40.77</v>
      </c>
      <c r="K984" s="31" t="n">
        <f aca="false">_xlfn.MINIFS(Trades!$X$2:$X$1146,Trades!$D$2:$D$1146,$A984)</f>
        <v>40.77</v>
      </c>
      <c r="L984" s="33" t="n">
        <f aca="false">SUMIFS(Trades!$Y$2:$Y$1146,Trades!$D$2:$D$1146,$A984)</f>
        <v>2.45750452079456</v>
      </c>
      <c r="M984" s="31" t="n">
        <f aca="false">P983</f>
        <v>23544.45</v>
      </c>
      <c r="N984" s="30" t="n">
        <f aca="false">IFERROR(F984/M984,0)</f>
        <v>0.00173161827946714</v>
      </c>
      <c r="O984" s="29" t="str">
        <f aca="false">IF(-N984&gt;=Summary!$C$7,"BREACH","")</f>
        <v/>
      </c>
      <c r="P984" s="31" t="n">
        <f aca="false">M984+F984</f>
        <v>23585.22</v>
      </c>
      <c r="Q984" s="31" t="n">
        <f aca="false">P984-Summary!$C$5</f>
        <v>13585.22</v>
      </c>
      <c r="R984" s="2" t="str">
        <f aca="false">TEXT(A984,"ddd")</f>
        <v>Mon</v>
      </c>
    </row>
    <row r="985" customFormat="false" ht="15" hidden="false" customHeight="false" outlineLevel="0" collapsed="false">
      <c r="A985" s="43" t="n">
        <v>46252</v>
      </c>
      <c r="B985" s="29" t="n">
        <f aca="false">COUNTIFS(Trades!$D$2:$D$1146,$A985)</f>
        <v>1</v>
      </c>
      <c r="C985" s="29" t="n">
        <f aca="false">COUNTIFS(Trades!$D$2:$D$1146,$A985,Trades!$Z$2:$Z$1146,"Win")</f>
        <v>0</v>
      </c>
      <c r="D985" s="29" t="n">
        <f aca="false">COUNTIFS(Trades!$D$2:$D$1146,$A985,Trades!$Z$2:$Z$1146,"Loss")</f>
        <v>1</v>
      </c>
      <c r="E985" s="30" t="n">
        <f aca="false">IFERROR(C985/B985,0)</f>
        <v>0</v>
      </c>
      <c r="F985" s="31" t="n">
        <f aca="false">SUMIFS(Trades!$X$2:$X$1146,Trades!$D$2:$D$1146,$A985)</f>
        <v>-22.62</v>
      </c>
      <c r="G985" s="31" t="n">
        <f aca="false">SUMIFS(Trades!$X$2:$X$1146,Trades!$D$2:$D$1146,$A985,Trades!$X$2:$X$1146,"&gt;0")</f>
        <v>0</v>
      </c>
      <c r="H985" s="31" t="n">
        <f aca="false">SUMIFS(Trades!$X$2:$X$1146,Trades!$D$2:$D$1146,$A985,Trades!$X$2:$X$1146,"&lt;0")</f>
        <v>-22.62</v>
      </c>
      <c r="I985" s="32" t="n">
        <f aca="false">IFERROR(G985/-H985,"no loss")</f>
        <v>0</v>
      </c>
      <c r="J985" s="31" t="n">
        <f aca="false">_xlfn.MAXIFS(Trades!$X$2:$X$1146,Trades!$D$2:$D$1146,$A985)</f>
        <v>-22.62</v>
      </c>
      <c r="K985" s="31" t="n">
        <f aca="false">_xlfn.MINIFS(Trades!$X$2:$X$1146,Trades!$D$2:$D$1146,$A985)</f>
        <v>-22.62</v>
      </c>
      <c r="L985" s="33" t="n">
        <f aca="false">SUMIFS(Trades!$Y$2:$Y$1146,Trades!$D$2:$D$1146,$A985)</f>
        <v>-1.02029769959362</v>
      </c>
      <c r="M985" s="31" t="n">
        <f aca="false">P984</f>
        <v>23585.22</v>
      </c>
      <c r="N985" s="30" t="n">
        <f aca="false">IFERROR(F985/M985,0)</f>
        <v>-0.000959075217445502</v>
      </c>
      <c r="O985" s="29" t="str">
        <f aca="false">IF(-N985&gt;=Summary!$C$7,"BREACH","")</f>
        <v/>
      </c>
      <c r="P985" s="31" t="n">
        <f aca="false">M985+F985</f>
        <v>23562.6</v>
      </c>
      <c r="Q985" s="31" t="n">
        <f aca="false">P985-Summary!$C$5</f>
        <v>13562.6</v>
      </c>
      <c r="R985" s="2" t="str">
        <f aca="false">TEXT(A985,"ddd")</f>
        <v>Tue</v>
      </c>
    </row>
    <row r="986" customFormat="false" ht="15" hidden="false" customHeight="false" outlineLevel="0" collapsed="false">
      <c r="A986" s="43" t="n">
        <v>46253</v>
      </c>
      <c r="B986" s="29" t="n">
        <f aca="false">COUNTIFS(Trades!$D$2:$D$1146,$A986)</f>
        <v>1</v>
      </c>
      <c r="C986" s="29" t="n">
        <f aca="false">COUNTIFS(Trades!$D$2:$D$1146,$A986,Trades!$Z$2:$Z$1146,"Win")</f>
        <v>0</v>
      </c>
      <c r="D986" s="29" t="n">
        <f aca="false">COUNTIFS(Trades!$D$2:$D$1146,$A986,Trades!$Z$2:$Z$1146,"Loss")</f>
        <v>1</v>
      </c>
      <c r="E986" s="30" t="n">
        <f aca="false">IFERROR(C986/B986,0)</f>
        <v>0</v>
      </c>
      <c r="F986" s="31" t="n">
        <f aca="false">SUMIFS(Trades!$X$2:$X$1146,Trades!$D$2:$D$1146,$A986)</f>
        <v>-67.96</v>
      </c>
      <c r="G986" s="31" t="n">
        <f aca="false">SUMIFS(Trades!$X$2:$X$1146,Trades!$D$2:$D$1146,$A986,Trades!$X$2:$X$1146,"&gt;0")</f>
        <v>0</v>
      </c>
      <c r="H986" s="31" t="n">
        <f aca="false">SUMIFS(Trades!$X$2:$X$1146,Trades!$D$2:$D$1146,$A986,Trades!$X$2:$X$1146,"&lt;0")</f>
        <v>-67.96</v>
      </c>
      <c r="I986" s="32" t="n">
        <f aca="false">IFERROR(G986/-H986,"no loss")</f>
        <v>0</v>
      </c>
      <c r="J986" s="31" t="n">
        <f aca="false">_xlfn.MAXIFS(Trades!$X$2:$X$1146,Trades!$D$2:$D$1146,$A986)</f>
        <v>-67.96</v>
      </c>
      <c r="K986" s="31" t="n">
        <f aca="false">_xlfn.MINIFS(Trades!$X$2:$X$1146,Trades!$D$2:$D$1146,$A986)</f>
        <v>-67.96</v>
      </c>
      <c r="L986" s="33" t="n">
        <f aca="false">SUMIFS(Trades!$Y$2:$Y$1146,Trades!$D$2:$D$1146,$A986)</f>
        <v>-1.00354400472532</v>
      </c>
      <c r="M986" s="31" t="n">
        <f aca="false">P985</f>
        <v>23562.6</v>
      </c>
      <c r="N986" s="30" t="n">
        <f aca="false">IFERROR(F986/M986,0)</f>
        <v>-0.00288423179105871</v>
      </c>
      <c r="O986" s="29" t="str">
        <f aca="false">IF(-N986&gt;=Summary!$C$7,"BREACH","")</f>
        <v/>
      </c>
      <c r="P986" s="31" t="n">
        <f aca="false">M986+F986</f>
        <v>23494.64</v>
      </c>
      <c r="Q986" s="31" t="n">
        <f aca="false">P986-Summary!$C$5</f>
        <v>13494.64</v>
      </c>
      <c r="R986" s="2" t="str">
        <f aca="false">TEXT(A986,"ddd")</f>
        <v>Wed</v>
      </c>
    </row>
    <row r="987" customFormat="false" ht="15" hidden="false" customHeight="false" outlineLevel="0" collapsed="false">
      <c r="A987" s="43" t="n">
        <v>46254</v>
      </c>
      <c r="B987" s="29" t="n">
        <f aca="false">COUNTIFS(Trades!$D$2:$D$1146,$A987)</f>
        <v>1</v>
      </c>
      <c r="C987" s="29" t="n">
        <f aca="false">COUNTIFS(Trades!$D$2:$D$1146,$A987,Trades!$Z$2:$Z$1146,"Win")</f>
        <v>1</v>
      </c>
      <c r="D987" s="29" t="n">
        <f aca="false">COUNTIFS(Trades!$D$2:$D$1146,$A987,Trades!$Z$2:$Z$1146,"Loss")</f>
        <v>0</v>
      </c>
      <c r="E987" s="30" t="n">
        <f aca="false">IFERROR(C987/B987,0)</f>
        <v>1</v>
      </c>
      <c r="F987" s="31" t="n">
        <f aca="false">SUMIFS(Trades!$X$2:$X$1146,Trades!$D$2:$D$1146,$A987)</f>
        <v>186.56</v>
      </c>
      <c r="G987" s="31" t="n">
        <f aca="false">SUMIFS(Trades!$X$2:$X$1146,Trades!$D$2:$D$1146,$A987,Trades!$X$2:$X$1146,"&gt;0")</f>
        <v>186.56</v>
      </c>
      <c r="H987" s="31" t="n">
        <f aca="false">SUMIFS(Trades!$X$2:$X$1146,Trades!$D$2:$D$1146,$A987,Trades!$X$2:$X$1146,"&lt;0")</f>
        <v>0</v>
      </c>
      <c r="I987" s="32" t="str">
        <f aca="false">IFERROR(G987/-H987,"no loss")</f>
        <v>no loss</v>
      </c>
      <c r="J987" s="31" t="n">
        <f aca="false">_xlfn.MAXIFS(Trades!$X$2:$X$1146,Trades!$D$2:$D$1146,$A987)</f>
        <v>186.56</v>
      </c>
      <c r="K987" s="31" t="n">
        <f aca="false">_xlfn.MINIFS(Trades!$X$2:$X$1146,Trades!$D$2:$D$1146,$A987)</f>
        <v>186.56</v>
      </c>
      <c r="L987" s="33" t="n">
        <f aca="false">SUMIFS(Trades!$Y$2:$Y$1146,Trades!$D$2:$D$1146,$A987)</f>
        <v>2.57111356119082</v>
      </c>
      <c r="M987" s="31" t="n">
        <f aca="false">P986</f>
        <v>23494.64</v>
      </c>
      <c r="N987" s="30" t="n">
        <f aca="false">IFERROR(F987/M987,0)</f>
        <v>0.00794053452191649</v>
      </c>
      <c r="O987" s="29" t="str">
        <f aca="false">IF(-N987&gt;=Summary!$C$7,"BREACH","")</f>
        <v/>
      </c>
      <c r="P987" s="31" t="n">
        <f aca="false">M987+F987</f>
        <v>23681.2</v>
      </c>
      <c r="Q987" s="31" t="n">
        <f aca="false">P987-Summary!$C$5</f>
        <v>13681.2</v>
      </c>
      <c r="R987" s="2" t="str">
        <f aca="false">TEXT(A987,"ddd")</f>
        <v>Thu</v>
      </c>
    </row>
    <row r="988" customFormat="false" ht="15" hidden="false" customHeight="false" outlineLevel="0" collapsed="false">
      <c r="A988" s="43" t="n">
        <v>46258</v>
      </c>
      <c r="B988" s="29" t="n">
        <f aca="false">COUNTIFS(Trades!$D$2:$D$1146,$A988)</f>
        <v>1</v>
      </c>
      <c r="C988" s="29" t="n">
        <f aca="false">COUNTIFS(Trades!$D$2:$D$1146,$A988,Trades!$Z$2:$Z$1146,"Win")</f>
        <v>0</v>
      </c>
      <c r="D988" s="29" t="n">
        <f aca="false">COUNTIFS(Trades!$D$2:$D$1146,$A988,Trades!$Z$2:$Z$1146,"Loss")</f>
        <v>1</v>
      </c>
      <c r="E988" s="30" t="n">
        <f aca="false">IFERROR(C988/B988,0)</f>
        <v>0</v>
      </c>
      <c r="F988" s="31" t="n">
        <f aca="false">SUMIFS(Trades!$X$2:$X$1146,Trades!$D$2:$D$1146,$A988)</f>
        <v>-46.28</v>
      </c>
      <c r="G988" s="31" t="n">
        <f aca="false">SUMIFS(Trades!$X$2:$X$1146,Trades!$D$2:$D$1146,$A988,Trades!$X$2:$X$1146,"&gt;0")</f>
        <v>0</v>
      </c>
      <c r="H988" s="31" t="n">
        <f aca="false">SUMIFS(Trades!$X$2:$X$1146,Trades!$D$2:$D$1146,$A988,Trades!$X$2:$X$1146,"&lt;0")</f>
        <v>-46.28</v>
      </c>
      <c r="I988" s="32" t="n">
        <f aca="false">IFERROR(G988/-H988,"no loss")</f>
        <v>0</v>
      </c>
      <c r="J988" s="31" t="n">
        <f aca="false">_xlfn.MAXIFS(Trades!$X$2:$X$1146,Trades!$D$2:$D$1146,$A988)</f>
        <v>-46.28</v>
      </c>
      <c r="K988" s="31" t="n">
        <f aca="false">_xlfn.MINIFS(Trades!$X$2:$X$1146,Trades!$D$2:$D$1146,$A988)</f>
        <v>-46.28</v>
      </c>
      <c r="L988" s="33" t="n">
        <f aca="false">SUMIFS(Trades!$Y$2:$Y$1146,Trades!$D$2:$D$1146,$A988)</f>
        <v>-1.12003872216865</v>
      </c>
      <c r="M988" s="31" t="n">
        <f aca="false">P987</f>
        <v>23681.2</v>
      </c>
      <c r="N988" s="30" t="n">
        <f aca="false">IFERROR(F988/M988,0)</f>
        <v>-0.00195429285678091</v>
      </c>
      <c r="O988" s="29" t="str">
        <f aca="false">IF(-N988&gt;=Summary!$C$7,"BREACH","")</f>
        <v/>
      </c>
      <c r="P988" s="31" t="n">
        <f aca="false">M988+F988</f>
        <v>23634.92</v>
      </c>
      <c r="Q988" s="31" t="n">
        <f aca="false">P988-Summary!$C$5</f>
        <v>13634.92</v>
      </c>
      <c r="R988" s="2" t="str">
        <f aca="false">TEXT(A988,"ddd")</f>
        <v>Mon</v>
      </c>
    </row>
    <row r="989" customFormat="false" ht="15" hidden="false" customHeight="false" outlineLevel="0" collapsed="false">
      <c r="A989" s="43" t="n">
        <v>46261</v>
      </c>
      <c r="B989" s="29" t="n">
        <f aca="false">COUNTIFS(Trades!$D$2:$D$1146,$A989)</f>
        <v>1</v>
      </c>
      <c r="C989" s="29" t="n">
        <f aca="false">COUNTIFS(Trades!$D$2:$D$1146,$A989,Trades!$Z$2:$Z$1146,"Win")</f>
        <v>1</v>
      </c>
      <c r="D989" s="29" t="n">
        <f aca="false">COUNTIFS(Trades!$D$2:$D$1146,$A989,Trades!$Z$2:$Z$1146,"Loss")</f>
        <v>0</v>
      </c>
      <c r="E989" s="30" t="n">
        <f aca="false">IFERROR(C989/B989,0)</f>
        <v>1</v>
      </c>
      <c r="F989" s="31" t="n">
        <f aca="false">SUMIFS(Trades!$X$2:$X$1146,Trades!$D$2:$D$1146,$A989)</f>
        <v>415.48</v>
      </c>
      <c r="G989" s="31" t="n">
        <f aca="false">SUMIFS(Trades!$X$2:$X$1146,Trades!$D$2:$D$1146,$A989,Trades!$X$2:$X$1146,"&gt;0")</f>
        <v>415.48</v>
      </c>
      <c r="H989" s="31" t="n">
        <f aca="false">SUMIFS(Trades!$X$2:$X$1146,Trades!$D$2:$D$1146,$A989,Trades!$X$2:$X$1146,"&lt;0")</f>
        <v>0</v>
      </c>
      <c r="I989" s="32" t="str">
        <f aca="false">IFERROR(G989/-H989,"no loss")</f>
        <v>no loss</v>
      </c>
      <c r="J989" s="31" t="n">
        <f aca="false">_xlfn.MAXIFS(Trades!$X$2:$X$1146,Trades!$D$2:$D$1146,$A989)</f>
        <v>415.48</v>
      </c>
      <c r="K989" s="31" t="n">
        <f aca="false">_xlfn.MINIFS(Trades!$X$2:$X$1146,Trades!$D$2:$D$1146,$A989)</f>
        <v>415.48</v>
      </c>
      <c r="L989" s="33" t="n">
        <f aca="false">SUMIFS(Trades!$Y$2:$Y$1146,Trades!$D$2:$D$1146,$A989)</f>
        <v>2.3574670903313</v>
      </c>
      <c r="M989" s="31" t="n">
        <f aca="false">P988</f>
        <v>23634.92</v>
      </c>
      <c r="N989" s="30" t="n">
        <f aca="false">IFERROR(F989/M989,0)</f>
        <v>0.0175790736757307</v>
      </c>
      <c r="O989" s="29" t="str">
        <f aca="false">IF(-N989&gt;=Summary!$C$7,"BREACH","")</f>
        <v/>
      </c>
      <c r="P989" s="31" t="n">
        <f aca="false">M989+F989</f>
        <v>24050.4</v>
      </c>
      <c r="Q989" s="31" t="n">
        <f aca="false">P989-Summary!$C$5</f>
        <v>14050.4</v>
      </c>
      <c r="R989" s="2" t="str">
        <f aca="false">TEXT(A989,"ddd")</f>
        <v>Thu</v>
      </c>
    </row>
    <row r="990" customFormat="false" ht="15" hidden="false" customHeight="false" outlineLevel="0" collapsed="false">
      <c r="A990" s="43" t="n">
        <v>46262</v>
      </c>
      <c r="B990" s="29" t="n">
        <f aca="false">COUNTIFS(Trades!$D$2:$D$1146,$A990)</f>
        <v>1</v>
      </c>
      <c r="C990" s="29" t="n">
        <f aca="false">COUNTIFS(Trades!$D$2:$D$1146,$A990,Trades!$Z$2:$Z$1146,"Win")</f>
        <v>0</v>
      </c>
      <c r="D990" s="29" t="n">
        <f aca="false">COUNTIFS(Trades!$D$2:$D$1146,$A990,Trades!$Z$2:$Z$1146,"Loss")</f>
        <v>1</v>
      </c>
      <c r="E990" s="30" t="n">
        <f aca="false">IFERROR(C990/B990,0)</f>
        <v>0</v>
      </c>
      <c r="F990" s="31" t="n">
        <f aca="false">SUMIFS(Trades!$X$2:$X$1146,Trades!$D$2:$D$1146,$A990)</f>
        <v>-30.32</v>
      </c>
      <c r="G990" s="31" t="n">
        <f aca="false">SUMIFS(Trades!$X$2:$X$1146,Trades!$D$2:$D$1146,$A990,Trades!$X$2:$X$1146,"&gt;0")</f>
        <v>0</v>
      </c>
      <c r="H990" s="31" t="n">
        <f aca="false">SUMIFS(Trades!$X$2:$X$1146,Trades!$D$2:$D$1146,$A990,Trades!$X$2:$X$1146,"&lt;0")</f>
        <v>-30.32</v>
      </c>
      <c r="I990" s="32" t="n">
        <f aca="false">IFERROR(G990/-H990,"no loss")</f>
        <v>0</v>
      </c>
      <c r="J990" s="31" t="n">
        <f aca="false">_xlfn.MAXIFS(Trades!$X$2:$X$1146,Trades!$D$2:$D$1146,$A990)</f>
        <v>-30.32</v>
      </c>
      <c r="K990" s="31" t="n">
        <f aca="false">_xlfn.MINIFS(Trades!$X$2:$X$1146,Trades!$D$2:$D$1146,$A990)</f>
        <v>-30.32</v>
      </c>
      <c r="L990" s="33" t="n">
        <f aca="false">SUMIFS(Trades!$Y$2:$Y$1146,Trades!$D$2:$D$1146,$A990)</f>
        <v>-1.0120160213616</v>
      </c>
      <c r="M990" s="31" t="n">
        <f aca="false">P989</f>
        <v>24050.4</v>
      </c>
      <c r="N990" s="30" t="n">
        <f aca="false">IFERROR(F990/M990,0)</f>
        <v>-0.00126068589295812</v>
      </c>
      <c r="O990" s="29" t="str">
        <f aca="false">IF(-N990&gt;=Summary!$C$7,"BREACH","")</f>
        <v/>
      </c>
      <c r="P990" s="31" t="n">
        <f aca="false">M990+F990</f>
        <v>24020.08</v>
      </c>
      <c r="Q990" s="31" t="n">
        <f aca="false">P990-Summary!$C$5</f>
        <v>14020.08</v>
      </c>
      <c r="R990" s="2" t="str">
        <f aca="false">TEXT(A990,"ddd")</f>
        <v>Fri</v>
      </c>
    </row>
    <row r="991" customFormat="false" ht="15" hidden="false" customHeight="false" outlineLevel="0" collapsed="false">
      <c r="A991" s="43" t="n">
        <v>46265</v>
      </c>
      <c r="B991" s="29" t="n">
        <f aca="false">COUNTIFS(Trades!$D$2:$D$1146,$A991)</f>
        <v>1</v>
      </c>
      <c r="C991" s="29" t="n">
        <f aca="false">COUNTIFS(Trades!$D$2:$D$1146,$A991,Trades!$Z$2:$Z$1146,"Win")</f>
        <v>0</v>
      </c>
      <c r="D991" s="29" t="n">
        <f aca="false">COUNTIFS(Trades!$D$2:$D$1146,$A991,Trades!$Z$2:$Z$1146,"Loss")</f>
        <v>1</v>
      </c>
      <c r="E991" s="30" t="n">
        <f aca="false">IFERROR(C991/B991,0)</f>
        <v>0</v>
      </c>
      <c r="F991" s="31" t="n">
        <f aca="false">SUMIFS(Trades!$X$2:$X$1146,Trades!$D$2:$D$1146,$A991)</f>
        <v>-54.24</v>
      </c>
      <c r="G991" s="31" t="n">
        <f aca="false">SUMIFS(Trades!$X$2:$X$1146,Trades!$D$2:$D$1146,$A991,Trades!$X$2:$X$1146,"&gt;0")</f>
        <v>0</v>
      </c>
      <c r="H991" s="31" t="n">
        <f aca="false">SUMIFS(Trades!$X$2:$X$1146,Trades!$D$2:$D$1146,$A991,Trades!$X$2:$X$1146,"&lt;0")</f>
        <v>-54.24</v>
      </c>
      <c r="I991" s="32" t="n">
        <f aca="false">IFERROR(G991/-H991,"no loss")</f>
        <v>0</v>
      </c>
      <c r="J991" s="31" t="n">
        <f aca="false">_xlfn.MAXIFS(Trades!$X$2:$X$1146,Trades!$D$2:$D$1146,$A991)</f>
        <v>-54.24</v>
      </c>
      <c r="K991" s="31" t="n">
        <f aca="false">_xlfn.MINIFS(Trades!$X$2:$X$1146,Trades!$D$2:$D$1146,$A991)</f>
        <v>-54.24</v>
      </c>
      <c r="L991" s="33" t="n">
        <f aca="false">SUMIFS(Trades!$Y$2:$Y$1146,Trades!$D$2:$D$1146,$A991)</f>
        <v>-1.22382671480125</v>
      </c>
      <c r="M991" s="31" t="n">
        <f aca="false">P990</f>
        <v>24020.08</v>
      </c>
      <c r="N991" s="30" t="n">
        <f aca="false">IFERROR(F991/M991,0)</f>
        <v>-0.00225811071403592</v>
      </c>
      <c r="O991" s="29" t="str">
        <f aca="false">IF(-N991&gt;=Summary!$C$7,"BREACH","")</f>
        <v/>
      </c>
      <c r="P991" s="31" t="n">
        <f aca="false">M991+F991</f>
        <v>23965.84</v>
      </c>
      <c r="Q991" s="31" t="n">
        <f aca="false">P991-Summary!$C$5</f>
        <v>13965.84</v>
      </c>
      <c r="R991" s="2" t="str">
        <f aca="false">TEXT(A991,"ddd")</f>
        <v>Mon</v>
      </c>
    </row>
    <row r="992" customFormat="false" ht="15" hidden="false" customHeight="false" outlineLevel="0" collapsed="false">
      <c r="A992" s="43" t="n">
        <v>46266</v>
      </c>
      <c r="B992" s="29" t="n">
        <f aca="false">COUNTIFS(Trades!$D$2:$D$1146,$A992)</f>
        <v>2</v>
      </c>
      <c r="C992" s="29" t="n">
        <f aca="false">COUNTIFS(Trades!$D$2:$D$1146,$A992,Trades!$Z$2:$Z$1146,"Win")</f>
        <v>1</v>
      </c>
      <c r="D992" s="29" t="n">
        <f aca="false">COUNTIFS(Trades!$D$2:$D$1146,$A992,Trades!$Z$2:$Z$1146,"Loss")</f>
        <v>0</v>
      </c>
      <c r="E992" s="30" t="n">
        <f aca="false">IFERROR(C992/B992,0)</f>
        <v>0.5</v>
      </c>
      <c r="F992" s="31" t="n">
        <f aca="false">SUMIFS(Trades!$X$2:$X$1146,Trades!$D$2:$D$1146,$A992)</f>
        <v>69.84</v>
      </c>
      <c r="G992" s="31" t="n">
        <f aca="false">SUMIFS(Trades!$X$2:$X$1146,Trades!$D$2:$D$1146,$A992,Trades!$X$2:$X$1146,"&gt;0")</f>
        <v>69.84</v>
      </c>
      <c r="H992" s="31" t="n">
        <f aca="false">SUMIFS(Trades!$X$2:$X$1146,Trades!$D$2:$D$1146,$A992,Trades!$X$2:$X$1146,"&lt;0")</f>
        <v>0</v>
      </c>
      <c r="I992" s="32" t="str">
        <f aca="false">IFERROR(G992/-H992,"no loss")</f>
        <v>no loss</v>
      </c>
      <c r="J992" s="31" t="n">
        <f aca="false">_xlfn.MAXIFS(Trades!$X$2:$X$1146,Trades!$D$2:$D$1146,$A992)</f>
        <v>69.84</v>
      </c>
      <c r="K992" s="31" t="n">
        <f aca="false">_xlfn.MINIFS(Trades!$X$2:$X$1146,Trades!$D$2:$D$1146,$A992)</f>
        <v>0</v>
      </c>
      <c r="L992" s="33" t="n">
        <f aca="false">SUMIFS(Trades!$Y$2:$Y$1146,Trades!$D$2:$D$1146,$A992)</f>
        <v>2.51948051948041</v>
      </c>
      <c r="M992" s="31" t="n">
        <f aca="false">P991</f>
        <v>23965.84</v>
      </c>
      <c r="N992" s="30" t="n">
        <f aca="false">IFERROR(F992/M992,0)</f>
        <v>0.00291414780370728</v>
      </c>
      <c r="O992" s="29" t="str">
        <f aca="false">IF(-N992&gt;=Summary!$C$7,"BREACH","")</f>
        <v/>
      </c>
      <c r="P992" s="31" t="n">
        <f aca="false">M992+F992</f>
        <v>24035.68</v>
      </c>
      <c r="Q992" s="31" t="n">
        <f aca="false">P992-Summary!$C$5</f>
        <v>14035.68</v>
      </c>
      <c r="R992" s="2" t="str">
        <f aca="false">TEXT(A992,"ddd")</f>
        <v>Tue</v>
      </c>
    </row>
    <row r="993" customFormat="false" ht="15" hidden="false" customHeight="false" outlineLevel="0" collapsed="false">
      <c r="A993" s="43" t="n">
        <v>46267</v>
      </c>
      <c r="B993" s="29" t="n">
        <f aca="false">COUNTIFS(Trades!$D$2:$D$1146,$A993)</f>
        <v>1</v>
      </c>
      <c r="C993" s="29" t="n">
        <f aca="false">COUNTIFS(Trades!$D$2:$D$1146,$A993,Trades!$Z$2:$Z$1146,"Win")</f>
        <v>1</v>
      </c>
      <c r="D993" s="29" t="n">
        <f aca="false">COUNTIFS(Trades!$D$2:$D$1146,$A993,Trades!$Z$2:$Z$1146,"Loss")</f>
        <v>0</v>
      </c>
      <c r="E993" s="30" t="n">
        <f aca="false">IFERROR(C993/B993,0)</f>
        <v>1</v>
      </c>
      <c r="F993" s="31" t="n">
        <f aca="false">SUMIFS(Trades!$X$2:$X$1146,Trades!$D$2:$D$1146,$A993)</f>
        <v>107.6</v>
      </c>
      <c r="G993" s="31" t="n">
        <f aca="false">SUMIFS(Trades!$X$2:$X$1146,Trades!$D$2:$D$1146,$A993,Trades!$X$2:$X$1146,"&gt;0")</f>
        <v>107.6</v>
      </c>
      <c r="H993" s="31" t="n">
        <f aca="false">SUMIFS(Trades!$X$2:$X$1146,Trades!$D$2:$D$1146,$A993,Trades!$X$2:$X$1146,"&lt;0")</f>
        <v>0</v>
      </c>
      <c r="I993" s="32" t="str">
        <f aca="false">IFERROR(G993/-H993,"no loss")</f>
        <v>no loss</v>
      </c>
      <c r="J993" s="31" t="n">
        <f aca="false">_xlfn.MAXIFS(Trades!$X$2:$X$1146,Trades!$D$2:$D$1146,$A993)</f>
        <v>107.6</v>
      </c>
      <c r="K993" s="31" t="n">
        <f aca="false">_xlfn.MINIFS(Trades!$X$2:$X$1146,Trades!$D$2:$D$1146,$A993)</f>
        <v>107.6</v>
      </c>
      <c r="L993" s="33" t="n">
        <f aca="false">SUMIFS(Trades!$Y$2:$Y$1146,Trades!$D$2:$D$1146,$A993)</f>
        <v>2.48154981549812</v>
      </c>
      <c r="M993" s="31" t="n">
        <f aca="false">P992</f>
        <v>24035.68</v>
      </c>
      <c r="N993" s="30" t="n">
        <f aca="false">IFERROR(F993/M993,0)</f>
        <v>0.00447667800536535</v>
      </c>
      <c r="O993" s="29" t="str">
        <f aca="false">IF(-N993&gt;=Summary!$C$7,"BREACH","")</f>
        <v/>
      </c>
      <c r="P993" s="31" t="n">
        <f aca="false">M993+F993</f>
        <v>24143.28</v>
      </c>
      <c r="Q993" s="31" t="n">
        <f aca="false">P993-Summary!$C$5</f>
        <v>14143.28</v>
      </c>
      <c r="R993" s="2" t="str">
        <f aca="false">TEXT(A993,"ddd")</f>
        <v>Wed</v>
      </c>
    </row>
    <row r="994" customFormat="false" ht="15" hidden="false" customHeight="false" outlineLevel="0" collapsed="false">
      <c r="A994" s="43" t="n">
        <v>46268</v>
      </c>
      <c r="B994" s="29" t="n">
        <f aca="false">COUNTIFS(Trades!$D$2:$D$1146,$A994)</f>
        <v>1</v>
      </c>
      <c r="C994" s="29" t="n">
        <f aca="false">COUNTIFS(Trades!$D$2:$D$1146,$A994,Trades!$Z$2:$Z$1146,"Win")</f>
        <v>0</v>
      </c>
      <c r="D994" s="29" t="n">
        <f aca="false">COUNTIFS(Trades!$D$2:$D$1146,$A994,Trades!$Z$2:$Z$1146,"Loss")</f>
        <v>1</v>
      </c>
      <c r="E994" s="30" t="n">
        <f aca="false">IFERROR(C994/B994,0)</f>
        <v>0</v>
      </c>
      <c r="F994" s="31" t="n">
        <f aca="false">SUMIFS(Trades!$X$2:$X$1146,Trades!$D$2:$D$1146,$A994)</f>
        <v>-33.16</v>
      </c>
      <c r="G994" s="31" t="n">
        <f aca="false">SUMIFS(Trades!$X$2:$X$1146,Trades!$D$2:$D$1146,$A994,Trades!$X$2:$X$1146,"&gt;0")</f>
        <v>0</v>
      </c>
      <c r="H994" s="31" t="n">
        <f aca="false">SUMIFS(Trades!$X$2:$X$1146,Trades!$D$2:$D$1146,$A994,Trades!$X$2:$X$1146,"&lt;0")</f>
        <v>-33.16</v>
      </c>
      <c r="I994" s="32" t="n">
        <f aca="false">IFERROR(G994/-H994,"no loss")</f>
        <v>0</v>
      </c>
      <c r="J994" s="31" t="n">
        <f aca="false">_xlfn.MAXIFS(Trades!$X$2:$X$1146,Trades!$D$2:$D$1146,$A994)</f>
        <v>-33.16</v>
      </c>
      <c r="K994" s="31" t="n">
        <f aca="false">_xlfn.MINIFS(Trades!$X$2:$X$1146,Trades!$D$2:$D$1146,$A994)</f>
        <v>-33.16</v>
      </c>
      <c r="L994" s="33" t="n">
        <f aca="false">SUMIFS(Trades!$Y$2:$Y$1146,Trades!$D$2:$D$1146,$A994)</f>
        <v>-1.05336721728095</v>
      </c>
      <c r="M994" s="31" t="n">
        <f aca="false">P993</f>
        <v>24143.28</v>
      </c>
      <c r="N994" s="30" t="n">
        <f aca="false">IFERROR(F994/M994,0)</f>
        <v>-0.0013734670682691</v>
      </c>
      <c r="O994" s="29" t="str">
        <f aca="false">IF(-N994&gt;=Summary!$C$7,"BREACH","")</f>
        <v/>
      </c>
      <c r="P994" s="31" t="n">
        <f aca="false">M994+F994</f>
        <v>24110.12</v>
      </c>
      <c r="Q994" s="31" t="n">
        <f aca="false">P994-Summary!$C$5</f>
        <v>14110.12</v>
      </c>
      <c r="R994" s="2" t="str">
        <f aca="false">TEXT(A994,"ddd")</f>
        <v>Thu</v>
      </c>
    </row>
    <row r="995" customFormat="false" ht="15" hidden="false" customHeight="false" outlineLevel="0" collapsed="false">
      <c r="A995" s="43" t="n">
        <v>46269</v>
      </c>
      <c r="B995" s="29" t="n">
        <f aca="false">COUNTIFS(Trades!$D$2:$D$1146,$A995)</f>
        <v>1</v>
      </c>
      <c r="C995" s="29" t="n">
        <f aca="false">COUNTIFS(Trades!$D$2:$D$1146,$A995,Trades!$Z$2:$Z$1146,"Win")</f>
        <v>1</v>
      </c>
      <c r="D995" s="29" t="n">
        <f aca="false">COUNTIFS(Trades!$D$2:$D$1146,$A995,Trades!$Z$2:$Z$1146,"Loss")</f>
        <v>0</v>
      </c>
      <c r="E995" s="30" t="n">
        <f aca="false">IFERROR(C995/B995,0)</f>
        <v>1</v>
      </c>
      <c r="F995" s="31" t="n">
        <f aca="false">SUMIFS(Trades!$X$2:$X$1146,Trades!$D$2:$D$1146,$A995)</f>
        <v>44.4</v>
      </c>
      <c r="G995" s="31" t="n">
        <f aca="false">SUMIFS(Trades!$X$2:$X$1146,Trades!$D$2:$D$1146,$A995,Trades!$X$2:$X$1146,"&gt;0")</f>
        <v>44.4</v>
      </c>
      <c r="H995" s="31" t="n">
        <f aca="false">SUMIFS(Trades!$X$2:$X$1146,Trades!$D$2:$D$1146,$A995,Trades!$X$2:$X$1146,"&lt;0")</f>
        <v>0</v>
      </c>
      <c r="I995" s="32" t="str">
        <f aca="false">IFERROR(G995/-H995,"no loss")</f>
        <v>no loss</v>
      </c>
      <c r="J995" s="31" t="n">
        <f aca="false">_xlfn.MAXIFS(Trades!$X$2:$X$1146,Trades!$D$2:$D$1146,$A995)</f>
        <v>44.4</v>
      </c>
      <c r="K995" s="31" t="n">
        <f aca="false">_xlfn.MINIFS(Trades!$X$2:$X$1146,Trades!$D$2:$D$1146,$A995)</f>
        <v>44.4</v>
      </c>
      <c r="L995" s="33" t="n">
        <f aca="false">SUMIFS(Trades!$Y$2:$Y$1146,Trades!$D$2:$D$1146,$A995)</f>
        <v>2.45575221238914</v>
      </c>
      <c r="M995" s="31" t="n">
        <f aca="false">P994</f>
        <v>24110.12</v>
      </c>
      <c r="N995" s="30" t="n">
        <f aca="false">IFERROR(F995/M995,0)</f>
        <v>0.00184155035312972</v>
      </c>
      <c r="O995" s="29" t="str">
        <f aca="false">IF(-N995&gt;=Summary!$C$7,"BREACH","")</f>
        <v/>
      </c>
      <c r="P995" s="31" t="n">
        <f aca="false">M995+F995</f>
        <v>24154.52</v>
      </c>
      <c r="Q995" s="31" t="n">
        <f aca="false">P995-Summary!$C$5</f>
        <v>14154.52</v>
      </c>
      <c r="R995" s="2" t="str">
        <f aca="false">TEXT(A995,"ddd")</f>
        <v>Fri</v>
      </c>
    </row>
    <row r="996" customFormat="false" ht="15" hidden="false" customHeight="false" outlineLevel="0" collapsed="false">
      <c r="A996" s="43" t="n">
        <v>46273</v>
      </c>
      <c r="B996" s="29" t="n">
        <f aca="false">COUNTIFS(Trades!$D$2:$D$1146,$A996)</f>
        <v>2</v>
      </c>
      <c r="C996" s="29" t="n">
        <f aca="false">COUNTIFS(Trades!$D$2:$D$1146,$A996,Trades!$Z$2:$Z$1146,"Win")</f>
        <v>0</v>
      </c>
      <c r="D996" s="29" t="n">
        <f aca="false">COUNTIFS(Trades!$D$2:$D$1146,$A996,Trades!$Z$2:$Z$1146,"Loss")</f>
        <v>2</v>
      </c>
      <c r="E996" s="30" t="n">
        <f aca="false">IFERROR(C996/B996,0)</f>
        <v>0</v>
      </c>
      <c r="F996" s="31" t="n">
        <f aca="false">SUMIFS(Trades!$X$2:$X$1146,Trades!$D$2:$D$1146,$A996)</f>
        <v>-45.96</v>
      </c>
      <c r="G996" s="31" t="n">
        <f aca="false">SUMIFS(Trades!$X$2:$X$1146,Trades!$D$2:$D$1146,$A996,Trades!$X$2:$X$1146,"&gt;0")</f>
        <v>0</v>
      </c>
      <c r="H996" s="31" t="n">
        <f aca="false">SUMIFS(Trades!$X$2:$X$1146,Trades!$D$2:$D$1146,$A996,Trades!$X$2:$X$1146,"&lt;0")</f>
        <v>-45.96</v>
      </c>
      <c r="I996" s="32" t="n">
        <f aca="false">IFERROR(G996/-H996,"no loss")</f>
        <v>0</v>
      </c>
      <c r="J996" s="31" t="n">
        <f aca="false">_xlfn.MAXIFS(Trades!$X$2:$X$1146,Trades!$D$2:$D$1146,$A996)</f>
        <v>-0.64</v>
      </c>
      <c r="K996" s="31" t="n">
        <f aca="false">_xlfn.MINIFS(Trades!$X$2:$X$1146,Trades!$D$2:$D$1146,$A996)</f>
        <v>-45.32</v>
      </c>
      <c r="L996" s="33" t="n">
        <f aca="false">SUMIFS(Trades!$Y$2:$Y$1146,Trades!$D$2:$D$1146,$A996)</f>
        <v>-1.11252911038652</v>
      </c>
      <c r="M996" s="31" t="n">
        <f aca="false">P995</f>
        <v>24154.52</v>
      </c>
      <c r="N996" s="30" t="n">
        <f aca="false">IFERROR(F996/M996,0)</f>
        <v>-0.00190274946469646</v>
      </c>
      <c r="O996" s="29" t="str">
        <f aca="false">IF(-N996&gt;=Summary!$C$7,"BREACH","")</f>
        <v/>
      </c>
      <c r="P996" s="31" t="n">
        <f aca="false">M996+F996</f>
        <v>24108.56</v>
      </c>
      <c r="Q996" s="31" t="n">
        <f aca="false">P996-Summary!$C$5</f>
        <v>14108.56</v>
      </c>
      <c r="R996" s="2" t="str">
        <f aca="false">TEXT(A996,"ddd")</f>
        <v>Tue</v>
      </c>
    </row>
    <row r="997" customFormat="false" ht="15" hidden="false" customHeight="false" outlineLevel="0" collapsed="false">
      <c r="A997" s="43" t="n">
        <v>46274</v>
      </c>
      <c r="B997" s="29" t="n">
        <f aca="false">COUNTIFS(Trades!$D$2:$D$1146,$A997)</f>
        <v>1</v>
      </c>
      <c r="C997" s="29" t="n">
        <f aca="false">COUNTIFS(Trades!$D$2:$D$1146,$A997,Trades!$Z$2:$Z$1146,"Win")</f>
        <v>1</v>
      </c>
      <c r="D997" s="29" t="n">
        <f aca="false">COUNTIFS(Trades!$D$2:$D$1146,$A997,Trades!$Z$2:$Z$1146,"Loss")</f>
        <v>0</v>
      </c>
      <c r="E997" s="30" t="n">
        <f aca="false">IFERROR(C997/B997,0)</f>
        <v>1</v>
      </c>
      <c r="F997" s="31" t="n">
        <f aca="false">SUMIFS(Trades!$X$2:$X$1146,Trades!$D$2:$D$1146,$A997)</f>
        <v>145.72</v>
      </c>
      <c r="G997" s="31" t="n">
        <f aca="false">SUMIFS(Trades!$X$2:$X$1146,Trades!$D$2:$D$1146,$A997,Trades!$X$2:$X$1146,"&gt;0")</f>
        <v>145.72</v>
      </c>
      <c r="H997" s="31" t="n">
        <f aca="false">SUMIFS(Trades!$X$2:$X$1146,Trades!$D$2:$D$1146,$A997,Trades!$X$2:$X$1146,"&lt;0")</f>
        <v>0</v>
      </c>
      <c r="I997" s="32" t="str">
        <f aca="false">IFERROR(G997/-H997,"no loss")</f>
        <v>no loss</v>
      </c>
      <c r="J997" s="31" t="n">
        <f aca="false">_xlfn.MAXIFS(Trades!$X$2:$X$1146,Trades!$D$2:$D$1146,$A997)</f>
        <v>145.72</v>
      </c>
      <c r="K997" s="31" t="n">
        <f aca="false">_xlfn.MINIFS(Trades!$X$2:$X$1146,Trades!$D$2:$D$1146,$A997)</f>
        <v>145.72</v>
      </c>
      <c r="L997" s="33" t="n">
        <f aca="false">SUMIFS(Trades!$Y$2:$Y$1146,Trades!$D$2:$D$1146,$A997)</f>
        <v>2.68459837877677</v>
      </c>
      <c r="M997" s="31" t="n">
        <f aca="false">P996</f>
        <v>24108.56</v>
      </c>
      <c r="N997" s="30" t="n">
        <f aca="false">IFERROR(F997/M997,0)</f>
        <v>0.00604432616464857</v>
      </c>
      <c r="O997" s="29" t="str">
        <f aca="false">IF(-N997&gt;=Summary!$C$7,"BREACH","")</f>
        <v/>
      </c>
      <c r="P997" s="31" t="n">
        <f aca="false">M997+F997</f>
        <v>24254.28</v>
      </c>
      <c r="Q997" s="31" t="n">
        <f aca="false">P997-Summary!$C$5</f>
        <v>14254.28</v>
      </c>
      <c r="R997" s="2" t="str">
        <f aca="false">TEXT(A997,"ddd")</f>
        <v>Wed</v>
      </c>
    </row>
    <row r="998" customFormat="false" ht="15" hidden="false" customHeight="false" outlineLevel="0" collapsed="false">
      <c r="A998" s="43" t="n">
        <v>46275</v>
      </c>
      <c r="B998" s="29" t="n">
        <f aca="false">COUNTIFS(Trades!$D$2:$D$1146,$A998)</f>
        <v>1</v>
      </c>
      <c r="C998" s="29" t="n">
        <f aca="false">COUNTIFS(Trades!$D$2:$D$1146,$A998,Trades!$Z$2:$Z$1146,"Win")</f>
        <v>0</v>
      </c>
      <c r="D998" s="29" t="n">
        <f aca="false">COUNTIFS(Trades!$D$2:$D$1146,$A998,Trades!$Z$2:$Z$1146,"Loss")</f>
        <v>1</v>
      </c>
      <c r="E998" s="30" t="n">
        <f aca="false">IFERROR(C998/B998,0)</f>
        <v>0</v>
      </c>
      <c r="F998" s="31" t="n">
        <f aca="false">SUMIFS(Trades!$X$2:$X$1146,Trades!$D$2:$D$1146,$A998)</f>
        <v>-42.96</v>
      </c>
      <c r="G998" s="31" t="n">
        <f aca="false">SUMIFS(Trades!$X$2:$X$1146,Trades!$D$2:$D$1146,$A998,Trades!$X$2:$X$1146,"&gt;0")</f>
        <v>0</v>
      </c>
      <c r="H998" s="31" t="n">
        <f aca="false">SUMIFS(Trades!$X$2:$X$1146,Trades!$D$2:$D$1146,$A998,Trades!$X$2:$X$1146,"&lt;0")</f>
        <v>-42.96</v>
      </c>
      <c r="I998" s="32" t="n">
        <f aca="false">IFERROR(G998/-H998,"no loss")</f>
        <v>0</v>
      </c>
      <c r="J998" s="31" t="n">
        <f aca="false">_xlfn.MAXIFS(Trades!$X$2:$X$1146,Trades!$D$2:$D$1146,$A998)</f>
        <v>-42.96</v>
      </c>
      <c r="K998" s="31" t="n">
        <f aca="false">_xlfn.MINIFS(Trades!$X$2:$X$1146,Trades!$D$2:$D$1146,$A998)</f>
        <v>-42.96</v>
      </c>
      <c r="L998" s="33" t="n">
        <f aca="false">SUMIFS(Trades!$Y$2:$Y$1146,Trades!$D$2:$D$1146,$A998)</f>
        <v>-0.999999999999851</v>
      </c>
      <c r="M998" s="31" t="n">
        <f aca="false">P997</f>
        <v>24254.28</v>
      </c>
      <c r="N998" s="30" t="n">
        <f aca="false">IFERROR(F998/M998,0)</f>
        <v>-0.00177123377812081</v>
      </c>
      <c r="O998" s="29" t="str">
        <f aca="false">IF(-N998&gt;=Summary!$C$7,"BREACH","")</f>
        <v/>
      </c>
      <c r="P998" s="31" t="n">
        <f aca="false">M998+F998</f>
        <v>24211.32</v>
      </c>
      <c r="Q998" s="31" t="n">
        <f aca="false">P998-Summary!$C$5</f>
        <v>14211.32</v>
      </c>
      <c r="R998" s="2" t="str">
        <f aca="false">TEXT(A998,"ddd")</f>
        <v>Thu</v>
      </c>
    </row>
    <row r="999" customFormat="false" ht="15" hidden="false" customHeight="false" outlineLevel="0" collapsed="false">
      <c r="A999" s="43" t="n">
        <v>46279</v>
      </c>
      <c r="B999" s="29" t="n">
        <f aca="false">COUNTIFS(Trades!$D$2:$D$1146,$A999)</f>
        <v>1</v>
      </c>
      <c r="C999" s="29" t="n">
        <f aca="false">COUNTIFS(Trades!$D$2:$D$1146,$A999,Trades!$Z$2:$Z$1146,"Win")</f>
        <v>0</v>
      </c>
      <c r="D999" s="29" t="n">
        <f aca="false">COUNTIFS(Trades!$D$2:$D$1146,$A999,Trades!$Z$2:$Z$1146,"Loss")</f>
        <v>1</v>
      </c>
      <c r="E999" s="30" t="n">
        <f aca="false">IFERROR(C999/B999,0)</f>
        <v>0</v>
      </c>
      <c r="F999" s="31" t="n">
        <f aca="false">SUMIFS(Trades!$X$2:$X$1146,Trades!$D$2:$D$1146,$A999)</f>
        <v>-0.56</v>
      </c>
      <c r="G999" s="31" t="n">
        <f aca="false">SUMIFS(Trades!$X$2:$X$1146,Trades!$D$2:$D$1146,$A999,Trades!$X$2:$X$1146,"&gt;0")</f>
        <v>0</v>
      </c>
      <c r="H999" s="31" t="n">
        <f aca="false">SUMIFS(Trades!$X$2:$X$1146,Trades!$D$2:$D$1146,$A999,Trades!$X$2:$X$1146,"&lt;0")</f>
        <v>-0.56</v>
      </c>
      <c r="I999" s="32" t="n">
        <f aca="false">IFERROR(G999/-H999,"no loss")</f>
        <v>0</v>
      </c>
      <c r="J999" s="31" t="n">
        <f aca="false">_xlfn.MAXIFS(Trades!$X$2:$X$1146,Trades!$D$2:$D$1146,$A999)</f>
        <v>-0.56</v>
      </c>
      <c r="K999" s="31" t="n">
        <f aca="false">_xlfn.MINIFS(Trades!$X$2:$X$1146,Trades!$D$2:$D$1146,$A999)</f>
        <v>-0.56</v>
      </c>
      <c r="L999" s="33" t="n">
        <f aca="false">SUMIFS(Trades!$Y$2:$Y$1146,Trades!$D$2:$D$1146,$A999)</f>
        <v>-0.0014572707400853</v>
      </c>
      <c r="M999" s="31" t="n">
        <f aca="false">P998</f>
        <v>24211.32</v>
      </c>
      <c r="N999" s="30" t="n">
        <f aca="false">IFERROR(F999/M999,0)</f>
        <v>-2.31296765314737E-005</v>
      </c>
      <c r="O999" s="29" t="str">
        <f aca="false">IF(-N999&gt;=Summary!$C$7,"BREACH","")</f>
        <v/>
      </c>
      <c r="P999" s="31" t="n">
        <f aca="false">M999+F999</f>
        <v>24210.76</v>
      </c>
      <c r="Q999" s="31" t="n">
        <f aca="false">P999-Summary!$C$5</f>
        <v>14210.76</v>
      </c>
      <c r="R999" s="2" t="str">
        <f aca="false">TEXT(A999,"ddd")</f>
        <v>Mon</v>
      </c>
    </row>
    <row r="1000" customFormat="false" ht="15" hidden="false" customHeight="false" outlineLevel="0" collapsed="false">
      <c r="A1000" s="43" t="n">
        <v>46281</v>
      </c>
      <c r="B1000" s="29" t="n">
        <f aca="false">COUNTIFS(Trades!$D$2:$D$1146,$A1000)</f>
        <v>2</v>
      </c>
      <c r="C1000" s="29" t="n">
        <f aca="false">COUNTIFS(Trades!$D$2:$D$1146,$A1000,Trades!$Z$2:$Z$1146,"Win")</f>
        <v>1</v>
      </c>
      <c r="D1000" s="29" t="n">
        <f aca="false">COUNTIFS(Trades!$D$2:$D$1146,$A1000,Trades!$Z$2:$Z$1146,"Loss")</f>
        <v>1</v>
      </c>
      <c r="E1000" s="30" t="n">
        <f aca="false">IFERROR(C1000/B1000,0)</f>
        <v>0.5</v>
      </c>
      <c r="F1000" s="31" t="n">
        <f aca="false">SUMIFS(Trades!$X$2:$X$1146,Trades!$D$2:$D$1146,$A1000)</f>
        <v>350.68</v>
      </c>
      <c r="G1000" s="31" t="n">
        <f aca="false">SUMIFS(Trades!$X$2:$X$1146,Trades!$D$2:$D$1146,$A1000,Trades!$X$2:$X$1146,"&gt;0")</f>
        <v>351.52</v>
      </c>
      <c r="H1000" s="31" t="n">
        <f aca="false">SUMIFS(Trades!$X$2:$X$1146,Trades!$D$2:$D$1146,$A1000,Trades!$X$2:$X$1146,"&lt;0")</f>
        <v>-0.84</v>
      </c>
      <c r="I1000" s="32" t="n">
        <f aca="false">IFERROR(G1000/-H1000,"no loss")</f>
        <v>418.476190476191</v>
      </c>
      <c r="J1000" s="31" t="n">
        <f aca="false">_xlfn.MAXIFS(Trades!$X$2:$X$1146,Trades!$D$2:$D$1146,$A1000)</f>
        <v>351.52</v>
      </c>
      <c r="K1000" s="31" t="n">
        <f aca="false">_xlfn.MINIFS(Trades!$X$2:$X$1146,Trades!$D$2:$D$1146,$A1000)</f>
        <v>-0.84</v>
      </c>
      <c r="L1000" s="33" t="n">
        <f aca="false">SUMIFS(Trades!$Y$2:$Y$1146,Trades!$D$2:$D$1146,$A1000)</f>
        <v>2.40399446141276</v>
      </c>
      <c r="M1000" s="31" t="n">
        <f aca="false">P999</f>
        <v>24210.76</v>
      </c>
      <c r="N1000" s="30" t="n">
        <f aca="false">IFERROR(F1000/M1000,0)</f>
        <v>0.0144844688890394</v>
      </c>
      <c r="O1000" s="29" t="str">
        <f aca="false">IF(-N1000&gt;=Summary!$C$7,"BREACH","")</f>
        <v/>
      </c>
      <c r="P1000" s="31" t="n">
        <f aca="false">M1000+F1000</f>
        <v>24561.44</v>
      </c>
      <c r="Q1000" s="31" t="n">
        <f aca="false">P1000-Summary!$C$5</f>
        <v>14561.44</v>
      </c>
      <c r="R1000" s="2" t="str">
        <f aca="false">TEXT(A1000,"ddd")</f>
        <v>Wed</v>
      </c>
    </row>
    <row r="1001" customFormat="false" ht="15" hidden="false" customHeight="false" outlineLevel="0" collapsed="false">
      <c r="A1001" s="43" t="n">
        <v>46282</v>
      </c>
      <c r="B1001" s="29" t="n">
        <f aca="false">COUNTIFS(Trades!$D$2:$D$1146,$A1001)</f>
        <v>1</v>
      </c>
      <c r="C1001" s="29" t="n">
        <f aca="false">COUNTIFS(Trades!$D$2:$D$1146,$A1001,Trades!$Z$2:$Z$1146,"Win")</f>
        <v>1</v>
      </c>
      <c r="D1001" s="29" t="n">
        <f aca="false">COUNTIFS(Trades!$D$2:$D$1146,$A1001,Trades!$Z$2:$Z$1146,"Loss")</f>
        <v>0</v>
      </c>
      <c r="E1001" s="30" t="n">
        <f aca="false">IFERROR(C1001/B1001,0)</f>
        <v>1</v>
      </c>
      <c r="F1001" s="31" t="n">
        <f aca="false">SUMIFS(Trades!$X$2:$X$1146,Trades!$D$2:$D$1146,$A1001)</f>
        <v>74.24</v>
      </c>
      <c r="G1001" s="31" t="n">
        <f aca="false">SUMIFS(Trades!$X$2:$X$1146,Trades!$D$2:$D$1146,$A1001,Trades!$X$2:$X$1146,"&gt;0")</f>
        <v>74.24</v>
      </c>
      <c r="H1001" s="31" t="n">
        <f aca="false">SUMIFS(Trades!$X$2:$X$1146,Trades!$D$2:$D$1146,$A1001,Trades!$X$2:$X$1146,"&lt;0")</f>
        <v>0</v>
      </c>
      <c r="I1001" s="32" t="str">
        <f aca="false">IFERROR(G1001/-H1001,"no loss")</f>
        <v>no loss</v>
      </c>
      <c r="J1001" s="31" t="n">
        <f aca="false">_xlfn.MAXIFS(Trades!$X$2:$X$1146,Trades!$D$2:$D$1146,$A1001)</f>
        <v>74.24</v>
      </c>
      <c r="K1001" s="31" t="n">
        <f aca="false">_xlfn.MINIFS(Trades!$X$2:$X$1146,Trades!$D$2:$D$1146,$A1001)</f>
        <v>74.24</v>
      </c>
      <c r="L1001" s="33" t="n">
        <f aca="false">SUMIFS(Trades!$Y$2:$Y$1146,Trades!$D$2:$D$1146,$A1001)</f>
        <v>2.68208092485476</v>
      </c>
      <c r="M1001" s="31" t="n">
        <f aca="false">P1000</f>
        <v>24561.44</v>
      </c>
      <c r="N1001" s="30" t="n">
        <f aca="false">IFERROR(F1001/M1001,0)</f>
        <v>0.00302262408067279</v>
      </c>
      <c r="O1001" s="29" t="str">
        <f aca="false">IF(-N1001&gt;=Summary!$C$7,"BREACH","")</f>
        <v/>
      </c>
      <c r="P1001" s="31" t="n">
        <f aca="false">M1001+F1001</f>
        <v>24635.68</v>
      </c>
      <c r="Q1001" s="31" t="n">
        <f aca="false">P1001-Summary!$C$5</f>
        <v>14635.68</v>
      </c>
      <c r="R1001" s="2" t="str">
        <f aca="false">TEXT(A1001,"ddd")</f>
        <v>Thu</v>
      </c>
    </row>
    <row r="1002" customFormat="false" ht="15" hidden="false" customHeight="false" outlineLevel="0" collapsed="false">
      <c r="A1002" s="43" t="n">
        <v>46283</v>
      </c>
      <c r="B1002" s="29" t="n">
        <f aca="false">COUNTIFS(Trades!$D$2:$D$1146,$A1002)</f>
        <v>1</v>
      </c>
      <c r="C1002" s="29" t="n">
        <f aca="false">COUNTIFS(Trades!$D$2:$D$1146,$A1002,Trades!$Z$2:$Z$1146,"Win")</f>
        <v>0</v>
      </c>
      <c r="D1002" s="29" t="n">
        <f aca="false">COUNTIFS(Trades!$D$2:$D$1146,$A1002,Trades!$Z$2:$Z$1146,"Loss")</f>
        <v>1</v>
      </c>
      <c r="E1002" s="30" t="n">
        <f aca="false">IFERROR(C1002/B1002,0)</f>
        <v>0</v>
      </c>
      <c r="F1002" s="31" t="n">
        <f aca="false">SUMIFS(Trades!$X$2:$X$1146,Trades!$D$2:$D$1146,$A1002)</f>
        <v>-35.64</v>
      </c>
      <c r="G1002" s="31" t="n">
        <f aca="false">SUMIFS(Trades!$X$2:$X$1146,Trades!$D$2:$D$1146,$A1002,Trades!$X$2:$X$1146,"&gt;0")</f>
        <v>0</v>
      </c>
      <c r="H1002" s="31" t="n">
        <f aca="false">SUMIFS(Trades!$X$2:$X$1146,Trades!$D$2:$D$1146,$A1002,Trades!$X$2:$X$1146,"&lt;0")</f>
        <v>-35.64</v>
      </c>
      <c r="I1002" s="32" t="n">
        <f aca="false">IFERROR(G1002/-H1002,"no loss")</f>
        <v>0</v>
      </c>
      <c r="J1002" s="31" t="n">
        <f aca="false">_xlfn.MAXIFS(Trades!$X$2:$X$1146,Trades!$D$2:$D$1146,$A1002)</f>
        <v>-35.64</v>
      </c>
      <c r="K1002" s="31" t="n">
        <f aca="false">_xlfn.MINIFS(Trades!$X$2:$X$1146,Trades!$D$2:$D$1146,$A1002)</f>
        <v>-35.64</v>
      </c>
      <c r="L1002" s="33" t="n">
        <f aca="false">SUMIFS(Trades!$Y$2:$Y$1146,Trades!$D$2:$D$1146,$A1002)</f>
        <v>-1.04454865181681</v>
      </c>
      <c r="M1002" s="31" t="n">
        <f aca="false">P1001</f>
        <v>24635.68</v>
      </c>
      <c r="N1002" s="30" t="n">
        <f aca="false">IFERROR(F1002/M1002,0)</f>
        <v>-0.00144668221051743</v>
      </c>
      <c r="O1002" s="29" t="str">
        <f aca="false">IF(-N1002&gt;=Summary!$C$7,"BREACH","")</f>
        <v/>
      </c>
      <c r="P1002" s="31" t="n">
        <f aca="false">M1002+F1002</f>
        <v>24600.04</v>
      </c>
      <c r="Q1002" s="31" t="n">
        <f aca="false">P1002-Summary!$C$5</f>
        <v>14600.04</v>
      </c>
      <c r="R1002" s="2" t="str">
        <f aca="false">TEXT(A1002,"ddd")</f>
        <v>Fri</v>
      </c>
    </row>
    <row r="1003" customFormat="false" ht="15" hidden="false" customHeight="false" outlineLevel="0" collapsed="false">
      <c r="A1003" s="43" t="n">
        <v>46286</v>
      </c>
      <c r="B1003" s="29" t="n">
        <f aca="false">COUNTIFS(Trades!$D$2:$D$1146,$A1003)</f>
        <v>1</v>
      </c>
      <c r="C1003" s="29" t="n">
        <f aca="false">COUNTIFS(Trades!$D$2:$D$1146,$A1003,Trades!$Z$2:$Z$1146,"Win")</f>
        <v>0</v>
      </c>
      <c r="D1003" s="29" t="n">
        <f aca="false">COUNTIFS(Trades!$D$2:$D$1146,$A1003,Trades!$Z$2:$Z$1146,"Loss")</f>
        <v>1</v>
      </c>
      <c r="E1003" s="30" t="n">
        <f aca="false">IFERROR(C1003/B1003,0)</f>
        <v>0</v>
      </c>
      <c r="F1003" s="31" t="n">
        <f aca="false">SUMIFS(Trades!$X$2:$X$1146,Trades!$D$2:$D$1146,$A1003)</f>
        <v>-54.44</v>
      </c>
      <c r="G1003" s="31" t="n">
        <f aca="false">SUMIFS(Trades!$X$2:$X$1146,Trades!$D$2:$D$1146,$A1003,Trades!$X$2:$X$1146,"&gt;0")</f>
        <v>0</v>
      </c>
      <c r="H1003" s="31" t="n">
        <f aca="false">SUMIFS(Trades!$X$2:$X$1146,Trades!$D$2:$D$1146,$A1003,Trades!$X$2:$X$1146,"&lt;0")</f>
        <v>-54.44</v>
      </c>
      <c r="I1003" s="32" t="n">
        <f aca="false">IFERROR(G1003/-H1003,"no loss")</f>
        <v>0</v>
      </c>
      <c r="J1003" s="31" t="n">
        <f aca="false">_xlfn.MAXIFS(Trades!$X$2:$X$1146,Trades!$D$2:$D$1146,$A1003)</f>
        <v>-54.44</v>
      </c>
      <c r="K1003" s="31" t="n">
        <f aca="false">_xlfn.MINIFS(Trades!$X$2:$X$1146,Trades!$D$2:$D$1146,$A1003)</f>
        <v>-54.44</v>
      </c>
      <c r="L1003" s="33" t="n">
        <f aca="false">SUMIFS(Trades!$Y$2:$Y$1146,Trades!$D$2:$D$1146,$A1003)</f>
        <v>-1.00220913107525</v>
      </c>
      <c r="M1003" s="31" t="n">
        <f aca="false">P1002</f>
        <v>24600.04</v>
      </c>
      <c r="N1003" s="30" t="n">
        <f aca="false">IFERROR(F1003/M1003,0)</f>
        <v>-0.00221300453169995</v>
      </c>
      <c r="O1003" s="29" t="str">
        <f aca="false">IF(-N1003&gt;=Summary!$C$7,"BREACH","")</f>
        <v/>
      </c>
      <c r="P1003" s="31" t="n">
        <f aca="false">M1003+F1003</f>
        <v>24545.6</v>
      </c>
      <c r="Q1003" s="31" t="n">
        <f aca="false">P1003-Summary!$C$5</f>
        <v>14545.6</v>
      </c>
      <c r="R1003" s="2" t="str">
        <f aca="false">TEXT(A1003,"ddd")</f>
        <v>Mon</v>
      </c>
    </row>
    <row r="1004" customFormat="false" ht="15" hidden="false" customHeight="false" outlineLevel="0" collapsed="false">
      <c r="A1004" s="43" t="n">
        <v>46287</v>
      </c>
      <c r="B1004" s="29" t="n">
        <f aca="false">COUNTIFS(Trades!$D$2:$D$1146,$A1004)</f>
        <v>1</v>
      </c>
      <c r="C1004" s="29" t="n">
        <f aca="false">COUNTIFS(Trades!$D$2:$D$1146,$A1004,Trades!$Z$2:$Z$1146,"Win")</f>
        <v>0</v>
      </c>
      <c r="D1004" s="29" t="n">
        <f aca="false">COUNTIFS(Trades!$D$2:$D$1146,$A1004,Trades!$Z$2:$Z$1146,"Loss")</f>
        <v>1</v>
      </c>
      <c r="E1004" s="30" t="n">
        <f aca="false">IFERROR(C1004/B1004,0)</f>
        <v>0</v>
      </c>
      <c r="F1004" s="31" t="n">
        <f aca="false">SUMIFS(Trades!$X$2:$X$1146,Trades!$D$2:$D$1146,$A1004)</f>
        <v>-0.52</v>
      </c>
      <c r="G1004" s="31" t="n">
        <f aca="false">SUMIFS(Trades!$X$2:$X$1146,Trades!$D$2:$D$1146,$A1004,Trades!$X$2:$X$1146,"&gt;0")</f>
        <v>0</v>
      </c>
      <c r="H1004" s="31" t="n">
        <f aca="false">SUMIFS(Trades!$X$2:$X$1146,Trades!$D$2:$D$1146,$A1004,Trades!$X$2:$X$1146,"&lt;0")</f>
        <v>-0.52</v>
      </c>
      <c r="I1004" s="32" t="n">
        <f aca="false">IFERROR(G1004/-H1004,"no loss")</f>
        <v>0</v>
      </c>
      <c r="J1004" s="31" t="n">
        <f aca="false">_xlfn.MAXIFS(Trades!$X$2:$X$1146,Trades!$D$2:$D$1146,$A1004)</f>
        <v>-0.52</v>
      </c>
      <c r="K1004" s="31" t="n">
        <f aca="false">_xlfn.MINIFS(Trades!$X$2:$X$1146,Trades!$D$2:$D$1146,$A1004)</f>
        <v>-0.52</v>
      </c>
      <c r="L1004" s="33" t="n">
        <f aca="false">SUMIFS(Trades!$Y$2:$Y$1146,Trades!$D$2:$D$1146,$A1004)</f>
        <v>-0.0244821092278827</v>
      </c>
      <c r="M1004" s="31" t="n">
        <f aca="false">P1003</f>
        <v>24545.6</v>
      </c>
      <c r="N1004" s="30" t="n">
        <f aca="false">IFERROR(F1004/M1004,0)</f>
        <v>-2.1185059644091E-005</v>
      </c>
      <c r="O1004" s="29" t="str">
        <f aca="false">IF(-N1004&gt;=Summary!$C$7,"BREACH","")</f>
        <v/>
      </c>
      <c r="P1004" s="31" t="n">
        <f aca="false">M1004+F1004</f>
        <v>24545.08</v>
      </c>
      <c r="Q1004" s="31" t="n">
        <f aca="false">P1004-Summary!$C$5</f>
        <v>14545.08</v>
      </c>
      <c r="R1004" s="2" t="str">
        <f aca="false">TEXT(A1004,"ddd")</f>
        <v>Tue</v>
      </c>
    </row>
    <row r="1005" customFormat="false" ht="15" hidden="false" customHeight="false" outlineLevel="0" collapsed="false">
      <c r="A1005" s="43" t="n">
        <v>46288</v>
      </c>
      <c r="B1005" s="29" t="n">
        <f aca="false">COUNTIFS(Trades!$D$2:$D$1146,$A1005)</f>
        <v>2</v>
      </c>
      <c r="C1005" s="29" t="n">
        <f aca="false">COUNTIFS(Trades!$D$2:$D$1146,$A1005,Trades!$Z$2:$Z$1146,"Win")</f>
        <v>0</v>
      </c>
      <c r="D1005" s="29" t="n">
        <f aca="false">COUNTIFS(Trades!$D$2:$D$1146,$A1005,Trades!$Z$2:$Z$1146,"Loss")</f>
        <v>2</v>
      </c>
      <c r="E1005" s="30" t="n">
        <f aca="false">IFERROR(C1005/B1005,0)</f>
        <v>0</v>
      </c>
      <c r="F1005" s="31" t="n">
        <f aca="false">SUMIFS(Trades!$X$2:$X$1146,Trades!$D$2:$D$1146,$A1005)</f>
        <v>-105.75</v>
      </c>
      <c r="G1005" s="31" t="n">
        <f aca="false">SUMIFS(Trades!$X$2:$X$1146,Trades!$D$2:$D$1146,$A1005,Trades!$X$2:$X$1146,"&gt;0")</f>
        <v>0</v>
      </c>
      <c r="H1005" s="31" t="n">
        <f aca="false">SUMIFS(Trades!$X$2:$X$1146,Trades!$D$2:$D$1146,$A1005,Trades!$X$2:$X$1146,"&lt;0")</f>
        <v>-105.75</v>
      </c>
      <c r="I1005" s="32" t="n">
        <f aca="false">IFERROR(G1005/-H1005,"no loss")</f>
        <v>0</v>
      </c>
      <c r="J1005" s="31" t="n">
        <f aca="false">_xlfn.MAXIFS(Trades!$X$2:$X$1146,Trades!$D$2:$D$1146,$A1005)</f>
        <v>-0.87</v>
      </c>
      <c r="K1005" s="31" t="n">
        <f aca="false">_xlfn.MINIFS(Trades!$X$2:$X$1146,Trades!$D$2:$D$1146,$A1005)</f>
        <v>-104.88</v>
      </c>
      <c r="L1005" s="33" t="n">
        <f aca="false">SUMIFS(Trades!$Y$2:$Y$1146,Trades!$D$2:$D$1146,$A1005)</f>
        <v>-1.1039468278743</v>
      </c>
      <c r="M1005" s="31" t="n">
        <f aca="false">P1004</f>
        <v>24545.08</v>
      </c>
      <c r="N1005" s="30" t="n">
        <f aca="false">IFERROR(F1005/M1005,0)</f>
        <v>-0.00430839907631183</v>
      </c>
      <c r="O1005" s="29" t="str">
        <f aca="false">IF(-N1005&gt;=Summary!$C$7,"BREACH","")</f>
        <v/>
      </c>
      <c r="P1005" s="31" t="n">
        <f aca="false">M1005+F1005</f>
        <v>24439.33</v>
      </c>
      <c r="Q1005" s="31" t="n">
        <f aca="false">P1005-Summary!$C$5</f>
        <v>14439.33</v>
      </c>
      <c r="R1005" s="2" t="str">
        <f aca="false">TEXT(A1005,"ddd")</f>
        <v>Wed</v>
      </c>
    </row>
    <row r="1006" customFormat="false" ht="15" hidden="false" customHeight="false" outlineLevel="0" collapsed="false">
      <c r="A1006" s="43" t="n">
        <v>46289</v>
      </c>
      <c r="B1006" s="29" t="n">
        <f aca="false">COUNTIFS(Trades!$D$2:$D$1146,$A1006)</f>
        <v>1</v>
      </c>
      <c r="C1006" s="29" t="n">
        <f aca="false">COUNTIFS(Trades!$D$2:$D$1146,$A1006,Trades!$Z$2:$Z$1146,"Win")</f>
        <v>1</v>
      </c>
      <c r="D1006" s="29" t="n">
        <f aca="false">COUNTIFS(Trades!$D$2:$D$1146,$A1006,Trades!$Z$2:$Z$1146,"Loss")</f>
        <v>0</v>
      </c>
      <c r="E1006" s="30" t="n">
        <f aca="false">IFERROR(C1006/B1006,0)</f>
        <v>1</v>
      </c>
      <c r="F1006" s="31" t="n">
        <f aca="false">SUMIFS(Trades!$X$2:$X$1146,Trades!$D$2:$D$1146,$A1006)</f>
        <v>108.32</v>
      </c>
      <c r="G1006" s="31" t="n">
        <f aca="false">SUMIFS(Trades!$X$2:$X$1146,Trades!$D$2:$D$1146,$A1006,Trades!$X$2:$X$1146,"&gt;0")</f>
        <v>108.32</v>
      </c>
      <c r="H1006" s="31" t="n">
        <f aca="false">SUMIFS(Trades!$X$2:$X$1146,Trades!$D$2:$D$1146,$A1006,Trades!$X$2:$X$1146,"&lt;0")</f>
        <v>0</v>
      </c>
      <c r="I1006" s="32" t="str">
        <f aca="false">IFERROR(G1006/-H1006,"no loss")</f>
        <v>no loss</v>
      </c>
      <c r="J1006" s="31" t="n">
        <f aca="false">_xlfn.MAXIFS(Trades!$X$2:$X$1146,Trades!$D$2:$D$1146,$A1006)</f>
        <v>108.32</v>
      </c>
      <c r="K1006" s="31" t="n">
        <f aca="false">_xlfn.MINIFS(Trades!$X$2:$X$1146,Trades!$D$2:$D$1146,$A1006)</f>
        <v>108.32</v>
      </c>
      <c r="L1006" s="33" t="n">
        <f aca="false">SUMIFS(Trades!$Y$2:$Y$1146,Trades!$D$2:$D$1146,$A1006)</f>
        <v>2.48212648945924</v>
      </c>
      <c r="M1006" s="31" t="n">
        <f aca="false">P1005</f>
        <v>24439.33</v>
      </c>
      <c r="N1006" s="30" t="n">
        <f aca="false">IFERROR(F1006/M1006,0)</f>
        <v>0.00443220006440438</v>
      </c>
      <c r="O1006" s="29" t="str">
        <f aca="false">IF(-N1006&gt;=Summary!$C$7,"BREACH","")</f>
        <v/>
      </c>
      <c r="P1006" s="31" t="n">
        <f aca="false">M1006+F1006</f>
        <v>24547.65</v>
      </c>
      <c r="Q1006" s="31" t="n">
        <f aca="false">P1006-Summary!$C$5</f>
        <v>14547.65</v>
      </c>
      <c r="R1006" s="2" t="str">
        <f aca="false">TEXT(A1006,"ddd")</f>
        <v>Thu</v>
      </c>
    </row>
    <row r="1007" customFormat="false" ht="15" hidden="false" customHeight="false" outlineLevel="0" collapsed="false">
      <c r="A1007" s="43" t="n">
        <v>46290</v>
      </c>
      <c r="B1007" s="29" t="n">
        <f aca="false">COUNTIFS(Trades!$D$2:$D$1146,$A1007)</f>
        <v>1</v>
      </c>
      <c r="C1007" s="29" t="n">
        <f aca="false">COUNTIFS(Trades!$D$2:$D$1146,$A1007,Trades!$Z$2:$Z$1146,"Win")</f>
        <v>1</v>
      </c>
      <c r="D1007" s="29" t="n">
        <f aca="false">COUNTIFS(Trades!$D$2:$D$1146,$A1007,Trades!$Z$2:$Z$1146,"Loss")</f>
        <v>0</v>
      </c>
      <c r="E1007" s="30" t="n">
        <f aca="false">IFERROR(C1007/B1007,0)</f>
        <v>1</v>
      </c>
      <c r="F1007" s="31" t="n">
        <f aca="false">SUMIFS(Trades!$X$2:$X$1146,Trades!$D$2:$D$1146,$A1007)</f>
        <v>92.6</v>
      </c>
      <c r="G1007" s="31" t="n">
        <f aca="false">SUMIFS(Trades!$X$2:$X$1146,Trades!$D$2:$D$1146,$A1007,Trades!$X$2:$X$1146,"&gt;0")</f>
        <v>92.6</v>
      </c>
      <c r="H1007" s="31" t="n">
        <f aca="false">SUMIFS(Trades!$X$2:$X$1146,Trades!$D$2:$D$1146,$A1007,Trades!$X$2:$X$1146,"&lt;0")</f>
        <v>0</v>
      </c>
      <c r="I1007" s="32" t="str">
        <f aca="false">IFERROR(G1007/-H1007,"no loss")</f>
        <v>no loss</v>
      </c>
      <c r="J1007" s="31" t="n">
        <f aca="false">_xlfn.MAXIFS(Trades!$X$2:$X$1146,Trades!$D$2:$D$1146,$A1007)</f>
        <v>92.6</v>
      </c>
      <c r="K1007" s="31" t="n">
        <f aca="false">_xlfn.MINIFS(Trades!$X$2:$X$1146,Trades!$D$2:$D$1146,$A1007)</f>
        <v>92.6</v>
      </c>
      <c r="L1007" s="33" t="n">
        <f aca="false">SUMIFS(Trades!$Y$2:$Y$1146,Trades!$D$2:$D$1146,$A1007)</f>
        <v>2.51904243743135</v>
      </c>
      <c r="M1007" s="31" t="n">
        <f aca="false">P1006</f>
        <v>24547.65</v>
      </c>
      <c r="N1007" s="30" t="n">
        <f aca="false">IFERROR(F1007/M1007,0)</f>
        <v>0.00377225518532324</v>
      </c>
      <c r="O1007" s="29" t="str">
        <f aca="false">IF(-N1007&gt;=Summary!$C$7,"BREACH","")</f>
        <v/>
      </c>
      <c r="P1007" s="31" t="n">
        <f aca="false">M1007+F1007</f>
        <v>24640.25</v>
      </c>
      <c r="Q1007" s="31" t="n">
        <f aca="false">P1007-Summary!$C$5</f>
        <v>14640.25</v>
      </c>
      <c r="R1007" s="2" t="str">
        <f aca="false">TEXT(A1007,"ddd")</f>
        <v>Fri</v>
      </c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</row>
    <row r="1009" customFormat="false" ht="15" hidden="false" customHeight="false" outlineLevel="0" collapsed="false">
      <c r="A1009" s="34" t="s">
        <v>141</v>
      </c>
      <c r="B1009" s="34" t="n">
        <f aca="false">SUM(B2:B1007)</f>
        <v>1145</v>
      </c>
      <c r="C1009" s="34" t="n">
        <f aca="false">SUM(C2:C1007)</f>
        <v>316</v>
      </c>
      <c r="D1009" s="34" t="n">
        <f aca="false">SUM(D2:D1007)</f>
        <v>818</v>
      </c>
      <c r="E1009" s="35" t="n">
        <f aca="false">IFERROR(C1009/B1009,0)</f>
        <v>0.275982532751092</v>
      </c>
      <c r="F1009" s="36" t="n">
        <f aca="false">SUM(F2:F1007)</f>
        <v>14640.25</v>
      </c>
      <c r="G1009" s="36" t="n">
        <f aca="false">SUM(G2:G1007)</f>
        <v>47333.21</v>
      </c>
      <c r="H1009" s="36" t="n">
        <f aca="false">SUM(H2:H1007)</f>
        <v>-32692.96</v>
      </c>
      <c r="I1009" s="37" t="n">
        <f aca="false">IFERROR(G1009/-H1009,0)</f>
        <v>1.44781047662861</v>
      </c>
      <c r="J1009" s="38"/>
      <c r="K1009" s="38"/>
      <c r="L1009" s="39" t="n">
        <f aca="false">SUM(L2:L1007)</f>
        <v>238.042487423074</v>
      </c>
      <c r="M1009" s="38"/>
      <c r="N1009" s="35" t="n">
        <f aca="false">IFERROR(F1009/M2,0)</f>
        <v>1.464025</v>
      </c>
      <c r="O1009" s="38" t="str">
        <f aca="false">COUNTIF(F2:F1007,"&gt;0")&amp;" up / "&amp;COUNTIF(F2:F1007,"&lt;0")&amp;" down"</f>
        <v>297 up / 703 down</v>
      </c>
      <c r="P1009" s="38"/>
      <c r="Q1009" s="38"/>
      <c r="R1009" s="2"/>
    </row>
  </sheetData>
  <conditionalFormatting sqref="F2:F1007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8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10" min="9" style="0" width="6"/>
    <col collapsed="false" customWidth="true" hidden="false" outlineLevel="0" max="11" min="11" style="0" width="13"/>
    <col collapsed="false" customWidth="true" hidden="false" outlineLevel="0" max="12" min="12" style="0" width="6"/>
    <col collapsed="false" customWidth="true" hidden="false" outlineLevel="0" max="15" min="13" style="0" width="11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20"/>
    <col collapsed="false" customWidth="true" hidden="false" outlineLevel="0" max="21" min="21" style="0" width="9"/>
    <col collapsed="false" customWidth="true" hidden="false" outlineLevel="0" max="22" min="22" style="0" width="10"/>
    <col collapsed="false" customWidth="true" hidden="false" outlineLevel="0" max="23" min="23" style="0" width="8"/>
    <col collapsed="false" customWidth="true" hidden="false" outlineLevel="0" max="24" min="24" style="0" width="11"/>
    <col collapsed="false" customWidth="true" hidden="false" outlineLevel="0" max="25" min="25" style="0" width="9"/>
    <col collapsed="false" customWidth="true" hidden="false" outlineLevel="0" max="26" min="26" style="0" width="7"/>
    <col collapsed="false" customWidth="true" hidden="false" outlineLevel="0" max="27" min="27" style="0" width="8"/>
    <col collapsed="false" customWidth="true" hidden="false" outlineLevel="0" max="29" min="28" style="0" width="11"/>
    <col collapsed="false" customWidth="true" hidden="false" outlineLevel="0" max="31" min="30" style="0" width="12"/>
    <col collapsed="false" customWidth="true" hidden="false" outlineLevel="0" max="32" min="32" style="0" width="10"/>
    <col collapsed="false" customWidth="true" hidden="false" outlineLevel="0" max="33" min="33" style="0" width="9"/>
  </cols>
  <sheetData>
    <row r="1" customFormat="false" ht="45" hidden="false" customHeight="true" outlineLevel="0" collapsed="false">
      <c r="A1" s="27" t="s">
        <v>217</v>
      </c>
      <c r="B1" s="27" t="s">
        <v>218</v>
      </c>
      <c r="C1" s="27" t="s">
        <v>219</v>
      </c>
      <c r="D1" s="27" t="s">
        <v>220</v>
      </c>
      <c r="E1" s="27" t="s">
        <v>214</v>
      </c>
      <c r="F1" s="27" t="s">
        <v>143</v>
      </c>
      <c r="G1" s="27" t="s">
        <v>133</v>
      </c>
      <c r="H1" s="27" t="s">
        <v>216</v>
      </c>
      <c r="I1" s="27" t="s">
        <v>221</v>
      </c>
      <c r="J1" s="27" t="s">
        <v>222</v>
      </c>
      <c r="K1" s="27" t="s">
        <v>223</v>
      </c>
      <c r="L1" s="27" t="s">
        <v>224</v>
      </c>
      <c r="M1" s="27" t="s">
        <v>225</v>
      </c>
      <c r="N1" s="27" t="s">
        <v>226</v>
      </c>
      <c r="O1" s="27" t="s">
        <v>227</v>
      </c>
      <c r="P1" s="27" t="s">
        <v>228</v>
      </c>
      <c r="Q1" s="27" t="s">
        <v>229</v>
      </c>
      <c r="R1" s="27" t="s">
        <v>230</v>
      </c>
      <c r="S1" s="27" t="s">
        <v>231</v>
      </c>
      <c r="T1" s="27" t="s">
        <v>232</v>
      </c>
      <c r="U1" s="27" t="s">
        <v>233</v>
      </c>
      <c r="V1" s="27" t="s">
        <v>234</v>
      </c>
      <c r="W1" s="27" t="s">
        <v>235</v>
      </c>
      <c r="X1" s="27" t="s">
        <v>236</v>
      </c>
      <c r="Y1" s="27" t="s">
        <v>17</v>
      </c>
      <c r="Z1" s="27" t="s">
        <v>237</v>
      </c>
      <c r="AA1" s="27" t="s">
        <v>238</v>
      </c>
      <c r="AB1" s="27" t="s">
        <v>239</v>
      </c>
      <c r="AC1" s="27" t="s">
        <v>240</v>
      </c>
      <c r="AD1" s="27" t="s">
        <v>241</v>
      </c>
      <c r="AE1" s="27" t="s">
        <v>242</v>
      </c>
      <c r="AF1" s="27" t="s">
        <v>243</v>
      </c>
      <c r="AG1" s="27" t="s">
        <v>244</v>
      </c>
    </row>
    <row r="2" customFormat="false" ht="15" hidden="false" customHeight="false" outlineLevel="0" collapsed="false">
      <c r="A2" s="29" t="n">
        <v>1</v>
      </c>
      <c r="B2" s="44" t="n">
        <v>44655.69375</v>
      </c>
      <c r="C2" s="44" t="n">
        <v>44655.7013888889</v>
      </c>
      <c r="D2" s="43" t="n">
        <f aca="false">INT(C2)</f>
        <v>44655</v>
      </c>
      <c r="E2" s="43" t="n">
        <f aca="false">D2-WEEKDAY(D2,3)</f>
        <v>44655</v>
      </c>
      <c r="F2" s="29" t="s">
        <v>144</v>
      </c>
      <c r="G2" s="29" t="n">
        <v>2022</v>
      </c>
      <c r="H2" s="29" t="s">
        <v>245</v>
      </c>
      <c r="I2" s="29" t="n">
        <v>16</v>
      </c>
      <c r="J2" s="29" t="s">
        <v>246</v>
      </c>
      <c r="K2" s="29" t="s">
        <v>247</v>
      </c>
      <c r="L2" s="29" t="n">
        <v>0.03</v>
      </c>
      <c r="M2" s="32" t="n">
        <v>14958.06</v>
      </c>
      <c r="N2" s="32" t="n">
        <v>14935.4</v>
      </c>
      <c r="O2" s="32" t="n">
        <v>15008.52</v>
      </c>
      <c r="P2" s="45" t="n">
        <f aca="false">ABS(M2-N2)</f>
        <v>22.6599999999999</v>
      </c>
      <c r="Q2" s="45" t="n">
        <f aca="false">IF(O2="","",ABS(O2-M2))</f>
        <v>50.4600000000009</v>
      </c>
      <c r="R2" s="31" t="n">
        <f aca="false">P2*L2*Summary!$C$6</f>
        <v>67.9799999999996</v>
      </c>
      <c r="S2" s="32" t="n">
        <v>15008.63</v>
      </c>
      <c r="T2" s="29" t="s">
        <v>227</v>
      </c>
      <c r="U2" s="45" t="n">
        <f aca="false">IF(J2="BUY",S2-M2,M2-S2)</f>
        <v>50.5699999999997</v>
      </c>
      <c r="V2" s="46" t="n">
        <v>0</v>
      </c>
      <c r="W2" s="46" t="n">
        <v>0</v>
      </c>
      <c r="X2" s="46" t="n">
        <v>151.71</v>
      </c>
      <c r="Y2" s="33" t="n">
        <f aca="false">IFERROR(X2/R2,0)</f>
        <v>2.23168578993823</v>
      </c>
      <c r="Z2" s="29" t="str">
        <f aca="false">IF(X2&gt;0,"Win",IF(X2&lt;0,"Loss","Flat"))</f>
        <v>Win</v>
      </c>
      <c r="AA2" s="29" t="n">
        <f aca="false">ROUND((C2-B2)*1440,1)</f>
        <v>11</v>
      </c>
      <c r="AB2" s="29" t="str">
        <f aca="false">IF(AA2&lt;1,"a) &lt;1 min",IF(AA2&lt;10,"b) 1-10 min",IF(AA2&lt;60,"c) 10-60 min",IF(AA2&lt;240,"d) 1-4 h","e) 4 h+"))))</f>
        <v>c) 10-60 min</v>
      </c>
      <c r="AC2" s="29" t="str">
        <f aca="false">IF(P2&lt;10,"a) &lt;10",IF(P2&lt;20,"b) 10-20",IF(P2&lt;40,"c) 20-40",IF(P2&lt;80,"d) 40-80","e) 80+"))))</f>
        <v>c) 20-40</v>
      </c>
      <c r="AD2" s="31" t="n">
        <f aca="false">Summary!$C$5+SUM(X$2:X2)</f>
        <v>10151.71</v>
      </c>
      <c r="AE2" s="31" t="n">
        <f aca="false">MAX(Summary!$C$5,AD2)</f>
        <v>10151.71</v>
      </c>
      <c r="AF2" s="31" t="n">
        <f aca="false">AE2-AD2</f>
        <v>0</v>
      </c>
      <c r="AG2" s="30" t="n">
        <f aca="false">IFERROR(AF2/AE2,0)</f>
        <v>0</v>
      </c>
    </row>
    <row r="3" customFormat="false" ht="15" hidden="false" customHeight="false" outlineLevel="0" collapsed="false">
      <c r="A3" s="29" t="n">
        <v>2</v>
      </c>
      <c r="B3" s="44" t="n">
        <v>44656.4395833333</v>
      </c>
      <c r="C3" s="44" t="n">
        <v>44656.4401388889</v>
      </c>
      <c r="D3" s="43" t="n">
        <f aca="false">INT(C3)</f>
        <v>44656</v>
      </c>
      <c r="E3" s="43" t="n">
        <f aca="false">D3-WEEKDAY(D3,3)</f>
        <v>44655</v>
      </c>
      <c r="F3" s="29" t="s">
        <v>144</v>
      </c>
      <c r="G3" s="29" t="n">
        <v>2022</v>
      </c>
      <c r="H3" s="29" t="s">
        <v>248</v>
      </c>
      <c r="I3" s="29" t="n">
        <v>10</v>
      </c>
      <c r="J3" s="29" t="s">
        <v>246</v>
      </c>
      <c r="K3" s="29" t="s">
        <v>247</v>
      </c>
      <c r="L3" s="29" t="n">
        <v>0.03</v>
      </c>
      <c r="M3" s="32" t="n">
        <v>15173</v>
      </c>
      <c r="N3" s="32" t="n">
        <v>15165.82</v>
      </c>
      <c r="O3" s="32" t="n">
        <v>15190.51</v>
      </c>
      <c r="P3" s="45" t="n">
        <f aca="false">ABS(M3-N3)</f>
        <v>7.18000000000029</v>
      </c>
      <c r="Q3" s="45" t="n">
        <f aca="false">IF(O3="","",ABS(O3-M3))</f>
        <v>17.5100000000002</v>
      </c>
      <c r="R3" s="31" t="n">
        <f aca="false">P3*L3*Summary!$C$6</f>
        <v>21.5400000000009</v>
      </c>
      <c r="S3" s="32" t="n">
        <v>15165.69</v>
      </c>
      <c r="T3" s="29" t="s">
        <v>249</v>
      </c>
      <c r="U3" s="45" t="n">
        <f aca="false">IF(J3="BUY",S3-M3,M3-S3)</f>
        <v>-7.30999999999949</v>
      </c>
      <c r="V3" s="46" t="n">
        <v>0</v>
      </c>
      <c r="W3" s="46" t="n">
        <v>0</v>
      </c>
      <c r="X3" s="46" t="n">
        <v>-21.93</v>
      </c>
      <c r="Y3" s="33" t="n">
        <f aca="false">IFERROR(X3/R3,0)</f>
        <v>-1.01810584958213</v>
      </c>
      <c r="Z3" s="29" t="str">
        <f aca="false">IF(X3&gt;0,"Win",IF(X3&lt;0,"Loss","Flat"))</f>
        <v>Loss</v>
      </c>
      <c r="AA3" s="29" t="n">
        <f aca="false">ROUND((C3-B3)*1440,1)</f>
        <v>0.8</v>
      </c>
      <c r="AB3" s="29" t="str">
        <f aca="false">IF(AA3&lt;1,"a) &lt;1 min",IF(AA3&lt;10,"b) 1-10 min",IF(AA3&lt;60,"c) 10-60 min",IF(AA3&lt;240,"d) 1-4 h","e) 4 h+"))))</f>
        <v>a) &lt;1 min</v>
      </c>
      <c r="AC3" s="29" t="str">
        <f aca="false">IF(P3&lt;10,"a) &lt;10",IF(P3&lt;20,"b) 10-20",IF(P3&lt;40,"c) 20-40",IF(P3&lt;80,"d) 40-80","e) 80+"))))</f>
        <v>a) &lt;10</v>
      </c>
      <c r="AD3" s="31" t="n">
        <f aca="false">Summary!$C$5+SUM(X$2:X3)</f>
        <v>10129.78</v>
      </c>
      <c r="AE3" s="31" t="n">
        <f aca="false">MAX(AE2,AD3)</f>
        <v>10151.71</v>
      </c>
      <c r="AF3" s="31" t="n">
        <f aca="false">AE3-AD3</f>
        <v>21.9299999999985</v>
      </c>
      <c r="AG3" s="30" t="n">
        <f aca="false">IFERROR(AF3/AE3,0)</f>
        <v>0.00216022719325104</v>
      </c>
    </row>
    <row r="4" customFormat="false" ht="15" hidden="false" customHeight="false" outlineLevel="0" collapsed="false">
      <c r="A4" s="29" t="n">
        <v>3</v>
      </c>
      <c r="B4" s="44" t="n">
        <v>44656.9416666667</v>
      </c>
      <c r="C4" s="44" t="n">
        <v>44656.9425462963</v>
      </c>
      <c r="D4" s="43" t="n">
        <f aca="false">INT(C4)</f>
        <v>44656</v>
      </c>
      <c r="E4" s="43" t="n">
        <f aca="false">D4-WEEKDAY(D4,3)</f>
        <v>44655</v>
      </c>
      <c r="F4" s="29" t="s">
        <v>144</v>
      </c>
      <c r="G4" s="29" t="n">
        <v>2022</v>
      </c>
      <c r="H4" s="29" t="s">
        <v>248</v>
      </c>
      <c r="I4" s="29" t="n">
        <v>22</v>
      </c>
      <c r="J4" s="29" t="s">
        <v>250</v>
      </c>
      <c r="K4" s="29" t="s">
        <v>251</v>
      </c>
      <c r="L4" s="29" t="n">
        <v>0.03</v>
      </c>
      <c r="M4" s="32" t="n">
        <v>14795.54</v>
      </c>
      <c r="N4" s="32" t="n">
        <v>14806.15</v>
      </c>
      <c r="O4" s="32" t="n">
        <v>14769.76</v>
      </c>
      <c r="P4" s="45" t="n">
        <f aca="false">ABS(M4-N4)</f>
        <v>10.6099999999988</v>
      </c>
      <c r="Q4" s="45" t="n">
        <f aca="false">IF(O4="","",ABS(O4-M4))</f>
        <v>25.7800000000007</v>
      </c>
      <c r="R4" s="31" t="n">
        <f aca="false">P4*L4*Summary!$C$6</f>
        <v>31.8299999999963</v>
      </c>
      <c r="S4" s="32" t="n">
        <v>14806.23</v>
      </c>
      <c r="T4" s="29" t="s">
        <v>249</v>
      </c>
      <c r="U4" s="45" t="n">
        <f aca="false">IF(J4="BUY",S4-M4,M4-S4)</f>
        <v>-10.6899999999987</v>
      </c>
      <c r="V4" s="46" t="n">
        <v>0</v>
      </c>
      <c r="W4" s="46" t="n">
        <v>0</v>
      </c>
      <c r="X4" s="46" t="n">
        <v>-32.07</v>
      </c>
      <c r="Y4" s="33" t="n">
        <f aca="false">IFERROR(X4/R4,0)</f>
        <v>-1.00754005655054</v>
      </c>
      <c r="Z4" s="29" t="str">
        <f aca="false">IF(X4&gt;0,"Win",IF(X4&lt;0,"Loss","Flat"))</f>
        <v>Loss</v>
      </c>
      <c r="AA4" s="29" t="n">
        <f aca="false">ROUND((C4-B4)*1440,1)</f>
        <v>1.3</v>
      </c>
      <c r="AB4" s="29" t="str">
        <f aca="false">IF(AA4&lt;1,"a) &lt;1 min",IF(AA4&lt;10,"b) 1-10 min",IF(AA4&lt;60,"c) 10-60 min",IF(AA4&lt;240,"d) 1-4 h","e) 4 h+"))))</f>
        <v>b) 1-10 min</v>
      </c>
      <c r="AC4" s="29" t="str">
        <f aca="false">IF(P4&lt;10,"a) &lt;10",IF(P4&lt;20,"b) 10-20",IF(P4&lt;40,"c) 20-40",IF(P4&lt;80,"d) 40-80","e) 80+"))))</f>
        <v>b) 10-20</v>
      </c>
      <c r="AD4" s="31" t="n">
        <f aca="false">Summary!$C$5+SUM(X$2:X4)</f>
        <v>10097.71</v>
      </c>
      <c r="AE4" s="31" t="n">
        <f aca="false">MAX(AE3,AD4)</f>
        <v>10151.71</v>
      </c>
      <c r="AF4" s="31" t="n">
        <f aca="false">AE4-AD4</f>
        <v>54</v>
      </c>
      <c r="AG4" s="30" t="n">
        <f aca="false">IFERROR(AF4/AE4,0)</f>
        <v>0.00531930088625463</v>
      </c>
    </row>
    <row r="5" customFormat="false" ht="15" hidden="false" customHeight="false" outlineLevel="0" collapsed="false">
      <c r="A5" s="29" t="n">
        <v>4</v>
      </c>
      <c r="B5" s="44" t="n">
        <v>44657.4409722222</v>
      </c>
      <c r="C5" s="44" t="n">
        <v>44657.4480324074</v>
      </c>
      <c r="D5" s="43" t="n">
        <f aca="false">INT(C5)</f>
        <v>44657</v>
      </c>
      <c r="E5" s="43" t="n">
        <f aca="false">D5-WEEKDAY(D5,3)</f>
        <v>44655</v>
      </c>
      <c r="F5" s="29" t="s">
        <v>144</v>
      </c>
      <c r="G5" s="29" t="n">
        <v>2022</v>
      </c>
      <c r="H5" s="29" t="s">
        <v>252</v>
      </c>
      <c r="I5" s="29" t="n">
        <v>10</v>
      </c>
      <c r="J5" s="29" t="s">
        <v>250</v>
      </c>
      <c r="K5" s="29" t="s">
        <v>251</v>
      </c>
      <c r="L5" s="29" t="n">
        <v>0.03</v>
      </c>
      <c r="M5" s="32" t="n">
        <v>14772.55</v>
      </c>
      <c r="N5" s="32" t="n">
        <v>14786.14</v>
      </c>
      <c r="O5" s="32" t="n">
        <v>14740.11</v>
      </c>
      <c r="P5" s="45" t="n">
        <f aca="false">ABS(M5-N5)</f>
        <v>13.5900000000001</v>
      </c>
      <c r="Q5" s="45" t="n">
        <f aca="false">IF(O5="","",ABS(O5-M5))</f>
        <v>32.4399999999987</v>
      </c>
      <c r="R5" s="31" t="n">
        <f aca="false">P5*L5*Summary!$C$6</f>
        <v>40.7700000000004</v>
      </c>
      <c r="S5" s="32" t="n">
        <v>14738.81</v>
      </c>
      <c r="T5" s="29" t="s">
        <v>227</v>
      </c>
      <c r="U5" s="45" t="n">
        <f aca="false">IF(J5="BUY",S5-M5,M5-S5)</f>
        <v>33.7399999999998</v>
      </c>
      <c r="V5" s="46" t="n">
        <v>0</v>
      </c>
      <c r="W5" s="46" t="n">
        <v>0</v>
      </c>
      <c r="X5" s="46" t="n">
        <v>101.22</v>
      </c>
      <c r="Y5" s="33" t="n">
        <f aca="false">IFERROR(X5/R5,0)</f>
        <v>2.48270787343632</v>
      </c>
      <c r="Z5" s="29" t="str">
        <f aca="false">IF(X5&gt;0,"Win",IF(X5&lt;0,"Loss","Flat"))</f>
        <v>Win</v>
      </c>
      <c r="AA5" s="29" t="n">
        <f aca="false">ROUND((C5-B5)*1440,1)</f>
        <v>10.2</v>
      </c>
      <c r="AB5" s="29" t="str">
        <f aca="false">IF(AA5&lt;1,"a) &lt;1 min",IF(AA5&lt;10,"b) 1-10 min",IF(AA5&lt;60,"c) 10-60 min",IF(AA5&lt;240,"d) 1-4 h","e) 4 h+"))))</f>
        <v>c) 10-60 min</v>
      </c>
      <c r="AC5" s="29" t="str">
        <f aca="false">IF(P5&lt;10,"a) &lt;10",IF(P5&lt;20,"b) 10-20",IF(P5&lt;40,"c) 20-40",IF(P5&lt;80,"d) 40-80","e) 80+"))))</f>
        <v>b) 10-20</v>
      </c>
      <c r="AD5" s="31" t="n">
        <f aca="false">Summary!$C$5+SUM(X$2:X5)</f>
        <v>10198.93</v>
      </c>
      <c r="AE5" s="31" t="n">
        <f aca="false">MAX(AE4,AD5)</f>
        <v>10198.93</v>
      </c>
      <c r="AF5" s="31" t="n">
        <f aca="false">AE5-AD5</f>
        <v>0</v>
      </c>
      <c r="AG5" s="30" t="n">
        <f aca="false">IFERROR(AF5/AE5,0)</f>
        <v>0</v>
      </c>
    </row>
    <row r="6" customFormat="false" ht="15" hidden="false" customHeight="false" outlineLevel="0" collapsed="false">
      <c r="A6" s="29" t="n">
        <v>5</v>
      </c>
      <c r="B6" s="44" t="n">
        <v>44658.7736111111</v>
      </c>
      <c r="C6" s="44" t="n">
        <v>44658.774375</v>
      </c>
      <c r="D6" s="43" t="n">
        <f aca="false">INT(C6)</f>
        <v>44658</v>
      </c>
      <c r="E6" s="43" t="n">
        <f aca="false">D6-WEEKDAY(D6,3)</f>
        <v>44655</v>
      </c>
      <c r="F6" s="29" t="s">
        <v>144</v>
      </c>
      <c r="G6" s="29" t="n">
        <v>2022</v>
      </c>
      <c r="H6" s="29" t="s">
        <v>253</v>
      </c>
      <c r="I6" s="29" t="n">
        <v>18</v>
      </c>
      <c r="J6" s="29" t="s">
        <v>250</v>
      </c>
      <c r="K6" s="29" t="s">
        <v>251</v>
      </c>
      <c r="L6" s="29" t="n">
        <v>0.03</v>
      </c>
      <c r="M6" s="32" t="n">
        <v>14381.06</v>
      </c>
      <c r="N6" s="32" t="n">
        <v>14394.96</v>
      </c>
      <c r="O6" s="32" t="n">
        <v>14347.86</v>
      </c>
      <c r="P6" s="45" t="n">
        <f aca="false">ABS(M6-N6)</f>
        <v>13.8999999999996</v>
      </c>
      <c r="Q6" s="45" t="n">
        <f aca="false">IF(O6="","",ABS(O6-M6))</f>
        <v>33.1999999999989</v>
      </c>
      <c r="R6" s="31" t="n">
        <f aca="false">P6*L6*Summary!$C$6</f>
        <v>41.6999999999989</v>
      </c>
      <c r="S6" s="32" t="n">
        <v>14395.16</v>
      </c>
      <c r="T6" s="29" t="s">
        <v>249</v>
      </c>
      <c r="U6" s="45" t="n">
        <f aca="false">IF(J6="BUY",S6-M6,M6-S6)</f>
        <v>-14.1000000000004</v>
      </c>
      <c r="V6" s="46" t="n">
        <v>0</v>
      </c>
      <c r="W6" s="46" t="n">
        <v>0</v>
      </c>
      <c r="X6" s="46" t="n">
        <v>-42.3</v>
      </c>
      <c r="Y6" s="33" t="n">
        <f aca="false">IFERROR(X6/R6,0)</f>
        <v>-1.01438848920866</v>
      </c>
      <c r="Z6" s="29" t="str">
        <f aca="false">IF(X6&gt;0,"Win",IF(X6&lt;0,"Loss","Flat"))</f>
        <v>Loss</v>
      </c>
      <c r="AA6" s="29" t="n">
        <f aca="false">ROUND((C6-B6)*1440,1)</f>
        <v>1.1</v>
      </c>
      <c r="AB6" s="29" t="str">
        <f aca="false">IF(AA6&lt;1,"a) &lt;1 min",IF(AA6&lt;10,"b) 1-10 min",IF(AA6&lt;60,"c) 10-60 min",IF(AA6&lt;240,"d) 1-4 h","e) 4 h+"))))</f>
        <v>b) 1-10 min</v>
      </c>
      <c r="AC6" s="29" t="str">
        <f aca="false">IF(P6&lt;10,"a) &lt;10",IF(P6&lt;20,"b) 10-20",IF(P6&lt;40,"c) 20-40",IF(P6&lt;80,"d) 40-80","e) 80+"))))</f>
        <v>b) 10-20</v>
      </c>
      <c r="AD6" s="31" t="n">
        <f aca="false">Summary!$C$5+SUM(X$2:X6)</f>
        <v>10156.63</v>
      </c>
      <c r="AE6" s="31" t="n">
        <f aca="false">MAX(AE5,AD6)</f>
        <v>10198.93</v>
      </c>
      <c r="AF6" s="31" t="n">
        <f aca="false">AE6-AD6</f>
        <v>42.3000000000011</v>
      </c>
      <c r="AG6" s="30" t="n">
        <f aca="false">IFERROR(AF6/AE6,0)</f>
        <v>0.00414749390377237</v>
      </c>
    </row>
    <row r="7" customFormat="false" ht="15" hidden="false" customHeight="false" outlineLevel="0" collapsed="false">
      <c r="A7" s="29" t="n">
        <v>6</v>
      </c>
      <c r="B7" s="44" t="n">
        <v>44659.4618055556</v>
      </c>
      <c r="C7" s="44" t="n">
        <v>44659.4688888889</v>
      </c>
      <c r="D7" s="43" t="n">
        <f aca="false">INT(C7)</f>
        <v>44659</v>
      </c>
      <c r="E7" s="43" t="n">
        <f aca="false">D7-WEEKDAY(D7,3)</f>
        <v>44655</v>
      </c>
      <c r="F7" s="29" t="s">
        <v>144</v>
      </c>
      <c r="G7" s="29" t="n">
        <v>2022</v>
      </c>
      <c r="H7" s="29" t="s">
        <v>254</v>
      </c>
      <c r="I7" s="29" t="n">
        <v>11</v>
      </c>
      <c r="J7" s="29" t="s">
        <v>246</v>
      </c>
      <c r="K7" s="29" t="s">
        <v>247</v>
      </c>
      <c r="L7" s="29" t="n">
        <v>0.03</v>
      </c>
      <c r="M7" s="32" t="n">
        <v>14629.35</v>
      </c>
      <c r="N7" s="32" t="n">
        <v>14622.67</v>
      </c>
      <c r="O7" s="32" t="n">
        <v>14645.31</v>
      </c>
      <c r="P7" s="45" t="n">
        <f aca="false">ABS(M7-N7)</f>
        <v>6.68000000000029</v>
      </c>
      <c r="Q7" s="45" t="n">
        <f aca="false">IF(O7="","",ABS(O7-M7))</f>
        <v>15.9599999999991</v>
      </c>
      <c r="R7" s="31" t="n">
        <f aca="false">P7*L7*Summary!$C$6</f>
        <v>20.0400000000009</v>
      </c>
      <c r="S7" s="32" t="n">
        <v>14622.09</v>
      </c>
      <c r="T7" s="29" t="s">
        <v>249</v>
      </c>
      <c r="U7" s="45" t="n">
        <f aca="false">IF(J7="BUY",S7-M7,M7-S7)</f>
        <v>-7.26000000000022</v>
      </c>
      <c r="V7" s="46" t="n">
        <v>0</v>
      </c>
      <c r="W7" s="46" t="n">
        <v>0</v>
      </c>
      <c r="X7" s="46" t="n">
        <v>-21.78</v>
      </c>
      <c r="Y7" s="33" t="n">
        <f aca="false">IFERROR(X7/R7,0)</f>
        <v>-1.08682634730534</v>
      </c>
      <c r="Z7" s="29" t="str">
        <f aca="false">IF(X7&gt;0,"Win",IF(X7&lt;0,"Loss","Flat"))</f>
        <v>Loss</v>
      </c>
      <c r="AA7" s="29" t="n">
        <f aca="false">ROUND((C7-B7)*1440,1)</f>
        <v>10.2</v>
      </c>
      <c r="AB7" s="29" t="str">
        <f aca="false">IF(AA7&lt;1,"a) &lt;1 min",IF(AA7&lt;10,"b) 1-10 min",IF(AA7&lt;60,"c) 10-60 min",IF(AA7&lt;240,"d) 1-4 h","e) 4 h+"))))</f>
        <v>c) 10-60 min</v>
      </c>
      <c r="AC7" s="29" t="str">
        <f aca="false">IF(P7&lt;10,"a) &lt;10",IF(P7&lt;20,"b) 10-20",IF(P7&lt;40,"c) 20-40",IF(P7&lt;80,"d) 40-80","e) 80+"))))</f>
        <v>a) &lt;10</v>
      </c>
      <c r="AD7" s="31" t="n">
        <f aca="false">Summary!$C$5+SUM(X$2:X7)</f>
        <v>10134.85</v>
      </c>
      <c r="AE7" s="31" t="n">
        <f aca="false">MAX(AE6,AD7)</f>
        <v>10198.93</v>
      </c>
      <c r="AF7" s="31" t="n">
        <f aca="false">AE7-AD7</f>
        <v>64.0799999999999</v>
      </c>
      <c r="AG7" s="30" t="n">
        <f aca="false">IFERROR(AF7/AE7,0)</f>
        <v>0.00628301204145924</v>
      </c>
    </row>
    <row r="8" customFormat="false" ht="15" hidden="false" customHeight="false" outlineLevel="0" collapsed="false">
      <c r="A8" s="29" t="n">
        <v>7</v>
      </c>
      <c r="B8" s="44" t="n">
        <v>44659.7076388889</v>
      </c>
      <c r="C8" s="44" t="n">
        <v>44659.7084375</v>
      </c>
      <c r="D8" s="43" t="n">
        <f aca="false">INT(C8)</f>
        <v>44659</v>
      </c>
      <c r="E8" s="43" t="n">
        <f aca="false">D8-WEEKDAY(D8,3)</f>
        <v>44655</v>
      </c>
      <c r="F8" s="29" t="s">
        <v>144</v>
      </c>
      <c r="G8" s="29" t="n">
        <v>2022</v>
      </c>
      <c r="H8" s="29" t="s">
        <v>254</v>
      </c>
      <c r="I8" s="29" t="n">
        <v>16</v>
      </c>
      <c r="J8" s="29" t="s">
        <v>250</v>
      </c>
      <c r="K8" s="29" t="s">
        <v>251</v>
      </c>
      <c r="L8" s="29" t="n">
        <v>0.03</v>
      </c>
      <c r="M8" s="32" t="n">
        <v>14310.28</v>
      </c>
      <c r="N8" s="32" t="n">
        <v>14327.5</v>
      </c>
      <c r="O8" s="32" t="n">
        <v>14270.92</v>
      </c>
      <c r="P8" s="45" t="n">
        <f aca="false">ABS(M8-N8)</f>
        <v>17.2199999999993</v>
      </c>
      <c r="Q8" s="45" t="n">
        <f aca="false">IF(O8="","",ABS(O8-M8))</f>
        <v>39.3600000000006</v>
      </c>
      <c r="R8" s="31" t="n">
        <f aca="false">P8*L8*Summary!$C$6</f>
        <v>51.659999999998</v>
      </c>
      <c r="S8" s="32" t="n">
        <v>14328.09</v>
      </c>
      <c r="T8" s="29" t="s">
        <v>249</v>
      </c>
      <c r="U8" s="45" t="n">
        <f aca="false">IF(J8="BUY",S8-M8,M8-S8)</f>
        <v>-17.8099999999995</v>
      </c>
      <c r="V8" s="46" t="n">
        <v>0</v>
      </c>
      <c r="W8" s="46" t="n">
        <v>0</v>
      </c>
      <c r="X8" s="46" t="n">
        <v>-53.43</v>
      </c>
      <c r="Y8" s="33" t="n">
        <f aca="false">IFERROR(X8/R8,0)</f>
        <v>-1.03426248548204</v>
      </c>
      <c r="Z8" s="29" t="str">
        <f aca="false">IF(X8&gt;0,"Win",IF(X8&lt;0,"Loss","Flat"))</f>
        <v>Loss</v>
      </c>
      <c r="AA8" s="29" t="n">
        <f aca="false">ROUND((C8-B8)*1440,1)</f>
        <v>1.2</v>
      </c>
      <c r="AB8" s="29" t="str">
        <f aca="false">IF(AA8&lt;1,"a) &lt;1 min",IF(AA8&lt;10,"b) 1-10 min",IF(AA8&lt;60,"c) 10-60 min",IF(AA8&lt;240,"d) 1-4 h","e) 4 h+"))))</f>
        <v>b) 1-10 min</v>
      </c>
      <c r="AC8" s="29" t="str">
        <f aca="false">IF(P8&lt;10,"a) &lt;10",IF(P8&lt;20,"b) 10-20",IF(P8&lt;40,"c) 20-40",IF(P8&lt;80,"d) 40-80","e) 80+"))))</f>
        <v>b) 10-20</v>
      </c>
      <c r="AD8" s="31" t="n">
        <f aca="false">Summary!$C$5+SUM(X$2:X8)</f>
        <v>10081.42</v>
      </c>
      <c r="AE8" s="31" t="n">
        <f aca="false">MAX(AE7,AD8)</f>
        <v>10198.93</v>
      </c>
      <c r="AF8" s="31" t="n">
        <f aca="false">AE8-AD8</f>
        <v>117.51</v>
      </c>
      <c r="AG8" s="30" t="n">
        <f aca="false">IFERROR(AF8/AE8,0)</f>
        <v>0.0115217968943801</v>
      </c>
    </row>
    <row r="9" customFormat="false" ht="15" hidden="false" customHeight="false" outlineLevel="0" collapsed="false">
      <c r="A9" s="29" t="n">
        <v>8</v>
      </c>
      <c r="B9" s="44" t="n">
        <v>44662.1256944445</v>
      </c>
      <c r="C9" s="44" t="n">
        <v>44662.1293865741</v>
      </c>
      <c r="D9" s="43" t="n">
        <f aca="false">INT(C9)</f>
        <v>44662</v>
      </c>
      <c r="E9" s="43" t="n">
        <f aca="false">D9-WEEKDAY(D9,3)</f>
        <v>44662</v>
      </c>
      <c r="F9" s="29" t="s">
        <v>144</v>
      </c>
      <c r="G9" s="29" t="n">
        <v>2022</v>
      </c>
      <c r="H9" s="29" t="s">
        <v>245</v>
      </c>
      <c r="I9" s="29" t="n">
        <v>3</v>
      </c>
      <c r="J9" s="29" t="s">
        <v>250</v>
      </c>
      <c r="K9" s="29" t="s">
        <v>251</v>
      </c>
      <c r="L9" s="29" t="n">
        <v>0.03</v>
      </c>
      <c r="M9" s="32" t="n">
        <v>14292.91</v>
      </c>
      <c r="N9" s="32" t="n">
        <v>14304.54</v>
      </c>
      <c r="O9" s="32" t="n">
        <v>14265.8</v>
      </c>
      <c r="P9" s="45" t="n">
        <f aca="false">ABS(M9-N9)</f>
        <v>11.630000000001</v>
      </c>
      <c r="Q9" s="45" t="n">
        <f aca="false">IF(O9="","",ABS(O9-M9))</f>
        <v>27.1100000000006</v>
      </c>
      <c r="R9" s="31" t="n">
        <f aca="false">P9*L9*Summary!$C$6</f>
        <v>34.8900000000031</v>
      </c>
      <c r="S9" s="32" t="n">
        <v>14292.93</v>
      </c>
      <c r="T9" s="29" t="s">
        <v>255</v>
      </c>
      <c r="U9" s="45" t="n">
        <f aca="false">IF(J9="BUY",S9-M9,M9-S9)</f>
        <v>-0.0200000000004366</v>
      </c>
      <c r="V9" s="46" t="n">
        <v>0</v>
      </c>
      <c r="W9" s="46" t="n">
        <v>0</v>
      </c>
      <c r="X9" s="46" t="n">
        <v>-0.06</v>
      </c>
      <c r="Y9" s="33" t="n">
        <f aca="false">IFERROR(X9/R9,0)</f>
        <v>-0.00171969045571782</v>
      </c>
      <c r="Z9" s="29" t="str">
        <f aca="false">IF(X9&gt;0,"Win",IF(X9&lt;0,"Loss","Flat"))</f>
        <v>Loss</v>
      </c>
      <c r="AA9" s="29" t="n">
        <f aca="false">ROUND((C9-B9)*1440,1)</f>
        <v>5.3</v>
      </c>
      <c r="AB9" s="29" t="str">
        <f aca="false">IF(AA9&lt;1,"a) &lt;1 min",IF(AA9&lt;10,"b) 1-10 min",IF(AA9&lt;60,"c) 10-60 min",IF(AA9&lt;240,"d) 1-4 h","e) 4 h+"))))</f>
        <v>b) 1-10 min</v>
      </c>
      <c r="AC9" s="29" t="str">
        <f aca="false">IF(P9&lt;10,"a) &lt;10",IF(P9&lt;20,"b) 10-20",IF(P9&lt;40,"c) 20-40",IF(P9&lt;80,"d) 40-80","e) 80+"))))</f>
        <v>b) 10-20</v>
      </c>
      <c r="AD9" s="31" t="n">
        <f aca="false">Summary!$C$5+SUM(X$2:X9)</f>
        <v>10081.36</v>
      </c>
      <c r="AE9" s="31" t="n">
        <f aca="false">MAX(AE8,AD9)</f>
        <v>10198.93</v>
      </c>
      <c r="AF9" s="31" t="n">
        <f aca="false">AE9-AD9</f>
        <v>117.57</v>
      </c>
      <c r="AG9" s="30" t="n">
        <f aca="false">IFERROR(AF9/AE9,0)</f>
        <v>0.0115276798644563</v>
      </c>
    </row>
    <row r="10" customFormat="false" ht="15" hidden="false" customHeight="false" outlineLevel="0" collapsed="false">
      <c r="A10" s="29" t="n">
        <v>9</v>
      </c>
      <c r="B10" s="44" t="n">
        <v>44663.1201388889</v>
      </c>
      <c r="C10" s="44" t="n">
        <v>44663.1247106482</v>
      </c>
      <c r="D10" s="43" t="n">
        <f aca="false">INT(C10)</f>
        <v>44663</v>
      </c>
      <c r="E10" s="43" t="n">
        <f aca="false">D10-WEEKDAY(D10,3)</f>
        <v>44662</v>
      </c>
      <c r="F10" s="29" t="s">
        <v>144</v>
      </c>
      <c r="G10" s="29" t="n">
        <v>2022</v>
      </c>
      <c r="H10" s="29" t="s">
        <v>248</v>
      </c>
      <c r="I10" s="29" t="n">
        <v>2</v>
      </c>
      <c r="J10" s="29" t="s">
        <v>250</v>
      </c>
      <c r="K10" s="29" t="s">
        <v>251</v>
      </c>
      <c r="L10" s="29" t="n">
        <v>0.03</v>
      </c>
      <c r="M10" s="32" t="n">
        <v>13976.43</v>
      </c>
      <c r="N10" s="32" t="n">
        <v>13980.99</v>
      </c>
      <c r="O10" s="32" t="n">
        <v>13965.39</v>
      </c>
      <c r="P10" s="45" t="n">
        <f aca="false">ABS(M10-N10)</f>
        <v>4.55999999999949</v>
      </c>
      <c r="Q10" s="45" t="n">
        <f aca="false">IF(O10="","",ABS(O10-M10))</f>
        <v>11.0400000000009</v>
      </c>
      <c r="R10" s="31" t="n">
        <f aca="false">P10*L10*Summary!$C$6</f>
        <v>13.6799999999985</v>
      </c>
      <c r="S10" s="32" t="n">
        <v>13976.47</v>
      </c>
      <c r="T10" s="29" t="s">
        <v>255</v>
      </c>
      <c r="U10" s="45" t="n">
        <f aca="false">IF(J10="BUY",S10-M10,M10-S10)</f>
        <v>-0.0399999999990541</v>
      </c>
      <c r="V10" s="46" t="n">
        <v>0</v>
      </c>
      <c r="W10" s="46" t="n">
        <v>0</v>
      </c>
      <c r="X10" s="46" t="n">
        <v>-0.12</v>
      </c>
      <c r="Y10" s="33" t="n">
        <f aca="false">IFERROR(X10/R10,0)</f>
        <v>-0.00877192982456238</v>
      </c>
      <c r="Z10" s="29" t="str">
        <f aca="false">IF(X10&gt;0,"Win",IF(X10&lt;0,"Loss","Flat"))</f>
        <v>Loss</v>
      </c>
      <c r="AA10" s="29" t="n">
        <f aca="false">ROUND((C10-B10)*1440,1)</f>
        <v>6.6</v>
      </c>
      <c r="AB10" s="29" t="str">
        <f aca="false">IF(AA10&lt;1,"a) &lt;1 min",IF(AA10&lt;10,"b) 1-10 min",IF(AA10&lt;60,"c) 10-60 min",IF(AA10&lt;240,"d) 1-4 h","e) 4 h+"))))</f>
        <v>b) 1-10 min</v>
      </c>
      <c r="AC10" s="29" t="str">
        <f aca="false">IF(P10&lt;10,"a) &lt;10",IF(P10&lt;20,"b) 10-20",IF(P10&lt;40,"c) 20-40",IF(P10&lt;80,"d) 40-80","e) 80+"))))</f>
        <v>a) &lt;10</v>
      </c>
      <c r="AD10" s="31" t="n">
        <f aca="false">Summary!$C$5+SUM(X$2:X10)</f>
        <v>10081.24</v>
      </c>
      <c r="AE10" s="31" t="n">
        <f aca="false">MAX(AE9,AD10)</f>
        <v>10198.93</v>
      </c>
      <c r="AF10" s="31" t="n">
        <f aca="false">AE10-AD10</f>
        <v>117.690000000001</v>
      </c>
      <c r="AG10" s="30" t="n">
        <f aca="false">IFERROR(AF10/AE10,0)</f>
        <v>0.011539445804609</v>
      </c>
    </row>
    <row r="11" customFormat="false" ht="15" hidden="false" customHeight="false" outlineLevel="0" collapsed="false">
      <c r="A11" s="29" t="n">
        <v>10</v>
      </c>
      <c r="B11" s="44" t="n">
        <v>44665.2840277778</v>
      </c>
      <c r="C11" s="44" t="n">
        <v>44665.2849189815</v>
      </c>
      <c r="D11" s="43" t="n">
        <f aca="false">INT(C11)</f>
        <v>44665</v>
      </c>
      <c r="E11" s="43" t="n">
        <f aca="false">D11-WEEKDAY(D11,3)</f>
        <v>44662</v>
      </c>
      <c r="F11" s="29" t="s">
        <v>144</v>
      </c>
      <c r="G11" s="29" t="n">
        <v>2022</v>
      </c>
      <c r="H11" s="29" t="s">
        <v>253</v>
      </c>
      <c r="I11" s="29" t="n">
        <v>6</v>
      </c>
      <c r="J11" s="29" t="s">
        <v>246</v>
      </c>
      <c r="K11" s="29" t="s">
        <v>247</v>
      </c>
      <c r="L11" s="29" t="n">
        <v>0.03</v>
      </c>
      <c r="M11" s="32" t="n">
        <v>14262.42</v>
      </c>
      <c r="N11" s="32" t="n">
        <v>14256.7</v>
      </c>
      <c r="O11" s="32" t="n">
        <v>14276.94</v>
      </c>
      <c r="P11" s="45" t="n">
        <f aca="false">ABS(M11-N11)</f>
        <v>5.71999999999935</v>
      </c>
      <c r="Q11" s="45" t="n">
        <f aca="false">IF(O11="","",ABS(O11-M11))</f>
        <v>14.5200000000004</v>
      </c>
      <c r="R11" s="31" t="n">
        <f aca="false">P11*L11*Summary!$C$6</f>
        <v>17.159999999998</v>
      </c>
      <c r="S11" s="32" t="n">
        <v>14256.15</v>
      </c>
      <c r="T11" s="29" t="s">
        <v>249</v>
      </c>
      <c r="U11" s="45" t="n">
        <f aca="false">IF(J11="BUY",S11-M11,M11-S11)</f>
        <v>-6.27000000000044</v>
      </c>
      <c r="V11" s="46" t="n">
        <v>0</v>
      </c>
      <c r="W11" s="46" t="n">
        <v>0</v>
      </c>
      <c r="X11" s="46" t="n">
        <v>-18.81</v>
      </c>
      <c r="Y11" s="33" t="n">
        <f aca="false">IFERROR(X11/R11,0)</f>
        <v>-1.09615384615397</v>
      </c>
      <c r="Z11" s="29" t="str">
        <f aca="false">IF(X11&gt;0,"Win",IF(X11&lt;0,"Loss","Flat"))</f>
        <v>Loss</v>
      </c>
      <c r="AA11" s="29" t="n">
        <f aca="false">ROUND((C11-B11)*1440,1)</f>
        <v>1.3</v>
      </c>
      <c r="AB11" s="29" t="str">
        <f aca="false">IF(AA11&lt;1,"a) &lt;1 min",IF(AA11&lt;10,"b) 1-10 min",IF(AA11&lt;60,"c) 10-60 min",IF(AA11&lt;240,"d) 1-4 h","e) 4 h+"))))</f>
        <v>b) 1-10 min</v>
      </c>
      <c r="AC11" s="29" t="str">
        <f aca="false">IF(P11&lt;10,"a) &lt;10",IF(P11&lt;20,"b) 10-20",IF(P11&lt;40,"c) 20-40",IF(P11&lt;80,"d) 40-80","e) 80+"))))</f>
        <v>a) &lt;10</v>
      </c>
      <c r="AD11" s="31" t="n">
        <f aca="false">Summary!$C$5+SUM(X$2:X11)</f>
        <v>10062.43</v>
      </c>
      <c r="AE11" s="31" t="n">
        <f aca="false">MAX(AE10,AD11)</f>
        <v>10198.93</v>
      </c>
      <c r="AF11" s="31" t="n">
        <f aca="false">AE11-AD11</f>
        <v>136.5</v>
      </c>
      <c r="AG11" s="30" t="n">
        <f aca="false">IFERROR(AF11/AE11,0)</f>
        <v>0.0133837569235204</v>
      </c>
    </row>
    <row r="12" customFormat="false" ht="15" hidden="false" customHeight="false" outlineLevel="0" collapsed="false">
      <c r="A12" s="29" t="n">
        <v>11</v>
      </c>
      <c r="B12" s="44" t="n">
        <v>44665.9395833333</v>
      </c>
      <c r="C12" s="44" t="n">
        <v>44665.9465162037</v>
      </c>
      <c r="D12" s="43" t="n">
        <f aca="false">INT(C12)</f>
        <v>44665</v>
      </c>
      <c r="E12" s="43" t="n">
        <f aca="false">D12-WEEKDAY(D12,3)</f>
        <v>44662</v>
      </c>
      <c r="F12" s="29" t="s">
        <v>144</v>
      </c>
      <c r="G12" s="29" t="n">
        <v>2022</v>
      </c>
      <c r="H12" s="29" t="s">
        <v>253</v>
      </c>
      <c r="I12" s="29" t="n">
        <v>22</v>
      </c>
      <c r="J12" s="29" t="s">
        <v>250</v>
      </c>
      <c r="K12" s="29" t="s">
        <v>251</v>
      </c>
      <c r="L12" s="29" t="n">
        <v>0.03</v>
      </c>
      <c r="M12" s="32" t="n">
        <v>13915.61</v>
      </c>
      <c r="N12" s="32" t="n">
        <v>13925.69</v>
      </c>
      <c r="O12" s="32" t="n">
        <v>13894.37</v>
      </c>
      <c r="P12" s="45" t="n">
        <f aca="false">ABS(M12-N12)</f>
        <v>10.0799999999999</v>
      </c>
      <c r="Q12" s="45" t="n">
        <f aca="false">IF(O12="","",ABS(O12-M12))</f>
        <v>21.2399999999998</v>
      </c>
      <c r="R12" s="31" t="n">
        <f aca="false">P12*L12*Summary!$C$6</f>
        <v>30.2399999999998</v>
      </c>
      <c r="S12" s="32" t="n">
        <v>13926.36</v>
      </c>
      <c r="T12" s="29" t="s">
        <v>249</v>
      </c>
      <c r="U12" s="45" t="n">
        <f aca="false">IF(J12="BUY",S12-M12,M12-S12)</f>
        <v>-10.75</v>
      </c>
      <c r="V12" s="46" t="n">
        <v>0</v>
      </c>
      <c r="W12" s="46" t="n">
        <v>0</v>
      </c>
      <c r="X12" s="46" t="n">
        <v>-32.25</v>
      </c>
      <c r="Y12" s="33" t="n">
        <f aca="false">IFERROR(X12/R12,0)</f>
        <v>-1.06646825396826</v>
      </c>
      <c r="Z12" s="29" t="str">
        <f aca="false">IF(X12&gt;0,"Win",IF(X12&lt;0,"Loss","Flat"))</f>
        <v>Loss</v>
      </c>
      <c r="AA12" s="29" t="n">
        <f aca="false">ROUND((C12-B12)*1440,1)</f>
        <v>10</v>
      </c>
      <c r="AB12" s="29" t="str">
        <f aca="false">IF(AA12&lt;1,"a) &lt;1 min",IF(AA12&lt;10,"b) 1-10 min",IF(AA12&lt;60,"c) 10-60 min",IF(AA12&lt;240,"d) 1-4 h","e) 4 h+"))))</f>
        <v>c) 10-60 min</v>
      </c>
      <c r="AC12" s="29" t="str">
        <f aca="false">IF(P12&lt;10,"a) &lt;10",IF(P12&lt;20,"b) 10-20",IF(P12&lt;40,"c) 20-40",IF(P12&lt;80,"d) 40-80","e) 80+"))))</f>
        <v>b) 10-20</v>
      </c>
      <c r="AD12" s="31" t="n">
        <f aca="false">Summary!$C$5+SUM(X$2:X12)</f>
        <v>10030.18</v>
      </c>
      <c r="AE12" s="31" t="n">
        <f aca="false">MAX(AE11,AD12)</f>
        <v>10198.93</v>
      </c>
      <c r="AF12" s="31" t="n">
        <f aca="false">AE12-AD12</f>
        <v>168.75</v>
      </c>
      <c r="AG12" s="30" t="n">
        <f aca="false">IFERROR(AF12/AE12,0)</f>
        <v>0.016545853339517</v>
      </c>
    </row>
    <row r="13" customFormat="false" ht="15" hidden="false" customHeight="false" outlineLevel="0" collapsed="false">
      <c r="A13" s="29" t="n">
        <v>12</v>
      </c>
      <c r="B13" s="44" t="n">
        <v>44669.0423611111</v>
      </c>
      <c r="C13" s="44" t="n">
        <v>44669.0429282407</v>
      </c>
      <c r="D13" s="43" t="n">
        <f aca="false">INT(C13)</f>
        <v>44669</v>
      </c>
      <c r="E13" s="43" t="n">
        <f aca="false">D13-WEEKDAY(D13,3)</f>
        <v>44669</v>
      </c>
      <c r="F13" s="29" t="s">
        <v>144</v>
      </c>
      <c r="G13" s="29" t="n">
        <v>2022</v>
      </c>
      <c r="H13" s="29" t="s">
        <v>245</v>
      </c>
      <c r="I13" s="29" t="n">
        <v>1</v>
      </c>
      <c r="J13" s="29" t="s">
        <v>250</v>
      </c>
      <c r="K13" s="29" t="s">
        <v>251</v>
      </c>
      <c r="L13" s="29" t="n">
        <v>0.03</v>
      </c>
      <c r="M13" s="32" t="n">
        <v>13855.91</v>
      </c>
      <c r="N13" s="32" t="n">
        <v>13865.35</v>
      </c>
      <c r="O13" s="32" t="n">
        <v>13831.34</v>
      </c>
      <c r="P13" s="45" t="n">
        <f aca="false">ABS(M13-N13)</f>
        <v>9.44000000000051</v>
      </c>
      <c r="Q13" s="45" t="n">
        <f aca="false">IF(O13="","",ABS(O13-M13))</f>
        <v>24.5699999999997</v>
      </c>
      <c r="R13" s="31" t="n">
        <f aca="false">P13*L13*Summary!$C$6</f>
        <v>28.3200000000015</v>
      </c>
      <c r="S13" s="32" t="n">
        <v>13831.24</v>
      </c>
      <c r="T13" s="29" t="s">
        <v>227</v>
      </c>
      <c r="U13" s="45" t="n">
        <f aca="false">IF(J13="BUY",S13-M13,M13-S13)</f>
        <v>24.6700000000001</v>
      </c>
      <c r="V13" s="46" t="n">
        <v>0</v>
      </c>
      <c r="W13" s="46" t="n">
        <v>0</v>
      </c>
      <c r="X13" s="46" t="n">
        <v>74.01</v>
      </c>
      <c r="Y13" s="33" t="n">
        <f aca="false">IFERROR(X13/R13,0)</f>
        <v>2.61334745762698</v>
      </c>
      <c r="Z13" s="29" t="str">
        <f aca="false">IF(X13&gt;0,"Win",IF(X13&lt;0,"Loss","Flat"))</f>
        <v>Win</v>
      </c>
      <c r="AA13" s="29" t="n">
        <f aca="false">ROUND((C13-B13)*1440,1)</f>
        <v>0.8</v>
      </c>
      <c r="AB13" s="29" t="str">
        <f aca="false">IF(AA13&lt;1,"a) &lt;1 min",IF(AA13&lt;10,"b) 1-10 min",IF(AA13&lt;60,"c) 10-60 min",IF(AA13&lt;240,"d) 1-4 h","e) 4 h+"))))</f>
        <v>a) &lt;1 min</v>
      </c>
      <c r="AC13" s="29" t="str">
        <f aca="false">IF(P13&lt;10,"a) &lt;10",IF(P13&lt;20,"b) 10-20",IF(P13&lt;40,"c) 20-40",IF(P13&lt;80,"d) 40-80","e) 80+"))))</f>
        <v>a) &lt;10</v>
      </c>
      <c r="AD13" s="31" t="n">
        <f aca="false">Summary!$C$5+SUM(X$2:X13)</f>
        <v>10104.19</v>
      </c>
      <c r="AE13" s="31" t="n">
        <f aca="false">MAX(AE12,AD13)</f>
        <v>10198.93</v>
      </c>
      <c r="AF13" s="31" t="n">
        <f aca="false">AE13-AD13</f>
        <v>94.7399999999998</v>
      </c>
      <c r="AG13" s="30" t="n">
        <f aca="false">IFERROR(AF13/AE13,0)</f>
        <v>0.00928920975043458</v>
      </c>
    </row>
    <row r="14" customFormat="false" ht="15" hidden="false" customHeight="false" outlineLevel="0" collapsed="false">
      <c r="A14" s="29" t="n">
        <v>13</v>
      </c>
      <c r="B14" s="44" t="n">
        <v>44670.1208333333</v>
      </c>
      <c r="C14" s="44" t="n">
        <v>44670.1364236111</v>
      </c>
      <c r="D14" s="43" t="n">
        <f aca="false">INT(C14)</f>
        <v>44670</v>
      </c>
      <c r="E14" s="43" t="n">
        <f aca="false">D14-WEEKDAY(D14,3)</f>
        <v>44669</v>
      </c>
      <c r="F14" s="29" t="s">
        <v>144</v>
      </c>
      <c r="G14" s="29" t="n">
        <v>2022</v>
      </c>
      <c r="H14" s="29" t="s">
        <v>248</v>
      </c>
      <c r="I14" s="29" t="n">
        <v>2</v>
      </c>
      <c r="J14" s="29" t="s">
        <v>246</v>
      </c>
      <c r="K14" s="29" t="s">
        <v>247</v>
      </c>
      <c r="L14" s="29" t="n">
        <v>0.03</v>
      </c>
      <c r="M14" s="32" t="n">
        <v>14012.34</v>
      </c>
      <c r="N14" s="32" t="n">
        <v>14005.48</v>
      </c>
      <c r="O14" s="32" t="n">
        <v>14031.09</v>
      </c>
      <c r="P14" s="45" t="n">
        <f aca="false">ABS(M14-N14)</f>
        <v>6.86000000000058</v>
      </c>
      <c r="Q14" s="45" t="n">
        <f aca="false">IF(O14="","",ABS(O14-M14))</f>
        <v>18.75</v>
      </c>
      <c r="R14" s="31" t="n">
        <f aca="false">P14*L14*Summary!$C$6</f>
        <v>20.5800000000017</v>
      </c>
      <c r="S14" s="32" t="n">
        <v>14005.46</v>
      </c>
      <c r="T14" s="29" t="s">
        <v>249</v>
      </c>
      <c r="U14" s="45" t="n">
        <f aca="false">IF(J14="BUY",S14-M14,M14-S14)</f>
        <v>-6.88000000000102</v>
      </c>
      <c r="V14" s="46" t="n">
        <v>0</v>
      </c>
      <c r="W14" s="46" t="n">
        <v>0</v>
      </c>
      <c r="X14" s="46" t="n">
        <v>-20.64</v>
      </c>
      <c r="Y14" s="33" t="n">
        <f aca="false">IFERROR(X14/R14,0)</f>
        <v>-1.00291545189496</v>
      </c>
      <c r="Z14" s="29" t="str">
        <f aca="false">IF(X14&gt;0,"Win",IF(X14&lt;0,"Loss","Flat"))</f>
        <v>Loss</v>
      </c>
      <c r="AA14" s="29" t="n">
        <f aca="false">ROUND((C14-B14)*1440,1)</f>
        <v>22.5</v>
      </c>
      <c r="AB14" s="29" t="str">
        <f aca="false">IF(AA14&lt;1,"a) &lt;1 min",IF(AA14&lt;10,"b) 1-10 min",IF(AA14&lt;60,"c) 10-60 min",IF(AA14&lt;240,"d) 1-4 h","e) 4 h+"))))</f>
        <v>c) 10-60 min</v>
      </c>
      <c r="AC14" s="29" t="str">
        <f aca="false">IF(P14&lt;10,"a) &lt;10",IF(P14&lt;20,"b) 10-20",IF(P14&lt;40,"c) 20-40",IF(P14&lt;80,"d) 40-80","e) 80+"))))</f>
        <v>a) &lt;10</v>
      </c>
      <c r="AD14" s="31" t="n">
        <f aca="false">Summary!$C$5+SUM(X$2:X14)</f>
        <v>10083.55</v>
      </c>
      <c r="AE14" s="31" t="n">
        <f aca="false">MAX(AE13,AD14)</f>
        <v>10198.93</v>
      </c>
      <c r="AF14" s="31" t="n">
        <f aca="false">AE14-AD14</f>
        <v>115.380000000001</v>
      </c>
      <c r="AG14" s="30" t="n">
        <f aca="false">IFERROR(AF14/AE14,0)</f>
        <v>0.0113129514566725</v>
      </c>
    </row>
    <row r="15" customFormat="false" ht="15" hidden="false" customHeight="false" outlineLevel="0" collapsed="false">
      <c r="A15" s="29" t="n">
        <v>14</v>
      </c>
      <c r="B15" s="44" t="n">
        <v>44671.61875</v>
      </c>
      <c r="C15" s="44" t="n">
        <v>44671.6224305556</v>
      </c>
      <c r="D15" s="43" t="n">
        <f aca="false">INT(C15)</f>
        <v>44671</v>
      </c>
      <c r="E15" s="43" t="n">
        <f aca="false">D15-WEEKDAY(D15,3)</f>
        <v>44669</v>
      </c>
      <c r="F15" s="29" t="s">
        <v>144</v>
      </c>
      <c r="G15" s="29" t="n">
        <v>2022</v>
      </c>
      <c r="H15" s="29" t="s">
        <v>252</v>
      </c>
      <c r="I15" s="29" t="n">
        <v>14</v>
      </c>
      <c r="J15" s="29" t="s">
        <v>246</v>
      </c>
      <c r="K15" s="29" t="s">
        <v>247</v>
      </c>
      <c r="L15" s="29" t="n">
        <v>0.03</v>
      </c>
      <c r="M15" s="32" t="n">
        <v>14245.56</v>
      </c>
      <c r="N15" s="32" t="n">
        <v>14233.05</v>
      </c>
      <c r="O15" s="32" t="n">
        <v>14276.06</v>
      </c>
      <c r="P15" s="45" t="n">
        <f aca="false">ABS(M15-N15)</f>
        <v>12.5100000000002</v>
      </c>
      <c r="Q15" s="45" t="n">
        <f aca="false">IF(O15="","",ABS(O15-M15))</f>
        <v>30.5</v>
      </c>
      <c r="R15" s="31" t="n">
        <f aca="false">P15*L15*Summary!$C$6</f>
        <v>37.5300000000007</v>
      </c>
      <c r="S15" s="32" t="n">
        <v>14282.12</v>
      </c>
      <c r="T15" s="29" t="s">
        <v>227</v>
      </c>
      <c r="U15" s="45" t="n">
        <f aca="false">IF(J15="BUY",S15-M15,M15-S15)</f>
        <v>36.5600000000013</v>
      </c>
      <c r="V15" s="46" t="n">
        <v>0</v>
      </c>
      <c r="W15" s="46" t="n">
        <v>0</v>
      </c>
      <c r="X15" s="46" t="n">
        <v>109.68</v>
      </c>
      <c r="Y15" s="33" t="n">
        <f aca="false">IFERROR(X15/R15,0)</f>
        <v>2.92246203037565</v>
      </c>
      <c r="Z15" s="29" t="str">
        <f aca="false">IF(X15&gt;0,"Win",IF(X15&lt;0,"Loss","Flat"))</f>
        <v>Win</v>
      </c>
      <c r="AA15" s="29" t="n">
        <f aca="false">ROUND((C15-B15)*1440,1)</f>
        <v>5.3</v>
      </c>
      <c r="AB15" s="29" t="str">
        <f aca="false">IF(AA15&lt;1,"a) &lt;1 min",IF(AA15&lt;10,"b) 1-10 min",IF(AA15&lt;60,"c) 10-60 min",IF(AA15&lt;240,"d) 1-4 h","e) 4 h+"))))</f>
        <v>b) 1-10 min</v>
      </c>
      <c r="AC15" s="29" t="str">
        <f aca="false">IF(P15&lt;10,"a) &lt;10",IF(P15&lt;20,"b) 10-20",IF(P15&lt;40,"c) 20-40",IF(P15&lt;80,"d) 40-80","e) 80+"))))</f>
        <v>b) 10-20</v>
      </c>
      <c r="AD15" s="31" t="n">
        <f aca="false">Summary!$C$5+SUM(X$2:X15)</f>
        <v>10193.23</v>
      </c>
      <c r="AE15" s="31" t="n">
        <f aca="false">MAX(AE14,AD15)</f>
        <v>10198.93</v>
      </c>
      <c r="AF15" s="31" t="n">
        <f aca="false">AE15-AD15</f>
        <v>5.70000000000073</v>
      </c>
      <c r="AG15" s="30" t="n">
        <f aca="false">IFERROR(AF15/AE15,0)</f>
        <v>0.000558882157245979</v>
      </c>
    </row>
    <row r="16" customFormat="false" ht="15" hidden="false" customHeight="false" outlineLevel="0" collapsed="false">
      <c r="A16" s="29" t="n">
        <v>15</v>
      </c>
      <c r="B16" s="44" t="n">
        <v>44672.7944444444</v>
      </c>
      <c r="C16" s="44" t="n">
        <v>44672.7954398148</v>
      </c>
      <c r="D16" s="43" t="n">
        <f aca="false">INT(C16)</f>
        <v>44672</v>
      </c>
      <c r="E16" s="43" t="n">
        <f aca="false">D16-WEEKDAY(D16,3)</f>
        <v>44669</v>
      </c>
      <c r="F16" s="29" t="s">
        <v>144</v>
      </c>
      <c r="G16" s="29" t="n">
        <v>2022</v>
      </c>
      <c r="H16" s="29" t="s">
        <v>253</v>
      </c>
      <c r="I16" s="29" t="n">
        <v>19</v>
      </c>
      <c r="J16" s="29" t="s">
        <v>250</v>
      </c>
      <c r="K16" s="29" t="s">
        <v>251</v>
      </c>
      <c r="L16" s="29" t="n">
        <v>0.03</v>
      </c>
      <c r="M16" s="32" t="n">
        <v>13952.77</v>
      </c>
      <c r="N16" s="32" t="n">
        <v>13967.62</v>
      </c>
      <c r="O16" s="32" t="n">
        <v>13922.02</v>
      </c>
      <c r="P16" s="45" t="n">
        <f aca="false">ABS(M16-N16)</f>
        <v>14.8500000000004</v>
      </c>
      <c r="Q16" s="45" t="n">
        <f aca="false">IF(O16="","",ABS(O16-M16))</f>
        <v>30.75</v>
      </c>
      <c r="R16" s="31" t="n">
        <f aca="false">P16*L16*Summary!$C$6</f>
        <v>44.5500000000011</v>
      </c>
      <c r="S16" s="32" t="n">
        <v>13967.7</v>
      </c>
      <c r="T16" s="29" t="s">
        <v>249</v>
      </c>
      <c r="U16" s="45" t="n">
        <f aca="false">IF(J16="BUY",S16-M16,M16-S16)</f>
        <v>-14.9300000000003</v>
      </c>
      <c r="V16" s="46" t="n">
        <v>0</v>
      </c>
      <c r="W16" s="46" t="n">
        <v>0</v>
      </c>
      <c r="X16" s="46" t="n">
        <v>-44.79</v>
      </c>
      <c r="Y16" s="33" t="n">
        <f aca="false">IFERROR(X16/R16,0)</f>
        <v>-1.00538720538718</v>
      </c>
      <c r="Z16" s="29" t="str">
        <f aca="false">IF(X16&gt;0,"Win",IF(X16&lt;0,"Loss","Flat"))</f>
        <v>Loss</v>
      </c>
      <c r="AA16" s="29" t="n">
        <f aca="false">ROUND((C16-B16)*1440,1)</f>
        <v>1.4</v>
      </c>
      <c r="AB16" s="29" t="str">
        <f aca="false">IF(AA16&lt;1,"a) &lt;1 min",IF(AA16&lt;10,"b) 1-10 min",IF(AA16&lt;60,"c) 10-60 min",IF(AA16&lt;240,"d) 1-4 h","e) 4 h+"))))</f>
        <v>b) 1-10 min</v>
      </c>
      <c r="AC16" s="29" t="str">
        <f aca="false">IF(P16&lt;10,"a) &lt;10",IF(P16&lt;20,"b) 10-20",IF(P16&lt;40,"c) 20-40",IF(P16&lt;80,"d) 40-80","e) 80+"))))</f>
        <v>b) 10-20</v>
      </c>
      <c r="AD16" s="31" t="n">
        <f aca="false">Summary!$C$5+SUM(X$2:X16)</f>
        <v>10148.44</v>
      </c>
      <c r="AE16" s="31" t="n">
        <f aca="false">MAX(AE15,AD16)</f>
        <v>10198.93</v>
      </c>
      <c r="AF16" s="31" t="n">
        <f aca="false">AE16-AD16</f>
        <v>50.4899999999998</v>
      </c>
      <c r="AG16" s="30" t="n">
        <f aca="false">IFERROR(AF16/AE16,0)</f>
        <v>0.00495051931918346</v>
      </c>
    </row>
    <row r="17" customFormat="false" ht="15" hidden="false" customHeight="false" outlineLevel="0" collapsed="false">
      <c r="A17" s="29" t="n">
        <v>16</v>
      </c>
      <c r="B17" s="44" t="n">
        <v>44673.15625</v>
      </c>
      <c r="C17" s="44" t="n">
        <v>44673.1565393519</v>
      </c>
      <c r="D17" s="43" t="n">
        <f aca="false">INT(C17)</f>
        <v>44673</v>
      </c>
      <c r="E17" s="43" t="n">
        <f aca="false">D17-WEEKDAY(D17,3)</f>
        <v>44669</v>
      </c>
      <c r="F17" s="29" t="s">
        <v>144</v>
      </c>
      <c r="G17" s="29" t="n">
        <v>2022</v>
      </c>
      <c r="H17" s="29" t="s">
        <v>254</v>
      </c>
      <c r="I17" s="29" t="n">
        <v>3</v>
      </c>
      <c r="J17" s="29" t="s">
        <v>250</v>
      </c>
      <c r="K17" s="29" t="s">
        <v>251</v>
      </c>
      <c r="L17" s="29" t="n">
        <v>0.03</v>
      </c>
      <c r="M17" s="32" t="n">
        <v>13657.97</v>
      </c>
      <c r="N17" s="32" t="n">
        <v>13666.59</v>
      </c>
      <c r="O17" s="32" t="n">
        <v>13636.78</v>
      </c>
      <c r="P17" s="45" t="n">
        <f aca="false">ABS(M17-N17)</f>
        <v>8.6200000000008</v>
      </c>
      <c r="Q17" s="45" t="n">
        <f aca="false">IF(O17="","",ABS(O17-M17))</f>
        <v>21.1899999999987</v>
      </c>
      <c r="R17" s="31" t="n">
        <f aca="false">P17*L17*Summary!$C$6</f>
        <v>25.8600000000024</v>
      </c>
      <c r="S17" s="32" t="n">
        <v>13636.76</v>
      </c>
      <c r="T17" s="29" t="s">
        <v>227</v>
      </c>
      <c r="U17" s="45" t="n">
        <f aca="false">IF(J17="BUY",S17-M17,M17-S17)</f>
        <v>21.2099999999991</v>
      </c>
      <c r="V17" s="46" t="n">
        <v>0</v>
      </c>
      <c r="W17" s="46" t="n">
        <v>0</v>
      </c>
      <c r="X17" s="46" t="n">
        <v>63.63</v>
      </c>
      <c r="Y17" s="33" t="n">
        <f aca="false">IFERROR(X17/R17,0)</f>
        <v>2.46055684454734</v>
      </c>
      <c r="Z17" s="29" t="str">
        <f aca="false">IF(X17&gt;0,"Win",IF(X17&lt;0,"Loss","Flat"))</f>
        <v>Win</v>
      </c>
      <c r="AA17" s="29" t="n">
        <f aca="false">ROUND((C17-B17)*1440,1)</f>
        <v>0.4</v>
      </c>
      <c r="AB17" s="29" t="str">
        <f aca="false">IF(AA17&lt;1,"a) &lt;1 min",IF(AA17&lt;10,"b) 1-10 min",IF(AA17&lt;60,"c) 10-60 min",IF(AA17&lt;240,"d) 1-4 h","e) 4 h+"))))</f>
        <v>a) &lt;1 min</v>
      </c>
      <c r="AC17" s="29" t="str">
        <f aca="false">IF(P17&lt;10,"a) &lt;10",IF(P17&lt;20,"b) 10-20",IF(P17&lt;40,"c) 20-40",IF(P17&lt;80,"d) 40-80","e) 80+"))))</f>
        <v>a) &lt;10</v>
      </c>
      <c r="AD17" s="31" t="n">
        <f aca="false">Summary!$C$5+SUM(X$2:X17)</f>
        <v>10212.07</v>
      </c>
      <c r="AE17" s="31" t="n">
        <f aca="false">MAX(AE16,AD17)</f>
        <v>10212.07</v>
      </c>
      <c r="AF17" s="31" t="n">
        <f aca="false">AE17-AD17</f>
        <v>0</v>
      </c>
      <c r="AG17" s="30" t="n">
        <f aca="false">IFERROR(AF17/AE17,0)</f>
        <v>0</v>
      </c>
    </row>
    <row r="18" customFormat="false" ht="15" hidden="false" customHeight="false" outlineLevel="0" collapsed="false">
      <c r="A18" s="29" t="n">
        <v>17</v>
      </c>
      <c r="B18" s="44" t="n">
        <v>44676.04375</v>
      </c>
      <c r="C18" s="44" t="n">
        <v>44676.0460300926</v>
      </c>
      <c r="D18" s="43" t="n">
        <f aca="false">INT(C18)</f>
        <v>44676</v>
      </c>
      <c r="E18" s="43" t="n">
        <f aca="false">D18-WEEKDAY(D18,3)</f>
        <v>44676</v>
      </c>
      <c r="F18" s="29" t="s">
        <v>144</v>
      </c>
      <c r="G18" s="29" t="n">
        <v>2022</v>
      </c>
      <c r="H18" s="29" t="s">
        <v>245</v>
      </c>
      <c r="I18" s="29" t="n">
        <v>1</v>
      </c>
      <c r="J18" s="29" t="s">
        <v>250</v>
      </c>
      <c r="K18" s="29" t="s">
        <v>251</v>
      </c>
      <c r="L18" s="29" t="n">
        <v>0.03</v>
      </c>
      <c r="M18" s="32" t="n">
        <v>13297.08</v>
      </c>
      <c r="N18" s="32" t="n">
        <v>13313.77</v>
      </c>
      <c r="O18" s="32" t="n">
        <v>13256.18</v>
      </c>
      <c r="P18" s="45" t="n">
        <f aca="false">ABS(M18-N18)</f>
        <v>16.6900000000005</v>
      </c>
      <c r="Q18" s="45" t="n">
        <f aca="false">IF(O18="","",ABS(O18-M18))</f>
        <v>40.8999999999996</v>
      </c>
      <c r="R18" s="31" t="n">
        <f aca="false">P18*L18*Summary!$C$6</f>
        <v>50.0700000000015</v>
      </c>
      <c r="S18" s="32" t="n">
        <v>13313.79</v>
      </c>
      <c r="T18" s="29" t="s">
        <v>249</v>
      </c>
      <c r="U18" s="45" t="n">
        <f aca="false">IF(J18="BUY",S18-M18,M18-S18)</f>
        <v>-16.7100000000009</v>
      </c>
      <c r="V18" s="46" t="n">
        <v>0</v>
      </c>
      <c r="W18" s="46" t="n">
        <v>0</v>
      </c>
      <c r="X18" s="46" t="n">
        <v>-50.13</v>
      </c>
      <c r="Y18" s="33" t="n">
        <f aca="false">IFERROR(X18/R18,0)</f>
        <v>-1.00119832234868</v>
      </c>
      <c r="Z18" s="29" t="str">
        <f aca="false">IF(X18&gt;0,"Win",IF(X18&lt;0,"Loss","Flat"))</f>
        <v>Loss</v>
      </c>
      <c r="AA18" s="29" t="n">
        <f aca="false">ROUND((C18-B18)*1440,1)</f>
        <v>3.3</v>
      </c>
      <c r="AB18" s="29" t="str">
        <f aca="false">IF(AA18&lt;1,"a) &lt;1 min",IF(AA18&lt;10,"b) 1-10 min",IF(AA18&lt;60,"c) 10-60 min",IF(AA18&lt;240,"d) 1-4 h","e) 4 h+"))))</f>
        <v>b) 1-10 min</v>
      </c>
      <c r="AC18" s="29" t="str">
        <f aca="false">IF(P18&lt;10,"a) &lt;10",IF(P18&lt;20,"b) 10-20",IF(P18&lt;40,"c) 20-40",IF(P18&lt;80,"d) 40-80","e) 80+"))))</f>
        <v>b) 10-20</v>
      </c>
      <c r="AD18" s="31" t="n">
        <f aca="false">Summary!$C$5+SUM(X$2:X18)</f>
        <v>10161.94</v>
      </c>
      <c r="AE18" s="31" t="n">
        <f aca="false">MAX(AE17,AD18)</f>
        <v>10212.07</v>
      </c>
      <c r="AF18" s="31" t="n">
        <f aca="false">AE18-AD18</f>
        <v>50.1299999999992</v>
      </c>
      <c r="AG18" s="30" t="n">
        <f aca="false">IFERROR(AF18/AE18,0)</f>
        <v>0.00490889702087816</v>
      </c>
    </row>
    <row r="19" customFormat="false" ht="15" hidden="false" customHeight="false" outlineLevel="0" collapsed="false">
      <c r="A19" s="29" t="n">
        <v>18</v>
      </c>
      <c r="B19" s="44" t="n">
        <v>44677.2347222222</v>
      </c>
      <c r="C19" s="44" t="n">
        <v>44677.2353703704</v>
      </c>
      <c r="D19" s="43" t="n">
        <f aca="false">INT(C19)</f>
        <v>44677</v>
      </c>
      <c r="E19" s="43" t="n">
        <f aca="false">D19-WEEKDAY(D19,3)</f>
        <v>44676</v>
      </c>
      <c r="F19" s="29" t="s">
        <v>144</v>
      </c>
      <c r="G19" s="29" t="n">
        <v>2022</v>
      </c>
      <c r="H19" s="29" t="s">
        <v>248</v>
      </c>
      <c r="I19" s="29" t="n">
        <v>5</v>
      </c>
      <c r="J19" s="29" t="s">
        <v>246</v>
      </c>
      <c r="K19" s="29" t="s">
        <v>247</v>
      </c>
      <c r="L19" s="29" t="n">
        <v>0.03</v>
      </c>
      <c r="M19" s="32" t="n">
        <v>13547.37</v>
      </c>
      <c r="N19" s="32" t="n">
        <v>13543.83</v>
      </c>
      <c r="O19" s="32" t="n">
        <v>13555.98</v>
      </c>
      <c r="P19" s="45" t="n">
        <f aca="false">ABS(M19-N19)</f>
        <v>3.54000000000087</v>
      </c>
      <c r="Q19" s="45" t="n">
        <f aca="false">IF(O19="","",ABS(O19-M19))</f>
        <v>8.60999999999876</v>
      </c>
      <c r="R19" s="31" t="n">
        <f aca="false">P19*L19*Summary!$C$6</f>
        <v>10.6200000000026</v>
      </c>
      <c r="S19" s="32" t="n">
        <v>13543.81</v>
      </c>
      <c r="T19" s="29" t="s">
        <v>249</v>
      </c>
      <c r="U19" s="45" t="n">
        <f aca="false">IF(J19="BUY",S19-M19,M19-S19)</f>
        <v>-3.56000000000131</v>
      </c>
      <c r="V19" s="46" t="n">
        <v>0</v>
      </c>
      <c r="W19" s="46" t="n">
        <v>0</v>
      </c>
      <c r="X19" s="46" t="n">
        <v>-10.68</v>
      </c>
      <c r="Y19" s="33" t="n">
        <f aca="false">IFERROR(X19/R19,0)</f>
        <v>-1.00564971751388</v>
      </c>
      <c r="Z19" s="29" t="str">
        <f aca="false">IF(X19&gt;0,"Win",IF(X19&lt;0,"Loss","Flat"))</f>
        <v>Loss</v>
      </c>
      <c r="AA19" s="29" t="n">
        <f aca="false">ROUND((C19-B19)*1440,1)</f>
        <v>0.9</v>
      </c>
      <c r="AB19" s="29" t="str">
        <f aca="false">IF(AA19&lt;1,"a) &lt;1 min",IF(AA19&lt;10,"b) 1-10 min",IF(AA19&lt;60,"c) 10-60 min",IF(AA19&lt;240,"d) 1-4 h","e) 4 h+"))))</f>
        <v>a) &lt;1 min</v>
      </c>
      <c r="AC19" s="29" t="str">
        <f aca="false">IF(P19&lt;10,"a) &lt;10",IF(P19&lt;20,"b) 10-20",IF(P19&lt;40,"c) 20-40",IF(P19&lt;80,"d) 40-80","e) 80+"))))</f>
        <v>a) &lt;10</v>
      </c>
      <c r="AD19" s="31" t="n">
        <f aca="false">Summary!$C$5+SUM(X$2:X19)</f>
        <v>10151.26</v>
      </c>
      <c r="AE19" s="31" t="n">
        <f aca="false">MAX(AE18,AD19)</f>
        <v>10212.07</v>
      </c>
      <c r="AF19" s="31" t="n">
        <f aca="false">AE19-AD19</f>
        <v>60.8099999999995</v>
      </c>
      <c r="AG19" s="30" t="n">
        <f aca="false">IFERROR(AF19/AE19,0)</f>
        <v>0.00595471828924004</v>
      </c>
    </row>
    <row r="20" customFormat="false" ht="15" hidden="false" customHeight="false" outlineLevel="0" collapsed="false">
      <c r="A20" s="29" t="n">
        <v>19</v>
      </c>
      <c r="B20" s="44" t="n">
        <v>44677.7236111111</v>
      </c>
      <c r="C20" s="44" t="n">
        <v>44677.7241898148</v>
      </c>
      <c r="D20" s="43" t="n">
        <f aca="false">INT(C20)</f>
        <v>44677</v>
      </c>
      <c r="E20" s="43" t="n">
        <f aca="false">D20-WEEKDAY(D20,3)</f>
        <v>44676</v>
      </c>
      <c r="F20" s="29" t="s">
        <v>144</v>
      </c>
      <c r="G20" s="29" t="n">
        <v>2022</v>
      </c>
      <c r="H20" s="29" t="s">
        <v>248</v>
      </c>
      <c r="I20" s="29" t="n">
        <v>17</v>
      </c>
      <c r="J20" s="29" t="s">
        <v>250</v>
      </c>
      <c r="K20" s="29" t="s">
        <v>251</v>
      </c>
      <c r="L20" s="29" t="n">
        <v>0.03</v>
      </c>
      <c r="M20" s="32" t="n">
        <v>13172.87</v>
      </c>
      <c r="N20" s="32" t="n">
        <v>13197.55</v>
      </c>
      <c r="O20" s="32" t="n">
        <v>13118.69</v>
      </c>
      <c r="P20" s="45" t="n">
        <f aca="false">ABS(M20-N20)</f>
        <v>24.6799999999985</v>
      </c>
      <c r="Q20" s="45" t="n">
        <f aca="false">IF(O20="","",ABS(O20-M20))</f>
        <v>54.1800000000003</v>
      </c>
      <c r="R20" s="31" t="n">
        <f aca="false">P20*L20*Summary!$C$6</f>
        <v>74.0399999999954</v>
      </c>
      <c r="S20" s="32" t="n">
        <v>13197.9</v>
      </c>
      <c r="T20" s="29" t="s">
        <v>249</v>
      </c>
      <c r="U20" s="45" t="n">
        <f aca="false">IF(J20="BUY",S20-M20,M20-S20)</f>
        <v>-25.0299999999988</v>
      </c>
      <c r="V20" s="46" t="n">
        <v>0</v>
      </c>
      <c r="W20" s="46" t="n">
        <v>0</v>
      </c>
      <c r="X20" s="46" t="n">
        <v>-75.09</v>
      </c>
      <c r="Y20" s="33" t="n">
        <f aca="false">IFERROR(X20/R20,0)</f>
        <v>-1.01418152350087</v>
      </c>
      <c r="Z20" s="29" t="str">
        <f aca="false">IF(X20&gt;0,"Win",IF(X20&lt;0,"Loss","Flat"))</f>
        <v>Loss</v>
      </c>
      <c r="AA20" s="29" t="n">
        <f aca="false">ROUND((C20-B20)*1440,1)</f>
        <v>0.8</v>
      </c>
      <c r="AB20" s="29" t="str">
        <f aca="false">IF(AA20&lt;1,"a) &lt;1 min",IF(AA20&lt;10,"b) 1-10 min",IF(AA20&lt;60,"c) 10-60 min",IF(AA20&lt;240,"d) 1-4 h","e) 4 h+"))))</f>
        <v>a) &lt;1 min</v>
      </c>
      <c r="AC20" s="29" t="str">
        <f aca="false">IF(P20&lt;10,"a) &lt;10",IF(P20&lt;20,"b) 10-20",IF(P20&lt;40,"c) 20-40",IF(P20&lt;80,"d) 40-80","e) 80+"))))</f>
        <v>c) 20-40</v>
      </c>
      <c r="AD20" s="31" t="n">
        <f aca="false">Summary!$C$5+SUM(X$2:X20)</f>
        <v>10076.17</v>
      </c>
      <c r="AE20" s="31" t="n">
        <f aca="false">MAX(AE19,AD20)</f>
        <v>10212.07</v>
      </c>
      <c r="AF20" s="31" t="n">
        <f aca="false">AE20-AD20</f>
        <v>135.9</v>
      </c>
      <c r="AG20" s="30" t="n">
        <f aca="false">IFERROR(AF20/AE20,0)</f>
        <v>0.0133077818698853</v>
      </c>
    </row>
    <row r="21" customFormat="false" ht="15" hidden="false" customHeight="false" outlineLevel="0" collapsed="false">
      <c r="A21" s="29" t="n">
        <v>20</v>
      </c>
      <c r="B21" s="44" t="n">
        <v>44679.4256944444</v>
      </c>
      <c r="C21" s="44" t="n">
        <v>44679.4262731482</v>
      </c>
      <c r="D21" s="43" t="n">
        <f aca="false">INT(C21)</f>
        <v>44679</v>
      </c>
      <c r="E21" s="43" t="n">
        <f aca="false">D21-WEEKDAY(D21,3)</f>
        <v>44676</v>
      </c>
      <c r="F21" s="29" t="s">
        <v>144</v>
      </c>
      <c r="G21" s="29" t="n">
        <v>2022</v>
      </c>
      <c r="H21" s="29" t="s">
        <v>253</v>
      </c>
      <c r="I21" s="29" t="n">
        <v>10</v>
      </c>
      <c r="J21" s="29" t="s">
        <v>246</v>
      </c>
      <c r="K21" s="29" t="s">
        <v>247</v>
      </c>
      <c r="L21" s="29" t="n">
        <v>0.03</v>
      </c>
      <c r="M21" s="32" t="n">
        <v>13267.89</v>
      </c>
      <c r="N21" s="32" t="n">
        <v>13253.14</v>
      </c>
      <c r="O21" s="32" t="n">
        <v>13303.79</v>
      </c>
      <c r="P21" s="45" t="n">
        <f aca="false">ABS(M21-N21)</f>
        <v>14.75</v>
      </c>
      <c r="Q21" s="45" t="n">
        <f aca="false">IF(O21="","",ABS(O21-M21))</f>
        <v>35.9000000000015</v>
      </c>
      <c r="R21" s="31" t="n">
        <f aca="false">P21*L21*Summary!$C$6</f>
        <v>44.25</v>
      </c>
      <c r="S21" s="32" t="n">
        <v>13253.09</v>
      </c>
      <c r="T21" s="29" t="s">
        <v>249</v>
      </c>
      <c r="U21" s="45" t="n">
        <f aca="false">IF(J21="BUY",S21-M21,M21-S21)</f>
        <v>-14.7999999999993</v>
      </c>
      <c r="V21" s="46" t="n">
        <v>0</v>
      </c>
      <c r="W21" s="46" t="n">
        <v>0</v>
      </c>
      <c r="X21" s="46" t="n">
        <v>-44.4</v>
      </c>
      <c r="Y21" s="33" t="n">
        <f aca="false">IFERROR(X21/R21,0)</f>
        <v>-1.00338983050847</v>
      </c>
      <c r="Z21" s="29" t="str">
        <f aca="false">IF(X21&gt;0,"Win",IF(X21&lt;0,"Loss","Flat"))</f>
        <v>Loss</v>
      </c>
      <c r="AA21" s="29" t="n">
        <f aca="false">ROUND((C21-B21)*1440,1)</f>
        <v>0.8</v>
      </c>
      <c r="AB21" s="29" t="str">
        <f aca="false">IF(AA21&lt;1,"a) &lt;1 min",IF(AA21&lt;10,"b) 1-10 min",IF(AA21&lt;60,"c) 10-60 min",IF(AA21&lt;240,"d) 1-4 h","e) 4 h+"))))</f>
        <v>a) &lt;1 min</v>
      </c>
      <c r="AC21" s="29" t="str">
        <f aca="false">IF(P21&lt;10,"a) &lt;10",IF(P21&lt;20,"b) 10-20",IF(P21&lt;40,"c) 20-40",IF(P21&lt;80,"d) 40-80","e) 80+"))))</f>
        <v>b) 10-20</v>
      </c>
      <c r="AD21" s="31" t="n">
        <f aca="false">Summary!$C$5+SUM(X$2:X21)</f>
        <v>10031.77</v>
      </c>
      <c r="AE21" s="31" t="n">
        <f aca="false">MAX(AE20,AD21)</f>
        <v>10212.07</v>
      </c>
      <c r="AF21" s="31" t="n">
        <f aca="false">AE21-AD21</f>
        <v>180.299999999999</v>
      </c>
      <c r="AG21" s="30" t="n">
        <f aca="false">IFERROR(AF21/AE21,0)</f>
        <v>0.0176555781540862</v>
      </c>
    </row>
    <row r="22" customFormat="false" ht="15" hidden="false" customHeight="false" outlineLevel="0" collapsed="false">
      <c r="A22" s="29" t="n">
        <v>21</v>
      </c>
      <c r="B22" s="44" t="n">
        <v>44680.8819444445</v>
      </c>
      <c r="C22" s="44" t="n">
        <v>44680.8823842593</v>
      </c>
      <c r="D22" s="43" t="n">
        <f aca="false">INT(C22)</f>
        <v>44680</v>
      </c>
      <c r="E22" s="43" t="n">
        <f aca="false">D22-WEEKDAY(D22,3)</f>
        <v>44676</v>
      </c>
      <c r="F22" s="29" t="s">
        <v>144</v>
      </c>
      <c r="G22" s="29" t="n">
        <v>2022</v>
      </c>
      <c r="H22" s="29" t="s">
        <v>254</v>
      </c>
      <c r="I22" s="29" t="n">
        <v>21</v>
      </c>
      <c r="J22" s="29" t="s">
        <v>250</v>
      </c>
      <c r="K22" s="29" t="s">
        <v>251</v>
      </c>
      <c r="L22" s="29" t="n">
        <v>0.03</v>
      </c>
      <c r="M22" s="32" t="n">
        <v>13031.76</v>
      </c>
      <c r="N22" s="32" t="n">
        <v>13042.58</v>
      </c>
      <c r="O22" s="32" t="n">
        <v>13005.12</v>
      </c>
      <c r="P22" s="45" t="n">
        <f aca="false">ABS(M22-N22)</f>
        <v>10.8199999999997</v>
      </c>
      <c r="Q22" s="45" t="n">
        <f aca="false">IF(O22="","",ABS(O22-M22))</f>
        <v>26.6399999999994</v>
      </c>
      <c r="R22" s="31" t="n">
        <f aca="false">P22*L22*Summary!$C$6</f>
        <v>32.4599999999991</v>
      </c>
      <c r="S22" s="32" t="n">
        <v>13031.87</v>
      </c>
      <c r="T22" s="29" t="s">
        <v>255</v>
      </c>
      <c r="U22" s="45" t="n">
        <f aca="false">IF(J22="BUY",S22-M22,M22-S22)</f>
        <v>-0.110000000000582</v>
      </c>
      <c r="V22" s="46" t="n">
        <v>0</v>
      </c>
      <c r="W22" s="46" t="n">
        <v>0</v>
      </c>
      <c r="X22" s="46" t="n">
        <v>-0.33</v>
      </c>
      <c r="Y22" s="33" t="n">
        <f aca="false">IFERROR(X22/R22,0)</f>
        <v>-0.0101663585951944</v>
      </c>
      <c r="Z22" s="29" t="str">
        <f aca="false">IF(X22&gt;0,"Win",IF(X22&lt;0,"Loss","Flat"))</f>
        <v>Loss</v>
      </c>
      <c r="AA22" s="29" t="n">
        <f aca="false">ROUND((C22-B22)*1440,1)</f>
        <v>0.6</v>
      </c>
      <c r="AB22" s="29" t="str">
        <f aca="false">IF(AA22&lt;1,"a) &lt;1 min",IF(AA22&lt;10,"b) 1-10 min",IF(AA22&lt;60,"c) 10-60 min",IF(AA22&lt;240,"d) 1-4 h","e) 4 h+"))))</f>
        <v>a) &lt;1 min</v>
      </c>
      <c r="AC22" s="29" t="str">
        <f aca="false">IF(P22&lt;10,"a) &lt;10",IF(P22&lt;20,"b) 10-20",IF(P22&lt;40,"c) 20-40",IF(P22&lt;80,"d) 40-80","e) 80+"))))</f>
        <v>b) 10-20</v>
      </c>
      <c r="AD22" s="31" t="n">
        <f aca="false">Summary!$C$5+SUM(X$2:X22)</f>
        <v>10031.44</v>
      </c>
      <c r="AE22" s="31" t="n">
        <f aca="false">MAX(AE21,AD22)</f>
        <v>10212.07</v>
      </c>
      <c r="AF22" s="31" t="n">
        <f aca="false">AE22-AD22</f>
        <v>180.629999999999</v>
      </c>
      <c r="AG22" s="30" t="n">
        <f aca="false">IFERROR(AF22/AE22,0)</f>
        <v>0.0176878928561985</v>
      </c>
    </row>
    <row r="23" customFormat="false" ht="15" hidden="false" customHeight="false" outlineLevel="0" collapsed="false">
      <c r="A23" s="29" t="n">
        <v>22</v>
      </c>
      <c r="B23" s="44" t="n">
        <v>44683.0604166667</v>
      </c>
      <c r="C23" s="44" t="n">
        <v>44683.0671296296</v>
      </c>
      <c r="D23" s="43" t="n">
        <f aca="false">INT(C23)</f>
        <v>44683</v>
      </c>
      <c r="E23" s="43" t="n">
        <f aca="false">D23-WEEKDAY(D23,3)</f>
        <v>44683</v>
      </c>
      <c r="F23" s="29" t="s">
        <v>145</v>
      </c>
      <c r="G23" s="29" t="n">
        <v>2022</v>
      </c>
      <c r="H23" s="29" t="s">
        <v>245</v>
      </c>
      <c r="I23" s="29" t="n">
        <v>1</v>
      </c>
      <c r="J23" s="29" t="s">
        <v>250</v>
      </c>
      <c r="K23" s="29" t="s">
        <v>251</v>
      </c>
      <c r="L23" s="29" t="n">
        <v>0.03</v>
      </c>
      <c r="M23" s="32" t="n">
        <v>12826.68</v>
      </c>
      <c r="N23" s="32" t="n">
        <v>12844.6</v>
      </c>
      <c r="O23" s="32" t="n">
        <v>12782.77</v>
      </c>
      <c r="P23" s="45" t="n">
        <f aca="false">ABS(M23-N23)</f>
        <v>17.9200000000001</v>
      </c>
      <c r="Q23" s="45" t="n">
        <f aca="false">IF(O23="","",ABS(O23-M23))</f>
        <v>43.9099999999999</v>
      </c>
      <c r="R23" s="31" t="n">
        <f aca="false">P23*L23*Summary!$C$6</f>
        <v>53.7600000000002</v>
      </c>
      <c r="S23" s="32" t="n">
        <v>12826.72</v>
      </c>
      <c r="T23" s="29" t="s">
        <v>255</v>
      </c>
      <c r="U23" s="45" t="n">
        <f aca="false">IF(J23="BUY",S23-M23,M23-S23)</f>
        <v>-0.0399999999990541</v>
      </c>
      <c r="V23" s="46" t="n">
        <v>0</v>
      </c>
      <c r="W23" s="46" t="n">
        <v>0</v>
      </c>
      <c r="X23" s="46" t="n">
        <v>-0.12</v>
      </c>
      <c r="Y23" s="33" t="n">
        <f aca="false">IFERROR(X23/R23,0)</f>
        <v>-0.00223214285714285</v>
      </c>
      <c r="Z23" s="29" t="str">
        <f aca="false">IF(X23&gt;0,"Win",IF(X23&lt;0,"Loss","Flat"))</f>
        <v>Loss</v>
      </c>
      <c r="AA23" s="29" t="n">
        <f aca="false">ROUND((C23-B23)*1440,1)</f>
        <v>9.7</v>
      </c>
      <c r="AB23" s="29" t="str">
        <f aca="false">IF(AA23&lt;1,"a) &lt;1 min",IF(AA23&lt;10,"b) 1-10 min",IF(AA23&lt;60,"c) 10-60 min",IF(AA23&lt;240,"d) 1-4 h","e) 4 h+"))))</f>
        <v>b) 1-10 min</v>
      </c>
      <c r="AC23" s="29" t="str">
        <f aca="false">IF(P23&lt;10,"a) &lt;10",IF(P23&lt;20,"b) 10-20",IF(P23&lt;40,"c) 20-40",IF(P23&lt;80,"d) 40-80","e) 80+"))))</f>
        <v>b) 10-20</v>
      </c>
      <c r="AD23" s="31" t="n">
        <f aca="false">Summary!$C$5+SUM(X$2:X23)</f>
        <v>10031.32</v>
      </c>
      <c r="AE23" s="31" t="n">
        <f aca="false">MAX(AE22,AD23)</f>
        <v>10212.07</v>
      </c>
      <c r="AF23" s="31" t="n">
        <f aca="false">AE23-AD23</f>
        <v>180.75</v>
      </c>
      <c r="AG23" s="30" t="n">
        <f aca="false">IFERROR(AF23/AE23,0)</f>
        <v>0.0176996436569667</v>
      </c>
    </row>
    <row r="24" customFormat="false" ht="15" hidden="false" customHeight="false" outlineLevel="0" collapsed="false">
      <c r="A24" s="29" t="n">
        <v>23</v>
      </c>
      <c r="B24" s="44" t="n">
        <v>44684.15</v>
      </c>
      <c r="C24" s="44" t="n">
        <v>44684.1571759259</v>
      </c>
      <c r="D24" s="43" t="n">
        <f aca="false">INT(C24)</f>
        <v>44684</v>
      </c>
      <c r="E24" s="43" t="n">
        <f aca="false">D24-WEEKDAY(D24,3)</f>
        <v>44683</v>
      </c>
      <c r="F24" s="29" t="s">
        <v>145</v>
      </c>
      <c r="G24" s="29" t="n">
        <v>2022</v>
      </c>
      <c r="H24" s="29" t="s">
        <v>248</v>
      </c>
      <c r="I24" s="29" t="n">
        <v>3</v>
      </c>
      <c r="J24" s="29" t="s">
        <v>246</v>
      </c>
      <c r="K24" s="29" t="s">
        <v>247</v>
      </c>
      <c r="L24" s="29" t="n">
        <v>0.03</v>
      </c>
      <c r="M24" s="32" t="n">
        <v>13088.72</v>
      </c>
      <c r="N24" s="32" t="n">
        <v>13079.36</v>
      </c>
      <c r="O24" s="32" t="n">
        <v>13111.79</v>
      </c>
      <c r="P24" s="45" t="n">
        <f aca="false">ABS(M24-N24)</f>
        <v>9.35999999999876</v>
      </c>
      <c r="Q24" s="45" t="n">
        <f aca="false">IF(O24="","",ABS(O24-M24))</f>
        <v>23.0700000000015</v>
      </c>
      <c r="R24" s="31" t="n">
        <f aca="false">P24*L24*Summary!$C$6</f>
        <v>28.0799999999963</v>
      </c>
      <c r="S24" s="32" t="n">
        <v>13114</v>
      </c>
      <c r="T24" s="29" t="s">
        <v>227</v>
      </c>
      <c r="U24" s="45" t="n">
        <f aca="false">IF(J24="BUY",S24-M24,M24-S24)</f>
        <v>25.2800000000007</v>
      </c>
      <c r="V24" s="46" t="n">
        <v>0</v>
      </c>
      <c r="W24" s="46" t="n">
        <v>0</v>
      </c>
      <c r="X24" s="46" t="n">
        <v>75.84</v>
      </c>
      <c r="Y24" s="33" t="n">
        <f aca="false">IFERROR(X24/R24,0)</f>
        <v>2.70085470085506</v>
      </c>
      <c r="Z24" s="29" t="str">
        <f aca="false">IF(X24&gt;0,"Win",IF(X24&lt;0,"Loss","Flat"))</f>
        <v>Win</v>
      </c>
      <c r="AA24" s="29" t="n">
        <f aca="false">ROUND((C24-B24)*1440,1)</f>
        <v>10.3</v>
      </c>
      <c r="AB24" s="29" t="str">
        <f aca="false">IF(AA24&lt;1,"a) &lt;1 min",IF(AA24&lt;10,"b) 1-10 min",IF(AA24&lt;60,"c) 10-60 min",IF(AA24&lt;240,"d) 1-4 h","e) 4 h+"))))</f>
        <v>c) 10-60 min</v>
      </c>
      <c r="AC24" s="29" t="str">
        <f aca="false">IF(P24&lt;10,"a) &lt;10",IF(P24&lt;20,"b) 10-20",IF(P24&lt;40,"c) 20-40",IF(P24&lt;80,"d) 40-80","e) 80+"))))</f>
        <v>a) &lt;10</v>
      </c>
      <c r="AD24" s="31" t="n">
        <f aca="false">Summary!$C$5+SUM(X$2:X24)</f>
        <v>10107.16</v>
      </c>
      <c r="AE24" s="31" t="n">
        <f aca="false">MAX(AE23,AD24)</f>
        <v>10212.07</v>
      </c>
      <c r="AF24" s="31" t="n">
        <f aca="false">AE24-AD24</f>
        <v>104.91</v>
      </c>
      <c r="AG24" s="30" t="n">
        <f aca="false">IFERROR(AF24/AE24,0)</f>
        <v>0.0102731375715207</v>
      </c>
    </row>
    <row r="25" customFormat="false" ht="15" hidden="false" customHeight="false" outlineLevel="0" collapsed="false">
      <c r="A25" s="29" t="n">
        <v>24</v>
      </c>
      <c r="B25" s="44" t="n">
        <v>44685.71875</v>
      </c>
      <c r="C25" s="44" t="n">
        <v>44685.7251388889</v>
      </c>
      <c r="D25" s="43" t="n">
        <f aca="false">INT(C25)</f>
        <v>44685</v>
      </c>
      <c r="E25" s="43" t="n">
        <f aca="false">D25-WEEKDAY(D25,3)</f>
        <v>44683</v>
      </c>
      <c r="F25" s="29" t="s">
        <v>145</v>
      </c>
      <c r="G25" s="29" t="n">
        <v>2022</v>
      </c>
      <c r="H25" s="29" t="s">
        <v>252</v>
      </c>
      <c r="I25" s="29" t="n">
        <v>17</v>
      </c>
      <c r="J25" s="29" t="s">
        <v>250</v>
      </c>
      <c r="K25" s="29" t="s">
        <v>251</v>
      </c>
      <c r="L25" s="29" t="n">
        <v>0.03</v>
      </c>
      <c r="M25" s="32" t="n">
        <v>12962.99</v>
      </c>
      <c r="N25" s="32" t="n">
        <v>12981.08</v>
      </c>
      <c r="O25" s="32" t="n">
        <v>12918.73</v>
      </c>
      <c r="P25" s="45" t="n">
        <f aca="false">ABS(M25-N25)</f>
        <v>18.0900000000001</v>
      </c>
      <c r="Q25" s="45" t="n">
        <f aca="false">IF(O25="","",ABS(O25-M25))</f>
        <v>44.2600000000002</v>
      </c>
      <c r="R25" s="31" t="n">
        <f aca="false">P25*L25*Summary!$C$6</f>
        <v>54.2700000000004</v>
      </c>
      <c r="S25" s="32" t="n">
        <v>12963.69</v>
      </c>
      <c r="T25" s="29" t="s">
        <v>255</v>
      </c>
      <c r="U25" s="45" t="n">
        <f aca="false">IF(J25="BUY",S25-M25,M25-S25)</f>
        <v>-0.700000000000728</v>
      </c>
      <c r="V25" s="46" t="n">
        <v>0</v>
      </c>
      <c r="W25" s="46" t="n">
        <v>0</v>
      </c>
      <c r="X25" s="46" t="n">
        <v>-2.1</v>
      </c>
      <c r="Y25" s="33" t="n">
        <f aca="false">IFERROR(X25/R25,0)</f>
        <v>-0.0386954118297399</v>
      </c>
      <c r="Z25" s="29" t="str">
        <f aca="false">IF(X25&gt;0,"Win",IF(X25&lt;0,"Loss","Flat"))</f>
        <v>Loss</v>
      </c>
      <c r="AA25" s="29" t="n">
        <f aca="false">ROUND((C25-B25)*1440,1)</f>
        <v>9.2</v>
      </c>
      <c r="AB25" s="29" t="str">
        <f aca="false">IF(AA25&lt;1,"a) &lt;1 min",IF(AA25&lt;10,"b) 1-10 min",IF(AA25&lt;60,"c) 10-60 min",IF(AA25&lt;240,"d) 1-4 h","e) 4 h+"))))</f>
        <v>b) 1-10 min</v>
      </c>
      <c r="AC25" s="29" t="str">
        <f aca="false">IF(P25&lt;10,"a) &lt;10",IF(P25&lt;20,"b) 10-20",IF(P25&lt;40,"c) 20-40",IF(P25&lt;80,"d) 40-80","e) 80+"))))</f>
        <v>b) 10-20</v>
      </c>
      <c r="AD25" s="31" t="n">
        <f aca="false">Summary!$C$5+SUM(X$2:X25)</f>
        <v>10105.06</v>
      </c>
      <c r="AE25" s="31" t="n">
        <f aca="false">MAX(AE24,AD25)</f>
        <v>10212.07</v>
      </c>
      <c r="AF25" s="31" t="n">
        <f aca="false">AE25-AD25</f>
        <v>107.01</v>
      </c>
      <c r="AG25" s="30" t="n">
        <f aca="false">IFERROR(AF25/AE25,0)</f>
        <v>0.0104787765849627</v>
      </c>
    </row>
    <row r="26" customFormat="false" ht="15" hidden="false" customHeight="false" outlineLevel="0" collapsed="false">
      <c r="A26" s="29" t="n">
        <v>25</v>
      </c>
      <c r="B26" s="44" t="n">
        <v>44685.8763888889</v>
      </c>
      <c r="C26" s="44" t="n">
        <v>44685.8766550926</v>
      </c>
      <c r="D26" s="43" t="n">
        <f aca="false">INT(C26)</f>
        <v>44685</v>
      </c>
      <c r="E26" s="43" t="n">
        <f aca="false">D26-WEEKDAY(D26,3)</f>
        <v>44683</v>
      </c>
      <c r="F26" s="29" t="s">
        <v>145</v>
      </c>
      <c r="G26" s="29" t="n">
        <v>2022</v>
      </c>
      <c r="H26" s="29" t="s">
        <v>252</v>
      </c>
      <c r="I26" s="29" t="n">
        <v>21</v>
      </c>
      <c r="J26" s="29" t="s">
        <v>246</v>
      </c>
      <c r="K26" s="29" t="s">
        <v>247</v>
      </c>
      <c r="L26" s="29" t="n">
        <v>0.03</v>
      </c>
      <c r="M26" s="32" t="n">
        <v>13197.26</v>
      </c>
      <c r="N26" s="32" t="n">
        <v>13150.52</v>
      </c>
      <c r="O26" s="32" t="n">
        <v>13323.81</v>
      </c>
      <c r="P26" s="45" t="n">
        <f aca="false">ABS(M26-N26)</f>
        <v>46.7399999999998</v>
      </c>
      <c r="Q26" s="45" t="n">
        <f aca="false">IF(O26="","",ABS(O26-M26))</f>
        <v>126.549999999999</v>
      </c>
      <c r="R26" s="31" t="n">
        <f aca="false">P26*L26*Summary!$C$6</f>
        <v>140.219999999999</v>
      </c>
      <c r="S26" s="32" t="n">
        <v>13149.2</v>
      </c>
      <c r="T26" s="29" t="s">
        <v>249</v>
      </c>
      <c r="U26" s="45" t="n">
        <f aca="false">IF(J26="BUY",S26-M26,M26-S26)</f>
        <v>-48.0599999999995</v>
      </c>
      <c r="V26" s="46" t="n">
        <v>0</v>
      </c>
      <c r="W26" s="46" t="n">
        <v>0</v>
      </c>
      <c r="X26" s="46" t="n">
        <v>-144.18</v>
      </c>
      <c r="Y26" s="33" t="n">
        <f aca="false">IFERROR(X26/R26,0)</f>
        <v>-1.02824133504493</v>
      </c>
      <c r="Z26" s="29" t="str">
        <f aca="false">IF(X26&gt;0,"Win",IF(X26&lt;0,"Loss","Flat"))</f>
        <v>Loss</v>
      </c>
      <c r="AA26" s="29" t="n">
        <f aca="false">ROUND((C26-B26)*1440,1)</f>
        <v>0.4</v>
      </c>
      <c r="AB26" s="29" t="str">
        <f aca="false">IF(AA26&lt;1,"a) &lt;1 min",IF(AA26&lt;10,"b) 1-10 min",IF(AA26&lt;60,"c) 10-60 min",IF(AA26&lt;240,"d) 1-4 h","e) 4 h+"))))</f>
        <v>a) &lt;1 min</v>
      </c>
      <c r="AC26" s="29" t="str">
        <f aca="false">IF(P26&lt;10,"a) &lt;10",IF(P26&lt;20,"b) 10-20",IF(P26&lt;40,"c) 20-40",IF(P26&lt;80,"d) 40-80","e) 80+"))))</f>
        <v>d) 40-80</v>
      </c>
      <c r="AD26" s="31" t="n">
        <f aca="false">Summary!$C$5+SUM(X$2:X26)</f>
        <v>9960.88</v>
      </c>
      <c r="AE26" s="31" t="n">
        <f aca="false">MAX(AE25,AD26)</f>
        <v>10212.07</v>
      </c>
      <c r="AF26" s="31" t="n">
        <f aca="false">AE26-AD26</f>
        <v>251.190000000001</v>
      </c>
      <c r="AG26" s="30" t="n">
        <f aca="false">IFERROR(AF26/AE26,0)</f>
        <v>0.0245973637078477</v>
      </c>
    </row>
    <row r="27" customFormat="false" ht="15" hidden="false" customHeight="false" outlineLevel="0" collapsed="false">
      <c r="A27" s="29" t="n">
        <v>26</v>
      </c>
      <c r="B27" s="44" t="n">
        <v>44686.75625</v>
      </c>
      <c r="C27" s="44" t="n">
        <v>44686.7575462963</v>
      </c>
      <c r="D27" s="43" t="n">
        <f aca="false">INT(C27)</f>
        <v>44686</v>
      </c>
      <c r="E27" s="43" t="n">
        <f aca="false">D27-WEEKDAY(D27,3)</f>
        <v>44683</v>
      </c>
      <c r="F27" s="29" t="s">
        <v>145</v>
      </c>
      <c r="G27" s="29" t="n">
        <v>2022</v>
      </c>
      <c r="H27" s="29" t="s">
        <v>253</v>
      </c>
      <c r="I27" s="29" t="n">
        <v>18</v>
      </c>
      <c r="J27" s="29" t="s">
        <v>250</v>
      </c>
      <c r="K27" s="29" t="s">
        <v>251</v>
      </c>
      <c r="L27" s="29" t="n">
        <v>0.03</v>
      </c>
      <c r="M27" s="32" t="n">
        <v>12882.98</v>
      </c>
      <c r="N27" s="32" t="n">
        <v>12906.42</v>
      </c>
      <c r="O27" s="32" t="n">
        <v>12826.32</v>
      </c>
      <c r="P27" s="45" t="n">
        <f aca="false">ABS(M27-N27)</f>
        <v>23.4400000000005</v>
      </c>
      <c r="Q27" s="45" t="n">
        <f aca="false">IF(O27="","",ABS(O27-M27))</f>
        <v>56.6599999999999</v>
      </c>
      <c r="R27" s="31" t="n">
        <f aca="false">P27*L27*Summary!$C$6</f>
        <v>70.3200000000015</v>
      </c>
      <c r="S27" s="32" t="n">
        <v>12906.49</v>
      </c>
      <c r="T27" s="29" t="s">
        <v>249</v>
      </c>
      <c r="U27" s="45" t="n">
        <f aca="false">IF(J27="BUY",S27-M27,M27-S27)</f>
        <v>-23.5100000000002</v>
      </c>
      <c r="V27" s="46" t="n">
        <v>0</v>
      </c>
      <c r="W27" s="46" t="n">
        <v>0</v>
      </c>
      <c r="X27" s="46" t="n">
        <v>-70.53</v>
      </c>
      <c r="Y27" s="33" t="n">
        <f aca="false">IFERROR(X27/R27,0)</f>
        <v>-1.00298634812285</v>
      </c>
      <c r="Z27" s="29" t="str">
        <f aca="false">IF(X27&gt;0,"Win",IF(X27&lt;0,"Loss","Flat"))</f>
        <v>Loss</v>
      </c>
      <c r="AA27" s="29" t="n">
        <f aca="false">ROUND((C27-B27)*1440,1)</f>
        <v>1.9</v>
      </c>
      <c r="AB27" s="29" t="str">
        <f aca="false">IF(AA27&lt;1,"a) &lt;1 min",IF(AA27&lt;10,"b) 1-10 min",IF(AA27&lt;60,"c) 10-60 min",IF(AA27&lt;240,"d) 1-4 h","e) 4 h+"))))</f>
        <v>b) 1-10 min</v>
      </c>
      <c r="AC27" s="29" t="str">
        <f aca="false">IF(P27&lt;10,"a) &lt;10",IF(P27&lt;20,"b) 10-20",IF(P27&lt;40,"c) 20-40",IF(P27&lt;80,"d) 40-80","e) 80+"))))</f>
        <v>c) 20-40</v>
      </c>
      <c r="AD27" s="31" t="n">
        <f aca="false">Summary!$C$5+SUM(X$2:X27)</f>
        <v>9890.35</v>
      </c>
      <c r="AE27" s="31" t="n">
        <f aca="false">MAX(AE26,AD27)</f>
        <v>10212.07</v>
      </c>
      <c r="AF27" s="31" t="n">
        <f aca="false">AE27-AD27</f>
        <v>321.719999999999</v>
      </c>
      <c r="AG27" s="30" t="n">
        <f aca="false">IFERROR(AF27/AE27,0)</f>
        <v>0.0315038968593047</v>
      </c>
    </row>
    <row r="28" customFormat="false" ht="15" hidden="false" customHeight="false" outlineLevel="0" collapsed="false">
      <c r="A28" s="29" t="n">
        <v>27</v>
      </c>
      <c r="B28" s="44" t="n">
        <v>44687.6902777778</v>
      </c>
      <c r="C28" s="44" t="n">
        <v>44687.6926041667</v>
      </c>
      <c r="D28" s="43" t="n">
        <f aca="false">INT(C28)</f>
        <v>44687</v>
      </c>
      <c r="E28" s="43" t="n">
        <f aca="false">D28-WEEKDAY(D28,3)</f>
        <v>44683</v>
      </c>
      <c r="F28" s="29" t="s">
        <v>145</v>
      </c>
      <c r="G28" s="29" t="n">
        <v>2022</v>
      </c>
      <c r="H28" s="29" t="s">
        <v>254</v>
      </c>
      <c r="I28" s="29" t="n">
        <v>16</v>
      </c>
      <c r="J28" s="29" t="s">
        <v>250</v>
      </c>
      <c r="K28" s="29" t="s">
        <v>251</v>
      </c>
      <c r="L28" s="29" t="n">
        <v>0.03</v>
      </c>
      <c r="M28" s="32" t="n">
        <v>12696.48</v>
      </c>
      <c r="N28" s="32" t="n">
        <v>12735.77</v>
      </c>
      <c r="O28" s="32" t="n">
        <v>12591.64</v>
      </c>
      <c r="P28" s="45" t="n">
        <f aca="false">ABS(M28-N28)</f>
        <v>39.2900000000009</v>
      </c>
      <c r="Q28" s="45" t="n">
        <f aca="false">IF(O28="","",ABS(O28-M28))</f>
        <v>104.84</v>
      </c>
      <c r="R28" s="31" t="n">
        <f aca="false">P28*L28*Summary!$C$6</f>
        <v>117.870000000003</v>
      </c>
      <c r="S28" s="32" t="n">
        <v>12590.95</v>
      </c>
      <c r="T28" s="29" t="s">
        <v>227</v>
      </c>
      <c r="U28" s="45" t="n">
        <f aca="false">IF(J28="BUY",S28-M28,M28-S28)</f>
        <v>105.529999999999</v>
      </c>
      <c r="V28" s="46" t="n">
        <v>0</v>
      </c>
      <c r="W28" s="46" t="n">
        <v>0</v>
      </c>
      <c r="X28" s="46" t="n">
        <v>316.59</v>
      </c>
      <c r="Y28" s="33" t="n">
        <f aca="false">IFERROR(X28/R28,0)</f>
        <v>2.68592517179938</v>
      </c>
      <c r="Z28" s="29" t="str">
        <f aca="false">IF(X28&gt;0,"Win",IF(X28&lt;0,"Loss","Flat"))</f>
        <v>Win</v>
      </c>
      <c r="AA28" s="29" t="n">
        <f aca="false">ROUND((C28-B28)*1440,1)</f>
        <v>3.4</v>
      </c>
      <c r="AB28" s="29" t="str">
        <f aca="false">IF(AA28&lt;1,"a) &lt;1 min",IF(AA28&lt;10,"b) 1-10 min",IF(AA28&lt;60,"c) 10-60 min",IF(AA28&lt;240,"d) 1-4 h","e) 4 h+"))))</f>
        <v>b) 1-10 min</v>
      </c>
      <c r="AC28" s="29" t="str">
        <f aca="false">IF(P28&lt;10,"a) &lt;10",IF(P28&lt;20,"b) 10-20",IF(P28&lt;40,"c) 20-40",IF(P28&lt;80,"d) 40-80","e) 80+"))))</f>
        <v>c) 20-40</v>
      </c>
      <c r="AD28" s="31" t="n">
        <f aca="false">Summary!$C$5+SUM(X$2:X28)</f>
        <v>10206.94</v>
      </c>
      <c r="AE28" s="31" t="n">
        <f aca="false">MAX(AE27,AD28)</f>
        <v>10212.07</v>
      </c>
      <c r="AF28" s="31" t="n">
        <f aca="false">AE28-AD28</f>
        <v>5.1299999999992</v>
      </c>
      <c r="AG28" s="30" t="n">
        <f aca="false">IFERROR(AF28/AE28,0)</f>
        <v>0.000502346732836653</v>
      </c>
    </row>
    <row r="29" customFormat="false" ht="15" hidden="false" customHeight="false" outlineLevel="0" collapsed="false">
      <c r="A29" s="29" t="n">
        <v>28</v>
      </c>
      <c r="B29" s="44" t="n">
        <v>44690.16875</v>
      </c>
      <c r="C29" s="44" t="n">
        <v>44690.1702777778</v>
      </c>
      <c r="D29" s="43" t="n">
        <f aca="false">INT(C29)</f>
        <v>44690</v>
      </c>
      <c r="E29" s="43" t="n">
        <f aca="false">D29-WEEKDAY(D29,3)</f>
        <v>44690</v>
      </c>
      <c r="F29" s="29" t="s">
        <v>145</v>
      </c>
      <c r="G29" s="29" t="n">
        <v>2022</v>
      </c>
      <c r="H29" s="29" t="s">
        <v>245</v>
      </c>
      <c r="I29" s="29" t="n">
        <v>4</v>
      </c>
      <c r="J29" s="29" t="s">
        <v>250</v>
      </c>
      <c r="K29" s="29" t="s">
        <v>251</v>
      </c>
      <c r="L29" s="29" t="n">
        <v>0.04</v>
      </c>
      <c r="M29" s="32" t="n">
        <v>12514.07</v>
      </c>
      <c r="N29" s="32" t="n">
        <v>12522.96</v>
      </c>
      <c r="O29" s="32" t="n">
        <v>12492.28</v>
      </c>
      <c r="P29" s="45" t="n">
        <f aca="false">ABS(M29-N29)</f>
        <v>8.88999999999942</v>
      </c>
      <c r="Q29" s="45" t="n">
        <f aca="false">IF(O29="","",ABS(O29-M29))</f>
        <v>21.7899999999991</v>
      </c>
      <c r="R29" s="31" t="n">
        <f aca="false">P29*L29*Summary!$C$6</f>
        <v>35.5599999999977</v>
      </c>
      <c r="S29" s="32" t="n">
        <v>12522.99</v>
      </c>
      <c r="T29" s="29" t="s">
        <v>249</v>
      </c>
      <c r="U29" s="45" t="n">
        <f aca="false">IF(J29="BUY",S29-M29,M29-S29)</f>
        <v>-8.92000000000007</v>
      </c>
      <c r="V29" s="46" t="n">
        <v>0</v>
      </c>
      <c r="W29" s="46" t="n">
        <v>0</v>
      </c>
      <c r="X29" s="46" t="n">
        <v>-35.68</v>
      </c>
      <c r="Y29" s="33" t="n">
        <f aca="false">IFERROR(X29/R29,0)</f>
        <v>-1.00337457817779</v>
      </c>
      <c r="Z29" s="29" t="str">
        <f aca="false">IF(X29&gt;0,"Win",IF(X29&lt;0,"Loss","Flat"))</f>
        <v>Loss</v>
      </c>
      <c r="AA29" s="29" t="n">
        <f aca="false">ROUND((C29-B29)*1440,1)</f>
        <v>2.2</v>
      </c>
      <c r="AB29" s="29" t="str">
        <f aca="false">IF(AA29&lt;1,"a) &lt;1 min",IF(AA29&lt;10,"b) 1-10 min",IF(AA29&lt;60,"c) 10-60 min",IF(AA29&lt;240,"d) 1-4 h","e) 4 h+"))))</f>
        <v>b) 1-10 min</v>
      </c>
      <c r="AC29" s="29" t="str">
        <f aca="false">IF(P29&lt;10,"a) &lt;10",IF(P29&lt;20,"b) 10-20",IF(P29&lt;40,"c) 20-40",IF(P29&lt;80,"d) 40-80","e) 80+"))))</f>
        <v>a) &lt;10</v>
      </c>
      <c r="AD29" s="31" t="n">
        <f aca="false">Summary!$C$5+SUM(X$2:X29)</f>
        <v>10171.26</v>
      </c>
      <c r="AE29" s="31" t="n">
        <f aca="false">MAX(AE28,AD29)</f>
        <v>10212.07</v>
      </c>
      <c r="AF29" s="31" t="n">
        <f aca="false">AE29-AD29</f>
        <v>40.8099999999995</v>
      </c>
      <c r="AG29" s="30" t="n">
        <f aca="false">IFERROR(AF29/AE29,0)</f>
        <v>0.00399625149455492</v>
      </c>
    </row>
    <row r="30" customFormat="false" ht="15" hidden="false" customHeight="false" outlineLevel="0" collapsed="false">
      <c r="A30" s="29" t="n">
        <v>29</v>
      </c>
      <c r="B30" s="44" t="n">
        <v>44691.1361111111</v>
      </c>
      <c r="C30" s="44" t="n">
        <v>44691.1443634259</v>
      </c>
      <c r="D30" s="43" t="n">
        <f aca="false">INT(C30)</f>
        <v>44691</v>
      </c>
      <c r="E30" s="43" t="n">
        <f aca="false">D30-WEEKDAY(D30,3)</f>
        <v>44690</v>
      </c>
      <c r="F30" s="29" t="s">
        <v>145</v>
      </c>
      <c r="G30" s="29" t="n">
        <v>2022</v>
      </c>
      <c r="H30" s="29" t="s">
        <v>248</v>
      </c>
      <c r="I30" s="29" t="n">
        <v>3</v>
      </c>
      <c r="J30" s="29" t="s">
        <v>250</v>
      </c>
      <c r="K30" s="29" t="s">
        <v>251</v>
      </c>
      <c r="L30" s="29" t="n">
        <v>0.04</v>
      </c>
      <c r="M30" s="32" t="n">
        <v>12135.17</v>
      </c>
      <c r="N30" s="32" t="n">
        <v>12152.56</v>
      </c>
      <c r="O30" s="32" t="n">
        <v>12093.84</v>
      </c>
      <c r="P30" s="45" t="n">
        <f aca="false">ABS(M30-N30)</f>
        <v>17.3899999999994</v>
      </c>
      <c r="Q30" s="45" t="n">
        <f aca="false">IF(O30="","",ABS(O30-M30))</f>
        <v>41.3299999999999</v>
      </c>
      <c r="R30" s="31" t="n">
        <f aca="false">P30*L30*Summary!$C$6</f>
        <v>69.5599999999977</v>
      </c>
      <c r="S30" s="32" t="n">
        <v>12136.54</v>
      </c>
      <c r="T30" s="29" t="s">
        <v>255</v>
      </c>
      <c r="U30" s="45" t="n">
        <f aca="false">IF(J30="BUY",S30-M30,M30-S30)</f>
        <v>-1.3700000000008</v>
      </c>
      <c r="V30" s="46" t="n">
        <v>0</v>
      </c>
      <c r="W30" s="46" t="n">
        <v>0</v>
      </c>
      <c r="X30" s="46" t="n">
        <v>-5.48</v>
      </c>
      <c r="Y30" s="33" t="n">
        <f aca="false">IFERROR(X30/R30,0)</f>
        <v>-0.0787809085681453</v>
      </c>
      <c r="Z30" s="29" t="str">
        <f aca="false">IF(X30&gt;0,"Win",IF(X30&lt;0,"Loss","Flat"))</f>
        <v>Loss</v>
      </c>
      <c r="AA30" s="29" t="n">
        <f aca="false">ROUND((C30-B30)*1440,1)</f>
        <v>11.9</v>
      </c>
      <c r="AB30" s="29" t="str">
        <f aca="false">IF(AA30&lt;1,"a) &lt;1 min",IF(AA30&lt;10,"b) 1-10 min",IF(AA30&lt;60,"c) 10-60 min",IF(AA30&lt;240,"d) 1-4 h","e) 4 h+"))))</f>
        <v>c) 10-60 min</v>
      </c>
      <c r="AC30" s="29" t="str">
        <f aca="false">IF(P30&lt;10,"a) &lt;10",IF(P30&lt;20,"b) 10-20",IF(P30&lt;40,"c) 20-40",IF(P30&lt;80,"d) 40-80","e) 80+"))))</f>
        <v>b) 10-20</v>
      </c>
      <c r="AD30" s="31" t="n">
        <f aca="false">Summary!$C$5+SUM(X$2:X30)</f>
        <v>10165.78</v>
      </c>
      <c r="AE30" s="31" t="n">
        <f aca="false">MAX(AE29,AD30)</f>
        <v>10212.07</v>
      </c>
      <c r="AF30" s="31" t="n">
        <f aca="false">AE30-AD30</f>
        <v>46.2899999999991</v>
      </c>
      <c r="AG30" s="30" t="n">
        <f aca="false">IFERROR(AF30/AE30,0)</f>
        <v>0.0045328713962986</v>
      </c>
    </row>
    <row r="31" customFormat="false" ht="15" hidden="false" customHeight="false" outlineLevel="0" collapsed="false">
      <c r="A31" s="29" t="n">
        <v>30</v>
      </c>
      <c r="B31" s="44" t="n">
        <v>44692.8375</v>
      </c>
      <c r="C31" s="44" t="n">
        <v>44692.8389236111</v>
      </c>
      <c r="D31" s="43" t="n">
        <f aca="false">INT(C31)</f>
        <v>44692</v>
      </c>
      <c r="E31" s="43" t="n">
        <f aca="false">D31-WEEKDAY(D31,3)</f>
        <v>44690</v>
      </c>
      <c r="F31" s="29" t="s">
        <v>145</v>
      </c>
      <c r="G31" s="29" t="n">
        <v>2022</v>
      </c>
      <c r="H31" s="29" t="s">
        <v>252</v>
      </c>
      <c r="I31" s="29" t="n">
        <v>20</v>
      </c>
      <c r="J31" s="29" t="s">
        <v>250</v>
      </c>
      <c r="K31" s="29" t="s">
        <v>251</v>
      </c>
      <c r="L31" s="29" t="n">
        <v>0.04</v>
      </c>
      <c r="M31" s="32" t="n">
        <v>12100.89</v>
      </c>
      <c r="N31" s="32" t="n">
        <v>12117.03</v>
      </c>
      <c r="O31" s="32" t="n">
        <v>12064.57</v>
      </c>
      <c r="P31" s="45" t="n">
        <f aca="false">ABS(M31-N31)</f>
        <v>16.1400000000012</v>
      </c>
      <c r="Q31" s="45" t="n">
        <f aca="false">IF(O31="","",ABS(O31-M31))</f>
        <v>36.3199999999997</v>
      </c>
      <c r="R31" s="31" t="n">
        <f aca="false">P31*L31*Summary!$C$6</f>
        <v>64.560000000005</v>
      </c>
      <c r="S31" s="32" t="n">
        <v>12101.8</v>
      </c>
      <c r="T31" s="29" t="s">
        <v>255</v>
      </c>
      <c r="U31" s="45" t="n">
        <f aca="false">IF(J31="BUY",S31-M31,M31-S31)</f>
        <v>-0.909999999999855</v>
      </c>
      <c r="V31" s="46" t="n">
        <v>0</v>
      </c>
      <c r="W31" s="46" t="n">
        <v>0</v>
      </c>
      <c r="X31" s="46" t="n">
        <v>-3.64</v>
      </c>
      <c r="Y31" s="33" t="n">
        <f aca="false">IFERROR(X31/R31,0)</f>
        <v>-0.0563816604708755</v>
      </c>
      <c r="Z31" s="29" t="str">
        <f aca="false">IF(X31&gt;0,"Win",IF(X31&lt;0,"Loss","Flat"))</f>
        <v>Loss</v>
      </c>
      <c r="AA31" s="29" t="n">
        <f aca="false">ROUND((C31-B31)*1440,1)</f>
        <v>2.1</v>
      </c>
      <c r="AB31" s="29" t="str">
        <f aca="false">IF(AA31&lt;1,"a) &lt;1 min",IF(AA31&lt;10,"b) 1-10 min",IF(AA31&lt;60,"c) 10-60 min",IF(AA31&lt;240,"d) 1-4 h","e) 4 h+"))))</f>
        <v>b) 1-10 min</v>
      </c>
      <c r="AC31" s="29" t="str">
        <f aca="false">IF(P31&lt;10,"a) &lt;10",IF(P31&lt;20,"b) 10-20",IF(P31&lt;40,"c) 20-40",IF(P31&lt;80,"d) 40-80","e) 80+"))))</f>
        <v>b) 10-20</v>
      </c>
      <c r="AD31" s="31" t="n">
        <f aca="false">Summary!$C$5+SUM(X$2:X31)</f>
        <v>10162.14</v>
      </c>
      <c r="AE31" s="31" t="n">
        <f aca="false">MAX(AE30,AD31)</f>
        <v>10212.07</v>
      </c>
      <c r="AF31" s="31" t="n">
        <f aca="false">AE31-AD31</f>
        <v>49.9300000000003</v>
      </c>
      <c r="AG31" s="30" t="n">
        <f aca="false">IFERROR(AF31/AE31,0)</f>
        <v>0.00488931235293141</v>
      </c>
    </row>
    <row r="32" customFormat="false" ht="15" hidden="false" customHeight="false" outlineLevel="0" collapsed="false">
      <c r="A32" s="29" t="n">
        <v>31</v>
      </c>
      <c r="B32" s="44" t="n">
        <v>44693.1395833333</v>
      </c>
      <c r="C32" s="44" t="n">
        <v>44693.1456365741</v>
      </c>
      <c r="D32" s="43" t="n">
        <f aca="false">INT(C32)</f>
        <v>44693</v>
      </c>
      <c r="E32" s="43" t="n">
        <f aca="false">D32-WEEKDAY(D32,3)</f>
        <v>44690</v>
      </c>
      <c r="F32" s="29" t="s">
        <v>145</v>
      </c>
      <c r="G32" s="29" t="n">
        <v>2022</v>
      </c>
      <c r="H32" s="29" t="s">
        <v>253</v>
      </c>
      <c r="I32" s="29" t="n">
        <v>3</v>
      </c>
      <c r="J32" s="29" t="s">
        <v>250</v>
      </c>
      <c r="K32" s="29" t="s">
        <v>251</v>
      </c>
      <c r="L32" s="29" t="n">
        <v>0.04</v>
      </c>
      <c r="M32" s="32" t="n">
        <v>11927.89</v>
      </c>
      <c r="N32" s="32" t="n">
        <v>11943.99</v>
      </c>
      <c r="O32" s="32" t="n">
        <v>11888.44</v>
      </c>
      <c r="P32" s="45" t="n">
        <f aca="false">ABS(M32-N32)</f>
        <v>16.1000000000004</v>
      </c>
      <c r="Q32" s="45" t="n">
        <f aca="false">IF(O32="","",ABS(O32-M32))</f>
        <v>39.4499999999989</v>
      </c>
      <c r="R32" s="31" t="n">
        <f aca="false">P32*L32*Summary!$C$6</f>
        <v>64.4000000000015</v>
      </c>
      <c r="S32" s="32" t="n">
        <v>11945.59</v>
      </c>
      <c r="T32" s="29" t="s">
        <v>249</v>
      </c>
      <c r="U32" s="45" t="n">
        <f aca="false">IF(J32="BUY",S32-M32,M32-S32)</f>
        <v>-17.7000000000007</v>
      </c>
      <c r="V32" s="46" t="n">
        <v>0</v>
      </c>
      <c r="W32" s="46" t="n">
        <v>0</v>
      </c>
      <c r="X32" s="46" t="n">
        <v>-70.8</v>
      </c>
      <c r="Y32" s="33" t="n">
        <f aca="false">IFERROR(X32/R32,0)</f>
        <v>-1.09937888198755</v>
      </c>
      <c r="Z32" s="29" t="str">
        <f aca="false">IF(X32&gt;0,"Win",IF(X32&lt;0,"Loss","Flat"))</f>
        <v>Loss</v>
      </c>
      <c r="AA32" s="29" t="n">
        <f aca="false">ROUND((C32-B32)*1440,1)</f>
        <v>8.7</v>
      </c>
      <c r="AB32" s="29" t="str">
        <f aca="false">IF(AA32&lt;1,"a) &lt;1 min",IF(AA32&lt;10,"b) 1-10 min",IF(AA32&lt;60,"c) 10-60 min",IF(AA32&lt;240,"d) 1-4 h","e) 4 h+"))))</f>
        <v>b) 1-10 min</v>
      </c>
      <c r="AC32" s="29" t="str">
        <f aca="false">IF(P32&lt;10,"a) &lt;10",IF(P32&lt;20,"b) 10-20",IF(P32&lt;40,"c) 20-40",IF(P32&lt;80,"d) 40-80","e) 80+"))))</f>
        <v>b) 10-20</v>
      </c>
      <c r="AD32" s="31" t="n">
        <f aca="false">Summary!$C$5+SUM(X$2:X32)</f>
        <v>10091.34</v>
      </c>
      <c r="AE32" s="31" t="n">
        <f aca="false">MAX(AE31,AD32)</f>
        <v>10212.07</v>
      </c>
      <c r="AF32" s="31" t="n">
        <f aca="false">AE32-AD32</f>
        <v>120.73</v>
      </c>
      <c r="AG32" s="30" t="n">
        <f aca="false">IFERROR(AF32/AE32,0)</f>
        <v>0.0118222848061166</v>
      </c>
    </row>
    <row r="33" customFormat="false" ht="15" hidden="false" customHeight="false" outlineLevel="0" collapsed="false">
      <c r="A33" s="29" t="n">
        <v>32</v>
      </c>
      <c r="B33" s="44" t="n">
        <v>44694.2694444444</v>
      </c>
      <c r="C33" s="44" t="n">
        <v>44694.2700810185</v>
      </c>
      <c r="D33" s="43" t="n">
        <f aca="false">INT(C33)</f>
        <v>44694</v>
      </c>
      <c r="E33" s="43" t="n">
        <f aca="false">D33-WEEKDAY(D33,3)</f>
        <v>44690</v>
      </c>
      <c r="F33" s="29" t="s">
        <v>145</v>
      </c>
      <c r="G33" s="29" t="n">
        <v>2022</v>
      </c>
      <c r="H33" s="29" t="s">
        <v>254</v>
      </c>
      <c r="I33" s="29" t="n">
        <v>6</v>
      </c>
      <c r="J33" s="29" t="s">
        <v>246</v>
      </c>
      <c r="K33" s="29" t="s">
        <v>247</v>
      </c>
      <c r="L33" s="29" t="n">
        <v>0.04</v>
      </c>
      <c r="M33" s="32" t="n">
        <v>12127.83</v>
      </c>
      <c r="N33" s="32" t="n">
        <v>12121.61</v>
      </c>
      <c r="O33" s="32" t="n">
        <v>12144.01</v>
      </c>
      <c r="P33" s="45" t="n">
        <f aca="false">ABS(M33-N33)</f>
        <v>6.21999999999935</v>
      </c>
      <c r="Q33" s="45" t="n">
        <f aca="false">IF(O33="","",ABS(O33-M33))</f>
        <v>16.1800000000003</v>
      </c>
      <c r="R33" s="31" t="n">
        <f aca="false">P33*L33*Summary!$C$6</f>
        <v>24.8799999999974</v>
      </c>
      <c r="S33" s="32" t="n">
        <v>12121.22</v>
      </c>
      <c r="T33" s="29" t="s">
        <v>249</v>
      </c>
      <c r="U33" s="45" t="n">
        <f aca="false">IF(J33="BUY",S33-M33,M33-S33)</f>
        <v>-6.61000000000058</v>
      </c>
      <c r="V33" s="46" t="n">
        <v>0</v>
      </c>
      <c r="W33" s="46" t="n">
        <v>0</v>
      </c>
      <c r="X33" s="46" t="n">
        <v>-26.44</v>
      </c>
      <c r="Y33" s="33" t="n">
        <f aca="false">IFERROR(X33/R33,0)</f>
        <v>-1.06270096463034</v>
      </c>
      <c r="Z33" s="29" t="str">
        <f aca="false">IF(X33&gt;0,"Win",IF(X33&lt;0,"Loss","Flat"))</f>
        <v>Loss</v>
      </c>
      <c r="AA33" s="29" t="n">
        <f aca="false">ROUND((C33-B33)*1440,1)</f>
        <v>0.9</v>
      </c>
      <c r="AB33" s="29" t="str">
        <f aca="false">IF(AA33&lt;1,"a) &lt;1 min",IF(AA33&lt;10,"b) 1-10 min",IF(AA33&lt;60,"c) 10-60 min",IF(AA33&lt;240,"d) 1-4 h","e) 4 h+"))))</f>
        <v>a) &lt;1 min</v>
      </c>
      <c r="AC33" s="29" t="str">
        <f aca="false">IF(P33&lt;10,"a) &lt;10",IF(P33&lt;20,"b) 10-20",IF(P33&lt;40,"c) 20-40",IF(P33&lt;80,"d) 40-80","e) 80+"))))</f>
        <v>a) &lt;10</v>
      </c>
      <c r="AD33" s="31" t="n">
        <f aca="false">Summary!$C$5+SUM(X$2:X33)</f>
        <v>10064.9</v>
      </c>
      <c r="AE33" s="31" t="n">
        <f aca="false">MAX(AE32,AD33)</f>
        <v>10212.07</v>
      </c>
      <c r="AF33" s="31" t="n">
        <f aca="false">AE33-AD33</f>
        <v>147.17</v>
      </c>
      <c r="AG33" s="30" t="n">
        <f aca="false">IFERROR(AF33/AE33,0)</f>
        <v>0.0144113779086904</v>
      </c>
    </row>
    <row r="34" customFormat="false" ht="15" hidden="false" customHeight="false" outlineLevel="0" collapsed="false">
      <c r="A34" s="29" t="n">
        <v>33</v>
      </c>
      <c r="B34" s="44" t="n">
        <v>44697.0444444444</v>
      </c>
      <c r="C34" s="44" t="n">
        <v>44697.0718287037</v>
      </c>
      <c r="D34" s="43" t="n">
        <f aca="false">INT(C34)</f>
        <v>44697</v>
      </c>
      <c r="E34" s="43" t="n">
        <f aca="false">D34-WEEKDAY(D34,3)</f>
        <v>44697</v>
      </c>
      <c r="F34" s="29" t="s">
        <v>145</v>
      </c>
      <c r="G34" s="29" t="n">
        <v>2022</v>
      </c>
      <c r="H34" s="29" t="s">
        <v>245</v>
      </c>
      <c r="I34" s="29" t="n">
        <v>1</v>
      </c>
      <c r="J34" s="29" t="s">
        <v>246</v>
      </c>
      <c r="K34" s="29" t="s">
        <v>247</v>
      </c>
      <c r="L34" s="29" t="n">
        <v>0.04</v>
      </c>
      <c r="M34" s="32" t="n">
        <v>12449.58</v>
      </c>
      <c r="N34" s="32" t="n">
        <v>12427.05</v>
      </c>
      <c r="O34" s="32" t="n">
        <v>12504.78</v>
      </c>
      <c r="P34" s="45" t="n">
        <f aca="false">ABS(M34-N34)</f>
        <v>22.5300000000007</v>
      </c>
      <c r="Q34" s="45" t="n">
        <f aca="false">IF(O34="","",ABS(O34-M34))</f>
        <v>55.2000000000007</v>
      </c>
      <c r="R34" s="31" t="n">
        <f aca="false">P34*L34*Summary!$C$6</f>
        <v>90.1200000000026</v>
      </c>
      <c r="S34" s="32" t="n">
        <v>12449.16</v>
      </c>
      <c r="T34" s="29" t="s">
        <v>255</v>
      </c>
      <c r="U34" s="45" t="n">
        <f aca="false">IF(J34="BUY",S34-M34,M34-S34)</f>
        <v>-0.420000000000073</v>
      </c>
      <c r="V34" s="46" t="n">
        <v>0</v>
      </c>
      <c r="W34" s="46" t="n">
        <v>0</v>
      </c>
      <c r="X34" s="46" t="n">
        <v>-1.68</v>
      </c>
      <c r="Y34" s="33" t="n">
        <f aca="false">IFERROR(X34/R34,0)</f>
        <v>-0.0186418109187744</v>
      </c>
      <c r="Z34" s="29" t="str">
        <f aca="false">IF(X34&gt;0,"Win",IF(X34&lt;0,"Loss","Flat"))</f>
        <v>Loss</v>
      </c>
      <c r="AA34" s="29" t="n">
        <f aca="false">ROUND((C34-B34)*1440,1)</f>
        <v>39.4</v>
      </c>
      <c r="AB34" s="29" t="str">
        <f aca="false">IF(AA34&lt;1,"a) &lt;1 min",IF(AA34&lt;10,"b) 1-10 min",IF(AA34&lt;60,"c) 10-60 min",IF(AA34&lt;240,"d) 1-4 h","e) 4 h+"))))</f>
        <v>c) 10-60 min</v>
      </c>
      <c r="AC34" s="29" t="str">
        <f aca="false">IF(P34&lt;10,"a) &lt;10",IF(P34&lt;20,"b) 10-20",IF(P34&lt;40,"c) 20-40",IF(P34&lt;80,"d) 40-80","e) 80+"))))</f>
        <v>c) 20-40</v>
      </c>
      <c r="AD34" s="31" t="n">
        <f aca="false">Summary!$C$5+SUM(X$2:X34)</f>
        <v>10063.22</v>
      </c>
      <c r="AE34" s="31" t="n">
        <f aca="false">MAX(AE33,AD34)</f>
        <v>10212.07</v>
      </c>
      <c r="AF34" s="31" t="n">
        <f aca="false">AE34-AD34</f>
        <v>148.85</v>
      </c>
      <c r="AG34" s="30" t="n">
        <f aca="false">IFERROR(AF34/AE34,0)</f>
        <v>0.014575889119444</v>
      </c>
    </row>
    <row r="35" customFormat="false" ht="15" hidden="false" customHeight="false" outlineLevel="0" collapsed="false">
      <c r="A35" s="29" t="n">
        <v>34</v>
      </c>
      <c r="B35" s="44" t="n">
        <v>44698.4861111111</v>
      </c>
      <c r="C35" s="44" t="n">
        <v>44698.4936111111</v>
      </c>
      <c r="D35" s="43" t="n">
        <f aca="false">INT(C35)</f>
        <v>44698</v>
      </c>
      <c r="E35" s="43" t="n">
        <f aca="false">D35-WEEKDAY(D35,3)</f>
        <v>44697</v>
      </c>
      <c r="F35" s="29" t="s">
        <v>145</v>
      </c>
      <c r="G35" s="29" t="n">
        <v>2022</v>
      </c>
      <c r="H35" s="29" t="s">
        <v>248</v>
      </c>
      <c r="I35" s="29" t="n">
        <v>11</v>
      </c>
      <c r="J35" s="29" t="s">
        <v>246</v>
      </c>
      <c r="K35" s="29" t="s">
        <v>247</v>
      </c>
      <c r="L35" s="29" t="n">
        <v>0.04</v>
      </c>
      <c r="M35" s="32" t="n">
        <v>12503.65</v>
      </c>
      <c r="N35" s="32" t="n">
        <v>12491.96</v>
      </c>
      <c r="O35" s="32" t="n">
        <v>12532.39</v>
      </c>
      <c r="P35" s="45" t="n">
        <f aca="false">ABS(M35-N35)</f>
        <v>11.6900000000005</v>
      </c>
      <c r="Q35" s="45" t="n">
        <f aca="false">IF(O35="","",ABS(O35-M35))</f>
        <v>28.7399999999998</v>
      </c>
      <c r="R35" s="31" t="n">
        <f aca="false">P35*L35*Summary!$C$6</f>
        <v>46.760000000002</v>
      </c>
      <c r="S35" s="32" t="n">
        <v>12503.62</v>
      </c>
      <c r="T35" s="29" t="s">
        <v>255</v>
      </c>
      <c r="U35" s="45" t="n">
        <f aca="false">IF(J35="BUY",S35-M35,M35-S35)</f>
        <v>-0.0299999999988358</v>
      </c>
      <c r="V35" s="46" t="n">
        <v>0</v>
      </c>
      <c r="W35" s="46" t="n">
        <v>0</v>
      </c>
      <c r="X35" s="46" t="n">
        <v>-0.12</v>
      </c>
      <c r="Y35" s="33" t="n">
        <f aca="false">IFERROR(X35/R35,0)</f>
        <v>-0.00256629597946952</v>
      </c>
      <c r="Z35" s="29" t="str">
        <f aca="false">IF(X35&gt;0,"Win",IF(X35&lt;0,"Loss","Flat"))</f>
        <v>Loss</v>
      </c>
      <c r="AA35" s="29" t="n">
        <f aca="false">ROUND((C35-B35)*1440,1)</f>
        <v>10.8</v>
      </c>
      <c r="AB35" s="29" t="str">
        <f aca="false">IF(AA35&lt;1,"a) &lt;1 min",IF(AA35&lt;10,"b) 1-10 min",IF(AA35&lt;60,"c) 10-60 min",IF(AA35&lt;240,"d) 1-4 h","e) 4 h+"))))</f>
        <v>c) 10-60 min</v>
      </c>
      <c r="AC35" s="29" t="str">
        <f aca="false">IF(P35&lt;10,"a) &lt;10",IF(P35&lt;20,"b) 10-20",IF(P35&lt;40,"c) 20-40",IF(P35&lt;80,"d) 40-80","e) 80+"))))</f>
        <v>b) 10-20</v>
      </c>
      <c r="AD35" s="31" t="n">
        <f aca="false">Summary!$C$5+SUM(X$2:X35)</f>
        <v>10063.1</v>
      </c>
      <c r="AE35" s="31" t="n">
        <f aca="false">MAX(AE34,AD35)</f>
        <v>10212.07</v>
      </c>
      <c r="AF35" s="31" t="n">
        <f aca="false">AE35-AD35</f>
        <v>148.969999999999</v>
      </c>
      <c r="AG35" s="30" t="n">
        <f aca="false">IFERROR(AF35/AE35,0)</f>
        <v>0.014587639920212</v>
      </c>
    </row>
    <row r="36" customFormat="false" ht="15" hidden="false" customHeight="false" outlineLevel="0" collapsed="false">
      <c r="A36" s="29" t="n">
        <v>35</v>
      </c>
      <c r="B36" s="44" t="n">
        <v>44699.04375</v>
      </c>
      <c r="C36" s="44" t="n">
        <v>44699.05875</v>
      </c>
      <c r="D36" s="43" t="n">
        <f aca="false">INT(C36)</f>
        <v>44699</v>
      </c>
      <c r="E36" s="43" t="n">
        <f aca="false">D36-WEEKDAY(D36,3)</f>
        <v>44697</v>
      </c>
      <c r="F36" s="29" t="s">
        <v>145</v>
      </c>
      <c r="G36" s="29" t="n">
        <v>2022</v>
      </c>
      <c r="H36" s="29" t="s">
        <v>252</v>
      </c>
      <c r="I36" s="29" t="n">
        <v>1</v>
      </c>
      <c r="J36" s="29" t="s">
        <v>246</v>
      </c>
      <c r="K36" s="29" t="s">
        <v>247</v>
      </c>
      <c r="L36" s="29" t="n">
        <v>0.04</v>
      </c>
      <c r="M36" s="32" t="n">
        <v>12578.6</v>
      </c>
      <c r="N36" s="32" t="n">
        <v>12570.27</v>
      </c>
      <c r="O36" s="32" t="n">
        <v>12598.73</v>
      </c>
      <c r="P36" s="45" t="n">
        <f aca="false">ABS(M36-N36)</f>
        <v>8.32999999999993</v>
      </c>
      <c r="Q36" s="45" t="n">
        <f aca="false">IF(O36="","",ABS(O36-M36))</f>
        <v>20.1299999999992</v>
      </c>
      <c r="R36" s="31" t="n">
        <f aca="false">P36*L36*Summary!$C$6</f>
        <v>33.3199999999997</v>
      </c>
      <c r="S36" s="32" t="n">
        <v>12578.56</v>
      </c>
      <c r="T36" s="29" t="s">
        <v>255</v>
      </c>
      <c r="U36" s="45" t="n">
        <f aca="false">IF(J36="BUY",S36-M36,M36-S36)</f>
        <v>-0.0400000000008731</v>
      </c>
      <c r="V36" s="46" t="n">
        <v>0</v>
      </c>
      <c r="W36" s="46" t="n">
        <v>0</v>
      </c>
      <c r="X36" s="46" t="n">
        <v>-0.16</v>
      </c>
      <c r="Y36" s="33" t="n">
        <f aca="false">IFERROR(X36/R36,0)</f>
        <v>-0.00480192076830737</v>
      </c>
      <c r="Z36" s="29" t="str">
        <f aca="false">IF(X36&gt;0,"Win",IF(X36&lt;0,"Loss","Flat"))</f>
        <v>Loss</v>
      </c>
      <c r="AA36" s="29" t="n">
        <f aca="false">ROUND((C36-B36)*1440,1)</f>
        <v>21.6</v>
      </c>
      <c r="AB36" s="29" t="str">
        <f aca="false">IF(AA36&lt;1,"a) &lt;1 min",IF(AA36&lt;10,"b) 1-10 min",IF(AA36&lt;60,"c) 10-60 min",IF(AA36&lt;240,"d) 1-4 h","e) 4 h+"))))</f>
        <v>c) 10-60 min</v>
      </c>
      <c r="AC36" s="29" t="str">
        <f aca="false">IF(P36&lt;10,"a) &lt;10",IF(P36&lt;20,"b) 10-20",IF(P36&lt;40,"c) 20-40",IF(P36&lt;80,"d) 40-80","e) 80+"))))</f>
        <v>a) &lt;10</v>
      </c>
      <c r="AD36" s="31" t="n">
        <f aca="false">Summary!$C$5+SUM(X$2:X36)</f>
        <v>10062.94</v>
      </c>
      <c r="AE36" s="31" t="n">
        <f aca="false">MAX(AE35,AD36)</f>
        <v>10212.07</v>
      </c>
      <c r="AF36" s="31" t="n">
        <f aca="false">AE36-AD36</f>
        <v>149.129999999999</v>
      </c>
      <c r="AG36" s="30" t="n">
        <f aca="false">IFERROR(AF36/AE36,0)</f>
        <v>0.0146033076545695</v>
      </c>
    </row>
    <row r="37" customFormat="false" ht="15" hidden="false" customHeight="false" outlineLevel="0" collapsed="false">
      <c r="A37" s="29" t="n">
        <v>36</v>
      </c>
      <c r="B37" s="44" t="n">
        <v>44699.7611111111</v>
      </c>
      <c r="C37" s="44" t="n">
        <v>44699.7613078704</v>
      </c>
      <c r="D37" s="43" t="n">
        <f aca="false">INT(C37)</f>
        <v>44699</v>
      </c>
      <c r="E37" s="43" t="n">
        <f aca="false">D37-WEEKDAY(D37,3)</f>
        <v>44697</v>
      </c>
      <c r="F37" s="29" t="s">
        <v>145</v>
      </c>
      <c r="G37" s="29" t="n">
        <v>2022</v>
      </c>
      <c r="H37" s="29" t="s">
        <v>252</v>
      </c>
      <c r="I37" s="29" t="n">
        <v>18</v>
      </c>
      <c r="J37" s="29" t="s">
        <v>250</v>
      </c>
      <c r="K37" s="29" t="s">
        <v>251</v>
      </c>
      <c r="L37" s="29" t="n">
        <v>0.04</v>
      </c>
      <c r="M37" s="32" t="n">
        <v>12231.96</v>
      </c>
      <c r="N37" s="32" t="n">
        <v>12235.57</v>
      </c>
      <c r="O37" s="32" t="n">
        <v>12221.39</v>
      </c>
      <c r="P37" s="45" t="n">
        <f aca="false">ABS(M37-N37)</f>
        <v>3.61000000000058</v>
      </c>
      <c r="Q37" s="45" t="n">
        <f aca="false">IF(O37="","",ABS(O37-M37))</f>
        <v>10.5699999999997</v>
      </c>
      <c r="R37" s="31" t="n">
        <f aca="false">P37*L37*Summary!$C$6</f>
        <v>14.4400000000023</v>
      </c>
      <c r="S37" s="32" t="n">
        <v>12221.34</v>
      </c>
      <c r="T37" s="29" t="s">
        <v>227</v>
      </c>
      <c r="U37" s="45" t="n">
        <f aca="false">IF(J37="BUY",S37-M37,M37-S37)</f>
        <v>10.619999999999</v>
      </c>
      <c r="V37" s="46" t="n">
        <v>0</v>
      </c>
      <c r="W37" s="46" t="n">
        <v>0</v>
      </c>
      <c r="X37" s="46" t="n">
        <v>42.48</v>
      </c>
      <c r="Y37" s="33" t="n">
        <f aca="false">IFERROR(X37/R37,0)</f>
        <v>2.94182825484717</v>
      </c>
      <c r="Z37" s="29" t="str">
        <f aca="false">IF(X37&gt;0,"Win",IF(X37&lt;0,"Loss","Flat"))</f>
        <v>Win</v>
      </c>
      <c r="AA37" s="29" t="n">
        <f aca="false">ROUND((C37-B37)*1440,1)</f>
        <v>0.3</v>
      </c>
      <c r="AB37" s="29" t="str">
        <f aca="false">IF(AA37&lt;1,"a) &lt;1 min",IF(AA37&lt;10,"b) 1-10 min",IF(AA37&lt;60,"c) 10-60 min",IF(AA37&lt;240,"d) 1-4 h","e) 4 h+"))))</f>
        <v>a) &lt;1 min</v>
      </c>
      <c r="AC37" s="29" t="str">
        <f aca="false">IF(P37&lt;10,"a) &lt;10",IF(P37&lt;20,"b) 10-20",IF(P37&lt;40,"c) 20-40",IF(P37&lt;80,"d) 40-80","e) 80+"))))</f>
        <v>a) &lt;10</v>
      </c>
      <c r="AD37" s="31" t="n">
        <f aca="false">Summary!$C$5+SUM(X$2:X37)</f>
        <v>10105.42</v>
      </c>
      <c r="AE37" s="31" t="n">
        <f aca="false">MAX(AE36,AD37)</f>
        <v>10212.07</v>
      </c>
      <c r="AF37" s="31" t="n">
        <f aca="false">AE37-AD37</f>
        <v>106.65</v>
      </c>
      <c r="AG37" s="30" t="n">
        <f aca="false">IFERROR(AF37/AE37,0)</f>
        <v>0.0104435241826583</v>
      </c>
    </row>
    <row r="38" customFormat="false" ht="15" hidden="false" customHeight="false" outlineLevel="0" collapsed="false">
      <c r="A38" s="29" t="n">
        <v>37</v>
      </c>
      <c r="B38" s="44" t="n">
        <v>44700.09375</v>
      </c>
      <c r="C38" s="44" t="n">
        <v>44700.095474537</v>
      </c>
      <c r="D38" s="43" t="n">
        <f aca="false">INT(C38)</f>
        <v>44700</v>
      </c>
      <c r="E38" s="43" t="n">
        <f aca="false">D38-WEEKDAY(D38,3)</f>
        <v>44697</v>
      </c>
      <c r="F38" s="29" t="s">
        <v>145</v>
      </c>
      <c r="G38" s="29" t="n">
        <v>2022</v>
      </c>
      <c r="H38" s="29" t="s">
        <v>253</v>
      </c>
      <c r="I38" s="29" t="n">
        <v>2</v>
      </c>
      <c r="J38" s="29" t="s">
        <v>250</v>
      </c>
      <c r="K38" s="29" t="s">
        <v>251</v>
      </c>
      <c r="L38" s="29" t="n">
        <v>0.04</v>
      </c>
      <c r="M38" s="32" t="n">
        <v>11875.62</v>
      </c>
      <c r="N38" s="32" t="n">
        <v>11882.17</v>
      </c>
      <c r="O38" s="32" t="n">
        <v>11861.26</v>
      </c>
      <c r="P38" s="45" t="n">
        <f aca="false">ABS(M38-N38)</f>
        <v>6.54999999999927</v>
      </c>
      <c r="Q38" s="45" t="n">
        <f aca="false">IF(O38="","",ABS(O38-M38))</f>
        <v>14.3600000000006</v>
      </c>
      <c r="R38" s="31" t="n">
        <f aca="false">P38*L38*Summary!$C$6</f>
        <v>26.1999999999971</v>
      </c>
      <c r="S38" s="32" t="n">
        <v>11875.88</v>
      </c>
      <c r="T38" s="29" t="s">
        <v>255</v>
      </c>
      <c r="U38" s="45" t="n">
        <f aca="false">IF(J38="BUY",S38-M38,M38-S38)</f>
        <v>-0.259999999998399</v>
      </c>
      <c r="V38" s="46" t="n">
        <v>0</v>
      </c>
      <c r="W38" s="46" t="n">
        <v>0</v>
      </c>
      <c r="X38" s="46" t="n">
        <v>-1.04</v>
      </c>
      <c r="Y38" s="33" t="n">
        <f aca="false">IFERROR(X38/R38,0)</f>
        <v>-0.039694656488554</v>
      </c>
      <c r="Z38" s="29" t="str">
        <f aca="false">IF(X38&gt;0,"Win",IF(X38&lt;0,"Loss","Flat"))</f>
        <v>Loss</v>
      </c>
      <c r="AA38" s="29" t="n">
        <f aca="false">ROUND((C38-B38)*1440,1)</f>
        <v>2.5</v>
      </c>
      <c r="AB38" s="29" t="str">
        <f aca="false">IF(AA38&lt;1,"a) &lt;1 min",IF(AA38&lt;10,"b) 1-10 min",IF(AA38&lt;60,"c) 10-60 min",IF(AA38&lt;240,"d) 1-4 h","e) 4 h+"))))</f>
        <v>b) 1-10 min</v>
      </c>
      <c r="AC38" s="29" t="str">
        <f aca="false">IF(P38&lt;10,"a) &lt;10",IF(P38&lt;20,"b) 10-20",IF(P38&lt;40,"c) 20-40",IF(P38&lt;80,"d) 40-80","e) 80+"))))</f>
        <v>a) &lt;10</v>
      </c>
      <c r="AD38" s="31" t="n">
        <f aca="false">Summary!$C$5+SUM(X$2:X38)</f>
        <v>10104.38</v>
      </c>
      <c r="AE38" s="31" t="n">
        <f aca="false">MAX(AE37,AD38)</f>
        <v>10212.07</v>
      </c>
      <c r="AF38" s="31" t="n">
        <f aca="false">AE38-AD38</f>
        <v>107.690000000001</v>
      </c>
      <c r="AG38" s="30" t="n">
        <f aca="false">IFERROR(AF38/AE38,0)</f>
        <v>0.010545364455982</v>
      </c>
    </row>
    <row r="39" customFormat="false" ht="15" hidden="false" customHeight="false" outlineLevel="0" collapsed="false">
      <c r="A39" s="29" t="n">
        <v>38</v>
      </c>
      <c r="B39" s="44" t="n">
        <v>44701.48125</v>
      </c>
      <c r="C39" s="44" t="n">
        <v>44701.4928819445</v>
      </c>
      <c r="D39" s="43" t="n">
        <f aca="false">INT(C39)</f>
        <v>44701</v>
      </c>
      <c r="E39" s="43" t="n">
        <f aca="false">D39-WEEKDAY(D39,3)</f>
        <v>44697</v>
      </c>
      <c r="F39" s="29" t="s">
        <v>145</v>
      </c>
      <c r="G39" s="29" t="n">
        <v>2022</v>
      </c>
      <c r="H39" s="29" t="s">
        <v>254</v>
      </c>
      <c r="I39" s="29" t="n">
        <v>11</v>
      </c>
      <c r="J39" s="29" t="s">
        <v>246</v>
      </c>
      <c r="K39" s="29" t="s">
        <v>247</v>
      </c>
      <c r="L39" s="29" t="n">
        <v>0.04</v>
      </c>
      <c r="M39" s="32" t="n">
        <v>12077.49</v>
      </c>
      <c r="N39" s="32" t="n">
        <v>12068.37</v>
      </c>
      <c r="O39" s="32" t="n">
        <v>12099.83</v>
      </c>
      <c r="P39" s="45" t="n">
        <f aca="false">ABS(M39-N39)</f>
        <v>9.11999999999898</v>
      </c>
      <c r="Q39" s="45" t="n">
        <f aca="false">IF(O39="","",ABS(O39-M39))</f>
        <v>22.3400000000001</v>
      </c>
      <c r="R39" s="31" t="n">
        <f aca="false">P39*L39*Summary!$C$6</f>
        <v>36.4799999999959</v>
      </c>
      <c r="S39" s="32" t="n">
        <v>12067.35</v>
      </c>
      <c r="T39" s="29" t="s">
        <v>249</v>
      </c>
      <c r="U39" s="45" t="n">
        <f aca="false">IF(J39="BUY",S39-M39,M39-S39)</f>
        <v>-10.1399999999994</v>
      </c>
      <c r="V39" s="46" t="n">
        <v>0</v>
      </c>
      <c r="W39" s="46" t="n">
        <v>0</v>
      </c>
      <c r="X39" s="46" t="n">
        <v>-40.56</v>
      </c>
      <c r="Y39" s="33" t="n">
        <f aca="false">IFERROR(X39/R39,0)</f>
        <v>-1.11184210526328</v>
      </c>
      <c r="Z39" s="29" t="str">
        <f aca="false">IF(X39&gt;0,"Win",IF(X39&lt;0,"Loss","Flat"))</f>
        <v>Loss</v>
      </c>
      <c r="AA39" s="29" t="n">
        <f aca="false">ROUND((C39-B39)*1440,1)</f>
        <v>16.8</v>
      </c>
      <c r="AB39" s="29" t="str">
        <f aca="false">IF(AA39&lt;1,"a) &lt;1 min",IF(AA39&lt;10,"b) 1-10 min",IF(AA39&lt;60,"c) 10-60 min",IF(AA39&lt;240,"d) 1-4 h","e) 4 h+"))))</f>
        <v>c) 10-60 min</v>
      </c>
      <c r="AC39" s="29" t="str">
        <f aca="false">IF(P39&lt;10,"a) &lt;10",IF(P39&lt;20,"b) 10-20",IF(P39&lt;40,"c) 20-40",IF(P39&lt;80,"d) 40-80","e) 80+"))))</f>
        <v>a) &lt;10</v>
      </c>
      <c r="AD39" s="31" t="n">
        <f aca="false">Summary!$C$5+SUM(X$2:X39)</f>
        <v>10063.82</v>
      </c>
      <c r="AE39" s="31" t="n">
        <f aca="false">MAX(AE38,AD39)</f>
        <v>10212.07</v>
      </c>
      <c r="AF39" s="31" t="n">
        <f aca="false">AE39-AD39</f>
        <v>148.25</v>
      </c>
      <c r="AG39" s="30" t="n">
        <f aca="false">IFERROR(AF39/AE39,0)</f>
        <v>0.0145171351156034</v>
      </c>
    </row>
    <row r="40" customFormat="false" ht="15" hidden="false" customHeight="false" outlineLevel="0" collapsed="false">
      <c r="A40" s="29" t="n">
        <v>39</v>
      </c>
      <c r="B40" s="44" t="n">
        <v>44701.7979166667</v>
      </c>
      <c r="C40" s="44" t="n">
        <v>44701.7991203704</v>
      </c>
      <c r="D40" s="43" t="n">
        <f aca="false">INT(C40)</f>
        <v>44701</v>
      </c>
      <c r="E40" s="43" t="n">
        <f aca="false">D40-WEEKDAY(D40,3)</f>
        <v>44697</v>
      </c>
      <c r="F40" s="29" t="s">
        <v>145</v>
      </c>
      <c r="G40" s="29" t="n">
        <v>2022</v>
      </c>
      <c r="H40" s="29" t="s">
        <v>254</v>
      </c>
      <c r="I40" s="29" t="n">
        <v>19</v>
      </c>
      <c r="J40" s="29" t="s">
        <v>250</v>
      </c>
      <c r="K40" s="29" t="s">
        <v>251</v>
      </c>
      <c r="L40" s="29" t="n">
        <v>0.04</v>
      </c>
      <c r="M40" s="32" t="n">
        <v>11674.22</v>
      </c>
      <c r="N40" s="32" t="n">
        <v>11691.05</v>
      </c>
      <c r="O40" s="32" t="n">
        <v>11633.36</v>
      </c>
      <c r="P40" s="45" t="n">
        <f aca="false">ABS(M40-N40)</f>
        <v>16.8299999999999</v>
      </c>
      <c r="Q40" s="45" t="n">
        <f aca="false">IF(O40="","",ABS(O40-M40))</f>
        <v>40.8599999999988</v>
      </c>
      <c r="R40" s="31" t="n">
        <f aca="false">P40*L40*Summary!$C$6</f>
        <v>67.3199999999997</v>
      </c>
      <c r="S40" s="32" t="n">
        <v>11632.7</v>
      </c>
      <c r="T40" s="29" t="s">
        <v>227</v>
      </c>
      <c r="U40" s="45" t="n">
        <f aca="false">IF(J40="BUY",S40-M40,M40-S40)</f>
        <v>41.5199999999986</v>
      </c>
      <c r="V40" s="46" t="n">
        <v>0</v>
      </c>
      <c r="W40" s="46" t="n">
        <v>0</v>
      </c>
      <c r="X40" s="46" t="n">
        <v>166.08</v>
      </c>
      <c r="Y40" s="33" t="n">
        <f aca="false">IFERROR(X40/R40,0)</f>
        <v>2.46702317290554</v>
      </c>
      <c r="Z40" s="29" t="str">
        <f aca="false">IF(X40&gt;0,"Win",IF(X40&lt;0,"Loss","Flat"))</f>
        <v>Win</v>
      </c>
      <c r="AA40" s="29" t="n">
        <f aca="false">ROUND((C40-B40)*1440,1)</f>
        <v>1.7</v>
      </c>
      <c r="AB40" s="29" t="str">
        <f aca="false">IF(AA40&lt;1,"a) &lt;1 min",IF(AA40&lt;10,"b) 1-10 min",IF(AA40&lt;60,"c) 10-60 min",IF(AA40&lt;240,"d) 1-4 h","e) 4 h+"))))</f>
        <v>b) 1-10 min</v>
      </c>
      <c r="AC40" s="29" t="str">
        <f aca="false">IF(P40&lt;10,"a) &lt;10",IF(P40&lt;20,"b) 10-20",IF(P40&lt;40,"c) 20-40",IF(P40&lt;80,"d) 40-80","e) 80+"))))</f>
        <v>b) 10-20</v>
      </c>
      <c r="AD40" s="31" t="n">
        <f aca="false">Summary!$C$5+SUM(X$2:X40)</f>
        <v>10229.9</v>
      </c>
      <c r="AE40" s="31" t="n">
        <f aca="false">MAX(AE39,AD40)</f>
        <v>10229.9</v>
      </c>
      <c r="AF40" s="31" t="n">
        <f aca="false">AE40-AD40</f>
        <v>0</v>
      </c>
      <c r="AG40" s="30" t="n">
        <f aca="false">IFERROR(AF40/AE40,0)</f>
        <v>0</v>
      </c>
    </row>
    <row r="41" customFormat="false" ht="15" hidden="false" customHeight="false" outlineLevel="0" collapsed="false">
      <c r="A41" s="29" t="n">
        <v>40</v>
      </c>
      <c r="B41" s="44" t="n">
        <v>44705.4020833333</v>
      </c>
      <c r="C41" s="44" t="n">
        <v>44705.4108680556</v>
      </c>
      <c r="D41" s="43" t="n">
        <f aca="false">INT(C41)</f>
        <v>44705</v>
      </c>
      <c r="E41" s="43" t="n">
        <f aca="false">D41-WEEKDAY(D41,3)</f>
        <v>44704</v>
      </c>
      <c r="F41" s="29" t="s">
        <v>145</v>
      </c>
      <c r="G41" s="29" t="n">
        <v>2022</v>
      </c>
      <c r="H41" s="29" t="s">
        <v>248</v>
      </c>
      <c r="I41" s="29" t="n">
        <v>9</v>
      </c>
      <c r="J41" s="29" t="s">
        <v>250</v>
      </c>
      <c r="K41" s="29" t="s">
        <v>251</v>
      </c>
      <c r="L41" s="29" t="n">
        <v>0.04</v>
      </c>
      <c r="M41" s="32" t="n">
        <v>11770.67</v>
      </c>
      <c r="N41" s="32" t="n">
        <v>11782.3</v>
      </c>
      <c r="O41" s="32" t="n">
        <v>11742.11</v>
      </c>
      <c r="P41" s="45" t="n">
        <f aca="false">ABS(M41-N41)</f>
        <v>11.6299999999992</v>
      </c>
      <c r="Q41" s="45" t="n">
        <f aca="false">IF(O41="","",ABS(O41-M41))</f>
        <v>28.5599999999995</v>
      </c>
      <c r="R41" s="31" t="n">
        <f aca="false">P41*L41*Summary!$C$6</f>
        <v>46.5199999999968</v>
      </c>
      <c r="S41" s="32" t="n">
        <v>11771.8</v>
      </c>
      <c r="T41" s="29" t="s">
        <v>255</v>
      </c>
      <c r="U41" s="45" t="n">
        <f aca="false">IF(J41="BUY",S41-M41,M41-S41)</f>
        <v>-1.1299999999992</v>
      </c>
      <c r="V41" s="46" t="n">
        <v>0</v>
      </c>
      <c r="W41" s="46" t="n">
        <v>0</v>
      </c>
      <c r="X41" s="46" t="n">
        <v>-4.52</v>
      </c>
      <c r="Y41" s="33" t="n">
        <f aca="false">IFERROR(X41/R41,0)</f>
        <v>-0.097162510748072</v>
      </c>
      <c r="Z41" s="29" t="str">
        <f aca="false">IF(X41&gt;0,"Win",IF(X41&lt;0,"Loss","Flat"))</f>
        <v>Loss</v>
      </c>
      <c r="AA41" s="29" t="n">
        <f aca="false">ROUND((C41-B41)*1440,1)</f>
        <v>12.7</v>
      </c>
      <c r="AB41" s="29" t="str">
        <f aca="false">IF(AA41&lt;1,"a) &lt;1 min",IF(AA41&lt;10,"b) 1-10 min",IF(AA41&lt;60,"c) 10-60 min",IF(AA41&lt;240,"d) 1-4 h","e) 4 h+"))))</f>
        <v>c) 10-60 min</v>
      </c>
      <c r="AC41" s="29" t="str">
        <f aca="false">IF(P41&lt;10,"a) &lt;10",IF(P41&lt;20,"b) 10-20",IF(P41&lt;40,"c) 20-40",IF(P41&lt;80,"d) 40-80","e) 80+"))))</f>
        <v>b) 10-20</v>
      </c>
      <c r="AD41" s="31" t="n">
        <f aca="false">Summary!$C$5+SUM(X$2:X41)</f>
        <v>10225.38</v>
      </c>
      <c r="AE41" s="31" t="n">
        <f aca="false">MAX(AE40,AD41)</f>
        <v>10229.9</v>
      </c>
      <c r="AF41" s="31" t="n">
        <f aca="false">AE41-AD41</f>
        <v>4.52000000000044</v>
      </c>
      <c r="AG41" s="30" t="n">
        <f aca="false">IFERROR(AF41/AE41,0)</f>
        <v>0.00044184205124199</v>
      </c>
    </row>
    <row r="42" customFormat="false" ht="15" hidden="false" customHeight="false" outlineLevel="0" collapsed="false">
      <c r="A42" s="29" t="n">
        <v>41</v>
      </c>
      <c r="B42" s="44" t="n">
        <v>44706.7326388889</v>
      </c>
      <c r="C42" s="44" t="n">
        <v>44706.7366550926</v>
      </c>
      <c r="D42" s="43" t="n">
        <f aca="false">INT(C42)</f>
        <v>44706</v>
      </c>
      <c r="E42" s="43" t="n">
        <f aca="false">D42-WEEKDAY(D42,3)</f>
        <v>44704</v>
      </c>
      <c r="F42" s="29" t="s">
        <v>145</v>
      </c>
      <c r="G42" s="29" t="n">
        <v>2022</v>
      </c>
      <c r="H42" s="29" t="s">
        <v>252</v>
      </c>
      <c r="I42" s="29" t="n">
        <v>17</v>
      </c>
      <c r="J42" s="29" t="s">
        <v>246</v>
      </c>
      <c r="K42" s="29" t="s">
        <v>247</v>
      </c>
      <c r="L42" s="29" t="n">
        <v>0.04</v>
      </c>
      <c r="M42" s="32" t="n">
        <v>11914.71</v>
      </c>
      <c r="N42" s="32" t="n">
        <v>11898.37</v>
      </c>
      <c r="O42" s="32" t="n">
        <v>11954.61</v>
      </c>
      <c r="P42" s="45" t="n">
        <f aca="false">ABS(M42-N42)</f>
        <v>16.3399999999983</v>
      </c>
      <c r="Q42" s="45" t="n">
        <f aca="false">IF(O42="","",ABS(O42-M42))</f>
        <v>39.9000000000015</v>
      </c>
      <c r="R42" s="31" t="n">
        <f aca="false">P42*L42*Summary!$C$6</f>
        <v>65.3599999999933</v>
      </c>
      <c r="S42" s="32" t="n">
        <v>11898.32</v>
      </c>
      <c r="T42" s="29" t="s">
        <v>249</v>
      </c>
      <c r="U42" s="45" t="n">
        <f aca="false">IF(J42="BUY",S42-M42,M42-S42)</f>
        <v>-16.3899999999994</v>
      </c>
      <c r="V42" s="46" t="n">
        <v>0</v>
      </c>
      <c r="W42" s="46" t="n">
        <v>0</v>
      </c>
      <c r="X42" s="46" t="n">
        <v>-65.56</v>
      </c>
      <c r="Y42" s="33" t="n">
        <f aca="false">IFERROR(X42/R42,0)</f>
        <v>-1.0030599755203</v>
      </c>
      <c r="Z42" s="29" t="str">
        <f aca="false">IF(X42&gt;0,"Win",IF(X42&lt;0,"Loss","Flat"))</f>
        <v>Loss</v>
      </c>
      <c r="AA42" s="29" t="n">
        <f aca="false">ROUND((C42-B42)*1440,1)</f>
        <v>5.8</v>
      </c>
      <c r="AB42" s="29" t="str">
        <f aca="false">IF(AA42&lt;1,"a) &lt;1 min",IF(AA42&lt;10,"b) 1-10 min",IF(AA42&lt;60,"c) 10-60 min",IF(AA42&lt;240,"d) 1-4 h","e) 4 h+"))))</f>
        <v>b) 1-10 min</v>
      </c>
      <c r="AC42" s="29" t="str">
        <f aca="false">IF(P42&lt;10,"a) &lt;10",IF(P42&lt;20,"b) 10-20",IF(P42&lt;40,"c) 20-40",IF(P42&lt;80,"d) 40-80","e) 80+"))))</f>
        <v>b) 10-20</v>
      </c>
      <c r="AD42" s="31" t="n">
        <f aca="false">Summary!$C$5+SUM(X$2:X42)</f>
        <v>10159.82</v>
      </c>
      <c r="AE42" s="31" t="n">
        <f aca="false">MAX(AE41,AD42)</f>
        <v>10229.9</v>
      </c>
      <c r="AF42" s="31" t="n">
        <f aca="false">AE42-AD42</f>
        <v>70.0799999999999</v>
      </c>
      <c r="AG42" s="30" t="n">
        <f aca="false">IFERROR(AF42/AE42,0)</f>
        <v>0.00685050684757426</v>
      </c>
    </row>
    <row r="43" customFormat="false" ht="15" hidden="false" customHeight="false" outlineLevel="0" collapsed="false">
      <c r="A43" s="29" t="n">
        <v>42</v>
      </c>
      <c r="B43" s="44" t="n">
        <v>44707.69375</v>
      </c>
      <c r="C43" s="44" t="n">
        <v>44707.7063425926</v>
      </c>
      <c r="D43" s="43" t="n">
        <f aca="false">INT(C43)</f>
        <v>44707</v>
      </c>
      <c r="E43" s="43" t="n">
        <f aca="false">D43-WEEKDAY(D43,3)</f>
        <v>44704</v>
      </c>
      <c r="F43" s="29" t="s">
        <v>145</v>
      </c>
      <c r="G43" s="29" t="n">
        <v>2022</v>
      </c>
      <c r="H43" s="29" t="s">
        <v>253</v>
      </c>
      <c r="I43" s="29" t="n">
        <v>16</v>
      </c>
      <c r="J43" s="29" t="s">
        <v>246</v>
      </c>
      <c r="K43" s="29" t="s">
        <v>247</v>
      </c>
      <c r="L43" s="29" t="n">
        <v>0.04</v>
      </c>
      <c r="M43" s="32" t="n">
        <v>12035.79</v>
      </c>
      <c r="N43" s="32" t="n">
        <v>12004.3</v>
      </c>
      <c r="O43" s="32" t="n">
        <v>12112.25</v>
      </c>
      <c r="P43" s="45" t="n">
        <f aca="false">ABS(M43-N43)</f>
        <v>31.4900000000016</v>
      </c>
      <c r="Q43" s="45" t="n">
        <f aca="false">IF(O43="","",ABS(O43-M43))</f>
        <v>76.4599999999991</v>
      </c>
      <c r="R43" s="31" t="n">
        <f aca="false">P43*L43*Summary!$C$6</f>
        <v>125.960000000006</v>
      </c>
      <c r="S43" s="32" t="n">
        <v>12113.03</v>
      </c>
      <c r="T43" s="29" t="s">
        <v>227</v>
      </c>
      <c r="U43" s="45" t="n">
        <f aca="false">IF(J43="BUY",S43-M43,M43-S43)</f>
        <v>77.2399999999998</v>
      </c>
      <c r="V43" s="46" t="n">
        <v>0</v>
      </c>
      <c r="W43" s="46" t="n">
        <v>0</v>
      </c>
      <c r="X43" s="46" t="n">
        <v>308.96</v>
      </c>
      <c r="Y43" s="33" t="n">
        <f aca="false">IFERROR(X43/R43,0)</f>
        <v>2.45284217211801</v>
      </c>
      <c r="Z43" s="29" t="str">
        <f aca="false">IF(X43&gt;0,"Win",IF(X43&lt;0,"Loss","Flat"))</f>
        <v>Win</v>
      </c>
      <c r="AA43" s="29" t="n">
        <f aca="false">ROUND((C43-B43)*1440,1)</f>
        <v>18.1</v>
      </c>
      <c r="AB43" s="29" t="str">
        <f aca="false">IF(AA43&lt;1,"a) &lt;1 min",IF(AA43&lt;10,"b) 1-10 min",IF(AA43&lt;60,"c) 10-60 min",IF(AA43&lt;240,"d) 1-4 h","e) 4 h+"))))</f>
        <v>c) 10-60 min</v>
      </c>
      <c r="AC43" s="29" t="str">
        <f aca="false">IF(P43&lt;10,"a) &lt;10",IF(P43&lt;20,"b) 10-20",IF(P43&lt;40,"c) 20-40",IF(P43&lt;80,"d) 40-80","e) 80+"))))</f>
        <v>c) 20-40</v>
      </c>
      <c r="AD43" s="31" t="n">
        <f aca="false">Summary!$C$5+SUM(X$2:X43)</f>
        <v>10468.78</v>
      </c>
      <c r="AE43" s="31" t="n">
        <f aca="false">MAX(AE42,AD43)</f>
        <v>10468.78</v>
      </c>
      <c r="AF43" s="31" t="n">
        <f aca="false">AE43-AD43</f>
        <v>0</v>
      </c>
      <c r="AG43" s="30" t="n">
        <f aca="false">IFERROR(AF43/AE43,0)</f>
        <v>0</v>
      </c>
    </row>
    <row r="44" customFormat="false" ht="15" hidden="false" customHeight="false" outlineLevel="0" collapsed="false">
      <c r="A44" s="29" t="n">
        <v>43</v>
      </c>
      <c r="B44" s="44" t="n">
        <v>44708.48125</v>
      </c>
      <c r="C44" s="44" t="n">
        <v>44708.4826967593</v>
      </c>
      <c r="D44" s="43" t="n">
        <f aca="false">INT(C44)</f>
        <v>44708</v>
      </c>
      <c r="E44" s="43" t="n">
        <f aca="false">D44-WEEKDAY(D44,3)</f>
        <v>44704</v>
      </c>
      <c r="F44" s="29" t="s">
        <v>145</v>
      </c>
      <c r="G44" s="29" t="n">
        <v>2022</v>
      </c>
      <c r="H44" s="29" t="s">
        <v>254</v>
      </c>
      <c r="I44" s="29" t="n">
        <v>11</v>
      </c>
      <c r="J44" s="29" t="s">
        <v>246</v>
      </c>
      <c r="K44" s="29" t="s">
        <v>247</v>
      </c>
      <c r="L44" s="29" t="n">
        <v>0.04</v>
      </c>
      <c r="M44" s="32" t="n">
        <v>12340.95</v>
      </c>
      <c r="N44" s="32" t="n">
        <v>12331.57</v>
      </c>
      <c r="O44" s="32" t="n">
        <v>12363.89</v>
      </c>
      <c r="P44" s="45" t="n">
        <f aca="false">ABS(M44-N44)</f>
        <v>9.38000000000102</v>
      </c>
      <c r="Q44" s="45" t="n">
        <f aca="false">IF(O44="","",ABS(O44-M44))</f>
        <v>22.9399999999987</v>
      </c>
      <c r="R44" s="31" t="n">
        <f aca="false">P44*L44*Summary!$C$6</f>
        <v>37.5200000000041</v>
      </c>
      <c r="S44" s="32" t="n">
        <v>12331.5</v>
      </c>
      <c r="T44" s="29" t="s">
        <v>249</v>
      </c>
      <c r="U44" s="45" t="n">
        <f aca="false">IF(J44="BUY",S44-M44,M44-S44)</f>
        <v>-9.45000000000073</v>
      </c>
      <c r="V44" s="46" t="n">
        <v>0</v>
      </c>
      <c r="W44" s="46" t="n">
        <v>0</v>
      </c>
      <c r="X44" s="46" t="n">
        <v>-37.8</v>
      </c>
      <c r="Y44" s="33" t="n">
        <f aca="false">IFERROR(X44/R44,0)</f>
        <v>-1.00746268656705</v>
      </c>
      <c r="Z44" s="29" t="str">
        <f aca="false">IF(X44&gt;0,"Win",IF(X44&lt;0,"Loss","Flat"))</f>
        <v>Loss</v>
      </c>
      <c r="AA44" s="29" t="n">
        <f aca="false">ROUND((C44-B44)*1440,1)</f>
        <v>2.1</v>
      </c>
      <c r="AB44" s="29" t="str">
        <f aca="false">IF(AA44&lt;1,"a) &lt;1 min",IF(AA44&lt;10,"b) 1-10 min",IF(AA44&lt;60,"c) 10-60 min",IF(AA44&lt;240,"d) 1-4 h","e) 4 h+"))))</f>
        <v>b) 1-10 min</v>
      </c>
      <c r="AC44" s="29" t="str">
        <f aca="false">IF(P44&lt;10,"a) &lt;10",IF(P44&lt;20,"b) 10-20",IF(P44&lt;40,"c) 20-40",IF(P44&lt;80,"d) 40-80","e) 80+"))))</f>
        <v>a) &lt;10</v>
      </c>
      <c r="AD44" s="31" t="n">
        <f aca="false">Summary!$C$5+SUM(X$2:X44)</f>
        <v>10430.98</v>
      </c>
      <c r="AE44" s="31" t="n">
        <f aca="false">MAX(AE43,AD44)</f>
        <v>10468.78</v>
      </c>
      <c r="AF44" s="31" t="n">
        <f aca="false">AE44-AD44</f>
        <v>37.8000000000011</v>
      </c>
      <c r="AG44" s="30" t="n">
        <f aca="false">IFERROR(AF44/AE44,0)</f>
        <v>0.00361073592147328</v>
      </c>
    </row>
    <row r="45" customFormat="false" ht="15" hidden="false" customHeight="false" outlineLevel="0" collapsed="false">
      <c r="A45" s="29" t="n">
        <v>44</v>
      </c>
      <c r="B45" s="44" t="n">
        <v>44711.0423611111</v>
      </c>
      <c r="C45" s="44" t="n">
        <v>44711.0434259259</v>
      </c>
      <c r="D45" s="43" t="n">
        <f aca="false">INT(C45)</f>
        <v>44711</v>
      </c>
      <c r="E45" s="43" t="n">
        <f aca="false">D45-WEEKDAY(D45,3)</f>
        <v>44711</v>
      </c>
      <c r="F45" s="29" t="s">
        <v>145</v>
      </c>
      <c r="G45" s="29" t="n">
        <v>2022</v>
      </c>
      <c r="H45" s="29" t="s">
        <v>245</v>
      </c>
      <c r="I45" s="29" t="n">
        <v>1</v>
      </c>
      <c r="J45" s="29" t="s">
        <v>246</v>
      </c>
      <c r="K45" s="29" t="s">
        <v>247</v>
      </c>
      <c r="L45" s="29" t="n">
        <v>0.04</v>
      </c>
      <c r="M45" s="32" t="n">
        <v>12709.05</v>
      </c>
      <c r="N45" s="32" t="n">
        <v>12700.83</v>
      </c>
      <c r="O45" s="32" t="n">
        <v>12729.19</v>
      </c>
      <c r="P45" s="45" t="n">
        <f aca="false">ABS(M45-N45)</f>
        <v>8.21999999999935</v>
      </c>
      <c r="Q45" s="45" t="n">
        <f aca="false">IF(O45="","",ABS(O45-M45))</f>
        <v>20.1400000000012</v>
      </c>
      <c r="R45" s="31" t="n">
        <f aca="false">P45*L45*Summary!$C$6</f>
        <v>32.8799999999974</v>
      </c>
      <c r="S45" s="32" t="n">
        <v>12699.9</v>
      </c>
      <c r="T45" s="29" t="s">
        <v>249</v>
      </c>
      <c r="U45" s="45" t="n">
        <f aca="false">IF(J45="BUY",S45-M45,M45-S45)</f>
        <v>-9.14999999999964</v>
      </c>
      <c r="V45" s="46" t="n">
        <v>0</v>
      </c>
      <c r="W45" s="46" t="n">
        <v>0</v>
      </c>
      <c r="X45" s="46" t="n">
        <v>-36.6</v>
      </c>
      <c r="Y45" s="33" t="n">
        <f aca="false">IFERROR(X45/R45,0)</f>
        <v>-1.11313868613148</v>
      </c>
      <c r="Z45" s="29" t="str">
        <f aca="false">IF(X45&gt;0,"Win",IF(X45&lt;0,"Loss","Flat"))</f>
        <v>Loss</v>
      </c>
      <c r="AA45" s="29" t="n">
        <f aca="false">ROUND((C45-B45)*1440,1)</f>
        <v>1.5</v>
      </c>
      <c r="AB45" s="29" t="str">
        <f aca="false">IF(AA45&lt;1,"a) &lt;1 min",IF(AA45&lt;10,"b) 1-10 min",IF(AA45&lt;60,"c) 10-60 min",IF(AA45&lt;240,"d) 1-4 h","e) 4 h+"))))</f>
        <v>b) 1-10 min</v>
      </c>
      <c r="AC45" s="29" t="str">
        <f aca="false">IF(P45&lt;10,"a) &lt;10",IF(P45&lt;20,"b) 10-20",IF(P45&lt;40,"c) 20-40",IF(P45&lt;80,"d) 40-80","e) 80+"))))</f>
        <v>a) &lt;10</v>
      </c>
      <c r="AD45" s="31" t="n">
        <f aca="false">Summary!$C$5+SUM(X$2:X45)</f>
        <v>10394.38</v>
      </c>
      <c r="AE45" s="31" t="n">
        <f aca="false">MAX(AE44,AD45)</f>
        <v>10468.78</v>
      </c>
      <c r="AF45" s="31" t="n">
        <f aca="false">AE45-AD45</f>
        <v>74.4000000000015</v>
      </c>
      <c r="AG45" s="30" t="n">
        <f aca="false">IFERROR(AF45/AE45,0)</f>
        <v>0.00710684530575687</v>
      </c>
    </row>
    <row r="46" customFormat="false" ht="15" hidden="false" customHeight="false" outlineLevel="0" collapsed="false">
      <c r="A46" s="29" t="n">
        <v>45</v>
      </c>
      <c r="B46" s="44" t="n">
        <v>44712.4215277778</v>
      </c>
      <c r="C46" s="44" t="n">
        <v>44712.4224074074</v>
      </c>
      <c r="D46" s="43" t="n">
        <f aca="false">INT(C46)</f>
        <v>44712</v>
      </c>
      <c r="E46" s="43" t="n">
        <f aca="false">D46-WEEKDAY(D46,3)</f>
        <v>44711</v>
      </c>
      <c r="F46" s="29" t="s">
        <v>145</v>
      </c>
      <c r="G46" s="29" t="n">
        <v>2022</v>
      </c>
      <c r="H46" s="29" t="s">
        <v>248</v>
      </c>
      <c r="I46" s="29" t="n">
        <v>10</v>
      </c>
      <c r="J46" s="29" t="s">
        <v>250</v>
      </c>
      <c r="K46" s="29" t="s">
        <v>251</v>
      </c>
      <c r="L46" s="29" t="n">
        <v>0.04</v>
      </c>
      <c r="M46" s="32" t="n">
        <v>12662.23</v>
      </c>
      <c r="N46" s="32" t="n">
        <v>12676.67</v>
      </c>
      <c r="O46" s="32" t="n">
        <v>12626.79</v>
      </c>
      <c r="P46" s="45" t="n">
        <f aca="false">ABS(M46-N46)</f>
        <v>14.4400000000005</v>
      </c>
      <c r="Q46" s="45" t="n">
        <f aca="false">IF(O46="","",ABS(O46-M46))</f>
        <v>35.4399999999987</v>
      </c>
      <c r="R46" s="31" t="n">
        <f aca="false">P46*L46*Summary!$C$6</f>
        <v>57.760000000002</v>
      </c>
      <c r="S46" s="32" t="n">
        <v>12677.91</v>
      </c>
      <c r="T46" s="29" t="s">
        <v>249</v>
      </c>
      <c r="U46" s="45" t="n">
        <f aca="false">IF(J46="BUY",S46-M46,M46-S46)</f>
        <v>-15.6800000000003</v>
      </c>
      <c r="V46" s="46" t="n">
        <v>0</v>
      </c>
      <c r="W46" s="46" t="n">
        <v>0</v>
      </c>
      <c r="X46" s="46" t="n">
        <v>-62.72</v>
      </c>
      <c r="Y46" s="33" t="n">
        <f aca="false">IFERROR(X46/R46,0)</f>
        <v>-1.08587257617725</v>
      </c>
      <c r="Z46" s="29" t="str">
        <f aca="false">IF(X46&gt;0,"Win",IF(X46&lt;0,"Loss","Flat"))</f>
        <v>Loss</v>
      </c>
      <c r="AA46" s="29" t="n">
        <f aca="false">ROUND((C46-B46)*1440,1)</f>
        <v>1.3</v>
      </c>
      <c r="AB46" s="29" t="str">
        <f aca="false">IF(AA46&lt;1,"a) &lt;1 min",IF(AA46&lt;10,"b) 1-10 min",IF(AA46&lt;60,"c) 10-60 min",IF(AA46&lt;240,"d) 1-4 h","e) 4 h+"))))</f>
        <v>b) 1-10 min</v>
      </c>
      <c r="AC46" s="29" t="str">
        <f aca="false">IF(P46&lt;10,"a) &lt;10",IF(P46&lt;20,"b) 10-20",IF(P46&lt;40,"c) 20-40",IF(P46&lt;80,"d) 40-80","e) 80+"))))</f>
        <v>b) 10-20</v>
      </c>
      <c r="AD46" s="31" t="n">
        <f aca="false">Summary!$C$5+SUM(X$2:X46)</f>
        <v>10331.66</v>
      </c>
      <c r="AE46" s="31" t="n">
        <f aca="false">MAX(AE45,AD46)</f>
        <v>10468.78</v>
      </c>
      <c r="AF46" s="31" t="n">
        <f aca="false">AE46-AD46</f>
        <v>137.120000000001</v>
      </c>
      <c r="AG46" s="30" t="n">
        <f aca="false">IFERROR(AF46/AE46,0)</f>
        <v>0.0130979923162012</v>
      </c>
    </row>
    <row r="47" customFormat="false" ht="15" hidden="false" customHeight="false" outlineLevel="0" collapsed="false">
      <c r="A47" s="29" t="n">
        <v>46</v>
      </c>
      <c r="B47" s="44" t="n">
        <v>44713.7944444444</v>
      </c>
      <c r="C47" s="44" t="n">
        <v>44713.7957638889</v>
      </c>
      <c r="D47" s="43" t="n">
        <f aca="false">INT(C47)</f>
        <v>44713</v>
      </c>
      <c r="E47" s="43" t="n">
        <f aca="false">D47-WEEKDAY(D47,3)</f>
        <v>44711</v>
      </c>
      <c r="F47" s="29" t="s">
        <v>146</v>
      </c>
      <c r="G47" s="29" t="n">
        <v>2022</v>
      </c>
      <c r="H47" s="29" t="s">
        <v>252</v>
      </c>
      <c r="I47" s="29" t="n">
        <v>19</v>
      </c>
      <c r="J47" s="29" t="s">
        <v>250</v>
      </c>
      <c r="K47" s="29" t="s">
        <v>251</v>
      </c>
      <c r="L47" s="29" t="n">
        <v>0.04</v>
      </c>
      <c r="M47" s="32" t="n">
        <v>12475.81</v>
      </c>
      <c r="N47" s="32" t="n">
        <v>12491.39</v>
      </c>
      <c r="O47" s="32" t="n">
        <v>12438.03</v>
      </c>
      <c r="P47" s="45" t="n">
        <f aca="false">ABS(M47-N47)</f>
        <v>15.5799999999999</v>
      </c>
      <c r="Q47" s="45" t="n">
        <f aca="false">IF(O47="","",ABS(O47-M47))</f>
        <v>37.7799999999988</v>
      </c>
      <c r="R47" s="31" t="n">
        <f aca="false">P47*L47*Summary!$C$6</f>
        <v>62.3199999999997</v>
      </c>
      <c r="S47" s="32" t="n">
        <v>12491.54</v>
      </c>
      <c r="T47" s="29" t="s">
        <v>249</v>
      </c>
      <c r="U47" s="45" t="n">
        <f aca="false">IF(J47="BUY",S47-M47,M47-S47)</f>
        <v>-15.7300000000014</v>
      </c>
      <c r="V47" s="46" t="n">
        <v>0</v>
      </c>
      <c r="W47" s="46" t="n">
        <v>0</v>
      </c>
      <c r="X47" s="46" t="n">
        <v>-62.92</v>
      </c>
      <c r="Y47" s="33" t="n">
        <f aca="false">IFERROR(X47/R47,0)</f>
        <v>-1.00962772785623</v>
      </c>
      <c r="Z47" s="29" t="str">
        <f aca="false">IF(X47&gt;0,"Win",IF(X47&lt;0,"Loss","Flat"))</f>
        <v>Loss</v>
      </c>
      <c r="AA47" s="29" t="n">
        <f aca="false">ROUND((C47-B47)*1440,1)</f>
        <v>1.9</v>
      </c>
      <c r="AB47" s="29" t="str">
        <f aca="false">IF(AA47&lt;1,"a) &lt;1 min",IF(AA47&lt;10,"b) 1-10 min",IF(AA47&lt;60,"c) 10-60 min",IF(AA47&lt;240,"d) 1-4 h","e) 4 h+"))))</f>
        <v>b) 1-10 min</v>
      </c>
      <c r="AC47" s="29" t="str">
        <f aca="false">IF(P47&lt;10,"a) &lt;10",IF(P47&lt;20,"b) 10-20",IF(P47&lt;40,"c) 20-40",IF(P47&lt;80,"d) 40-80","e) 80+"))))</f>
        <v>b) 10-20</v>
      </c>
      <c r="AD47" s="31" t="n">
        <f aca="false">Summary!$C$5+SUM(X$2:X47)</f>
        <v>10268.74</v>
      </c>
      <c r="AE47" s="31" t="n">
        <f aca="false">MAX(AE46,AD47)</f>
        <v>10468.78</v>
      </c>
      <c r="AF47" s="31" t="n">
        <f aca="false">AE47-AD47</f>
        <v>200.040000000001</v>
      </c>
      <c r="AG47" s="30" t="n">
        <f aca="false">IFERROR(AF47/AE47,0)</f>
        <v>0.0191082437495105</v>
      </c>
    </row>
    <row r="48" customFormat="false" ht="15" hidden="false" customHeight="false" outlineLevel="0" collapsed="false">
      <c r="A48" s="29" t="n">
        <v>47</v>
      </c>
      <c r="B48" s="44" t="n">
        <v>44714.6888888889</v>
      </c>
      <c r="C48" s="44" t="n">
        <v>44714.689537037</v>
      </c>
      <c r="D48" s="43" t="n">
        <f aca="false">INT(C48)</f>
        <v>44714</v>
      </c>
      <c r="E48" s="43" t="n">
        <f aca="false">D48-WEEKDAY(D48,3)</f>
        <v>44711</v>
      </c>
      <c r="F48" s="29" t="s">
        <v>146</v>
      </c>
      <c r="G48" s="29" t="n">
        <v>2022</v>
      </c>
      <c r="H48" s="29" t="s">
        <v>253</v>
      </c>
      <c r="I48" s="29" t="n">
        <v>16</v>
      </c>
      <c r="J48" s="29" t="s">
        <v>250</v>
      </c>
      <c r="K48" s="29" t="s">
        <v>251</v>
      </c>
      <c r="L48" s="29" t="n">
        <v>0.04</v>
      </c>
      <c r="M48" s="32" t="n">
        <v>12451.64</v>
      </c>
      <c r="N48" s="32" t="n">
        <v>12479.09</v>
      </c>
      <c r="O48" s="32" t="n">
        <v>12386.38</v>
      </c>
      <c r="P48" s="45" t="n">
        <f aca="false">ABS(M48-N48)</f>
        <v>27.4500000000007</v>
      </c>
      <c r="Q48" s="45" t="n">
        <f aca="false">IF(O48="","",ABS(O48-M48))</f>
        <v>65.2600000000002</v>
      </c>
      <c r="R48" s="31" t="n">
        <f aca="false">P48*L48*Summary!$C$6</f>
        <v>109.800000000003</v>
      </c>
      <c r="S48" s="32" t="n">
        <v>12479.16</v>
      </c>
      <c r="T48" s="29" t="s">
        <v>249</v>
      </c>
      <c r="U48" s="45" t="n">
        <f aca="false">IF(J48="BUY",S48-M48,M48-S48)</f>
        <v>-27.5200000000004</v>
      </c>
      <c r="V48" s="46" t="n">
        <v>0</v>
      </c>
      <c r="W48" s="46" t="n">
        <v>0</v>
      </c>
      <c r="X48" s="46" t="n">
        <v>-110.08</v>
      </c>
      <c r="Y48" s="33" t="n">
        <f aca="false">IFERROR(X48/R48,0)</f>
        <v>-1.00255009107465</v>
      </c>
      <c r="Z48" s="29" t="str">
        <f aca="false">IF(X48&gt;0,"Win",IF(X48&lt;0,"Loss","Flat"))</f>
        <v>Loss</v>
      </c>
      <c r="AA48" s="29" t="n">
        <f aca="false">ROUND((C48-B48)*1440,1)</f>
        <v>0.9</v>
      </c>
      <c r="AB48" s="29" t="str">
        <f aca="false">IF(AA48&lt;1,"a) &lt;1 min",IF(AA48&lt;10,"b) 1-10 min",IF(AA48&lt;60,"c) 10-60 min",IF(AA48&lt;240,"d) 1-4 h","e) 4 h+"))))</f>
        <v>a) &lt;1 min</v>
      </c>
      <c r="AC48" s="29" t="str">
        <f aca="false">IF(P48&lt;10,"a) &lt;10",IF(P48&lt;20,"b) 10-20",IF(P48&lt;40,"c) 20-40",IF(P48&lt;80,"d) 40-80","e) 80+"))))</f>
        <v>c) 20-40</v>
      </c>
      <c r="AD48" s="31" t="n">
        <f aca="false">Summary!$C$5+SUM(X$2:X48)</f>
        <v>10158.66</v>
      </c>
      <c r="AE48" s="31" t="n">
        <f aca="false">MAX(AE47,AD48)</f>
        <v>10468.78</v>
      </c>
      <c r="AF48" s="31" t="n">
        <f aca="false">AE48-AD48</f>
        <v>310.120000000001</v>
      </c>
      <c r="AG48" s="30" t="n">
        <f aca="false">IFERROR(AF48/AE48,0)</f>
        <v>0.0296233180943721</v>
      </c>
    </row>
    <row r="49" customFormat="false" ht="15" hidden="false" customHeight="false" outlineLevel="0" collapsed="false">
      <c r="A49" s="29" t="n">
        <v>48</v>
      </c>
      <c r="B49" s="44" t="n">
        <v>44714.8645833333</v>
      </c>
      <c r="C49" s="44" t="n">
        <v>44714.8718287037</v>
      </c>
      <c r="D49" s="43" t="n">
        <f aca="false">INT(C49)</f>
        <v>44714</v>
      </c>
      <c r="E49" s="43" t="n">
        <f aca="false">D49-WEEKDAY(D49,3)</f>
        <v>44711</v>
      </c>
      <c r="F49" s="29" t="s">
        <v>146</v>
      </c>
      <c r="G49" s="29" t="n">
        <v>2022</v>
      </c>
      <c r="H49" s="29" t="s">
        <v>253</v>
      </c>
      <c r="I49" s="29" t="n">
        <v>20</v>
      </c>
      <c r="J49" s="29" t="s">
        <v>246</v>
      </c>
      <c r="K49" s="29" t="s">
        <v>247</v>
      </c>
      <c r="L49" s="29" t="n">
        <v>0.03</v>
      </c>
      <c r="M49" s="32" t="n">
        <v>12824.74</v>
      </c>
      <c r="N49" s="32" t="n">
        <v>12814.73</v>
      </c>
      <c r="O49" s="32" t="n">
        <v>12849.3</v>
      </c>
      <c r="P49" s="45" t="n">
        <f aca="false">ABS(M49-N49)</f>
        <v>10.0100000000002</v>
      </c>
      <c r="Q49" s="45" t="n">
        <f aca="false">IF(O49="","",ABS(O49-M49))</f>
        <v>24.5599999999995</v>
      </c>
      <c r="R49" s="31" t="n">
        <f aca="false">P49*L49*Summary!$C$6</f>
        <v>30.0300000000007</v>
      </c>
      <c r="S49" s="32" t="n">
        <v>12813.64</v>
      </c>
      <c r="T49" s="29" t="s">
        <v>249</v>
      </c>
      <c r="U49" s="45" t="n">
        <f aca="false">IF(J49="BUY",S49-M49,M49-S49)</f>
        <v>-11.1000000000004</v>
      </c>
      <c r="V49" s="46" t="n">
        <v>0</v>
      </c>
      <c r="W49" s="46" t="n">
        <v>0</v>
      </c>
      <c r="X49" s="46" t="n">
        <v>-33.3</v>
      </c>
      <c r="Y49" s="33" t="n">
        <f aca="false">IFERROR(X49/R49,0)</f>
        <v>-1.10889110889108</v>
      </c>
      <c r="Z49" s="29" t="str">
        <f aca="false">IF(X49&gt;0,"Win",IF(X49&lt;0,"Loss","Flat"))</f>
        <v>Loss</v>
      </c>
      <c r="AA49" s="29" t="n">
        <f aca="false">ROUND((C49-B49)*1440,1)</f>
        <v>10.4</v>
      </c>
      <c r="AB49" s="29" t="str">
        <f aca="false">IF(AA49&lt;1,"a) &lt;1 min",IF(AA49&lt;10,"b) 1-10 min",IF(AA49&lt;60,"c) 10-60 min",IF(AA49&lt;240,"d) 1-4 h","e) 4 h+"))))</f>
        <v>c) 10-60 min</v>
      </c>
      <c r="AC49" s="29" t="str">
        <f aca="false">IF(P49&lt;10,"a) &lt;10",IF(P49&lt;20,"b) 10-20",IF(P49&lt;40,"c) 20-40",IF(P49&lt;80,"d) 40-80","e) 80+"))))</f>
        <v>b) 10-20</v>
      </c>
      <c r="AD49" s="31" t="n">
        <f aca="false">Summary!$C$5+SUM(X$2:X49)</f>
        <v>10125.36</v>
      </c>
      <c r="AE49" s="31" t="n">
        <f aca="false">MAX(AE48,AD49)</f>
        <v>10468.78</v>
      </c>
      <c r="AF49" s="31" t="n">
        <f aca="false">AE49-AD49</f>
        <v>343.42</v>
      </c>
      <c r="AG49" s="30" t="n">
        <f aca="false">IFERROR(AF49/AE49,0)</f>
        <v>0.0328042045013841</v>
      </c>
    </row>
    <row r="50" customFormat="false" ht="15" hidden="false" customHeight="false" outlineLevel="0" collapsed="false">
      <c r="A50" s="29" t="n">
        <v>49</v>
      </c>
      <c r="B50" s="44" t="n">
        <v>44715.0423611111</v>
      </c>
      <c r="C50" s="44" t="n">
        <v>44715.0465625</v>
      </c>
      <c r="D50" s="43" t="n">
        <f aca="false">INT(C50)</f>
        <v>44715</v>
      </c>
      <c r="E50" s="43" t="n">
        <f aca="false">D50-WEEKDAY(D50,3)</f>
        <v>44711</v>
      </c>
      <c r="F50" s="29" t="s">
        <v>146</v>
      </c>
      <c r="G50" s="29" t="n">
        <v>2022</v>
      </c>
      <c r="H50" s="29" t="s">
        <v>254</v>
      </c>
      <c r="I50" s="29" t="n">
        <v>1</v>
      </c>
      <c r="J50" s="29" t="s">
        <v>246</v>
      </c>
      <c r="K50" s="29" t="s">
        <v>247</v>
      </c>
      <c r="L50" s="29" t="n">
        <v>0.03</v>
      </c>
      <c r="M50" s="32" t="n">
        <v>12900.4</v>
      </c>
      <c r="N50" s="32" t="n">
        <v>12889.8</v>
      </c>
      <c r="O50" s="32" t="n">
        <v>12922.31</v>
      </c>
      <c r="P50" s="45" t="n">
        <f aca="false">ABS(M50-N50)</f>
        <v>10.6000000000004</v>
      </c>
      <c r="Q50" s="45" t="n">
        <f aca="false">IF(O50="","",ABS(O50-M50))</f>
        <v>21.9099999999999</v>
      </c>
      <c r="R50" s="31" t="n">
        <f aca="false">P50*L50*Summary!$C$6</f>
        <v>31.8000000000011</v>
      </c>
      <c r="S50" s="32" t="n">
        <v>12922.56</v>
      </c>
      <c r="T50" s="29" t="s">
        <v>227</v>
      </c>
      <c r="U50" s="45" t="n">
        <f aca="false">IF(J50="BUY",S50-M50,M50-S50)</f>
        <v>22.1599999999999</v>
      </c>
      <c r="V50" s="46" t="n">
        <v>0</v>
      </c>
      <c r="W50" s="46" t="n">
        <v>0</v>
      </c>
      <c r="X50" s="46" t="n">
        <v>66.48</v>
      </c>
      <c r="Y50" s="33" t="n">
        <f aca="false">IFERROR(X50/R50,0)</f>
        <v>2.09056603773578</v>
      </c>
      <c r="Z50" s="29" t="str">
        <f aca="false">IF(X50&gt;0,"Win",IF(X50&lt;0,"Loss","Flat"))</f>
        <v>Win</v>
      </c>
      <c r="AA50" s="29" t="n">
        <f aca="false">ROUND((C50-B50)*1440,1)</f>
        <v>6.1</v>
      </c>
      <c r="AB50" s="29" t="str">
        <f aca="false">IF(AA50&lt;1,"a) &lt;1 min",IF(AA50&lt;10,"b) 1-10 min",IF(AA50&lt;60,"c) 10-60 min",IF(AA50&lt;240,"d) 1-4 h","e) 4 h+"))))</f>
        <v>b) 1-10 min</v>
      </c>
      <c r="AC50" s="29" t="str">
        <f aca="false">IF(P50&lt;10,"a) &lt;10",IF(P50&lt;20,"b) 10-20",IF(P50&lt;40,"c) 20-40",IF(P50&lt;80,"d) 40-80","e) 80+"))))</f>
        <v>b) 10-20</v>
      </c>
      <c r="AD50" s="31" t="n">
        <f aca="false">Summary!$C$5+SUM(X$2:X50)</f>
        <v>10191.84</v>
      </c>
      <c r="AE50" s="31" t="n">
        <f aca="false">MAX(AE49,AD50)</f>
        <v>10468.78</v>
      </c>
      <c r="AF50" s="31" t="n">
        <f aca="false">AE50-AD50</f>
        <v>276.940000000001</v>
      </c>
      <c r="AG50" s="30" t="n">
        <f aca="false">IFERROR(AF50/AE50,0)</f>
        <v>0.026453894341079</v>
      </c>
    </row>
    <row r="51" customFormat="false" ht="15" hidden="false" customHeight="false" outlineLevel="0" collapsed="false">
      <c r="A51" s="29" t="n">
        <v>50</v>
      </c>
      <c r="B51" s="44" t="n">
        <v>44719.1854166667</v>
      </c>
      <c r="C51" s="44" t="n">
        <v>44719.1927662037</v>
      </c>
      <c r="D51" s="43" t="n">
        <f aca="false">INT(C51)</f>
        <v>44719</v>
      </c>
      <c r="E51" s="43" t="n">
        <f aca="false">D51-WEEKDAY(D51,3)</f>
        <v>44718</v>
      </c>
      <c r="F51" s="29" t="s">
        <v>146</v>
      </c>
      <c r="G51" s="29" t="n">
        <v>2022</v>
      </c>
      <c r="H51" s="29" t="s">
        <v>248</v>
      </c>
      <c r="I51" s="29" t="n">
        <v>4</v>
      </c>
      <c r="J51" s="29" t="s">
        <v>250</v>
      </c>
      <c r="K51" s="29" t="s">
        <v>251</v>
      </c>
      <c r="L51" s="29" t="n">
        <v>0.04</v>
      </c>
      <c r="M51" s="32" t="n">
        <v>12499.13</v>
      </c>
      <c r="N51" s="32" t="n">
        <v>12516.21</v>
      </c>
      <c r="O51" s="32" t="n">
        <v>12462.95</v>
      </c>
      <c r="P51" s="45" t="n">
        <f aca="false">ABS(M51-N51)</f>
        <v>17.0799999999999</v>
      </c>
      <c r="Q51" s="45" t="n">
        <f aca="false">IF(O51="","",ABS(O51-M51))</f>
        <v>36.1799999999985</v>
      </c>
      <c r="R51" s="31" t="n">
        <f aca="false">P51*L51*Summary!$C$6</f>
        <v>68.3199999999997</v>
      </c>
      <c r="S51" s="32" t="n">
        <v>12516.74</v>
      </c>
      <c r="T51" s="29" t="s">
        <v>249</v>
      </c>
      <c r="U51" s="45" t="n">
        <f aca="false">IF(J51="BUY",S51-M51,M51-S51)</f>
        <v>-17.6100000000006</v>
      </c>
      <c r="V51" s="46" t="n">
        <v>0</v>
      </c>
      <c r="W51" s="46" t="n">
        <v>0</v>
      </c>
      <c r="X51" s="46" t="n">
        <v>-70.44</v>
      </c>
      <c r="Y51" s="33" t="n">
        <f aca="false">IFERROR(X51/R51,0)</f>
        <v>-1.03103044496488</v>
      </c>
      <c r="Z51" s="29" t="str">
        <f aca="false">IF(X51&gt;0,"Win",IF(X51&lt;0,"Loss","Flat"))</f>
        <v>Loss</v>
      </c>
      <c r="AA51" s="29" t="n">
        <f aca="false">ROUND((C51-B51)*1440,1)</f>
        <v>10.6</v>
      </c>
      <c r="AB51" s="29" t="str">
        <f aca="false">IF(AA51&lt;1,"a) &lt;1 min",IF(AA51&lt;10,"b) 1-10 min",IF(AA51&lt;60,"c) 10-60 min",IF(AA51&lt;240,"d) 1-4 h","e) 4 h+"))))</f>
        <v>c) 10-60 min</v>
      </c>
      <c r="AC51" s="29" t="str">
        <f aca="false">IF(P51&lt;10,"a) &lt;10",IF(P51&lt;20,"b) 10-20",IF(P51&lt;40,"c) 20-40",IF(P51&lt;80,"d) 40-80","e) 80+"))))</f>
        <v>b) 10-20</v>
      </c>
      <c r="AD51" s="31" t="n">
        <f aca="false">Summary!$C$5+SUM(X$2:X51)</f>
        <v>10121.4</v>
      </c>
      <c r="AE51" s="31" t="n">
        <f aca="false">MAX(AE50,AD51)</f>
        <v>10468.78</v>
      </c>
      <c r="AF51" s="31" t="n">
        <f aca="false">AE51-AD51</f>
        <v>347.380000000001</v>
      </c>
      <c r="AG51" s="30" t="n">
        <f aca="false">IFERROR(AF51/AE51,0)</f>
        <v>0.03318247207411</v>
      </c>
    </row>
    <row r="52" customFormat="false" ht="15" hidden="false" customHeight="false" outlineLevel="0" collapsed="false">
      <c r="A52" s="29" t="n">
        <v>51</v>
      </c>
      <c r="B52" s="44" t="n">
        <v>44720.7013888889</v>
      </c>
      <c r="C52" s="44" t="n">
        <v>44720.7081712963</v>
      </c>
      <c r="D52" s="43" t="n">
        <f aca="false">INT(C52)</f>
        <v>44720</v>
      </c>
      <c r="E52" s="43" t="n">
        <f aca="false">D52-WEEKDAY(D52,3)</f>
        <v>44718</v>
      </c>
      <c r="F52" s="29" t="s">
        <v>146</v>
      </c>
      <c r="G52" s="29" t="n">
        <v>2022</v>
      </c>
      <c r="H52" s="29" t="s">
        <v>252</v>
      </c>
      <c r="I52" s="29" t="n">
        <v>16</v>
      </c>
      <c r="J52" s="29" t="s">
        <v>246</v>
      </c>
      <c r="K52" s="29" t="s">
        <v>247</v>
      </c>
      <c r="L52" s="29" t="n">
        <v>0.03</v>
      </c>
      <c r="M52" s="32" t="n">
        <v>12751.33</v>
      </c>
      <c r="N52" s="32" t="n">
        <v>12726.51</v>
      </c>
      <c r="O52" s="32" t="n">
        <v>12812.46</v>
      </c>
      <c r="P52" s="45" t="n">
        <f aca="false">ABS(M52-N52)</f>
        <v>24.8199999999997</v>
      </c>
      <c r="Q52" s="45" t="n">
        <f aca="false">IF(O52="","",ABS(O52-M52))</f>
        <v>61.1299999999992</v>
      </c>
      <c r="R52" s="31" t="n">
        <f aca="false">P52*L52*Summary!$C$6</f>
        <v>74.4599999999991</v>
      </c>
      <c r="S52" s="32" t="n">
        <v>12751.3</v>
      </c>
      <c r="T52" s="29" t="s">
        <v>255</v>
      </c>
      <c r="U52" s="45" t="n">
        <f aca="false">IF(J52="BUY",S52-M52,M52-S52)</f>
        <v>-0.0300000000006548</v>
      </c>
      <c r="V52" s="46" t="n">
        <v>0</v>
      </c>
      <c r="W52" s="46" t="n">
        <v>0</v>
      </c>
      <c r="X52" s="46" t="n">
        <v>-0.09</v>
      </c>
      <c r="Y52" s="33" t="n">
        <f aca="false">IFERROR(X52/R52,0)</f>
        <v>-0.00120870265914586</v>
      </c>
      <c r="Z52" s="29" t="str">
        <f aca="false">IF(X52&gt;0,"Win",IF(X52&lt;0,"Loss","Flat"))</f>
        <v>Loss</v>
      </c>
      <c r="AA52" s="29" t="n">
        <f aca="false">ROUND((C52-B52)*1440,1)</f>
        <v>9.8</v>
      </c>
      <c r="AB52" s="29" t="str">
        <f aca="false">IF(AA52&lt;1,"a) &lt;1 min",IF(AA52&lt;10,"b) 1-10 min",IF(AA52&lt;60,"c) 10-60 min",IF(AA52&lt;240,"d) 1-4 h","e) 4 h+"))))</f>
        <v>b) 1-10 min</v>
      </c>
      <c r="AC52" s="29" t="str">
        <f aca="false">IF(P52&lt;10,"a) &lt;10",IF(P52&lt;20,"b) 10-20",IF(P52&lt;40,"c) 20-40",IF(P52&lt;80,"d) 40-80","e) 80+"))))</f>
        <v>c) 20-40</v>
      </c>
      <c r="AD52" s="31" t="n">
        <f aca="false">Summary!$C$5+SUM(X$2:X52)</f>
        <v>10121.31</v>
      </c>
      <c r="AE52" s="31" t="n">
        <f aca="false">MAX(AE51,AD52)</f>
        <v>10468.78</v>
      </c>
      <c r="AF52" s="31" t="n">
        <f aca="false">AE52-AD52</f>
        <v>347.470000000001</v>
      </c>
      <c r="AG52" s="30" t="n">
        <f aca="false">IFERROR(AF52/AE52,0)</f>
        <v>0.0331910690643992</v>
      </c>
    </row>
    <row r="53" customFormat="false" ht="15" hidden="false" customHeight="false" outlineLevel="0" collapsed="false">
      <c r="A53" s="29" t="n">
        <v>52</v>
      </c>
      <c r="B53" s="44" t="n">
        <v>44721.19375</v>
      </c>
      <c r="C53" s="44" t="n">
        <v>44721.2132175926</v>
      </c>
      <c r="D53" s="43" t="n">
        <f aca="false">INT(C53)</f>
        <v>44721</v>
      </c>
      <c r="E53" s="43" t="n">
        <f aca="false">D53-WEEKDAY(D53,3)</f>
        <v>44718</v>
      </c>
      <c r="F53" s="29" t="s">
        <v>146</v>
      </c>
      <c r="G53" s="29" t="n">
        <v>2022</v>
      </c>
      <c r="H53" s="29" t="s">
        <v>253</v>
      </c>
      <c r="I53" s="29" t="n">
        <v>4</v>
      </c>
      <c r="J53" s="29" t="s">
        <v>250</v>
      </c>
      <c r="K53" s="29" t="s">
        <v>251</v>
      </c>
      <c r="L53" s="29" t="n">
        <v>0.04</v>
      </c>
      <c r="M53" s="32" t="n">
        <v>12566.82</v>
      </c>
      <c r="N53" s="32" t="n">
        <v>12578.04</v>
      </c>
      <c r="O53" s="32" t="n">
        <v>12539.46</v>
      </c>
      <c r="P53" s="45" t="n">
        <f aca="false">ABS(M53-N53)</f>
        <v>11.2200000000012</v>
      </c>
      <c r="Q53" s="45" t="n">
        <f aca="false">IF(O53="","",ABS(O53-M53))</f>
        <v>27.3600000000006</v>
      </c>
      <c r="R53" s="31" t="n">
        <f aca="false">P53*L53*Summary!$C$6</f>
        <v>44.8800000000047</v>
      </c>
      <c r="S53" s="32" t="n">
        <v>12578.27</v>
      </c>
      <c r="T53" s="29" t="s">
        <v>249</v>
      </c>
      <c r="U53" s="45" t="n">
        <f aca="false">IF(J53="BUY",S53-M53,M53-S53)</f>
        <v>-11.4500000000007</v>
      </c>
      <c r="V53" s="46" t="n">
        <v>0</v>
      </c>
      <c r="W53" s="46" t="n">
        <v>0</v>
      </c>
      <c r="X53" s="46" t="n">
        <v>-45.8</v>
      </c>
      <c r="Y53" s="33" t="n">
        <f aca="false">IFERROR(X53/R53,0)</f>
        <v>-1.0204991087343</v>
      </c>
      <c r="Z53" s="29" t="str">
        <f aca="false">IF(X53&gt;0,"Win",IF(X53&lt;0,"Loss","Flat"))</f>
        <v>Loss</v>
      </c>
      <c r="AA53" s="29" t="n">
        <f aca="false">ROUND((C53-B53)*1440,1)</f>
        <v>28</v>
      </c>
      <c r="AB53" s="29" t="str">
        <f aca="false">IF(AA53&lt;1,"a) &lt;1 min",IF(AA53&lt;10,"b) 1-10 min",IF(AA53&lt;60,"c) 10-60 min",IF(AA53&lt;240,"d) 1-4 h","e) 4 h+"))))</f>
        <v>c) 10-60 min</v>
      </c>
      <c r="AC53" s="29" t="str">
        <f aca="false">IF(P53&lt;10,"a) &lt;10",IF(P53&lt;20,"b) 10-20",IF(P53&lt;40,"c) 20-40",IF(P53&lt;80,"d) 40-80","e) 80+"))))</f>
        <v>b) 10-20</v>
      </c>
      <c r="AD53" s="31" t="n">
        <f aca="false">Summary!$C$5+SUM(X$2:X53)</f>
        <v>10075.51</v>
      </c>
      <c r="AE53" s="31" t="n">
        <f aca="false">MAX(AE52,AD53)</f>
        <v>10468.78</v>
      </c>
      <c r="AF53" s="31" t="n">
        <f aca="false">AE53-AD53</f>
        <v>393.27</v>
      </c>
      <c r="AG53" s="30" t="n">
        <f aca="false">IFERROR(AF53/AE53,0)</f>
        <v>0.0375659819004698</v>
      </c>
    </row>
    <row r="54" customFormat="false" ht="15" hidden="false" customHeight="false" outlineLevel="0" collapsed="false">
      <c r="A54" s="29" t="n">
        <v>53</v>
      </c>
      <c r="B54" s="44" t="n">
        <v>44722.6465277778</v>
      </c>
      <c r="C54" s="44" t="n">
        <v>44722.6467824074</v>
      </c>
      <c r="D54" s="43" t="n">
        <f aca="false">INT(C54)</f>
        <v>44722</v>
      </c>
      <c r="E54" s="43" t="n">
        <f aca="false">D54-WEEKDAY(D54,3)</f>
        <v>44718</v>
      </c>
      <c r="F54" s="29" t="s">
        <v>146</v>
      </c>
      <c r="G54" s="29" t="n">
        <v>2022</v>
      </c>
      <c r="H54" s="29" t="s">
        <v>254</v>
      </c>
      <c r="I54" s="29" t="n">
        <v>15</v>
      </c>
      <c r="J54" s="29" t="s">
        <v>250</v>
      </c>
      <c r="K54" s="29" t="s">
        <v>251</v>
      </c>
      <c r="L54" s="29" t="n">
        <v>0.04</v>
      </c>
      <c r="M54" s="32" t="n">
        <v>12118.25</v>
      </c>
      <c r="N54" s="32" t="n">
        <v>12168.41</v>
      </c>
      <c r="O54" s="32" t="n">
        <v>11996.08</v>
      </c>
      <c r="P54" s="45" t="n">
        <f aca="false">ABS(M54-N54)</f>
        <v>50.1599999999999</v>
      </c>
      <c r="Q54" s="45" t="n">
        <f aca="false">IF(O54="","",ABS(O54-M54))</f>
        <v>122.17</v>
      </c>
      <c r="R54" s="31" t="n">
        <f aca="false">P54*L54*Summary!$C$6</f>
        <v>200.639999999999</v>
      </c>
      <c r="S54" s="32" t="n">
        <v>12170.09</v>
      </c>
      <c r="T54" s="29" t="s">
        <v>249</v>
      </c>
      <c r="U54" s="45" t="n">
        <f aca="false">IF(J54="BUY",S54-M54,M54-S54)</f>
        <v>-51.8400000000001</v>
      </c>
      <c r="V54" s="46" t="n">
        <v>0</v>
      </c>
      <c r="W54" s="46" t="n">
        <v>0</v>
      </c>
      <c r="X54" s="46" t="n">
        <v>-207.36</v>
      </c>
      <c r="Y54" s="33" t="n">
        <f aca="false">IFERROR(X54/R54,0)</f>
        <v>-1.03349282296651</v>
      </c>
      <c r="Z54" s="29" t="str">
        <f aca="false">IF(X54&gt;0,"Win",IF(X54&lt;0,"Loss","Flat"))</f>
        <v>Loss</v>
      </c>
      <c r="AA54" s="29" t="n">
        <f aca="false">ROUND((C54-B54)*1440,1)</f>
        <v>0.4</v>
      </c>
      <c r="AB54" s="29" t="str">
        <f aca="false">IF(AA54&lt;1,"a) &lt;1 min",IF(AA54&lt;10,"b) 1-10 min",IF(AA54&lt;60,"c) 10-60 min",IF(AA54&lt;240,"d) 1-4 h","e) 4 h+"))))</f>
        <v>a) &lt;1 min</v>
      </c>
      <c r="AC54" s="29" t="str">
        <f aca="false">IF(P54&lt;10,"a) &lt;10",IF(P54&lt;20,"b) 10-20",IF(P54&lt;40,"c) 20-40",IF(P54&lt;80,"d) 40-80","e) 80+"))))</f>
        <v>d) 40-80</v>
      </c>
      <c r="AD54" s="31" t="n">
        <f aca="false">Summary!$C$5+SUM(X$2:X54)</f>
        <v>9868.15</v>
      </c>
      <c r="AE54" s="31" t="n">
        <f aca="false">MAX(AE53,AD54)</f>
        <v>10468.78</v>
      </c>
      <c r="AF54" s="31" t="n">
        <f aca="false">AE54-AD54</f>
        <v>600.630000000001</v>
      </c>
      <c r="AG54" s="30" t="n">
        <f aca="false">IFERROR(AF54/AE54,0)</f>
        <v>0.057373447526837</v>
      </c>
    </row>
    <row r="55" customFormat="false" ht="15" hidden="false" customHeight="false" outlineLevel="0" collapsed="false">
      <c r="A55" s="29" t="n">
        <v>54</v>
      </c>
      <c r="B55" s="44" t="n">
        <v>44725.0423726852</v>
      </c>
      <c r="C55" s="44" t="n">
        <v>44725.0463310185</v>
      </c>
      <c r="D55" s="43" t="n">
        <f aca="false">INT(C55)</f>
        <v>44725</v>
      </c>
      <c r="E55" s="43" t="n">
        <f aca="false">D55-WEEKDAY(D55,3)</f>
        <v>44725</v>
      </c>
      <c r="F55" s="29" t="s">
        <v>146</v>
      </c>
      <c r="G55" s="29" t="n">
        <v>2022</v>
      </c>
      <c r="H55" s="29" t="s">
        <v>245</v>
      </c>
      <c r="I55" s="29" t="n">
        <v>1</v>
      </c>
      <c r="J55" s="29" t="s">
        <v>250</v>
      </c>
      <c r="K55" s="29" t="s">
        <v>251</v>
      </c>
      <c r="L55" s="29" t="n">
        <v>0.04</v>
      </c>
      <c r="M55" s="32" t="n">
        <v>11718.68</v>
      </c>
      <c r="N55" s="32" t="n">
        <v>11754.19</v>
      </c>
      <c r="O55" s="32" t="n">
        <v>11631.69</v>
      </c>
      <c r="P55" s="45" t="n">
        <f aca="false">ABS(M55-N55)</f>
        <v>35.5100000000002</v>
      </c>
      <c r="Q55" s="45" t="n">
        <f aca="false">IF(O55="","",ABS(O55-M55))</f>
        <v>86.9899999999998</v>
      </c>
      <c r="R55" s="31" t="n">
        <f aca="false">P55*L55*Summary!$C$6</f>
        <v>142.040000000001</v>
      </c>
      <c r="S55" s="32" t="n">
        <v>11719.34</v>
      </c>
      <c r="T55" s="29" t="s">
        <v>255</v>
      </c>
      <c r="U55" s="45" t="n">
        <f aca="false">IF(J55="BUY",S55-M55,M55-S55)</f>
        <v>-0.659999999999855</v>
      </c>
      <c r="V55" s="46" t="n">
        <v>0</v>
      </c>
      <c r="W55" s="46" t="n">
        <v>0</v>
      </c>
      <c r="X55" s="46" t="n">
        <v>-2.64</v>
      </c>
      <c r="Y55" s="33" t="n">
        <f aca="false">IFERROR(X55/R55,0)</f>
        <v>-0.0185863137144465</v>
      </c>
      <c r="Z55" s="29" t="str">
        <f aca="false">IF(X55&gt;0,"Win",IF(X55&lt;0,"Loss","Flat"))</f>
        <v>Loss</v>
      </c>
      <c r="AA55" s="29" t="n">
        <f aca="false">ROUND((C55-B55)*1440,1)</f>
        <v>5.7</v>
      </c>
      <c r="AB55" s="29" t="str">
        <f aca="false">IF(AA55&lt;1,"a) &lt;1 min",IF(AA55&lt;10,"b) 1-10 min",IF(AA55&lt;60,"c) 10-60 min",IF(AA55&lt;240,"d) 1-4 h","e) 4 h+"))))</f>
        <v>b) 1-10 min</v>
      </c>
      <c r="AC55" s="29" t="str">
        <f aca="false">IF(P55&lt;10,"a) &lt;10",IF(P55&lt;20,"b) 10-20",IF(P55&lt;40,"c) 20-40",IF(P55&lt;80,"d) 40-80","e) 80+"))))</f>
        <v>c) 20-40</v>
      </c>
      <c r="AD55" s="31" t="n">
        <f aca="false">Summary!$C$5+SUM(X$2:X55)</f>
        <v>9865.51</v>
      </c>
      <c r="AE55" s="31" t="n">
        <f aca="false">MAX(AE54,AD55)</f>
        <v>10468.78</v>
      </c>
      <c r="AF55" s="31" t="n">
        <f aca="false">AE55-AD55</f>
        <v>603.27</v>
      </c>
      <c r="AG55" s="30" t="n">
        <f aca="false">IFERROR(AF55/AE55,0)</f>
        <v>0.0576256259086542</v>
      </c>
    </row>
    <row r="56" customFormat="false" ht="15" hidden="false" customHeight="false" outlineLevel="0" collapsed="false">
      <c r="A56" s="29" t="n">
        <v>55</v>
      </c>
      <c r="B56" s="44" t="n">
        <v>44726.7381944444</v>
      </c>
      <c r="C56" s="44" t="n">
        <v>44726.739837963</v>
      </c>
      <c r="D56" s="43" t="n">
        <f aca="false">INT(C56)</f>
        <v>44726</v>
      </c>
      <c r="E56" s="43" t="n">
        <f aca="false">D56-WEEKDAY(D56,3)</f>
        <v>44725</v>
      </c>
      <c r="F56" s="29" t="s">
        <v>146</v>
      </c>
      <c r="G56" s="29" t="n">
        <v>2022</v>
      </c>
      <c r="H56" s="29" t="s">
        <v>248</v>
      </c>
      <c r="I56" s="29" t="n">
        <v>17</v>
      </c>
      <c r="J56" s="29" t="s">
        <v>250</v>
      </c>
      <c r="K56" s="29" t="s">
        <v>251</v>
      </c>
      <c r="L56" s="29" t="n">
        <v>0.04</v>
      </c>
      <c r="M56" s="32" t="n">
        <v>11245.82</v>
      </c>
      <c r="N56" s="32" t="n">
        <v>11265.85</v>
      </c>
      <c r="O56" s="32" t="n">
        <v>11196.92</v>
      </c>
      <c r="P56" s="45" t="n">
        <f aca="false">ABS(M56-N56)</f>
        <v>20.0300000000007</v>
      </c>
      <c r="Q56" s="45" t="n">
        <f aca="false">IF(O56="","",ABS(O56-M56))</f>
        <v>48.8999999999996</v>
      </c>
      <c r="R56" s="31" t="n">
        <f aca="false">P56*L56*Summary!$C$6</f>
        <v>80.1200000000026</v>
      </c>
      <c r="S56" s="32" t="n">
        <v>11266.52</v>
      </c>
      <c r="T56" s="29" t="s">
        <v>249</v>
      </c>
      <c r="U56" s="45" t="n">
        <f aca="false">IF(J56="BUY",S56-M56,M56-S56)</f>
        <v>-20.7000000000007</v>
      </c>
      <c r="V56" s="46" t="n">
        <v>0</v>
      </c>
      <c r="W56" s="46" t="n">
        <v>0</v>
      </c>
      <c r="X56" s="46" t="n">
        <v>-82.8</v>
      </c>
      <c r="Y56" s="33" t="n">
        <f aca="false">IFERROR(X56/R56,0)</f>
        <v>-1.03344982526207</v>
      </c>
      <c r="Z56" s="29" t="str">
        <f aca="false">IF(X56&gt;0,"Win",IF(X56&lt;0,"Loss","Flat"))</f>
        <v>Loss</v>
      </c>
      <c r="AA56" s="29" t="n">
        <f aca="false">ROUND((C56-B56)*1440,1)</f>
        <v>2.4</v>
      </c>
      <c r="AB56" s="29" t="str">
        <f aca="false">IF(AA56&lt;1,"a) &lt;1 min",IF(AA56&lt;10,"b) 1-10 min",IF(AA56&lt;60,"c) 10-60 min",IF(AA56&lt;240,"d) 1-4 h","e) 4 h+"))))</f>
        <v>b) 1-10 min</v>
      </c>
      <c r="AC56" s="29" t="str">
        <f aca="false">IF(P56&lt;10,"a) &lt;10",IF(P56&lt;20,"b) 10-20",IF(P56&lt;40,"c) 20-40",IF(P56&lt;80,"d) 40-80","e) 80+"))))</f>
        <v>c) 20-40</v>
      </c>
      <c r="AD56" s="31" t="n">
        <f aca="false">Summary!$C$5+SUM(X$2:X56)</f>
        <v>9782.71</v>
      </c>
      <c r="AE56" s="31" t="n">
        <f aca="false">MAX(AE55,AD56)</f>
        <v>10468.78</v>
      </c>
      <c r="AF56" s="31" t="n">
        <f aca="false">AE56-AD56</f>
        <v>686.070000000002</v>
      </c>
      <c r="AG56" s="30" t="n">
        <f aca="false">IFERROR(AF56/AE56,0)</f>
        <v>0.0655348569747384</v>
      </c>
    </row>
    <row r="57" customFormat="false" ht="15" hidden="false" customHeight="false" outlineLevel="0" collapsed="false">
      <c r="A57" s="29" t="n">
        <v>56</v>
      </c>
      <c r="B57" s="44" t="n">
        <v>44727.6965277778</v>
      </c>
      <c r="C57" s="44" t="n">
        <v>44727.7000925926</v>
      </c>
      <c r="D57" s="43" t="n">
        <f aca="false">INT(C57)</f>
        <v>44727</v>
      </c>
      <c r="E57" s="43" t="n">
        <f aca="false">D57-WEEKDAY(D57,3)</f>
        <v>44725</v>
      </c>
      <c r="F57" s="29" t="s">
        <v>146</v>
      </c>
      <c r="G57" s="29" t="n">
        <v>2022</v>
      </c>
      <c r="H57" s="29" t="s">
        <v>252</v>
      </c>
      <c r="I57" s="29" t="n">
        <v>16</v>
      </c>
      <c r="J57" s="29" t="s">
        <v>246</v>
      </c>
      <c r="K57" s="29" t="s">
        <v>247</v>
      </c>
      <c r="L57" s="29" t="n">
        <v>0.04</v>
      </c>
      <c r="M57" s="32" t="n">
        <v>11508.89</v>
      </c>
      <c r="N57" s="32" t="n">
        <v>11486.09</v>
      </c>
      <c r="O57" s="32" t="n">
        <v>11560.57</v>
      </c>
      <c r="P57" s="45" t="n">
        <f aca="false">ABS(M57-N57)</f>
        <v>22.7999999999993</v>
      </c>
      <c r="Q57" s="45" t="n">
        <f aca="false">IF(O57="","",ABS(O57-M57))</f>
        <v>51.6800000000003</v>
      </c>
      <c r="R57" s="31" t="n">
        <f aca="false">P57*L57*Summary!$C$6</f>
        <v>91.1999999999971</v>
      </c>
      <c r="S57" s="32" t="n">
        <v>11485.36</v>
      </c>
      <c r="T57" s="29" t="s">
        <v>249</v>
      </c>
      <c r="U57" s="45" t="n">
        <f aca="false">IF(J57="BUY",S57-M57,M57-S57)</f>
        <v>-23.5299999999988</v>
      </c>
      <c r="V57" s="46" t="n">
        <v>0</v>
      </c>
      <c r="W57" s="46" t="n">
        <v>0</v>
      </c>
      <c r="X57" s="46" t="n">
        <v>-94.12</v>
      </c>
      <c r="Y57" s="33" t="n">
        <f aca="false">IFERROR(X57/R57,0)</f>
        <v>-1.03201754385968</v>
      </c>
      <c r="Z57" s="29" t="str">
        <f aca="false">IF(X57&gt;0,"Win",IF(X57&lt;0,"Loss","Flat"))</f>
        <v>Loss</v>
      </c>
      <c r="AA57" s="29" t="n">
        <f aca="false">ROUND((C57-B57)*1440,1)</f>
        <v>5.1</v>
      </c>
      <c r="AB57" s="29" t="str">
        <f aca="false">IF(AA57&lt;1,"a) &lt;1 min",IF(AA57&lt;10,"b) 1-10 min",IF(AA57&lt;60,"c) 10-60 min",IF(AA57&lt;240,"d) 1-4 h","e) 4 h+"))))</f>
        <v>b) 1-10 min</v>
      </c>
      <c r="AC57" s="29" t="str">
        <f aca="false">IF(P57&lt;10,"a) &lt;10",IF(P57&lt;20,"b) 10-20",IF(P57&lt;40,"c) 20-40",IF(P57&lt;80,"d) 40-80","e) 80+"))))</f>
        <v>c) 20-40</v>
      </c>
      <c r="AD57" s="31" t="n">
        <f aca="false">Summary!$C$5+SUM(X$2:X57)</f>
        <v>9688.59</v>
      </c>
      <c r="AE57" s="31" t="n">
        <f aca="false">MAX(AE56,AD57)</f>
        <v>10468.78</v>
      </c>
      <c r="AF57" s="31" t="n">
        <f aca="false">AE57-AD57</f>
        <v>780.190000000001</v>
      </c>
      <c r="AG57" s="30" t="n">
        <f aca="false">IFERROR(AF57/AE57,0)</f>
        <v>0.0745253983749778</v>
      </c>
    </row>
    <row r="58" customFormat="false" ht="15" hidden="false" customHeight="false" outlineLevel="0" collapsed="false">
      <c r="A58" s="29" t="n">
        <v>57</v>
      </c>
      <c r="B58" s="44" t="n">
        <v>44728.4423611111</v>
      </c>
      <c r="C58" s="44" t="n">
        <v>44728.4437615741</v>
      </c>
      <c r="D58" s="43" t="n">
        <f aca="false">INT(C58)</f>
        <v>44728</v>
      </c>
      <c r="E58" s="43" t="n">
        <f aca="false">D58-WEEKDAY(D58,3)</f>
        <v>44725</v>
      </c>
      <c r="F58" s="29" t="s">
        <v>146</v>
      </c>
      <c r="G58" s="29" t="n">
        <v>2022</v>
      </c>
      <c r="H58" s="29" t="s">
        <v>253</v>
      </c>
      <c r="I58" s="29" t="n">
        <v>10</v>
      </c>
      <c r="J58" s="29" t="s">
        <v>250</v>
      </c>
      <c r="K58" s="29" t="s">
        <v>251</v>
      </c>
      <c r="L58" s="29" t="n">
        <v>0.04</v>
      </c>
      <c r="M58" s="32" t="n">
        <v>11324.83</v>
      </c>
      <c r="N58" s="32" t="n">
        <v>11347.43</v>
      </c>
      <c r="O58" s="32" t="n">
        <v>11269.46</v>
      </c>
      <c r="P58" s="45" t="n">
        <f aca="false">ABS(M58-N58)</f>
        <v>22.6000000000004</v>
      </c>
      <c r="Q58" s="45" t="n">
        <f aca="false">IF(O58="","",ABS(O58-M58))</f>
        <v>55.3700000000008</v>
      </c>
      <c r="R58" s="31" t="n">
        <f aca="false">P58*L58*Summary!$C$6</f>
        <v>90.4000000000015</v>
      </c>
      <c r="S58" s="32" t="n">
        <v>11324.86</v>
      </c>
      <c r="T58" s="29" t="s">
        <v>255</v>
      </c>
      <c r="U58" s="45" t="n">
        <f aca="false">IF(J58="BUY",S58-M58,M58-S58)</f>
        <v>-0.0300000000006548</v>
      </c>
      <c r="V58" s="46" t="n">
        <v>0</v>
      </c>
      <c r="W58" s="46" t="n">
        <v>0</v>
      </c>
      <c r="X58" s="46" t="n">
        <v>-0.12</v>
      </c>
      <c r="Y58" s="33" t="n">
        <f aca="false">IFERROR(X58/R58,0)</f>
        <v>-0.00132743362831856</v>
      </c>
      <c r="Z58" s="29" t="str">
        <f aca="false">IF(X58&gt;0,"Win",IF(X58&lt;0,"Loss","Flat"))</f>
        <v>Loss</v>
      </c>
      <c r="AA58" s="29" t="n">
        <f aca="false">ROUND((C58-B58)*1440,1)</f>
        <v>2</v>
      </c>
      <c r="AB58" s="29" t="str">
        <f aca="false">IF(AA58&lt;1,"a) &lt;1 min",IF(AA58&lt;10,"b) 1-10 min",IF(AA58&lt;60,"c) 10-60 min",IF(AA58&lt;240,"d) 1-4 h","e) 4 h+"))))</f>
        <v>b) 1-10 min</v>
      </c>
      <c r="AC58" s="29" t="str">
        <f aca="false">IF(P58&lt;10,"a) &lt;10",IF(P58&lt;20,"b) 10-20",IF(P58&lt;40,"c) 20-40",IF(P58&lt;80,"d) 40-80","e) 80+"))))</f>
        <v>c) 20-40</v>
      </c>
      <c r="AD58" s="31" t="n">
        <f aca="false">Summary!$C$5+SUM(X$2:X58)</f>
        <v>9688.47</v>
      </c>
      <c r="AE58" s="31" t="n">
        <f aca="false">MAX(AE57,AD58)</f>
        <v>10468.78</v>
      </c>
      <c r="AF58" s="31" t="n">
        <f aca="false">AE58-AD58</f>
        <v>780.310000000001</v>
      </c>
      <c r="AG58" s="30" t="n">
        <f aca="false">IFERROR(AF58/AE58,0)</f>
        <v>0.0745368610286969</v>
      </c>
    </row>
    <row r="59" customFormat="false" ht="15" hidden="false" customHeight="false" outlineLevel="0" collapsed="false">
      <c r="A59" s="29" t="n">
        <v>58</v>
      </c>
      <c r="B59" s="44" t="n">
        <v>44732.0652777778</v>
      </c>
      <c r="C59" s="44" t="n">
        <v>44732.0682175926</v>
      </c>
      <c r="D59" s="43" t="n">
        <f aca="false">INT(C59)</f>
        <v>44732</v>
      </c>
      <c r="E59" s="43" t="n">
        <f aca="false">D59-WEEKDAY(D59,3)</f>
        <v>44732</v>
      </c>
      <c r="F59" s="29" t="s">
        <v>146</v>
      </c>
      <c r="G59" s="29" t="n">
        <v>2022</v>
      </c>
      <c r="H59" s="29" t="s">
        <v>245</v>
      </c>
      <c r="I59" s="29" t="n">
        <v>1</v>
      </c>
      <c r="J59" s="29" t="s">
        <v>246</v>
      </c>
      <c r="K59" s="29" t="s">
        <v>247</v>
      </c>
      <c r="L59" s="29" t="n">
        <v>0.04</v>
      </c>
      <c r="M59" s="32" t="n">
        <v>11361.71</v>
      </c>
      <c r="N59" s="32" t="n">
        <v>11355.18</v>
      </c>
      <c r="O59" s="32" t="n">
        <v>11377.71</v>
      </c>
      <c r="P59" s="45" t="n">
        <f aca="false">ABS(M59-N59)</f>
        <v>6.52999999999884</v>
      </c>
      <c r="Q59" s="45" t="n">
        <f aca="false">IF(O59="","",ABS(O59-M59))</f>
        <v>16</v>
      </c>
      <c r="R59" s="31" t="n">
        <f aca="false">P59*L59*Summary!$C$6</f>
        <v>26.1199999999953</v>
      </c>
      <c r="S59" s="32" t="n">
        <v>11379.1</v>
      </c>
      <c r="T59" s="29" t="s">
        <v>227</v>
      </c>
      <c r="U59" s="45" t="n">
        <f aca="false">IF(J59="BUY",S59-M59,M59-S59)</f>
        <v>17.3900000000012</v>
      </c>
      <c r="V59" s="46" t="n">
        <v>0</v>
      </c>
      <c r="W59" s="46" t="n">
        <v>0</v>
      </c>
      <c r="X59" s="46" t="n">
        <v>69.56</v>
      </c>
      <c r="Y59" s="33" t="n">
        <f aca="false">IFERROR(X59/R59,0)</f>
        <v>2.66309341500813</v>
      </c>
      <c r="Z59" s="29" t="str">
        <f aca="false">IF(X59&gt;0,"Win",IF(X59&lt;0,"Loss","Flat"))</f>
        <v>Win</v>
      </c>
      <c r="AA59" s="29" t="n">
        <f aca="false">ROUND((C59-B59)*1440,1)</f>
        <v>4.2</v>
      </c>
      <c r="AB59" s="29" t="str">
        <f aca="false">IF(AA59&lt;1,"a) &lt;1 min",IF(AA59&lt;10,"b) 1-10 min",IF(AA59&lt;60,"c) 10-60 min",IF(AA59&lt;240,"d) 1-4 h","e) 4 h+"))))</f>
        <v>b) 1-10 min</v>
      </c>
      <c r="AC59" s="29" t="str">
        <f aca="false">IF(P59&lt;10,"a) &lt;10",IF(P59&lt;20,"b) 10-20",IF(P59&lt;40,"c) 20-40",IF(P59&lt;80,"d) 40-80","e) 80+"))))</f>
        <v>a) &lt;10</v>
      </c>
      <c r="AD59" s="31" t="n">
        <f aca="false">Summary!$C$5+SUM(X$2:X59)</f>
        <v>9758.03</v>
      </c>
      <c r="AE59" s="31" t="n">
        <f aca="false">MAX(AE58,AD59)</f>
        <v>10468.78</v>
      </c>
      <c r="AF59" s="31" t="n">
        <f aca="false">AE59-AD59</f>
        <v>710.75</v>
      </c>
      <c r="AG59" s="30" t="n">
        <f aca="false">IFERROR(AF59/AE59,0)</f>
        <v>0.0678923427562715</v>
      </c>
    </row>
    <row r="60" customFormat="false" ht="15" hidden="false" customHeight="false" outlineLevel="0" collapsed="false">
      <c r="A60" s="29" t="n">
        <v>59</v>
      </c>
      <c r="B60" s="44" t="n">
        <v>44733.1625</v>
      </c>
      <c r="C60" s="44" t="n">
        <v>44733.1687731482</v>
      </c>
      <c r="D60" s="43" t="n">
        <f aca="false">INT(C60)</f>
        <v>44733</v>
      </c>
      <c r="E60" s="43" t="n">
        <f aca="false">D60-WEEKDAY(D60,3)</f>
        <v>44732</v>
      </c>
      <c r="F60" s="29" t="s">
        <v>146</v>
      </c>
      <c r="G60" s="29" t="n">
        <v>2022</v>
      </c>
      <c r="H60" s="29" t="s">
        <v>248</v>
      </c>
      <c r="I60" s="29" t="n">
        <v>3</v>
      </c>
      <c r="J60" s="29" t="s">
        <v>246</v>
      </c>
      <c r="K60" s="29" t="s">
        <v>247</v>
      </c>
      <c r="L60" s="29" t="n">
        <v>0.04</v>
      </c>
      <c r="M60" s="32" t="n">
        <v>11404.56</v>
      </c>
      <c r="N60" s="32" t="n">
        <v>11398.31</v>
      </c>
      <c r="O60" s="32" t="n">
        <v>11420.01</v>
      </c>
      <c r="P60" s="45" t="n">
        <f aca="false">ABS(M60-N60)</f>
        <v>6.25</v>
      </c>
      <c r="Q60" s="45" t="n">
        <f aca="false">IF(O60="","",ABS(O60-M60))</f>
        <v>15.4500000000007</v>
      </c>
      <c r="R60" s="31" t="n">
        <f aca="false">P60*L60*Summary!$C$6</f>
        <v>25</v>
      </c>
      <c r="S60" s="32" t="n">
        <v>11404.54</v>
      </c>
      <c r="T60" s="29" t="s">
        <v>255</v>
      </c>
      <c r="U60" s="45" t="n">
        <f aca="false">IF(J60="BUY",S60-M60,M60-S60)</f>
        <v>-0.0199999999986176</v>
      </c>
      <c r="V60" s="46" t="n">
        <v>0</v>
      </c>
      <c r="W60" s="46" t="n">
        <v>0</v>
      </c>
      <c r="X60" s="46" t="n">
        <v>-0.08</v>
      </c>
      <c r="Y60" s="33" t="n">
        <f aca="false">IFERROR(X60/R60,0)</f>
        <v>-0.0032</v>
      </c>
      <c r="Z60" s="29" t="str">
        <f aca="false">IF(X60&gt;0,"Win",IF(X60&lt;0,"Loss","Flat"))</f>
        <v>Loss</v>
      </c>
      <c r="AA60" s="29" t="n">
        <f aca="false">ROUND((C60-B60)*1440,1)</f>
        <v>9</v>
      </c>
      <c r="AB60" s="29" t="str">
        <f aca="false">IF(AA60&lt;1,"a) &lt;1 min",IF(AA60&lt;10,"b) 1-10 min",IF(AA60&lt;60,"c) 10-60 min",IF(AA60&lt;240,"d) 1-4 h","e) 4 h+"))))</f>
        <v>b) 1-10 min</v>
      </c>
      <c r="AC60" s="29" t="str">
        <f aca="false">IF(P60&lt;10,"a) &lt;10",IF(P60&lt;20,"b) 10-20",IF(P60&lt;40,"c) 20-40",IF(P60&lt;80,"d) 40-80","e) 80+"))))</f>
        <v>a) &lt;10</v>
      </c>
      <c r="AD60" s="31" t="n">
        <f aca="false">Summary!$C$5+SUM(X$2:X60)</f>
        <v>9757.95</v>
      </c>
      <c r="AE60" s="31" t="n">
        <f aca="false">MAX(AE59,AD60)</f>
        <v>10468.78</v>
      </c>
      <c r="AF60" s="31" t="n">
        <f aca="false">AE60-AD60</f>
        <v>710.83</v>
      </c>
      <c r="AG60" s="30" t="n">
        <f aca="false">IFERROR(AF60/AE60,0)</f>
        <v>0.0678999845254175</v>
      </c>
    </row>
    <row r="61" customFormat="false" ht="15" hidden="false" customHeight="false" outlineLevel="0" collapsed="false">
      <c r="A61" s="29" t="n">
        <v>60</v>
      </c>
      <c r="B61" s="44" t="n">
        <v>44734.41875</v>
      </c>
      <c r="C61" s="44" t="n">
        <v>44734.4213194445</v>
      </c>
      <c r="D61" s="43" t="n">
        <f aca="false">INT(C61)</f>
        <v>44734</v>
      </c>
      <c r="E61" s="43" t="n">
        <f aca="false">D61-WEEKDAY(D61,3)</f>
        <v>44732</v>
      </c>
      <c r="F61" s="29" t="s">
        <v>146</v>
      </c>
      <c r="G61" s="29" t="n">
        <v>2022</v>
      </c>
      <c r="H61" s="29" t="s">
        <v>252</v>
      </c>
      <c r="I61" s="29" t="n">
        <v>10</v>
      </c>
      <c r="J61" s="29" t="s">
        <v>250</v>
      </c>
      <c r="K61" s="29" t="s">
        <v>251</v>
      </c>
      <c r="L61" s="29" t="n">
        <v>0.04</v>
      </c>
      <c r="M61" s="32" t="n">
        <v>11352.61</v>
      </c>
      <c r="N61" s="32" t="n">
        <v>11365.77</v>
      </c>
      <c r="O61" s="32" t="n">
        <v>11320.4</v>
      </c>
      <c r="P61" s="45" t="n">
        <f aca="false">ABS(M61-N61)</f>
        <v>13.1599999999999</v>
      </c>
      <c r="Q61" s="45" t="n">
        <f aca="false">IF(O61="","",ABS(O61-M61))</f>
        <v>32.2100000000009</v>
      </c>
      <c r="R61" s="31" t="n">
        <f aca="false">P61*L61*Summary!$C$6</f>
        <v>52.6399999999994</v>
      </c>
      <c r="S61" s="32" t="n">
        <v>11319.69</v>
      </c>
      <c r="T61" s="29" t="s">
        <v>227</v>
      </c>
      <c r="U61" s="45" t="n">
        <f aca="false">IF(J61="BUY",S61-M61,M61-S61)</f>
        <v>32.9200000000001</v>
      </c>
      <c r="V61" s="46" t="n">
        <v>0</v>
      </c>
      <c r="W61" s="46" t="n">
        <v>0</v>
      </c>
      <c r="X61" s="46" t="n">
        <v>131.68</v>
      </c>
      <c r="Y61" s="33" t="n">
        <f aca="false">IFERROR(X61/R61,0)</f>
        <v>2.50151975683893</v>
      </c>
      <c r="Z61" s="29" t="str">
        <f aca="false">IF(X61&gt;0,"Win",IF(X61&lt;0,"Loss","Flat"))</f>
        <v>Win</v>
      </c>
      <c r="AA61" s="29" t="n">
        <f aca="false">ROUND((C61-B61)*1440,1)</f>
        <v>3.7</v>
      </c>
      <c r="AB61" s="29" t="str">
        <f aca="false">IF(AA61&lt;1,"a) &lt;1 min",IF(AA61&lt;10,"b) 1-10 min",IF(AA61&lt;60,"c) 10-60 min",IF(AA61&lt;240,"d) 1-4 h","e) 4 h+"))))</f>
        <v>b) 1-10 min</v>
      </c>
      <c r="AC61" s="29" t="str">
        <f aca="false">IF(P61&lt;10,"a) &lt;10",IF(P61&lt;20,"b) 10-20",IF(P61&lt;40,"c) 20-40",IF(P61&lt;80,"d) 40-80","e) 80+"))))</f>
        <v>b) 10-20</v>
      </c>
      <c r="AD61" s="31" t="n">
        <f aca="false">Summary!$C$5+SUM(X$2:X61)</f>
        <v>9889.63</v>
      </c>
      <c r="AE61" s="31" t="n">
        <f aca="false">MAX(AE60,AD61)</f>
        <v>10468.78</v>
      </c>
      <c r="AF61" s="31" t="n">
        <f aca="false">AE61-AD61</f>
        <v>579.150000000002</v>
      </c>
      <c r="AG61" s="30" t="n">
        <f aca="false">IFERROR(AF61/AE61,0)</f>
        <v>0.0553216325111428</v>
      </c>
    </row>
    <row r="62" customFormat="false" ht="15" hidden="false" customHeight="false" outlineLevel="0" collapsed="false">
      <c r="A62" s="29" t="n">
        <v>61</v>
      </c>
      <c r="B62" s="44" t="n">
        <v>44734.725</v>
      </c>
      <c r="C62" s="44" t="n">
        <v>44734.7344212963</v>
      </c>
      <c r="D62" s="43" t="n">
        <f aca="false">INT(C62)</f>
        <v>44734</v>
      </c>
      <c r="E62" s="43" t="n">
        <f aca="false">D62-WEEKDAY(D62,3)</f>
        <v>44732</v>
      </c>
      <c r="F62" s="29" t="s">
        <v>146</v>
      </c>
      <c r="G62" s="29" t="n">
        <v>2022</v>
      </c>
      <c r="H62" s="29" t="s">
        <v>252</v>
      </c>
      <c r="I62" s="29" t="n">
        <v>17</v>
      </c>
      <c r="J62" s="29" t="s">
        <v>246</v>
      </c>
      <c r="K62" s="29" t="s">
        <v>247</v>
      </c>
      <c r="L62" s="29" t="n">
        <v>0.04</v>
      </c>
      <c r="M62" s="32" t="n">
        <v>11656.72</v>
      </c>
      <c r="N62" s="32" t="n">
        <v>11640.05</v>
      </c>
      <c r="O62" s="32" t="n">
        <v>11697.57</v>
      </c>
      <c r="P62" s="45" t="n">
        <f aca="false">ABS(M62-N62)</f>
        <v>16.6700000000001</v>
      </c>
      <c r="Q62" s="45" t="n">
        <f aca="false">IF(O62="","",ABS(O62-M62))</f>
        <v>40.8500000000004</v>
      </c>
      <c r="R62" s="31" t="n">
        <f aca="false">P62*L62*Summary!$C$6</f>
        <v>66.6800000000003</v>
      </c>
      <c r="S62" s="32" t="n">
        <v>11697.59</v>
      </c>
      <c r="T62" s="29" t="s">
        <v>227</v>
      </c>
      <c r="U62" s="45" t="n">
        <f aca="false">IF(J62="BUY",S62-M62,M62-S62)</f>
        <v>40.8700000000008</v>
      </c>
      <c r="V62" s="46" t="n">
        <v>0</v>
      </c>
      <c r="W62" s="46" t="n">
        <v>0</v>
      </c>
      <c r="X62" s="46" t="n">
        <v>163.48</v>
      </c>
      <c r="Y62" s="33" t="n">
        <f aca="false">IFERROR(X62/R62,0)</f>
        <v>2.45170965806838</v>
      </c>
      <c r="Z62" s="29" t="str">
        <f aca="false">IF(X62&gt;0,"Win",IF(X62&lt;0,"Loss","Flat"))</f>
        <v>Win</v>
      </c>
      <c r="AA62" s="29" t="n">
        <f aca="false">ROUND((C62-B62)*1440,1)</f>
        <v>13.6</v>
      </c>
      <c r="AB62" s="29" t="str">
        <f aca="false">IF(AA62&lt;1,"a) &lt;1 min",IF(AA62&lt;10,"b) 1-10 min",IF(AA62&lt;60,"c) 10-60 min",IF(AA62&lt;240,"d) 1-4 h","e) 4 h+"))))</f>
        <v>c) 10-60 min</v>
      </c>
      <c r="AC62" s="29" t="str">
        <f aca="false">IF(P62&lt;10,"a) &lt;10",IF(P62&lt;20,"b) 10-20",IF(P62&lt;40,"c) 20-40",IF(P62&lt;80,"d) 40-80","e) 80+"))))</f>
        <v>b) 10-20</v>
      </c>
      <c r="AD62" s="31" t="n">
        <f aca="false">Summary!$C$5+SUM(X$2:X62)</f>
        <v>10053.11</v>
      </c>
      <c r="AE62" s="31" t="n">
        <f aca="false">MAX(AE61,AD62)</f>
        <v>10468.78</v>
      </c>
      <c r="AF62" s="31" t="n">
        <f aca="false">AE62-AD62</f>
        <v>415.67</v>
      </c>
      <c r="AG62" s="30" t="n">
        <f aca="false">IFERROR(AF62/AE62,0)</f>
        <v>0.0397056772613428</v>
      </c>
    </row>
    <row r="63" customFormat="false" ht="15" hidden="false" customHeight="false" outlineLevel="0" collapsed="false">
      <c r="A63" s="29" t="n">
        <v>62</v>
      </c>
      <c r="B63" s="44" t="n">
        <v>44735.9513888889</v>
      </c>
      <c r="C63" s="44" t="n">
        <v>44735.9513888889</v>
      </c>
      <c r="D63" s="43" t="n">
        <f aca="false">INT(C63)</f>
        <v>44735</v>
      </c>
      <c r="E63" s="43" t="n">
        <f aca="false">D63-WEEKDAY(D63,3)</f>
        <v>44732</v>
      </c>
      <c r="F63" s="29" t="s">
        <v>146</v>
      </c>
      <c r="G63" s="29" t="n">
        <v>2022</v>
      </c>
      <c r="H63" s="29" t="s">
        <v>253</v>
      </c>
      <c r="I63" s="29" t="n">
        <v>22</v>
      </c>
      <c r="J63" s="29" t="s">
        <v>246</v>
      </c>
      <c r="K63" s="29" t="s">
        <v>247</v>
      </c>
      <c r="L63" s="29" t="n">
        <v>0.04</v>
      </c>
      <c r="M63" s="32" t="n">
        <v>11714.11</v>
      </c>
      <c r="N63" s="32" t="n">
        <v>11701.96</v>
      </c>
      <c r="O63" s="32" t="n">
        <v>11738.91</v>
      </c>
      <c r="P63" s="45" t="n">
        <f aca="false">ABS(M63-N63)</f>
        <v>12.1500000000015</v>
      </c>
      <c r="Q63" s="45" t="n">
        <f aca="false">IF(O63="","",ABS(O63-M63))</f>
        <v>24.7999999999993</v>
      </c>
      <c r="R63" s="31" t="n">
        <f aca="false">P63*L63*Summary!$C$6</f>
        <v>48.6000000000058</v>
      </c>
      <c r="S63" s="32" t="n">
        <v>11699.79</v>
      </c>
      <c r="T63" s="29" t="s">
        <v>249</v>
      </c>
      <c r="U63" s="45" t="n">
        <f aca="false">IF(J63="BUY",S63-M63,M63-S63)</f>
        <v>-14.3199999999997</v>
      </c>
      <c r="V63" s="46" t="n">
        <v>0</v>
      </c>
      <c r="W63" s="46" t="n">
        <v>0</v>
      </c>
      <c r="X63" s="46" t="n">
        <v>-57.28</v>
      </c>
      <c r="Y63" s="33" t="n">
        <f aca="false">IFERROR(X63/R63,0)</f>
        <v>-1.17860082304513</v>
      </c>
      <c r="Z63" s="29" t="str">
        <f aca="false">IF(X63&gt;0,"Win",IF(X63&lt;0,"Loss","Flat"))</f>
        <v>Loss</v>
      </c>
      <c r="AA63" s="29" t="n">
        <f aca="false">ROUND((C63-B63)*1440,1)</f>
        <v>0</v>
      </c>
      <c r="AB63" s="29" t="str">
        <f aca="false">IF(AA63&lt;1,"a) &lt;1 min",IF(AA63&lt;10,"b) 1-10 min",IF(AA63&lt;60,"c) 10-60 min",IF(AA63&lt;240,"d) 1-4 h","e) 4 h+"))))</f>
        <v>a) &lt;1 min</v>
      </c>
      <c r="AC63" s="29" t="str">
        <f aca="false">IF(P63&lt;10,"a) &lt;10",IF(P63&lt;20,"b) 10-20",IF(P63&lt;40,"c) 20-40",IF(P63&lt;80,"d) 40-80","e) 80+"))))</f>
        <v>b) 10-20</v>
      </c>
      <c r="AD63" s="31" t="n">
        <f aca="false">Summary!$C$5+SUM(X$2:X63)</f>
        <v>9995.83</v>
      </c>
      <c r="AE63" s="31" t="n">
        <f aca="false">MAX(AE62,AD63)</f>
        <v>10468.78</v>
      </c>
      <c r="AF63" s="31" t="n">
        <f aca="false">AE63-AD63</f>
        <v>472.950000000001</v>
      </c>
      <c r="AG63" s="30" t="n">
        <f aca="false">IFERROR(AF63/AE63,0)</f>
        <v>0.0451771839698609</v>
      </c>
    </row>
    <row r="64" customFormat="false" ht="15" hidden="false" customHeight="false" outlineLevel="0" collapsed="false">
      <c r="A64" s="29" t="n">
        <v>63</v>
      </c>
      <c r="B64" s="44" t="n">
        <v>44736.1986111111</v>
      </c>
      <c r="C64" s="44" t="n">
        <v>44736.2046527778</v>
      </c>
      <c r="D64" s="43" t="n">
        <f aca="false">INT(C64)</f>
        <v>44736</v>
      </c>
      <c r="E64" s="43" t="n">
        <f aca="false">D64-WEEKDAY(D64,3)</f>
        <v>44732</v>
      </c>
      <c r="F64" s="29" t="s">
        <v>146</v>
      </c>
      <c r="G64" s="29" t="n">
        <v>2022</v>
      </c>
      <c r="H64" s="29" t="s">
        <v>254</v>
      </c>
      <c r="I64" s="29" t="n">
        <v>4</v>
      </c>
      <c r="J64" s="29" t="s">
        <v>246</v>
      </c>
      <c r="K64" s="29" t="s">
        <v>247</v>
      </c>
      <c r="L64" s="29" t="n">
        <v>0.04</v>
      </c>
      <c r="M64" s="32" t="n">
        <v>11734.63</v>
      </c>
      <c r="N64" s="32" t="n">
        <v>11726.53</v>
      </c>
      <c r="O64" s="32" t="n">
        <v>11755.38</v>
      </c>
      <c r="P64" s="45" t="n">
        <f aca="false">ABS(M64-N64)</f>
        <v>8.09999999999855</v>
      </c>
      <c r="Q64" s="45" t="n">
        <f aca="false">IF(O64="","",ABS(O64-M64))</f>
        <v>20.75</v>
      </c>
      <c r="R64" s="31" t="n">
        <f aca="false">P64*L64*Summary!$C$6</f>
        <v>32.3999999999942</v>
      </c>
      <c r="S64" s="32" t="n">
        <v>11734.61</v>
      </c>
      <c r="T64" s="29" t="s">
        <v>255</v>
      </c>
      <c r="U64" s="45" t="n">
        <f aca="false">IF(J64="BUY",S64-M64,M64-S64)</f>
        <v>-0.0199999999986176</v>
      </c>
      <c r="V64" s="46" t="n">
        <v>0</v>
      </c>
      <c r="W64" s="46" t="n">
        <v>0</v>
      </c>
      <c r="X64" s="46" t="n">
        <v>-0.08</v>
      </c>
      <c r="Y64" s="33" t="n">
        <f aca="false">IFERROR(X64/R64,0)</f>
        <v>-0.00246913580246958</v>
      </c>
      <c r="Z64" s="29" t="str">
        <f aca="false">IF(X64&gt;0,"Win",IF(X64&lt;0,"Loss","Flat"))</f>
        <v>Loss</v>
      </c>
      <c r="AA64" s="29" t="n">
        <f aca="false">ROUND((C64-B64)*1440,1)</f>
        <v>8.7</v>
      </c>
      <c r="AB64" s="29" t="str">
        <f aca="false">IF(AA64&lt;1,"a) &lt;1 min",IF(AA64&lt;10,"b) 1-10 min",IF(AA64&lt;60,"c) 10-60 min",IF(AA64&lt;240,"d) 1-4 h","e) 4 h+"))))</f>
        <v>b) 1-10 min</v>
      </c>
      <c r="AC64" s="29" t="str">
        <f aca="false">IF(P64&lt;10,"a) &lt;10",IF(P64&lt;20,"b) 10-20",IF(P64&lt;40,"c) 20-40",IF(P64&lt;80,"d) 40-80","e) 80+"))))</f>
        <v>a) &lt;10</v>
      </c>
      <c r="AD64" s="31" t="n">
        <f aca="false">Summary!$C$5+SUM(X$2:X64)</f>
        <v>9995.75</v>
      </c>
      <c r="AE64" s="31" t="n">
        <f aca="false">MAX(AE63,AD64)</f>
        <v>10468.78</v>
      </c>
      <c r="AF64" s="31" t="n">
        <f aca="false">AE64-AD64</f>
        <v>473.030000000001</v>
      </c>
      <c r="AG64" s="30" t="n">
        <f aca="false">IFERROR(AF64/AE64,0)</f>
        <v>0.0451848257390069</v>
      </c>
    </row>
    <row r="65" customFormat="false" ht="15" hidden="false" customHeight="false" outlineLevel="0" collapsed="false">
      <c r="A65" s="29" t="n">
        <v>64</v>
      </c>
      <c r="B65" s="44" t="n">
        <v>44739.0423611111</v>
      </c>
      <c r="C65" s="44" t="n">
        <v>44739.0430439815</v>
      </c>
      <c r="D65" s="43" t="n">
        <f aca="false">INT(C65)</f>
        <v>44739</v>
      </c>
      <c r="E65" s="43" t="n">
        <f aca="false">D65-WEEKDAY(D65,3)</f>
        <v>44739</v>
      </c>
      <c r="F65" s="29" t="s">
        <v>146</v>
      </c>
      <c r="G65" s="29" t="n">
        <v>2022</v>
      </c>
      <c r="H65" s="29" t="s">
        <v>245</v>
      </c>
      <c r="I65" s="29" t="n">
        <v>1</v>
      </c>
      <c r="J65" s="29" t="s">
        <v>246</v>
      </c>
      <c r="K65" s="29" t="s">
        <v>247</v>
      </c>
      <c r="L65" s="29" t="n">
        <v>0.04</v>
      </c>
      <c r="M65" s="32" t="n">
        <v>12113.23</v>
      </c>
      <c r="N65" s="32" t="n">
        <v>12100.18</v>
      </c>
      <c r="O65" s="32" t="n">
        <v>12145.2</v>
      </c>
      <c r="P65" s="45" t="n">
        <f aca="false">ABS(M65-N65)</f>
        <v>13.0499999999993</v>
      </c>
      <c r="Q65" s="45" t="n">
        <f aca="false">IF(O65="","",ABS(O65-M65))</f>
        <v>31.9700000000012</v>
      </c>
      <c r="R65" s="31" t="n">
        <f aca="false">P65*L65*Summary!$C$6</f>
        <v>52.1999999999971</v>
      </c>
      <c r="S65" s="32" t="n">
        <v>12099.35</v>
      </c>
      <c r="T65" s="29" t="s">
        <v>249</v>
      </c>
      <c r="U65" s="45" t="n">
        <f aca="false">IF(J65="BUY",S65-M65,M65-S65)</f>
        <v>-13.8799999999992</v>
      </c>
      <c r="V65" s="46" t="n">
        <v>0</v>
      </c>
      <c r="W65" s="46" t="n">
        <v>0</v>
      </c>
      <c r="X65" s="46" t="n">
        <v>-55.52</v>
      </c>
      <c r="Y65" s="33" t="n">
        <f aca="false">IFERROR(X65/R65,0)</f>
        <v>-1.06360153256711</v>
      </c>
      <c r="Z65" s="29" t="str">
        <f aca="false">IF(X65&gt;0,"Win",IF(X65&lt;0,"Loss","Flat"))</f>
        <v>Loss</v>
      </c>
      <c r="AA65" s="29" t="n">
        <f aca="false">ROUND((C65-B65)*1440,1)</f>
        <v>1</v>
      </c>
      <c r="AB65" s="29" t="str">
        <f aca="false">IF(AA65&lt;1,"a) &lt;1 min",IF(AA65&lt;10,"b) 1-10 min",IF(AA65&lt;60,"c) 10-60 min",IF(AA65&lt;240,"d) 1-4 h","e) 4 h+"))))</f>
        <v>b) 1-10 min</v>
      </c>
      <c r="AC65" s="29" t="str">
        <f aca="false">IF(P65&lt;10,"a) &lt;10",IF(P65&lt;20,"b) 10-20",IF(P65&lt;40,"c) 20-40",IF(P65&lt;80,"d) 40-80","e) 80+"))))</f>
        <v>b) 10-20</v>
      </c>
      <c r="AD65" s="31" t="n">
        <f aca="false">Summary!$C$5+SUM(X$2:X65)</f>
        <v>9940.23</v>
      </c>
      <c r="AE65" s="31" t="n">
        <f aca="false">MAX(AE64,AD65)</f>
        <v>10468.78</v>
      </c>
      <c r="AF65" s="31" t="n">
        <f aca="false">AE65-AD65</f>
        <v>528.550000000001</v>
      </c>
      <c r="AG65" s="30" t="n">
        <f aca="false">IFERROR(AF65/AE65,0)</f>
        <v>0.0504882135263136</v>
      </c>
    </row>
    <row r="66" customFormat="false" ht="15" hidden="false" customHeight="false" outlineLevel="0" collapsed="false">
      <c r="A66" s="29" t="n">
        <v>65</v>
      </c>
      <c r="B66" s="44" t="n">
        <v>44740.2270833333</v>
      </c>
      <c r="C66" s="44" t="n">
        <v>44740.2326041667</v>
      </c>
      <c r="D66" s="43" t="n">
        <f aca="false">INT(C66)</f>
        <v>44740</v>
      </c>
      <c r="E66" s="43" t="n">
        <f aca="false">D66-WEEKDAY(D66,3)</f>
        <v>44739</v>
      </c>
      <c r="F66" s="29" t="s">
        <v>146</v>
      </c>
      <c r="G66" s="29" t="n">
        <v>2022</v>
      </c>
      <c r="H66" s="29" t="s">
        <v>248</v>
      </c>
      <c r="I66" s="29" t="n">
        <v>5</v>
      </c>
      <c r="J66" s="29" t="s">
        <v>250</v>
      </c>
      <c r="K66" s="29" t="s">
        <v>251</v>
      </c>
      <c r="L66" s="29" t="n">
        <v>0.04</v>
      </c>
      <c r="M66" s="32" t="n">
        <v>11953.14</v>
      </c>
      <c r="N66" s="32" t="n">
        <v>11965.04</v>
      </c>
      <c r="O66" s="32" t="n">
        <v>11924.54</v>
      </c>
      <c r="P66" s="45" t="n">
        <f aca="false">ABS(M66-N66)</f>
        <v>11.9000000000015</v>
      </c>
      <c r="Q66" s="45" t="n">
        <f aca="false">IF(O66="","",ABS(O66-M66))</f>
        <v>28.5999999999985</v>
      </c>
      <c r="R66" s="31" t="n">
        <f aca="false">P66*L66*Summary!$C$6</f>
        <v>47.6000000000058</v>
      </c>
      <c r="S66" s="32" t="n">
        <v>11953.19</v>
      </c>
      <c r="T66" s="29" t="s">
        <v>255</v>
      </c>
      <c r="U66" s="45" t="n">
        <f aca="false">IF(J66="BUY",S66-M66,M66-S66)</f>
        <v>-0.0500000000010914</v>
      </c>
      <c r="V66" s="46" t="n">
        <v>0</v>
      </c>
      <c r="W66" s="46" t="n">
        <v>0</v>
      </c>
      <c r="X66" s="46" t="n">
        <v>-0.2</v>
      </c>
      <c r="Y66" s="33" t="n">
        <f aca="false">IFERROR(X66/R66,0)</f>
        <v>-0.00420168067226839</v>
      </c>
      <c r="Z66" s="29" t="str">
        <f aca="false">IF(X66&gt;0,"Win",IF(X66&lt;0,"Loss","Flat"))</f>
        <v>Loss</v>
      </c>
      <c r="AA66" s="29" t="n">
        <f aca="false">ROUND((C66-B66)*1440,1)</f>
        <v>8</v>
      </c>
      <c r="AB66" s="29" t="str">
        <f aca="false">IF(AA66&lt;1,"a) &lt;1 min",IF(AA66&lt;10,"b) 1-10 min",IF(AA66&lt;60,"c) 10-60 min",IF(AA66&lt;240,"d) 1-4 h","e) 4 h+"))))</f>
        <v>b) 1-10 min</v>
      </c>
      <c r="AC66" s="29" t="str">
        <f aca="false">IF(P66&lt;10,"a) &lt;10",IF(P66&lt;20,"b) 10-20",IF(P66&lt;40,"c) 20-40",IF(P66&lt;80,"d) 40-80","e) 80+"))))</f>
        <v>b) 10-20</v>
      </c>
      <c r="AD66" s="31" t="n">
        <f aca="false">Summary!$C$5+SUM(X$2:X66)</f>
        <v>9940.03</v>
      </c>
      <c r="AE66" s="31" t="n">
        <f aca="false">MAX(AE65,AD66)</f>
        <v>10468.78</v>
      </c>
      <c r="AF66" s="31" t="n">
        <f aca="false">AE66-AD66</f>
        <v>528.75</v>
      </c>
      <c r="AG66" s="30" t="n">
        <f aca="false">IFERROR(AF66/AE66,0)</f>
        <v>0.0505073179491784</v>
      </c>
    </row>
    <row r="67" customFormat="false" ht="15" hidden="false" customHeight="false" outlineLevel="0" collapsed="false">
      <c r="A67" s="29" t="n">
        <v>66</v>
      </c>
      <c r="B67" s="44" t="n">
        <v>44741.1555555556</v>
      </c>
      <c r="C67" s="44" t="n">
        <v>44741.1680092593</v>
      </c>
      <c r="D67" s="43" t="n">
        <f aca="false">INT(C67)</f>
        <v>44741</v>
      </c>
      <c r="E67" s="43" t="n">
        <f aca="false">D67-WEEKDAY(D67,3)</f>
        <v>44739</v>
      </c>
      <c r="F67" s="29" t="s">
        <v>146</v>
      </c>
      <c r="G67" s="29" t="n">
        <v>2022</v>
      </c>
      <c r="H67" s="29" t="s">
        <v>252</v>
      </c>
      <c r="I67" s="29" t="n">
        <v>3</v>
      </c>
      <c r="J67" s="29" t="s">
        <v>250</v>
      </c>
      <c r="K67" s="29" t="s">
        <v>251</v>
      </c>
      <c r="L67" s="29" t="n">
        <v>0.04</v>
      </c>
      <c r="M67" s="32" t="n">
        <v>11626.45</v>
      </c>
      <c r="N67" s="32" t="n">
        <v>11633.81</v>
      </c>
      <c r="O67" s="32" t="n">
        <v>11608.63</v>
      </c>
      <c r="P67" s="45" t="n">
        <f aca="false">ABS(M67-N67)</f>
        <v>7.35999999999876</v>
      </c>
      <c r="Q67" s="45" t="n">
        <f aca="false">IF(O67="","",ABS(O67-M67))</f>
        <v>17.8200000000015</v>
      </c>
      <c r="R67" s="31" t="n">
        <f aca="false">P67*L67*Summary!$C$6</f>
        <v>29.4399999999951</v>
      </c>
      <c r="S67" s="32" t="n">
        <v>11634.18</v>
      </c>
      <c r="T67" s="29" t="s">
        <v>249</v>
      </c>
      <c r="U67" s="45" t="n">
        <f aca="false">IF(J67="BUY",S67-M67,M67-S67)</f>
        <v>-7.72999999999956</v>
      </c>
      <c r="V67" s="46" t="n">
        <v>0</v>
      </c>
      <c r="W67" s="46" t="n">
        <v>0</v>
      </c>
      <c r="X67" s="46" t="n">
        <v>-30.92</v>
      </c>
      <c r="Y67" s="33" t="n">
        <f aca="false">IFERROR(X67/R67,0)</f>
        <v>-1.05027173913061</v>
      </c>
      <c r="Z67" s="29" t="str">
        <f aca="false">IF(X67&gt;0,"Win",IF(X67&lt;0,"Loss","Flat"))</f>
        <v>Loss</v>
      </c>
      <c r="AA67" s="29" t="n">
        <f aca="false">ROUND((C67-B67)*1440,1)</f>
        <v>17.9</v>
      </c>
      <c r="AB67" s="29" t="str">
        <f aca="false">IF(AA67&lt;1,"a) &lt;1 min",IF(AA67&lt;10,"b) 1-10 min",IF(AA67&lt;60,"c) 10-60 min",IF(AA67&lt;240,"d) 1-4 h","e) 4 h+"))))</f>
        <v>c) 10-60 min</v>
      </c>
      <c r="AC67" s="29" t="str">
        <f aca="false">IF(P67&lt;10,"a) &lt;10",IF(P67&lt;20,"b) 10-20",IF(P67&lt;40,"c) 20-40",IF(P67&lt;80,"d) 40-80","e) 80+"))))</f>
        <v>a) &lt;10</v>
      </c>
      <c r="AD67" s="31" t="n">
        <f aca="false">Summary!$C$5+SUM(X$2:X67)</f>
        <v>9909.11</v>
      </c>
      <c r="AE67" s="31" t="n">
        <f aca="false">MAX(AE66,AD67)</f>
        <v>10468.78</v>
      </c>
      <c r="AF67" s="31" t="n">
        <f aca="false">AE67-AD67</f>
        <v>559.67</v>
      </c>
      <c r="AG67" s="30" t="n">
        <f aca="false">IFERROR(AF67/AE67,0)</f>
        <v>0.0534608617240978</v>
      </c>
    </row>
    <row r="68" customFormat="false" ht="15" hidden="false" customHeight="false" outlineLevel="0" collapsed="false">
      <c r="A68" s="29" t="n">
        <v>67</v>
      </c>
      <c r="B68" s="44" t="n">
        <v>44742.3826388889</v>
      </c>
      <c r="C68" s="44" t="n">
        <v>44742.3838888889</v>
      </c>
      <c r="D68" s="43" t="n">
        <f aca="false">INT(C68)</f>
        <v>44742</v>
      </c>
      <c r="E68" s="43" t="n">
        <f aca="false">D68-WEEKDAY(D68,3)</f>
        <v>44739</v>
      </c>
      <c r="F68" s="29" t="s">
        <v>146</v>
      </c>
      <c r="G68" s="29" t="n">
        <v>2022</v>
      </c>
      <c r="H68" s="29" t="s">
        <v>253</v>
      </c>
      <c r="I68" s="29" t="n">
        <v>9</v>
      </c>
      <c r="J68" s="29" t="s">
        <v>250</v>
      </c>
      <c r="K68" s="29" t="s">
        <v>251</v>
      </c>
      <c r="L68" s="29" t="n">
        <v>0.04</v>
      </c>
      <c r="M68" s="32" t="n">
        <v>11524.84</v>
      </c>
      <c r="N68" s="32" t="n">
        <v>11535.54</v>
      </c>
      <c r="O68" s="32" t="n">
        <v>11498.63</v>
      </c>
      <c r="P68" s="45" t="n">
        <f aca="false">ABS(M68-N68)</f>
        <v>10.7000000000007</v>
      </c>
      <c r="Q68" s="45" t="n">
        <f aca="false">IF(O68="","",ABS(O68-M68))</f>
        <v>26.2100000000009</v>
      </c>
      <c r="R68" s="31" t="n">
        <f aca="false">P68*L68*Summary!$C$6</f>
        <v>42.8000000000029</v>
      </c>
      <c r="S68" s="32" t="n">
        <v>11535.71</v>
      </c>
      <c r="T68" s="29" t="s">
        <v>249</v>
      </c>
      <c r="U68" s="45" t="n">
        <f aca="false">IF(J68="BUY",S68-M68,M68-S68)</f>
        <v>-10.869999999999</v>
      </c>
      <c r="V68" s="46" t="n">
        <v>0</v>
      </c>
      <c r="W68" s="46" t="n">
        <v>0</v>
      </c>
      <c r="X68" s="46" t="n">
        <v>-43.48</v>
      </c>
      <c r="Y68" s="33" t="n">
        <f aca="false">IFERROR(X68/R68,0)</f>
        <v>-1.01588785046722</v>
      </c>
      <c r="Z68" s="29" t="str">
        <f aca="false">IF(X68&gt;0,"Win",IF(X68&lt;0,"Loss","Flat"))</f>
        <v>Loss</v>
      </c>
      <c r="AA68" s="29" t="n">
        <f aca="false">ROUND((C68-B68)*1440,1)</f>
        <v>1.8</v>
      </c>
      <c r="AB68" s="29" t="str">
        <f aca="false">IF(AA68&lt;1,"a) &lt;1 min",IF(AA68&lt;10,"b) 1-10 min",IF(AA68&lt;60,"c) 10-60 min",IF(AA68&lt;240,"d) 1-4 h","e) 4 h+"))))</f>
        <v>b) 1-10 min</v>
      </c>
      <c r="AC68" s="29" t="str">
        <f aca="false">IF(P68&lt;10,"a) &lt;10",IF(P68&lt;20,"b) 10-20",IF(P68&lt;40,"c) 20-40",IF(P68&lt;80,"d) 40-80","e) 80+"))))</f>
        <v>b) 10-20</v>
      </c>
      <c r="AD68" s="31" t="n">
        <f aca="false">Summary!$C$5+SUM(X$2:X68)</f>
        <v>9865.63</v>
      </c>
      <c r="AE68" s="31" t="n">
        <f aca="false">MAX(AE67,AD68)</f>
        <v>10468.78</v>
      </c>
      <c r="AF68" s="31" t="n">
        <f aca="false">AE68-AD68</f>
        <v>603.150000000002</v>
      </c>
      <c r="AG68" s="30" t="n">
        <f aca="false">IFERROR(AF68/AE68,0)</f>
        <v>0.0576141632549353</v>
      </c>
    </row>
    <row r="69" customFormat="false" ht="15" hidden="false" customHeight="false" outlineLevel="0" collapsed="false">
      <c r="A69" s="29" t="n">
        <v>68</v>
      </c>
      <c r="B69" s="44" t="n">
        <v>44747.0659722222</v>
      </c>
      <c r="C69" s="44" t="n">
        <v>44747.0667013889</v>
      </c>
      <c r="D69" s="43" t="n">
        <f aca="false">INT(C69)</f>
        <v>44747</v>
      </c>
      <c r="E69" s="43" t="n">
        <f aca="false">D69-WEEKDAY(D69,3)</f>
        <v>44746</v>
      </c>
      <c r="F69" s="29" t="s">
        <v>147</v>
      </c>
      <c r="G69" s="29" t="n">
        <v>2022</v>
      </c>
      <c r="H69" s="29" t="s">
        <v>248</v>
      </c>
      <c r="I69" s="29" t="n">
        <v>1</v>
      </c>
      <c r="J69" s="29" t="s">
        <v>246</v>
      </c>
      <c r="K69" s="29" t="s">
        <v>247</v>
      </c>
      <c r="L69" s="29" t="n">
        <v>0.04</v>
      </c>
      <c r="M69" s="32" t="n">
        <v>11588.06</v>
      </c>
      <c r="N69" s="32" t="n">
        <v>11582.7</v>
      </c>
      <c r="O69" s="32" t="n">
        <v>11601.32</v>
      </c>
      <c r="P69" s="45" t="n">
        <f aca="false">ABS(M69-N69)</f>
        <v>5.35999999999876</v>
      </c>
      <c r="Q69" s="45" t="n">
        <f aca="false">IF(O69="","",ABS(O69-M69))</f>
        <v>13.2600000000002</v>
      </c>
      <c r="R69" s="31" t="n">
        <f aca="false">P69*L69*Summary!$C$6</f>
        <v>21.4399999999951</v>
      </c>
      <c r="S69" s="32" t="n">
        <v>11582.6</v>
      </c>
      <c r="T69" s="29" t="s">
        <v>249</v>
      </c>
      <c r="U69" s="45" t="n">
        <f aca="false">IF(J69="BUY",S69-M69,M69-S69)</f>
        <v>-5.45999999999913</v>
      </c>
      <c r="V69" s="46" t="n">
        <v>0</v>
      </c>
      <c r="W69" s="46" t="n">
        <v>0</v>
      </c>
      <c r="X69" s="46" t="n">
        <v>-21.84</v>
      </c>
      <c r="Y69" s="33" t="n">
        <f aca="false">IFERROR(X69/R69,0)</f>
        <v>-1.01865671641815</v>
      </c>
      <c r="Z69" s="29" t="str">
        <f aca="false">IF(X69&gt;0,"Win",IF(X69&lt;0,"Loss","Flat"))</f>
        <v>Loss</v>
      </c>
      <c r="AA69" s="29" t="n">
        <f aca="false">ROUND((C69-B69)*1440,1)</f>
        <v>1.1</v>
      </c>
      <c r="AB69" s="29" t="str">
        <f aca="false">IF(AA69&lt;1,"a) &lt;1 min",IF(AA69&lt;10,"b) 1-10 min",IF(AA69&lt;60,"c) 10-60 min",IF(AA69&lt;240,"d) 1-4 h","e) 4 h+"))))</f>
        <v>b) 1-10 min</v>
      </c>
      <c r="AC69" s="29" t="str">
        <f aca="false">IF(P69&lt;10,"a) &lt;10",IF(P69&lt;20,"b) 10-20",IF(P69&lt;40,"c) 20-40",IF(P69&lt;80,"d) 40-80","e) 80+"))))</f>
        <v>a) &lt;10</v>
      </c>
      <c r="AD69" s="31" t="n">
        <f aca="false">Summary!$C$5+SUM(X$2:X69)</f>
        <v>9843.79</v>
      </c>
      <c r="AE69" s="31" t="n">
        <f aca="false">MAX(AE68,AD69)</f>
        <v>10468.78</v>
      </c>
      <c r="AF69" s="31" t="n">
        <f aca="false">AE69-AD69</f>
        <v>624.99</v>
      </c>
      <c r="AG69" s="30" t="n">
        <f aca="false">IFERROR(AF69/AE69,0)</f>
        <v>0.0597003662317863</v>
      </c>
    </row>
    <row r="70" customFormat="false" ht="15" hidden="false" customHeight="false" outlineLevel="0" collapsed="false">
      <c r="A70" s="29" t="n">
        <v>69</v>
      </c>
      <c r="B70" s="44" t="n">
        <v>44747.6180555556</v>
      </c>
      <c r="C70" s="44" t="n">
        <v>44747.6242939815</v>
      </c>
      <c r="D70" s="43" t="n">
        <f aca="false">INT(C70)</f>
        <v>44747</v>
      </c>
      <c r="E70" s="43" t="n">
        <f aca="false">D70-WEEKDAY(D70,3)</f>
        <v>44746</v>
      </c>
      <c r="F70" s="29" t="s">
        <v>147</v>
      </c>
      <c r="G70" s="29" t="n">
        <v>2022</v>
      </c>
      <c r="H70" s="29" t="s">
        <v>248</v>
      </c>
      <c r="I70" s="29" t="n">
        <v>14</v>
      </c>
      <c r="J70" s="29" t="s">
        <v>250</v>
      </c>
      <c r="K70" s="29" t="s">
        <v>251</v>
      </c>
      <c r="L70" s="29" t="n">
        <v>0.04</v>
      </c>
      <c r="M70" s="32" t="n">
        <v>11465.81</v>
      </c>
      <c r="N70" s="32" t="n">
        <v>11472.28</v>
      </c>
      <c r="O70" s="32" t="n">
        <v>11449.68</v>
      </c>
      <c r="P70" s="45" t="n">
        <f aca="false">ABS(M70-N70)</f>
        <v>6.47000000000116</v>
      </c>
      <c r="Q70" s="45" t="n">
        <f aca="false">IF(O70="","",ABS(O70-M70))</f>
        <v>16.1299999999992</v>
      </c>
      <c r="R70" s="31" t="n">
        <f aca="false">P70*L70*Summary!$C$6</f>
        <v>25.8800000000047</v>
      </c>
      <c r="S70" s="32" t="n">
        <v>11449.66</v>
      </c>
      <c r="T70" s="29" t="s">
        <v>227</v>
      </c>
      <c r="U70" s="45" t="n">
        <f aca="false">IF(J70="BUY",S70-M70,M70-S70)</f>
        <v>16.1499999999996</v>
      </c>
      <c r="V70" s="46" t="n">
        <v>0</v>
      </c>
      <c r="W70" s="46" t="n">
        <v>0</v>
      </c>
      <c r="X70" s="46" t="n">
        <v>64.6</v>
      </c>
      <c r="Y70" s="33" t="n">
        <f aca="false">IFERROR(X70/R70,0)</f>
        <v>2.49613601236431</v>
      </c>
      <c r="Z70" s="29" t="str">
        <f aca="false">IF(X70&gt;0,"Win",IF(X70&lt;0,"Loss","Flat"))</f>
        <v>Win</v>
      </c>
      <c r="AA70" s="29" t="n">
        <f aca="false">ROUND((C70-B70)*1440,1)</f>
        <v>9</v>
      </c>
      <c r="AB70" s="29" t="str">
        <f aca="false">IF(AA70&lt;1,"a) &lt;1 min",IF(AA70&lt;10,"b) 1-10 min",IF(AA70&lt;60,"c) 10-60 min",IF(AA70&lt;240,"d) 1-4 h","e) 4 h+"))))</f>
        <v>b) 1-10 min</v>
      </c>
      <c r="AC70" s="29" t="str">
        <f aca="false">IF(P70&lt;10,"a) &lt;10",IF(P70&lt;20,"b) 10-20",IF(P70&lt;40,"c) 20-40",IF(P70&lt;80,"d) 40-80","e) 80+"))))</f>
        <v>a) &lt;10</v>
      </c>
      <c r="AD70" s="31" t="n">
        <f aca="false">Summary!$C$5+SUM(X$2:X70)</f>
        <v>9908.39</v>
      </c>
      <c r="AE70" s="31" t="n">
        <f aca="false">MAX(AE69,AD70)</f>
        <v>10468.78</v>
      </c>
      <c r="AF70" s="31" t="n">
        <f aca="false">AE70-AD70</f>
        <v>560.390000000001</v>
      </c>
      <c r="AG70" s="30" t="n">
        <f aca="false">IFERROR(AF70/AE70,0)</f>
        <v>0.0535296376464116</v>
      </c>
    </row>
    <row r="71" customFormat="false" ht="15" hidden="false" customHeight="false" outlineLevel="0" collapsed="false">
      <c r="A71" s="29" t="n">
        <v>70</v>
      </c>
      <c r="B71" s="44" t="n">
        <v>44748.0430555556</v>
      </c>
      <c r="C71" s="44" t="n">
        <v>44748.048275463</v>
      </c>
      <c r="D71" s="43" t="n">
        <f aca="false">INT(C71)</f>
        <v>44748</v>
      </c>
      <c r="E71" s="43" t="n">
        <f aca="false">D71-WEEKDAY(D71,3)</f>
        <v>44746</v>
      </c>
      <c r="F71" s="29" t="s">
        <v>147</v>
      </c>
      <c r="G71" s="29" t="n">
        <v>2022</v>
      </c>
      <c r="H71" s="29" t="s">
        <v>252</v>
      </c>
      <c r="I71" s="29" t="n">
        <v>1</v>
      </c>
      <c r="J71" s="29" t="s">
        <v>246</v>
      </c>
      <c r="K71" s="29" t="s">
        <v>247</v>
      </c>
      <c r="L71" s="29" t="n">
        <v>0.04</v>
      </c>
      <c r="M71" s="32" t="n">
        <v>11785.05</v>
      </c>
      <c r="N71" s="32" t="n">
        <v>11776.01</v>
      </c>
      <c r="O71" s="32" t="n">
        <v>11807.2</v>
      </c>
      <c r="P71" s="45" t="n">
        <f aca="false">ABS(M71-N71)</f>
        <v>9.03999999999905</v>
      </c>
      <c r="Q71" s="45" t="n">
        <f aca="false">IF(O71="","",ABS(O71-M71))</f>
        <v>22.1500000000015</v>
      </c>
      <c r="R71" s="31" t="n">
        <f aca="false">P71*L71*Summary!$C$6</f>
        <v>36.1599999999962</v>
      </c>
      <c r="S71" s="32" t="n">
        <v>11785.03</v>
      </c>
      <c r="T71" s="29" t="s">
        <v>255</v>
      </c>
      <c r="U71" s="45" t="n">
        <f aca="false">IF(J71="BUY",S71-M71,M71-S71)</f>
        <v>-0.0199999999986176</v>
      </c>
      <c r="V71" s="46" t="n">
        <v>0</v>
      </c>
      <c r="W71" s="46" t="n">
        <v>0</v>
      </c>
      <c r="X71" s="46" t="n">
        <v>-0.08</v>
      </c>
      <c r="Y71" s="33" t="n">
        <f aca="false">IFERROR(X71/R71,0)</f>
        <v>-0.00221238938053121</v>
      </c>
      <c r="Z71" s="29" t="str">
        <f aca="false">IF(X71&gt;0,"Win",IF(X71&lt;0,"Loss","Flat"))</f>
        <v>Loss</v>
      </c>
      <c r="AA71" s="29" t="n">
        <f aca="false">ROUND((C71-B71)*1440,1)</f>
        <v>7.5</v>
      </c>
      <c r="AB71" s="29" t="str">
        <f aca="false">IF(AA71&lt;1,"a) &lt;1 min",IF(AA71&lt;10,"b) 1-10 min",IF(AA71&lt;60,"c) 10-60 min",IF(AA71&lt;240,"d) 1-4 h","e) 4 h+"))))</f>
        <v>b) 1-10 min</v>
      </c>
      <c r="AC71" s="29" t="str">
        <f aca="false">IF(P71&lt;10,"a) &lt;10",IF(P71&lt;20,"b) 10-20",IF(P71&lt;40,"c) 20-40",IF(P71&lt;80,"d) 40-80","e) 80+"))))</f>
        <v>a) &lt;10</v>
      </c>
      <c r="AD71" s="31" t="n">
        <f aca="false">Summary!$C$5+SUM(X$2:X71)</f>
        <v>9908.31</v>
      </c>
      <c r="AE71" s="31" t="n">
        <f aca="false">MAX(AE70,AD71)</f>
        <v>10468.78</v>
      </c>
      <c r="AF71" s="31" t="n">
        <f aca="false">AE71-AD71</f>
        <v>560.470000000001</v>
      </c>
      <c r="AG71" s="30" t="n">
        <f aca="false">IFERROR(AF71/AE71,0)</f>
        <v>0.0535372794155576</v>
      </c>
    </row>
    <row r="72" customFormat="false" ht="15" hidden="false" customHeight="false" outlineLevel="0" collapsed="false">
      <c r="A72" s="29" t="n">
        <v>71</v>
      </c>
      <c r="B72" s="44" t="n">
        <v>44749.6909722222</v>
      </c>
      <c r="C72" s="44" t="n">
        <v>44749.7448263889</v>
      </c>
      <c r="D72" s="43" t="n">
        <f aca="false">INT(C72)</f>
        <v>44749</v>
      </c>
      <c r="E72" s="43" t="n">
        <f aca="false">D72-WEEKDAY(D72,3)</f>
        <v>44746</v>
      </c>
      <c r="F72" s="29" t="s">
        <v>147</v>
      </c>
      <c r="G72" s="29" t="n">
        <v>2022</v>
      </c>
      <c r="H72" s="29" t="s">
        <v>253</v>
      </c>
      <c r="I72" s="29" t="n">
        <v>16</v>
      </c>
      <c r="J72" s="29" t="s">
        <v>246</v>
      </c>
      <c r="K72" s="29" t="s">
        <v>247</v>
      </c>
      <c r="L72" s="29" t="n">
        <v>0.04</v>
      </c>
      <c r="M72" s="32" t="n">
        <v>11959.08</v>
      </c>
      <c r="N72" s="32" t="n">
        <v>11928.64</v>
      </c>
      <c r="O72" s="32" t="n">
        <v>12037.18</v>
      </c>
      <c r="P72" s="45" t="n">
        <f aca="false">ABS(M72-N72)</f>
        <v>30.4400000000005</v>
      </c>
      <c r="Q72" s="45" t="n">
        <f aca="false">IF(O72="","",ABS(O72-M72))</f>
        <v>78.1000000000004</v>
      </c>
      <c r="R72" s="31" t="n">
        <f aca="false">P72*L72*Summary!$C$6</f>
        <v>121.760000000002</v>
      </c>
      <c r="S72" s="32" t="n">
        <v>12037.21</v>
      </c>
      <c r="T72" s="29" t="s">
        <v>227</v>
      </c>
      <c r="U72" s="45" t="n">
        <f aca="false">IF(J72="BUY",S72-M72,M72-S72)</f>
        <v>78.1299999999992</v>
      </c>
      <c r="V72" s="46" t="n">
        <v>0</v>
      </c>
      <c r="W72" s="46" t="n">
        <v>0</v>
      </c>
      <c r="X72" s="46" t="n">
        <v>312.52</v>
      </c>
      <c r="Y72" s="33" t="n">
        <f aca="false">IFERROR(X72/R72,0)</f>
        <v>2.56668856767407</v>
      </c>
      <c r="Z72" s="29" t="str">
        <f aca="false">IF(X72&gt;0,"Win",IF(X72&lt;0,"Loss","Flat"))</f>
        <v>Win</v>
      </c>
      <c r="AA72" s="29" t="n">
        <f aca="false">ROUND((C72-B72)*1440,1)</f>
        <v>77.6</v>
      </c>
      <c r="AB72" s="29" t="str">
        <f aca="false">IF(AA72&lt;1,"a) &lt;1 min",IF(AA72&lt;10,"b) 1-10 min",IF(AA72&lt;60,"c) 10-60 min",IF(AA72&lt;240,"d) 1-4 h","e) 4 h+"))))</f>
        <v>d) 1-4 h</v>
      </c>
      <c r="AC72" s="29" t="str">
        <f aca="false">IF(P72&lt;10,"a) &lt;10",IF(P72&lt;20,"b) 10-20",IF(P72&lt;40,"c) 20-40",IF(P72&lt;80,"d) 40-80","e) 80+"))))</f>
        <v>c) 20-40</v>
      </c>
      <c r="AD72" s="31" t="n">
        <f aca="false">Summary!$C$5+SUM(X$2:X72)</f>
        <v>10220.83</v>
      </c>
      <c r="AE72" s="31" t="n">
        <f aca="false">MAX(AE71,AD72)</f>
        <v>10468.78</v>
      </c>
      <c r="AF72" s="31" t="n">
        <f aca="false">AE72-AD72</f>
        <v>247.950000000001</v>
      </c>
      <c r="AG72" s="30" t="n">
        <f aca="false">IFERROR(AF72/AE72,0)</f>
        <v>0.0236847082468063</v>
      </c>
    </row>
    <row r="73" customFormat="false" ht="15" hidden="false" customHeight="false" outlineLevel="0" collapsed="false">
      <c r="A73" s="29" t="n">
        <v>72</v>
      </c>
      <c r="B73" s="44" t="n">
        <v>44750.75625</v>
      </c>
      <c r="C73" s="44" t="n">
        <v>44750.7598263889</v>
      </c>
      <c r="D73" s="43" t="n">
        <f aca="false">INT(C73)</f>
        <v>44750</v>
      </c>
      <c r="E73" s="43" t="n">
        <f aca="false">D73-WEEKDAY(D73,3)</f>
        <v>44746</v>
      </c>
      <c r="F73" s="29" t="s">
        <v>147</v>
      </c>
      <c r="G73" s="29" t="n">
        <v>2022</v>
      </c>
      <c r="H73" s="29" t="s">
        <v>254</v>
      </c>
      <c r="I73" s="29" t="n">
        <v>18</v>
      </c>
      <c r="J73" s="29" t="s">
        <v>246</v>
      </c>
      <c r="K73" s="29" t="s">
        <v>247</v>
      </c>
      <c r="L73" s="29" t="n">
        <v>0.04</v>
      </c>
      <c r="M73" s="32" t="n">
        <v>12137.78</v>
      </c>
      <c r="N73" s="32" t="n">
        <v>12128.53</v>
      </c>
      <c r="O73" s="32" t="n">
        <v>12160.57</v>
      </c>
      <c r="P73" s="45" t="n">
        <f aca="false">ABS(M73-N73)</f>
        <v>9.25</v>
      </c>
      <c r="Q73" s="45" t="n">
        <f aca="false">IF(O73="","",ABS(O73-M73))</f>
        <v>22.7899999999991</v>
      </c>
      <c r="R73" s="31" t="n">
        <f aca="false">P73*L73*Summary!$C$6</f>
        <v>37</v>
      </c>
      <c r="S73" s="32" t="n">
        <v>12137.71</v>
      </c>
      <c r="T73" s="29" t="s">
        <v>255</v>
      </c>
      <c r="U73" s="45" t="n">
        <f aca="false">IF(J73="BUY",S73-M73,M73-S73)</f>
        <v>-0.070000000001528</v>
      </c>
      <c r="V73" s="46" t="n">
        <v>0</v>
      </c>
      <c r="W73" s="46" t="n">
        <v>0</v>
      </c>
      <c r="X73" s="46" t="n">
        <v>-0.28</v>
      </c>
      <c r="Y73" s="33" t="n">
        <f aca="false">IFERROR(X73/R73,0)</f>
        <v>-0.00756756756756757</v>
      </c>
      <c r="Z73" s="29" t="str">
        <f aca="false">IF(X73&gt;0,"Win",IF(X73&lt;0,"Loss","Flat"))</f>
        <v>Loss</v>
      </c>
      <c r="AA73" s="29" t="n">
        <f aca="false">ROUND((C73-B73)*1440,1)</f>
        <v>5.2</v>
      </c>
      <c r="AB73" s="29" t="str">
        <f aca="false">IF(AA73&lt;1,"a) &lt;1 min",IF(AA73&lt;10,"b) 1-10 min",IF(AA73&lt;60,"c) 10-60 min",IF(AA73&lt;240,"d) 1-4 h","e) 4 h+"))))</f>
        <v>b) 1-10 min</v>
      </c>
      <c r="AC73" s="29" t="str">
        <f aca="false">IF(P73&lt;10,"a) &lt;10",IF(P73&lt;20,"b) 10-20",IF(P73&lt;40,"c) 20-40",IF(P73&lt;80,"d) 40-80","e) 80+"))))</f>
        <v>a) &lt;10</v>
      </c>
      <c r="AD73" s="31" t="n">
        <f aca="false">Summary!$C$5+SUM(X$2:X73)</f>
        <v>10220.55</v>
      </c>
      <c r="AE73" s="31" t="n">
        <f aca="false">MAX(AE72,AD73)</f>
        <v>10468.78</v>
      </c>
      <c r="AF73" s="31" t="n">
        <f aca="false">AE73-AD73</f>
        <v>248.230000000001</v>
      </c>
      <c r="AG73" s="30" t="n">
        <f aca="false">IFERROR(AF73/AE73,0)</f>
        <v>0.0237114544388173</v>
      </c>
    </row>
    <row r="74" customFormat="false" ht="15" hidden="false" customHeight="false" outlineLevel="0" collapsed="false">
      <c r="A74" s="29" t="n">
        <v>73</v>
      </c>
      <c r="B74" s="44" t="n">
        <v>44753.6923611111</v>
      </c>
      <c r="C74" s="44" t="n">
        <v>44753.7023726852</v>
      </c>
      <c r="D74" s="43" t="n">
        <f aca="false">INT(C74)</f>
        <v>44753</v>
      </c>
      <c r="E74" s="43" t="n">
        <f aca="false">D74-WEEKDAY(D74,3)</f>
        <v>44753</v>
      </c>
      <c r="F74" s="29" t="s">
        <v>147</v>
      </c>
      <c r="G74" s="29" t="n">
        <v>2022</v>
      </c>
      <c r="H74" s="29" t="s">
        <v>245</v>
      </c>
      <c r="I74" s="29" t="n">
        <v>16</v>
      </c>
      <c r="J74" s="29" t="s">
        <v>250</v>
      </c>
      <c r="K74" s="29" t="s">
        <v>251</v>
      </c>
      <c r="L74" s="29" t="n">
        <v>0.04</v>
      </c>
      <c r="M74" s="32" t="n">
        <v>11913.79</v>
      </c>
      <c r="N74" s="32" t="n">
        <v>11943.85</v>
      </c>
      <c r="O74" s="32" t="n">
        <v>11840.82</v>
      </c>
      <c r="P74" s="45" t="n">
        <f aca="false">ABS(M74-N74)</f>
        <v>30.0599999999995</v>
      </c>
      <c r="Q74" s="45" t="n">
        <f aca="false">IF(O74="","",ABS(O74-M74))</f>
        <v>72.9700000000012</v>
      </c>
      <c r="R74" s="31" t="n">
        <f aca="false">P74*L74*Summary!$C$6</f>
        <v>120.239999999998</v>
      </c>
      <c r="S74" s="32" t="n">
        <v>11840.64</v>
      </c>
      <c r="T74" s="29" t="s">
        <v>227</v>
      </c>
      <c r="U74" s="45" t="n">
        <f aca="false">IF(J74="BUY",S74-M74,M74-S74)</f>
        <v>73.1500000000015</v>
      </c>
      <c r="V74" s="46" t="n">
        <v>0</v>
      </c>
      <c r="W74" s="46" t="n">
        <v>0</v>
      </c>
      <c r="X74" s="46" t="n">
        <v>292.6</v>
      </c>
      <c r="Y74" s="33" t="n">
        <f aca="false">IFERROR(X74/R74,0)</f>
        <v>2.43346640053231</v>
      </c>
      <c r="Z74" s="29" t="str">
        <f aca="false">IF(X74&gt;0,"Win",IF(X74&lt;0,"Loss","Flat"))</f>
        <v>Win</v>
      </c>
      <c r="AA74" s="29" t="n">
        <f aca="false">ROUND((C74-B74)*1440,1)</f>
        <v>14.4</v>
      </c>
      <c r="AB74" s="29" t="str">
        <f aca="false">IF(AA74&lt;1,"a) &lt;1 min",IF(AA74&lt;10,"b) 1-10 min",IF(AA74&lt;60,"c) 10-60 min",IF(AA74&lt;240,"d) 1-4 h","e) 4 h+"))))</f>
        <v>c) 10-60 min</v>
      </c>
      <c r="AC74" s="29" t="str">
        <f aca="false">IF(P74&lt;10,"a) &lt;10",IF(P74&lt;20,"b) 10-20",IF(P74&lt;40,"c) 20-40",IF(P74&lt;80,"d) 40-80","e) 80+"))))</f>
        <v>c) 20-40</v>
      </c>
      <c r="AD74" s="31" t="n">
        <f aca="false">Summary!$C$5+SUM(X$2:X74)</f>
        <v>10513.15</v>
      </c>
      <c r="AE74" s="31" t="n">
        <f aca="false">MAX(AE73,AD74)</f>
        <v>10513.15</v>
      </c>
      <c r="AF74" s="31" t="n">
        <f aca="false">AE74-AD74</f>
        <v>0</v>
      </c>
      <c r="AG74" s="30" t="n">
        <f aca="false">IFERROR(AF74/AE74,0)</f>
        <v>0</v>
      </c>
    </row>
    <row r="75" customFormat="false" ht="15" hidden="false" customHeight="false" outlineLevel="0" collapsed="false">
      <c r="A75" s="29" t="n">
        <v>74</v>
      </c>
      <c r="B75" s="44" t="n">
        <v>44754.1597222222</v>
      </c>
      <c r="C75" s="44" t="n">
        <v>44754.1627662037</v>
      </c>
      <c r="D75" s="43" t="n">
        <f aca="false">INT(C75)</f>
        <v>44754</v>
      </c>
      <c r="E75" s="43" t="n">
        <f aca="false">D75-WEEKDAY(D75,3)</f>
        <v>44753</v>
      </c>
      <c r="F75" s="29" t="s">
        <v>147</v>
      </c>
      <c r="G75" s="29" t="n">
        <v>2022</v>
      </c>
      <c r="H75" s="29" t="s">
        <v>248</v>
      </c>
      <c r="I75" s="29" t="n">
        <v>3</v>
      </c>
      <c r="J75" s="29" t="s">
        <v>250</v>
      </c>
      <c r="K75" s="29" t="s">
        <v>251</v>
      </c>
      <c r="L75" s="29" t="n">
        <v>0.04</v>
      </c>
      <c r="M75" s="32" t="n">
        <v>11810.82</v>
      </c>
      <c r="N75" s="32" t="n">
        <v>11822.31</v>
      </c>
      <c r="O75" s="32" t="n">
        <v>11782.99</v>
      </c>
      <c r="P75" s="45" t="n">
        <f aca="false">ABS(M75-N75)</f>
        <v>11.4899999999998</v>
      </c>
      <c r="Q75" s="45" t="n">
        <f aca="false">IF(O75="","",ABS(O75-M75))</f>
        <v>27.8299999999999</v>
      </c>
      <c r="R75" s="31" t="n">
        <f aca="false">P75*L75*Summary!$C$6</f>
        <v>45.9599999999991</v>
      </c>
      <c r="S75" s="32" t="n">
        <v>11782.91</v>
      </c>
      <c r="T75" s="29" t="s">
        <v>227</v>
      </c>
      <c r="U75" s="45" t="n">
        <f aca="false">IF(J75="BUY",S75-M75,M75-S75)</f>
        <v>27.9099999999999</v>
      </c>
      <c r="V75" s="46" t="n">
        <v>0</v>
      </c>
      <c r="W75" s="46" t="n">
        <v>0</v>
      </c>
      <c r="X75" s="46" t="n">
        <v>111.64</v>
      </c>
      <c r="Y75" s="33" t="n">
        <f aca="false">IFERROR(X75/R75,0)</f>
        <v>2.42906875543956</v>
      </c>
      <c r="Z75" s="29" t="str">
        <f aca="false">IF(X75&gt;0,"Win",IF(X75&lt;0,"Loss","Flat"))</f>
        <v>Win</v>
      </c>
      <c r="AA75" s="29" t="n">
        <f aca="false">ROUND((C75-B75)*1440,1)</f>
        <v>4.4</v>
      </c>
      <c r="AB75" s="29" t="str">
        <f aca="false">IF(AA75&lt;1,"a) &lt;1 min",IF(AA75&lt;10,"b) 1-10 min",IF(AA75&lt;60,"c) 10-60 min",IF(AA75&lt;240,"d) 1-4 h","e) 4 h+"))))</f>
        <v>b) 1-10 min</v>
      </c>
      <c r="AC75" s="29" t="str">
        <f aca="false">IF(P75&lt;10,"a) &lt;10",IF(P75&lt;20,"b) 10-20",IF(P75&lt;40,"c) 20-40",IF(P75&lt;80,"d) 40-80","e) 80+"))))</f>
        <v>b) 10-20</v>
      </c>
      <c r="AD75" s="31" t="n">
        <f aca="false">Summary!$C$5+SUM(X$2:X75)</f>
        <v>10624.79</v>
      </c>
      <c r="AE75" s="31" t="n">
        <f aca="false">MAX(AE74,AD75)</f>
        <v>10624.79</v>
      </c>
      <c r="AF75" s="31" t="n">
        <f aca="false">AE75-AD75</f>
        <v>0</v>
      </c>
      <c r="AG75" s="30" t="n">
        <f aca="false">IFERROR(AF75/AE75,0)</f>
        <v>0</v>
      </c>
    </row>
    <row r="76" customFormat="false" ht="15" hidden="false" customHeight="false" outlineLevel="0" collapsed="false">
      <c r="A76" s="29" t="n">
        <v>75</v>
      </c>
      <c r="B76" s="44" t="n">
        <v>44755.6465277778</v>
      </c>
      <c r="C76" s="44" t="n">
        <v>44755.6882060185</v>
      </c>
      <c r="D76" s="43" t="n">
        <f aca="false">INT(C76)</f>
        <v>44755</v>
      </c>
      <c r="E76" s="43" t="n">
        <f aca="false">D76-WEEKDAY(D76,3)</f>
        <v>44753</v>
      </c>
      <c r="F76" s="29" t="s">
        <v>147</v>
      </c>
      <c r="G76" s="29" t="n">
        <v>2022</v>
      </c>
      <c r="H76" s="29" t="s">
        <v>252</v>
      </c>
      <c r="I76" s="29" t="n">
        <v>15</v>
      </c>
      <c r="J76" s="29" t="s">
        <v>250</v>
      </c>
      <c r="K76" s="29" t="s">
        <v>251</v>
      </c>
      <c r="L76" s="29" t="n">
        <v>0.04</v>
      </c>
      <c r="M76" s="32" t="n">
        <v>11578.32</v>
      </c>
      <c r="N76" s="32" t="n">
        <v>11679.11</v>
      </c>
      <c r="O76" s="32" t="n">
        <v>11331.66</v>
      </c>
      <c r="P76" s="45" t="n">
        <f aca="false">ABS(M76-N76)</f>
        <v>100.790000000001</v>
      </c>
      <c r="Q76" s="45" t="n">
        <f aca="false">IF(O76="","",ABS(O76-M76))</f>
        <v>246.66</v>
      </c>
      <c r="R76" s="31" t="n">
        <f aca="false">P76*L76*Summary!$C$6</f>
        <v>403.160000000004</v>
      </c>
      <c r="S76" s="32" t="n">
        <v>11579.72</v>
      </c>
      <c r="T76" s="29" t="s">
        <v>255</v>
      </c>
      <c r="U76" s="45" t="n">
        <f aca="false">IF(J76="BUY",S76-M76,M76-S76)</f>
        <v>-1.39999999999964</v>
      </c>
      <c r="V76" s="46" t="n">
        <v>0</v>
      </c>
      <c r="W76" s="46" t="n">
        <v>0</v>
      </c>
      <c r="X76" s="46" t="n">
        <v>-5.6</v>
      </c>
      <c r="Y76" s="33" t="n">
        <f aca="false">IFERROR(X76/R76,0)</f>
        <v>-0.0138902668915566</v>
      </c>
      <c r="Z76" s="29" t="str">
        <f aca="false">IF(X76&gt;0,"Win",IF(X76&lt;0,"Loss","Flat"))</f>
        <v>Loss</v>
      </c>
      <c r="AA76" s="29" t="n">
        <f aca="false">ROUND((C76-B76)*1440,1)</f>
        <v>60</v>
      </c>
      <c r="AB76" s="29" t="str">
        <f aca="false">IF(AA76&lt;1,"a) &lt;1 min",IF(AA76&lt;10,"b) 1-10 min",IF(AA76&lt;60,"c) 10-60 min",IF(AA76&lt;240,"d) 1-4 h","e) 4 h+"))))</f>
        <v>d) 1-4 h</v>
      </c>
      <c r="AC76" s="29" t="str">
        <f aca="false">IF(P76&lt;10,"a) &lt;10",IF(P76&lt;20,"b) 10-20",IF(P76&lt;40,"c) 20-40",IF(P76&lt;80,"d) 40-80","e) 80+"))))</f>
        <v>e) 80+</v>
      </c>
      <c r="AD76" s="31" t="n">
        <f aca="false">Summary!$C$5+SUM(X$2:X76)</f>
        <v>10619.19</v>
      </c>
      <c r="AE76" s="31" t="n">
        <f aca="false">MAX(AE75,AD76)</f>
        <v>10624.79</v>
      </c>
      <c r="AF76" s="31" t="n">
        <f aca="false">AE76-AD76</f>
        <v>5.60000000000036</v>
      </c>
      <c r="AG76" s="30" t="n">
        <f aca="false">IFERROR(AF76/AE76,0)</f>
        <v>0.000527069240897972</v>
      </c>
    </row>
    <row r="77" customFormat="false" ht="15" hidden="false" customHeight="false" outlineLevel="0" collapsed="false">
      <c r="A77" s="29" t="n">
        <v>76</v>
      </c>
      <c r="B77" s="44" t="n">
        <v>44757.0680555556</v>
      </c>
      <c r="C77" s="44" t="n">
        <v>44757.072962963</v>
      </c>
      <c r="D77" s="43" t="n">
        <f aca="false">INT(C77)</f>
        <v>44757</v>
      </c>
      <c r="E77" s="43" t="n">
        <f aca="false">D77-WEEKDAY(D77,3)</f>
        <v>44753</v>
      </c>
      <c r="F77" s="29" t="s">
        <v>147</v>
      </c>
      <c r="G77" s="29" t="n">
        <v>2022</v>
      </c>
      <c r="H77" s="29" t="s">
        <v>254</v>
      </c>
      <c r="I77" s="29" t="n">
        <v>1</v>
      </c>
      <c r="J77" s="29" t="s">
        <v>246</v>
      </c>
      <c r="K77" s="29" t="s">
        <v>247</v>
      </c>
      <c r="L77" s="29" t="n">
        <v>0.04</v>
      </c>
      <c r="M77" s="32" t="n">
        <v>11806.82</v>
      </c>
      <c r="N77" s="32" t="n">
        <v>11802.03</v>
      </c>
      <c r="O77" s="32" t="n">
        <v>11818.91</v>
      </c>
      <c r="P77" s="45" t="n">
        <f aca="false">ABS(M77-N77)</f>
        <v>4.78999999999905</v>
      </c>
      <c r="Q77" s="45" t="n">
        <f aca="false">IF(O77="","",ABS(O77-M77))</f>
        <v>12.0900000000001</v>
      </c>
      <c r="R77" s="31" t="n">
        <f aca="false">P77*L77*Summary!$C$6</f>
        <v>19.1599999999962</v>
      </c>
      <c r="S77" s="32" t="n">
        <v>11806.63</v>
      </c>
      <c r="T77" s="29" t="s">
        <v>255</v>
      </c>
      <c r="U77" s="45" t="n">
        <f aca="false">IF(J77="BUY",S77-M77,M77-S77)</f>
        <v>-0.190000000000509</v>
      </c>
      <c r="V77" s="46" t="n">
        <v>0</v>
      </c>
      <c r="W77" s="46" t="n">
        <v>0</v>
      </c>
      <c r="X77" s="46" t="n">
        <v>-0.76</v>
      </c>
      <c r="Y77" s="33" t="n">
        <f aca="false">IFERROR(X77/R77,0)</f>
        <v>-0.0396659707724504</v>
      </c>
      <c r="Z77" s="29" t="str">
        <f aca="false">IF(X77&gt;0,"Win",IF(X77&lt;0,"Loss","Flat"))</f>
        <v>Loss</v>
      </c>
      <c r="AA77" s="29" t="n">
        <f aca="false">ROUND((C77-B77)*1440,1)</f>
        <v>7.1</v>
      </c>
      <c r="AB77" s="29" t="str">
        <f aca="false">IF(AA77&lt;1,"a) &lt;1 min",IF(AA77&lt;10,"b) 1-10 min",IF(AA77&lt;60,"c) 10-60 min",IF(AA77&lt;240,"d) 1-4 h","e) 4 h+"))))</f>
        <v>b) 1-10 min</v>
      </c>
      <c r="AC77" s="29" t="str">
        <f aca="false">IF(P77&lt;10,"a) &lt;10",IF(P77&lt;20,"b) 10-20",IF(P77&lt;40,"c) 20-40",IF(P77&lt;80,"d) 40-80","e) 80+"))))</f>
        <v>a) &lt;10</v>
      </c>
      <c r="AD77" s="31" t="n">
        <f aca="false">Summary!$C$5+SUM(X$2:X77)</f>
        <v>10618.43</v>
      </c>
      <c r="AE77" s="31" t="n">
        <f aca="false">MAX(AE76,AD77)</f>
        <v>10624.79</v>
      </c>
      <c r="AF77" s="31" t="n">
        <f aca="false">AE77-AD77</f>
        <v>6.36000000000058</v>
      </c>
      <c r="AG77" s="30" t="n">
        <f aca="false">IFERROR(AF77/AE77,0)</f>
        <v>0.000598600066448427</v>
      </c>
    </row>
    <row r="78" customFormat="false" ht="15" hidden="false" customHeight="false" outlineLevel="0" collapsed="false">
      <c r="A78" s="29" t="n">
        <v>77</v>
      </c>
      <c r="B78" s="44" t="n">
        <v>44760.0423611111</v>
      </c>
      <c r="C78" s="44" t="n">
        <v>44760.0455671296</v>
      </c>
      <c r="D78" s="43" t="n">
        <f aca="false">INT(C78)</f>
        <v>44760</v>
      </c>
      <c r="E78" s="43" t="n">
        <f aca="false">D78-WEEKDAY(D78,3)</f>
        <v>44760</v>
      </c>
      <c r="F78" s="29" t="s">
        <v>147</v>
      </c>
      <c r="G78" s="29" t="n">
        <v>2022</v>
      </c>
      <c r="H78" s="29" t="s">
        <v>245</v>
      </c>
      <c r="I78" s="29" t="n">
        <v>1</v>
      </c>
      <c r="J78" s="29" t="s">
        <v>246</v>
      </c>
      <c r="K78" s="29" t="s">
        <v>247</v>
      </c>
      <c r="L78" s="29" t="n">
        <v>0.04</v>
      </c>
      <c r="M78" s="32" t="n">
        <v>12029.52</v>
      </c>
      <c r="N78" s="32" t="n">
        <v>12017.98</v>
      </c>
      <c r="O78" s="32" t="n">
        <v>12057.8</v>
      </c>
      <c r="P78" s="45" t="n">
        <f aca="false">ABS(M78-N78)</f>
        <v>11.5400000000009</v>
      </c>
      <c r="Q78" s="45" t="n">
        <f aca="false">IF(O78="","",ABS(O78-M78))</f>
        <v>28.2799999999988</v>
      </c>
      <c r="R78" s="31" t="n">
        <f aca="false">P78*L78*Summary!$C$6</f>
        <v>46.1600000000035</v>
      </c>
      <c r="S78" s="32" t="n">
        <v>12017.02</v>
      </c>
      <c r="T78" s="29" t="s">
        <v>249</v>
      </c>
      <c r="U78" s="45" t="n">
        <f aca="false">IF(J78="BUY",S78-M78,M78-S78)</f>
        <v>-12.5</v>
      </c>
      <c r="V78" s="46" t="n">
        <v>0</v>
      </c>
      <c r="W78" s="46" t="n">
        <v>0</v>
      </c>
      <c r="X78" s="46" t="n">
        <v>-50</v>
      </c>
      <c r="Y78" s="33" t="n">
        <f aca="false">IFERROR(X78/R78,0)</f>
        <v>-1.0831889081455</v>
      </c>
      <c r="Z78" s="29" t="str">
        <f aca="false">IF(X78&gt;0,"Win",IF(X78&lt;0,"Loss","Flat"))</f>
        <v>Loss</v>
      </c>
      <c r="AA78" s="29" t="n">
        <f aca="false">ROUND((C78-B78)*1440,1)</f>
        <v>4.6</v>
      </c>
      <c r="AB78" s="29" t="str">
        <f aca="false">IF(AA78&lt;1,"a) &lt;1 min",IF(AA78&lt;10,"b) 1-10 min",IF(AA78&lt;60,"c) 10-60 min",IF(AA78&lt;240,"d) 1-4 h","e) 4 h+"))))</f>
        <v>b) 1-10 min</v>
      </c>
      <c r="AC78" s="29" t="str">
        <f aca="false">IF(P78&lt;10,"a) &lt;10",IF(P78&lt;20,"b) 10-20",IF(P78&lt;40,"c) 20-40",IF(P78&lt;80,"d) 40-80","e) 80+"))))</f>
        <v>b) 10-20</v>
      </c>
      <c r="AD78" s="31" t="n">
        <f aca="false">Summary!$C$5+SUM(X$2:X78)</f>
        <v>10568.43</v>
      </c>
      <c r="AE78" s="31" t="n">
        <f aca="false">MAX(AE77,AD78)</f>
        <v>10624.79</v>
      </c>
      <c r="AF78" s="31" t="n">
        <f aca="false">AE78-AD78</f>
        <v>56.3600000000006</v>
      </c>
      <c r="AG78" s="30" t="n">
        <f aca="false">IFERROR(AF78/AE78,0)</f>
        <v>0.00530457543160858</v>
      </c>
    </row>
    <row r="79" customFormat="false" ht="15" hidden="false" customHeight="false" outlineLevel="0" collapsed="false">
      <c r="A79" s="29" t="n">
        <v>78</v>
      </c>
      <c r="B79" s="44" t="n">
        <v>44761.7743055556</v>
      </c>
      <c r="C79" s="44" t="n">
        <v>44761.7759606482</v>
      </c>
      <c r="D79" s="43" t="n">
        <f aca="false">INT(C79)</f>
        <v>44761</v>
      </c>
      <c r="E79" s="43" t="n">
        <f aca="false">D79-WEEKDAY(D79,3)</f>
        <v>44760</v>
      </c>
      <c r="F79" s="29" t="s">
        <v>147</v>
      </c>
      <c r="G79" s="29" t="n">
        <v>2022</v>
      </c>
      <c r="H79" s="29" t="s">
        <v>248</v>
      </c>
      <c r="I79" s="29" t="n">
        <v>18</v>
      </c>
      <c r="J79" s="29" t="s">
        <v>246</v>
      </c>
      <c r="K79" s="29" t="s">
        <v>247</v>
      </c>
      <c r="L79" s="29" t="n">
        <v>0.04</v>
      </c>
      <c r="M79" s="32" t="n">
        <v>12158.83</v>
      </c>
      <c r="N79" s="32" t="n">
        <v>12151.59</v>
      </c>
      <c r="O79" s="32" t="n">
        <v>12176.77</v>
      </c>
      <c r="P79" s="45" t="n">
        <f aca="false">ABS(M79-N79)</f>
        <v>7.23999999999978</v>
      </c>
      <c r="Q79" s="45" t="n">
        <f aca="false">IF(O79="","",ABS(O79-M79))</f>
        <v>17.9400000000005</v>
      </c>
      <c r="R79" s="31" t="n">
        <f aca="false">P79*L79*Summary!$C$6</f>
        <v>28.9599999999991</v>
      </c>
      <c r="S79" s="32" t="n">
        <v>12151.37</v>
      </c>
      <c r="T79" s="29" t="s">
        <v>249</v>
      </c>
      <c r="U79" s="45" t="n">
        <f aca="false">IF(J79="BUY",S79-M79,M79-S79)</f>
        <v>-7.45999999999913</v>
      </c>
      <c r="V79" s="46" t="n">
        <v>0</v>
      </c>
      <c r="W79" s="46" t="n">
        <v>0</v>
      </c>
      <c r="X79" s="46" t="n">
        <v>-29.84</v>
      </c>
      <c r="Y79" s="33" t="n">
        <f aca="false">IFERROR(X79/R79,0)</f>
        <v>-1.03038674033152</v>
      </c>
      <c r="Z79" s="29" t="str">
        <f aca="false">IF(X79&gt;0,"Win",IF(X79&lt;0,"Loss","Flat"))</f>
        <v>Loss</v>
      </c>
      <c r="AA79" s="29" t="n">
        <f aca="false">ROUND((C79-B79)*1440,1)</f>
        <v>2.4</v>
      </c>
      <c r="AB79" s="29" t="str">
        <f aca="false">IF(AA79&lt;1,"a) &lt;1 min",IF(AA79&lt;10,"b) 1-10 min",IF(AA79&lt;60,"c) 10-60 min",IF(AA79&lt;240,"d) 1-4 h","e) 4 h+"))))</f>
        <v>b) 1-10 min</v>
      </c>
      <c r="AC79" s="29" t="str">
        <f aca="false">IF(P79&lt;10,"a) &lt;10",IF(P79&lt;20,"b) 10-20",IF(P79&lt;40,"c) 20-40",IF(P79&lt;80,"d) 40-80","e) 80+"))))</f>
        <v>a) &lt;10</v>
      </c>
      <c r="AD79" s="31" t="n">
        <f aca="false">Summary!$C$5+SUM(X$2:X79)</f>
        <v>10538.59</v>
      </c>
      <c r="AE79" s="31" t="n">
        <f aca="false">MAX(AE78,AD79)</f>
        <v>10624.79</v>
      </c>
      <c r="AF79" s="31" t="n">
        <f aca="false">AE79-AD79</f>
        <v>86.2000000000007</v>
      </c>
      <c r="AG79" s="30" t="n">
        <f aca="false">IFERROR(AF79/AE79,0)</f>
        <v>0.00811310152953618</v>
      </c>
    </row>
    <row r="80" customFormat="false" ht="15" hidden="false" customHeight="false" outlineLevel="0" collapsed="false">
      <c r="A80" s="29" t="n">
        <v>79</v>
      </c>
      <c r="B80" s="44" t="n">
        <v>44762.0423611111</v>
      </c>
      <c r="C80" s="44" t="n">
        <v>44762.0599189815</v>
      </c>
      <c r="D80" s="43" t="n">
        <f aca="false">INT(C80)</f>
        <v>44762</v>
      </c>
      <c r="E80" s="43" t="n">
        <f aca="false">D80-WEEKDAY(D80,3)</f>
        <v>44760</v>
      </c>
      <c r="F80" s="29" t="s">
        <v>147</v>
      </c>
      <c r="G80" s="29" t="n">
        <v>2022</v>
      </c>
      <c r="H80" s="29" t="s">
        <v>252</v>
      </c>
      <c r="I80" s="29" t="n">
        <v>1</v>
      </c>
      <c r="J80" s="29" t="s">
        <v>246</v>
      </c>
      <c r="K80" s="29" t="s">
        <v>247</v>
      </c>
      <c r="L80" s="29" t="n">
        <v>0.04</v>
      </c>
      <c r="M80" s="32" t="n">
        <v>12294.36</v>
      </c>
      <c r="N80" s="32" t="n">
        <v>12283.44</v>
      </c>
      <c r="O80" s="32" t="n">
        <v>12322.14</v>
      </c>
      <c r="P80" s="45" t="n">
        <f aca="false">ABS(M80-N80)</f>
        <v>10.9200000000001</v>
      </c>
      <c r="Q80" s="45" t="n">
        <f aca="false">IF(O80="","",ABS(O80-M80))</f>
        <v>27.7799999999988</v>
      </c>
      <c r="R80" s="31" t="n">
        <f aca="false">P80*L80*Summary!$C$6</f>
        <v>43.6800000000003</v>
      </c>
      <c r="S80" s="32" t="n">
        <v>12283.36</v>
      </c>
      <c r="T80" s="29" t="s">
        <v>249</v>
      </c>
      <c r="U80" s="45" t="n">
        <f aca="false">IF(J80="BUY",S80-M80,M80-S80)</f>
        <v>-11</v>
      </c>
      <c r="V80" s="46" t="n">
        <v>0</v>
      </c>
      <c r="W80" s="46" t="n">
        <v>0</v>
      </c>
      <c r="X80" s="46" t="n">
        <v>-44</v>
      </c>
      <c r="Y80" s="33" t="n">
        <f aca="false">IFERROR(X80/R80,0)</f>
        <v>-1.007326007326</v>
      </c>
      <c r="Z80" s="29" t="str">
        <f aca="false">IF(X80&gt;0,"Win",IF(X80&lt;0,"Loss","Flat"))</f>
        <v>Loss</v>
      </c>
      <c r="AA80" s="29" t="n">
        <f aca="false">ROUND((C80-B80)*1440,1)</f>
        <v>25.3</v>
      </c>
      <c r="AB80" s="29" t="str">
        <f aca="false">IF(AA80&lt;1,"a) &lt;1 min",IF(AA80&lt;10,"b) 1-10 min",IF(AA80&lt;60,"c) 10-60 min",IF(AA80&lt;240,"d) 1-4 h","e) 4 h+"))))</f>
        <v>c) 10-60 min</v>
      </c>
      <c r="AC80" s="29" t="str">
        <f aca="false">IF(P80&lt;10,"a) &lt;10",IF(P80&lt;20,"b) 10-20",IF(P80&lt;40,"c) 20-40",IF(P80&lt;80,"d) 40-80","e) 80+"))))</f>
        <v>b) 10-20</v>
      </c>
      <c r="AD80" s="31" t="n">
        <f aca="false">Summary!$C$5+SUM(X$2:X80)</f>
        <v>10494.59</v>
      </c>
      <c r="AE80" s="31" t="n">
        <f aca="false">MAX(AE79,AD80)</f>
        <v>10624.79</v>
      </c>
      <c r="AF80" s="31" t="n">
        <f aca="false">AE80-AD80</f>
        <v>130.200000000001</v>
      </c>
      <c r="AG80" s="30" t="n">
        <f aca="false">IFERROR(AF80/AE80,0)</f>
        <v>0.0122543598508771</v>
      </c>
    </row>
    <row r="81" customFormat="false" ht="15" hidden="false" customHeight="false" outlineLevel="0" collapsed="false">
      <c r="A81" s="29" t="n">
        <v>80</v>
      </c>
      <c r="B81" s="44" t="n">
        <v>44763.6520833333</v>
      </c>
      <c r="C81" s="44" t="n">
        <v>44763.6553819445</v>
      </c>
      <c r="D81" s="43" t="n">
        <f aca="false">INT(C81)</f>
        <v>44763</v>
      </c>
      <c r="E81" s="43" t="n">
        <f aca="false">D81-WEEKDAY(D81,3)</f>
        <v>44760</v>
      </c>
      <c r="F81" s="29" t="s">
        <v>147</v>
      </c>
      <c r="G81" s="29" t="n">
        <v>2022</v>
      </c>
      <c r="H81" s="29" t="s">
        <v>253</v>
      </c>
      <c r="I81" s="29" t="n">
        <v>15</v>
      </c>
      <c r="J81" s="29" t="s">
        <v>246</v>
      </c>
      <c r="K81" s="29" t="s">
        <v>247</v>
      </c>
      <c r="L81" s="29" t="n">
        <v>0.04</v>
      </c>
      <c r="M81" s="32" t="n">
        <v>12490.68</v>
      </c>
      <c r="N81" s="32" t="n">
        <v>12480.25</v>
      </c>
      <c r="O81" s="32" t="n">
        <v>12516.3</v>
      </c>
      <c r="P81" s="45" t="n">
        <f aca="false">ABS(M81-N81)</f>
        <v>10.4300000000003</v>
      </c>
      <c r="Q81" s="45" t="n">
        <f aca="false">IF(O81="","",ABS(O81-M81))</f>
        <v>25.619999999999</v>
      </c>
      <c r="R81" s="31" t="n">
        <f aca="false">P81*L81*Summary!$C$6</f>
        <v>41.7200000000012</v>
      </c>
      <c r="S81" s="32" t="n">
        <v>12517.63</v>
      </c>
      <c r="T81" s="29" t="s">
        <v>227</v>
      </c>
      <c r="U81" s="45" t="n">
        <f aca="false">IF(J81="BUY",S81-M81,M81-S81)</f>
        <v>26.9499999999989</v>
      </c>
      <c r="V81" s="46" t="n">
        <v>0</v>
      </c>
      <c r="W81" s="46" t="n">
        <v>0</v>
      </c>
      <c r="X81" s="46" t="n">
        <v>107.8</v>
      </c>
      <c r="Y81" s="33" t="n">
        <f aca="false">IFERROR(X81/R81,0)</f>
        <v>2.58389261744959</v>
      </c>
      <c r="Z81" s="29" t="str">
        <f aca="false">IF(X81&gt;0,"Win",IF(X81&lt;0,"Loss","Flat"))</f>
        <v>Win</v>
      </c>
      <c r="AA81" s="29" t="n">
        <f aca="false">ROUND((C81-B81)*1440,1)</f>
        <v>4.8</v>
      </c>
      <c r="AB81" s="29" t="str">
        <f aca="false">IF(AA81&lt;1,"a) &lt;1 min",IF(AA81&lt;10,"b) 1-10 min",IF(AA81&lt;60,"c) 10-60 min",IF(AA81&lt;240,"d) 1-4 h","e) 4 h+"))))</f>
        <v>b) 1-10 min</v>
      </c>
      <c r="AC81" s="29" t="str">
        <f aca="false">IF(P81&lt;10,"a) &lt;10",IF(P81&lt;20,"b) 10-20",IF(P81&lt;40,"c) 20-40",IF(P81&lt;80,"d) 40-80","e) 80+"))))</f>
        <v>b) 10-20</v>
      </c>
      <c r="AD81" s="31" t="n">
        <f aca="false">Summary!$C$5+SUM(X$2:X81)</f>
        <v>10602.39</v>
      </c>
      <c r="AE81" s="31" t="n">
        <f aca="false">MAX(AE80,AD81)</f>
        <v>10624.79</v>
      </c>
      <c r="AF81" s="31" t="n">
        <f aca="false">AE81-AD81</f>
        <v>22.4000000000015</v>
      </c>
      <c r="AG81" s="30" t="n">
        <f aca="false">IFERROR(AF81/AE81,0)</f>
        <v>0.00210827696359189</v>
      </c>
    </row>
    <row r="82" customFormat="false" ht="15" hidden="false" customHeight="false" outlineLevel="0" collapsed="false">
      <c r="A82" s="29" t="n">
        <v>81</v>
      </c>
      <c r="B82" s="44" t="n">
        <v>44764.7013888889</v>
      </c>
      <c r="C82" s="44" t="n">
        <v>44764.7028009259</v>
      </c>
      <c r="D82" s="43" t="n">
        <f aca="false">INT(C82)</f>
        <v>44764</v>
      </c>
      <c r="E82" s="43" t="n">
        <f aca="false">D82-WEEKDAY(D82,3)</f>
        <v>44760</v>
      </c>
      <c r="F82" s="29" t="s">
        <v>147</v>
      </c>
      <c r="G82" s="29" t="n">
        <v>2022</v>
      </c>
      <c r="H82" s="29" t="s">
        <v>254</v>
      </c>
      <c r="I82" s="29" t="n">
        <v>16</v>
      </c>
      <c r="J82" s="29" t="s">
        <v>246</v>
      </c>
      <c r="K82" s="29" t="s">
        <v>247</v>
      </c>
      <c r="L82" s="29" t="n">
        <v>0.04</v>
      </c>
      <c r="M82" s="32" t="n">
        <v>12630.23</v>
      </c>
      <c r="N82" s="32" t="n">
        <v>12601.4</v>
      </c>
      <c r="O82" s="32" t="n">
        <v>12698.04</v>
      </c>
      <c r="P82" s="45" t="n">
        <f aca="false">ABS(M82-N82)</f>
        <v>28.8299999999999</v>
      </c>
      <c r="Q82" s="45" t="n">
        <f aca="false">IF(O82="","",ABS(O82-M82))</f>
        <v>67.8100000000013</v>
      </c>
      <c r="R82" s="31" t="n">
        <f aca="false">P82*L82*Summary!$C$6</f>
        <v>115.32</v>
      </c>
      <c r="S82" s="32" t="n">
        <v>12628.62</v>
      </c>
      <c r="T82" s="29" t="s">
        <v>255</v>
      </c>
      <c r="U82" s="45" t="n">
        <f aca="false">IF(J82="BUY",S82-M82,M82-S82)</f>
        <v>-1.60999999999876</v>
      </c>
      <c r="V82" s="46" t="n">
        <v>0</v>
      </c>
      <c r="W82" s="46" t="n">
        <v>0</v>
      </c>
      <c r="X82" s="46" t="n">
        <v>-6.44</v>
      </c>
      <c r="Y82" s="33" t="n">
        <f aca="false">IFERROR(X82/R82,0)</f>
        <v>-0.0558446063128687</v>
      </c>
      <c r="Z82" s="29" t="str">
        <f aca="false">IF(X82&gt;0,"Win",IF(X82&lt;0,"Loss","Flat"))</f>
        <v>Loss</v>
      </c>
      <c r="AA82" s="29" t="n">
        <f aca="false">ROUND((C82-B82)*1440,1)</f>
        <v>2</v>
      </c>
      <c r="AB82" s="29" t="str">
        <f aca="false">IF(AA82&lt;1,"a) &lt;1 min",IF(AA82&lt;10,"b) 1-10 min",IF(AA82&lt;60,"c) 10-60 min",IF(AA82&lt;240,"d) 1-4 h","e) 4 h+"))))</f>
        <v>b) 1-10 min</v>
      </c>
      <c r="AC82" s="29" t="str">
        <f aca="false">IF(P82&lt;10,"a) &lt;10",IF(P82&lt;20,"b) 10-20",IF(P82&lt;40,"c) 20-40",IF(P82&lt;80,"d) 40-80","e) 80+"))))</f>
        <v>c) 20-40</v>
      </c>
      <c r="AD82" s="31" t="n">
        <f aca="false">Summary!$C$5+SUM(X$2:X82)</f>
        <v>10595.95</v>
      </c>
      <c r="AE82" s="31" t="n">
        <f aca="false">MAX(AE81,AD82)</f>
        <v>10624.79</v>
      </c>
      <c r="AF82" s="31" t="n">
        <f aca="false">AE82-AD82</f>
        <v>28.8400000000001</v>
      </c>
      <c r="AG82" s="30" t="n">
        <f aca="false">IFERROR(AF82/AE82,0)</f>
        <v>0.00271440659062439</v>
      </c>
    </row>
    <row r="83" customFormat="false" ht="15" hidden="false" customHeight="false" outlineLevel="0" collapsed="false">
      <c r="A83" s="29" t="n">
        <v>82</v>
      </c>
      <c r="B83" s="44" t="n">
        <v>44764.8576388889</v>
      </c>
      <c r="C83" s="44" t="n">
        <v>44764.8600462963</v>
      </c>
      <c r="D83" s="43" t="n">
        <f aca="false">INT(C83)</f>
        <v>44764</v>
      </c>
      <c r="E83" s="43" t="n">
        <f aca="false">D83-WEEKDAY(D83,3)</f>
        <v>44760</v>
      </c>
      <c r="F83" s="29" t="s">
        <v>147</v>
      </c>
      <c r="G83" s="29" t="n">
        <v>2022</v>
      </c>
      <c r="H83" s="29" t="s">
        <v>254</v>
      </c>
      <c r="I83" s="29" t="n">
        <v>20</v>
      </c>
      <c r="J83" s="29" t="s">
        <v>250</v>
      </c>
      <c r="K83" s="29" t="s">
        <v>251</v>
      </c>
      <c r="L83" s="29" t="n">
        <v>0.04</v>
      </c>
      <c r="M83" s="32" t="n">
        <v>12344.76</v>
      </c>
      <c r="N83" s="32" t="n">
        <v>12353.31</v>
      </c>
      <c r="O83" s="32" t="n">
        <v>12323.43</v>
      </c>
      <c r="P83" s="45" t="n">
        <f aca="false">ABS(M83-N83)</f>
        <v>8.54999999999927</v>
      </c>
      <c r="Q83" s="45" t="n">
        <f aca="false">IF(O83="","",ABS(O83-M83))</f>
        <v>21.3299999999999</v>
      </c>
      <c r="R83" s="31" t="n">
        <f aca="false">P83*L83*Summary!$C$6</f>
        <v>34.1999999999971</v>
      </c>
      <c r="S83" s="32" t="n">
        <v>12344.76</v>
      </c>
      <c r="T83" s="29" t="s">
        <v>255</v>
      </c>
      <c r="U83" s="45" t="n">
        <f aca="false">IF(J83="BUY",S83-M83,M83-S83)</f>
        <v>0</v>
      </c>
      <c r="V83" s="46" t="n">
        <v>0</v>
      </c>
      <c r="W83" s="46" t="n">
        <v>0</v>
      </c>
      <c r="X83" s="46" t="n">
        <v>0</v>
      </c>
      <c r="Y83" s="33" t="n">
        <f aca="false">IFERROR(X83/R83,0)</f>
        <v>0</v>
      </c>
      <c r="Z83" s="29" t="str">
        <f aca="false">IF(X83&gt;0,"Win",IF(X83&lt;0,"Loss","Flat"))</f>
        <v>Flat</v>
      </c>
      <c r="AA83" s="29" t="n">
        <f aca="false">ROUND((C83-B83)*1440,1)</f>
        <v>3.5</v>
      </c>
      <c r="AB83" s="29" t="str">
        <f aca="false">IF(AA83&lt;1,"a) &lt;1 min",IF(AA83&lt;10,"b) 1-10 min",IF(AA83&lt;60,"c) 10-60 min",IF(AA83&lt;240,"d) 1-4 h","e) 4 h+"))))</f>
        <v>b) 1-10 min</v>
      </c>
      <c r="AC83" s="29" t="str">
        <f aca="false">IF(P83&lt;10,"a) &lt;10",IF(P83&lt;20,"b) 10-20",IF(P83&lt;40,"c) 20-40",IF(P83&lt;80,"d) 40-80","e) 80+"))))</f>
        <v>a) &lt;10</v>
      </c>
      <c r="AD83" s="31" t="n">
        <f aca="false">Summary!$C$5+SUM(X$2:X83)</f>
        <v>10595.95</v>
      </c>
      <c r="AE83" s="31" t="n">
        <f aca="false">MAX(AE82,AD83)</f>
        <v>10624.79</v>
      </c>
      <c r="AF83" s="31" t="n">
        <f aca="false">AE83-AD83</f>
        <v>28.8400000000001</v>
      </c>
      <c r="AG83" s="30" t="n">
        <f aca="false">IFERROR(AF83/AE83,0)</f>
        <v>0.00271440659062439</v>
      </c>
    </row>
    <row r="84" customFormat="false" ht="15" hidden="false" customHeight="false" outlineLevel="0" collapsed="false">
      <c r="A84" s="29" t="n">
        <v>83</v>
      </c>
      <c r="B84" s="44" t="n">
        <v>44767.7194444445</v>
      </c>
      <c r="C84" s="44" t="n">
        <v>44767.7265046296</v>
      </c>
      <c r="D84" s="43" t="n">
        <f aca="false">INT(C84)</f>
        <v>44767</v>
      </c>
      <c r="E84" s="43" t="n">
        <f aca="false">D84-WEEKDAY(D84,3)</f>
        <v>44767</v>
      </c>
      <c r="F84" s="29" t="s">
        <v>147</v>
      </c>
      <c r="G84" s="29" t="n">
        <v>2022</v>
      </c>
      <c r="H84" s="29" t="s">
        <v>245</v>
      </c>
      <c r="I84" s="29" t="n">
        <v>17</v>
      </c>
      <c r="J84" s="29" t="s">
        <v>250</v>
      </c>
      <c r="K84" s="29" t="s">
        <v>251</v>
      </c>
      <c r="L84" s="29" t="n">
        <v>0.04</v>
      </c>
      <c r="M84" s="32" t="n">
        <v>12310.39</v>
      </c>
      <c r="N84" s="32" t="n">
        <v>12327.92</v>
      </c>
      <c r="O84" s="32" t="n">
        <v>12269.02</v>
      </c>
      <c r="P84" s="45" t="n">
        <f aca="false">ABS(M84-N84)</f>
        <v>17.5300000000007</v>
      </c>
      <c r="Q84" s="45" t="n">
        <f aca="false">IF(O84="","",ABS(O84-M84))</f>
        <v>41.369999999999</v>
      </c>
      <c r="R84" s="31" t="n">
        <f aca="false">P84*L84*Summary!$C$6</f>
        <v>70.1200000000026</v>
      </c>
      <c r="S84" s="32" t="n">
        <v>12310.8</v>
      </c>
      <c r="T84" s="29" t="s">
        <v>255</v>
      </c>
      <c r="U84" s="45" t="n">
        <f aca="false">IF(J84="BUY",S84-M84,M84-S84)</f>
        <v>-0.409999999999855</v>
      </c>
      <c r="V84" s="46" t="n">
        <v>0</v>
      </c>
      <c r="W84" s="46" t="n">
        <v>0</v>
      </c>
      <c r="X84" s="46" t="n">
        <v>-1.64</v>
      </c>
      <c r="Y84" s="33" t="n">
        <f aca="false">IFERROR(X84/R84,0)</f>
        <v>-0.0233884768967476</v>
      </c>
      <c r="Z84" s="29" t="str">
        <f aca="false">IF(X84&gt;0,"Win",IF(X84&lt;0,"Loss","Flat"))</f>
        <v>Loss</v>
      </c>
      <c r="AA84" s="29" t="n">
        <f aca="false">ROUND((C84-B84)*1440,1)</f>
        <v>10.2</v>
      </c>
      <c r="AB84" s="29" t="str">
        <f aca="false">IF(AA84&lt;1,"a) &lt;1 min",IF(AA84&lt;10,"b) 1-10 min",IF(AA84&lt;60,"c) 10-60 min",IF(AA84&lt;240,"d) 1-4 h","e) 4 h+"))))</f>
        <v>c) 10-60 min</v>
      </c>
      <c r="AC84" s="29" t="str">
        <f aca="false">IF(P84&lt;10,"a) &lt;10",IF(P84&lt;20,"b) 10-20",IF(P84&lt;40,"c) 20-40",IF(P84&lt;80,"d) 40-80","e) 80+"))))</f>
        <v>b) 10-20</v>
      </c>
      <c r="AD84" s="31" t="n">
        <f aca="false">Summary!$C$5+SUM(X$2:X84)</f>
        <v>10594.31</v>
      </c>
      <c r="AE84" s="31" t="n">
        <f aca="false">MAX(AE83,AD84)</f>
        <v>10624.79</v>
      </c>
      <c r="AF84" s="31" t="n">
        <f aca="false">AE84-AD84</f>
        <v>30.4800000000014</v>
      </c>
      <c r="AG84" s="30" t="n">
        <f aca="false">IFERROR(AF84/AE84,0)</f>
        <v>0.00286876258260176</v>
      </c>
    </row>
    <row r="85" customFormat="false" ht="15" hidden="false" customHeight="false" outlineLevel="0" collapsed="false">
      <c r="A85" s="29" t="n">
        <v>84</v>
      </c>
      <c r="B85" s="44" t="n">
        <v>44768.6604166667</v>
      </c>
      <c r="C85" s="44" t="n">
        <v>44768.6608680556</v>
      </c>
      <c r="D85" s="43" t="n">
        <f aca="false">INT(C85)</f>
        <v>44768</v>
      </c>
      <c r="E85" s="43" t="n">
        <f aca="false">D85-WEEKDAY(D85,3)</f>
        <v>44767</v>
      </c>
      <c r="F85" s="29" t="s">
        <v>147</v>
      </c>
      <c r="G85" s="29" t="n">
        <v>2022</v>
      </c>
      <c r="H85" s="29" t="s">
        <v>248</v>
      </c>
      <c r="I85" s="29" t="n">
        <v>15</v>
      </c>
      <c r="J85" s="29" t="s">
        <v>250</v>
      </c>
      <c r="K85" s="29" t="s">
        <v>251</v>
      </c>
      <c r="L85" s="29" t="n">
        <v>0.04</v>
      </c>
      <c r="M85" s="32" t="n">
        <v>12240.29</v>
      </c>
      <c r="N85" s="32" t="n">
        <v>12247.46</v>
      </c>
      <c r="O85" s="32" t="n">
        <v>12223.11</v>
      </c>
      <c r="P85" s="45" t="n">
        <f aca="false">ABS(M85-N85)</f>
        <v>7.16999999999825</v>
      </c>
      <c r="Q85" s="45" t="n">
        <f aca="false">IF(O85="","",ABS(O85-M85))</f>
        <v>17.1800000000003</v>
      </c>
      <c r="R85" s="31" t="n">
        <f aca="false">P85*L85*Summary!$C$6</f>
        <v>28.679999999993</v>
      </c>
      <c r="S85" s="32" t="n">
        <v>12247.47</v>
      </c>
      <c r="T85" s="29" t="s">
        <v>249</v>
      </c>
      <c r="U85" s="45" t="n">
        <f aca="false">IF(J85="BUY",S85-M85,M85-S85)</f>
        <v>-7.17999999999847</v>
      </c>
      <c r="V85" s="46" t="n">
        <v>0</v>
      </c>
      <c r="W85" s="46" t="n">
        <v>0</v>
      </c>
      <c r="X85" s="46" t="n">
        <v>-28.72</v>
      </c>
      <c r="Y85" s="33" t="n">
        <f aca="false">IFERROR(X85/R85,0)</f>
        <v>-1.00139470013971</v>
      </c>
      <c r="Z85" s="29" t="str">
        <f aca="false">IF(X85&gt;0,"Win",IF(X85&lt;0,"Loss","Flat"))</f>
        <v>Loss</v>
      </c>
      <c r="AA85" s="29" t="n">
        <f aca="false">ROUND((C85-B85)*1440,1)</f>
        <v>0.7</v>
      </c>
      <c r="AB85" s="29" t="str">
        <f aca="false">IF(AA85&lt;1,"a) &lt;1 min",IF(AA85&lt;10,"b) 1-10 min",IF(AA85&lt;60,"c) 10-60 min",IF(AA85&lt;240,"d) 1-4 h","e) 4 h+"))))</f>
        <v>a) &lt;1 min</v>
      </c>
      <c r="AC85" s="29" t="str">
        <f aca="false">IF(P85&lt;10,"a) &lt;10",IF(P85&lt;20,"b) 10-20",IF(P85&lt;40,"c) 20-40",IF(P85&lt;80,"d) 40-80","e) 80+"))))</f>
        <v>a) &lt;10</v>
      </c>
      <c r="AD85" s="31" t="n">
        <f aca="false">Summary!$C$5+SUM(X$2:X85)</f>
        <v>10565.59</v>
      </c>
      <c r="AE85" s="31" t="n">
        <f aca="false">MAX(AE84,AD85)</f>
        <v>10624.79</v>
      </c>
      <c r="AF85" s="31" t="n">
        <f aca="false">AE85-AD85</f>
        <v>59.2000000000007</v>
      </c>
      <c r="AG85" s="30" t="n">
        <f aca="false">IFERROR(AF85/AE85,0)</f>
        <v>0.0055718748323497</v>
      </c>
    </row>
    <row r="86" customFormat="false" ht="15" hidden="false" customHeight="false" outlineLevel="0" collapsed="false">
      <c r="A86" s="29" t="n">
        <v>85</v>
      </c>
      <c r="B86" s="44" t="n">
        <v>44769.69375</v>
      </c>
      <c r="C86" s="44" t="n">
        <v>44769.6996412037</v>
      </c>
      <c r="D86" s="43" t="n">
        <f aca="false">INT(C86)</f>
        <v>44769</v>
      </c>
      <c r="E86" s="43" t="n">
        <f aca="false">D86-WEEKDAY(D86,3)</f>
        <v>44767</v>
      </c>
      <c r="F86" s="29" t="s">
        <v>147</v>
      </c>
      <c r="G86" s="29" t="n">
        <v>2022</v>
      </c>
      <c r="H86" s="29" t="s">
        <v>252</v>
      </c>
      <c r="I86" s="29" t="n">
        <v>16</v>
      </c>
      <c r="J86" s="29" t="s">
        <v>246</v>
      </c>
      <c r="K86" s="29" t="s">
        <v>247</v>
      </c>
      <c r="L86" s="29" t="n">
        <v>0.04</v>
      </c>
      <c r="M86" s="32" t="n">
        <v>12312.88</v>
      </c>
      <c r="N86" s="32" t="n">
        <v>12291.74</v>
      </c>
      <c r="O86" s="32" t="n">
        <v>12363.82</v>
      </c>
      <c r="P86" s="45" t="n">
        <f aca="false">ABS(M86-N86)</f>
        <v>21.1399999999994</v>
      </c>
      <c r="Q86" s="45" t="n">
        <f aca="false">IF(O86="","",ABS(O86-M86))</f>
        <v>50.9400000000005</v>
      </c>
      <c r="R86" s="31" t="n">
        <f aca="false">P86*L86*Summary!$C$6</f>
        <v>84.5599999999977</v>
      </c>
      <c r="S86" s="32" t="n">
        <v>12363.84</v>
      </c>
      <c r="T86" s="29" t="s">
        <v>227</v>
      </c>
      <c r="U86" s="45" t="n">
        <f aca="false">IF(J86="BUY",S86-M86,M86-S86)</f>
        <v>50.9600000000009</v>
      </c>
      <c r="V86" s="46" t="n">
        <v>0</v>
      </c>
      <c r="W86" s="46" t="n">
        <v>0</v>
      </c>
      <c r="X86" s="46" t="n">
        <v>203.84</v>
      </c>
      <c r="Y86" s="33" t="n">
        <f aca="false">IFERROR(X86/R86,0)</f>
        <v>2.41059602649013</v>
      </c>
      <c r="Z86" s="29" t="str">
        <f aca="false">IF(X86&gt;0,"Win",IF(X86&lt;0,"Loss","Flat"))</f>
        <v>Win</v>
      </c>
      <c r="AA86" s="29" t="n">
        <f aca="false">ROUND((C86-B86)*1440,1)</f>
        <v>8.5</v>
      </c>
      <c r="AB86" s="29" t="str">
        <f aca="false">IF(AA86&lt;1,"a) &lt;1 min",IF(AA86&lt;10,"b) 1-10 min",IF(AA86&lt;60,"c) 10-60 min",IF(AA86&lt;240,"d) 1-4 h","e) 4 h+"))))</f>
        <v>b) 1-10 min</v>
      </c>
      <c r="AC86" s="29" t="str">
        <f aca="false">IF(P86&lt;10,"a) &lt;10",IF(P86&lt;20,"b) 10-20",IF(P86&lt;40,"c) 20-40",IF(P86&lt;80,"d) 40-80","e) 80+"))))</f>
        <v>c) 20-40</v>
      </c>
      <c r="AD86" s="31" t="n">
        <f aca="false">Summary!$C$5+SUM(X$2:X86)</f>
        <v>10769.43</v>
      </c>
      <c r="AE86" s="31" t="n">
        <f aca="false">MAX(AE85,AD86)</f>
        <v>10769.43</v>
      </c>
      <c r="AF86" s="31" t="n">
        <f aca="false">AE86-AD86</f>
        <v>0</v>
      </c>
      <c r="AG86" s="30" t="n">
        <f aca="false">IFERROR(AF86/AE86,0)</f>
        <v>0</v>
      </c>
    </row>
    <row r="87" customFormat="false" ht="15" hidden="false" customHeight="false" outlineLevel="0" collapsed="false">
      <c r="A87" s="29" t="n">
        <v>86</v>
      </c>
      <c r="B87" s="44" t="n">
        <v>44770.7875</v>
      </c>
      <c r="C87" s="44" t="n">
        <v>44770.7884837963</v>
      </c>
      <c r="D87" s="43" t="n">
        <f aca="false">INT(C87)</f>
        <v>44770</v>
      </c>
      <c r="E87" s="43" t="n">
        <f aca="false">D87-WEEKDAY(D87,3)</f>
        <v>44767</v>
      </c>
      <c r="F87" s="29" t="s">
        <v>147</v>
      </c>
      <c r="G87" s="29" t="n">
        <v>2022</v>
      </c>
      <c r="H87" s="29" t="s">
        <v>253</v>
      </c>
      <c r="I87" s="29" t="n">
        <v>18</v>
      </c>
      <c r="J87" s="29" t="s">
        <v>246</v>
      </c>
      <c r="K87" s="29" t="s">
        <v>247</v>
      </c>
      <c r="L87" s="29" t="n">
        <v>0.04</v>
      </c>
      <c r="M87" s="32" t="n">
        <v>12669.82</v>
      </c>
      <c r="N87" s="32" t="n">
        <v>12659.85</v>
      </c>
      <c r="O87" s="32" t="n">
        <v>12694.29</v>
      </c>
      <c r="P87" s="45" t="n">
        <f aca="false">ABS(M87-N87)</f>
        <v>9.96999999999935</v>
      </c>
      <c r="Q87" s="45" t="n">
        <f aca="false">IF(O87="","",ABS(O87-M87))</f>
        <v>24.4700000000012</v>
      </c>
      <c r="R87" s="31" t="n">
        <f aca="false">P87*L87*Summary!$C$6</f>
        <v>39.8799999999974</v>
      </c>
      <c r="S87" s="32" t="n">
        <v>12658.95</v>
      </c>
      <c r="T87" s="29" t="s">
        <v>249</v>
      </c>
      <c r="U87" s="45" t="n">
        <f aca="false">IF(J87="BUY",S87-M87,M87-S87)</f>
        <v>-10.869999999999</v>
      </c>
      <c r="V87" s="46" t="n">
        <v>0</v>
      </c>
      <c r="W87" s="46" t="n">
        <v>0</v>
      </c>
      <c r="X87" s="46" t="n">
        <v>-43.48</v>
      </c>
      <c r="Y87" s="33" t="n">
        <f aca="false">IFERROR(X87/R87,0)</f>
        <v>-1.09027081243738</v>
      </c>
      <c r="Z87" s="29" t="str">
        <f aca="false">IF(X87&gt;0,"Win",IF(X87&lt;0,"Loss","Flat"))</f>
        <v>Loss</v>
      </c>
      <c r="AA87" s="29" t="n">
        <f aca="false">ROUND((C87-B87)*1440,1)</f>
        <v>1.4</v>
      </c>
      <c r="AB87" s="29" t="str">
        <f aca="false">IF(AA87&lt;1,"a) &lt;1 min",IF(AA87&lt;10,"b) 1-10 min",IF(AA87&lt;60,"c) 10-60 min",IF(AA87&lt;240,"d) 1-4 h","e) 4 h+"))))</f>
        <v>b) 1-10 min</v>
      </c>
      <c r="AC87" s="29" t="str">
        <f aca="false">IF(P87&lt;10,"a) &lt;10",IF(P87&lt;20,"b) 10-20",IF(P87&lt;40,"c) 20-40",IF(P87&lt;80,"d) 40-80","e) 80+"))))</f>
        <v>a) &lt;10</v>
      </c>
      <c r="AD87" s="31" t="n">
        <f aca="false">Summary!$C$5+SUM(X$2:X87)</f>
        <v>10725.95</v>
      </c>
      <c r="AE87" s="31" t="n">
        <f aca="false">MAX(AE86,AD87)</f>
        <v>10769.43</v>
      </c>
      <c r="AF87" s="31" t="n">
        <f aca="false">AE87-AD87</f>
        <v>43.4799999999996</v>
      </c>
      <c r="AG87" s="30" t="n">
        <f aca="false">IFERROR(AF87/AE87,0)</f>
        <v>0.00403735388038174</v>
      </c>
    </row>
    <row r="88" customFormat="false" ht="15" hidden="false" customHeight="false" outlineLevel="0" collapsed="false">
      <c r="A88" s="29" t="n">
        <v>87</v>
      </c>
      <c r="B88" s="44" t="n">
        <v>44771.0423611111</v>
      </c>
      <c r="C88" s="44" t="n">
        <v>44771.2731134259</v>
      </c>
      <c r="D88" s="43" t="n">
        <f aca="false">INT(C88)</f>
        <v>44771</v>
      </c>
      <c r="E88" s="43" t="n">
        <f aca="false">D88-WEEKDAY(D88,3)</f>
        <v>44767</v>
      </c>
      <c r="F88" s="29" t="s">
        <v>147</v>
      </c>
      <c r="G88" s="29" t="n">
        <v>2022</v>
      </c>
      <c r="H88" s="29" t="s">
        <v>254</v>
      </c>
      <c r="I88" s="29" t="n">
        <v>1</v>
      </c>
      <c r="J88" s="29" t="s">
        <v>246</v>
      </c>
      <c r="K88" s="29" t="s">
        <v>247</v>
      </c>
      <c r="L88" s="29" t="n">
        <v>0.04</v>
      </c>
      <c r="M88" s="32" t="n">
        <v>12874.31</v>
      </c>
      <c r="N88" s="32" t="n">
        <v>12849.16</v>
      </c>
      <c r="O88" s="32" t="n">
        <v>12935.89</v>
      </c>
      <c r="P88" s="45" t="n">
        <f aca="false">ABS(M88-N88)</f>
        <v>25.1499999999996</v>
      </c>
      <c r="Q88" s="45" t="n">
        <f aca="false">IF(O88="","",ABS(O88-M88))</f>
        <v>61.5799999999999</v>
      </c>
      <c r="R88" s="31" t="n">
        <f aca="false">P88*L88*Summary!$C$6</f>
        <v>100.599999999999</v>
      </c>
      <c r="S88" s="32" t="n">
        <v>12873.98</v>
      </c>
      <c r="T88" s="29" t="s">
        <v>255</v>
      </c>
      <c r="U88" s="45" t="n">
        <f aca="false">IF(J88="BUY",S88-M88,M88-S88)</f>
        <v>-0.329999999999927</v>
      </c>
      <c r="V88" s="46" t="n">
        <v>0</v>
      </c>
      <c r="W88" s="46" t="n">
        <v>0</v>
      </c>
      <c r="X88" s="46" t="n">
        <v>-1.32</v>
      </c>
      <c r="Y88" s="33" t="n">
        <f aca="false">IFERROR(X88/R88,0)</f>
        <v>-0.0131212723658054</v>
      </c>
      <c r="Z88" s="29" t="str">
        <f aca="false">IF(X88&gt;0,"Win",IF(X88&lt;0,"Loss","Flat"))</f>
        <v>Loss</v>
      </c>
      <c r="AA88" s="29" t="n">
        <f aca="false">ROUND((C88-B88)*1440,1)</f>
        <v>332.3</v>
      </c>
      <c r="AB88" s="29" t="str">
        <f aca="false">IF(AA88&lt;1,"a) &lt;1 min",IF(AA88&lt;10,"b) 1-10 min",IF(AA88&lt;60,"c) 10-60 min",IF(AA88&lt;240,"d) 1-4 h","e) 4 h+"))))</f>
        <v>e) 4 h+</v>
      </c>
      <c r="AC88" s="29" t="str">
        <f aca="false">IF(P88&lt;10,"a) &lt;10",IF(P88&lt;20,"b) 10-20",IF(P88&lt;40,"c) 20-40",IF(P88&lt;80,"d) 40-80","e) 80+"))))</f>
        <v>c) 20-40</v>
      </c>
      <c r="AD88" s="31" t="n">
        <f aca="false">Summary!$C$5+SUM(X$2:X88)</f>
        <v>10724.63</v>
      </c>
      <c r="AE88" s="31" t="n">
        <f aca="false">MAX(AE87,AD88)</f>
        <v>10769.43</v>
      </c>
      <c r="AF88" s="31" t="n">
        <f aca="false">AE88-AD88</f>
        <v>44.8000000000011</v>
      </c>
      <c r="AG88" s="30" t="n">
        <f aca="false">IFERROR(AF88/AE88,0)</f>
        <v>0.00415992304142384</v>
      </c>
    </row>
    <row r="89" customFormat="false" ht="15" hidden="false" customHeight="false" outlineLevel="0" collapsed="false">
      <c r="A89" s="29" t="n">
        <v>88</v>
      </c>
      <c r="B89" s="44" t="n">
        <v>44774.70625</v>
      </c>
      <c r="C89" s="44" t="n">
        <v>44774.7077430556</v>
      </c>
      <c r="D89" s="43" t="n">
        <f aca="false">INT(C89)</f>
        <v>44774</v>
      </c>
      <c r="E89" s="43" t="n">
        <f aca="false">D89-WEEKDAY(D89,3)</f>
        <v>44774</v>
      </c>
      <c r="F89" s="29" t="s">
        <v>148</v>
      </c>
      <c r="G89" s="29" t="n">
        <v>2022</v>
      </c>
      <c r="H89" s="29" t="s">
        <v>245</v>
      </c>
      <c r="I89" s="29" t="n">
        <v>16</v>
      </c>
      <c r="J89" s="29" t="s">
        <v>246</v>
      </c>
      <c r="K89" s="29" t="s">
        <v>247</v>
      </c>
      <c r="L89" s="29" t="n">
        <v>0.04</v>
      </c>
      <c r="M89" s="32" t="n">
        <v>12996.87</v>
      </c>
      <c r="N89" s="32" t="n">
        <v>12978.39</v>
      </c>
      <c r="O89" s="32" t="n">
        <v>13042.22</v>
      </c>
      <c r="P89" s="45" t="n">
        <f aca="false">ABS(M89-N89)</f>
        <v>18.4800000000014</v>
      </c>
      <c r="Q89" s="45" t="n">
        <f aca="false">IF(O89="","",ABS(O89-M89))</f>
        <v>45.3499999999985</v>
      </c>
      <c r="R89" s="31" t="n">
        <f aca="false">P89*L89*Summary!$C$6</f>
        <v>73.9200000000055</v>
      </c>
      <c r="S89" s="32" t="n">
        <v>12978.25</v>
      </c>
      <c r="T89" s="29" t="s">
        <v>249</v>
      </c>
      <c r="U89" s="45" t="n">
        <f aca="false">IF(J89="BUY",S89-M89,M89-S89)</f>
        <v>-18.6200000000008</v>
      </c>
      <c r="V89" s="46" t="n">
        <v>0</v>
      </c>
      <c r="W89" s="46" t="n">
        <v>0</v>
      </c>
      <c r="X89" s="46" t="n">
        <v>-74.48</v>
      </c>
      <c r="Y89" s="33" t="n">
        <f aca="false">IFERROR(X89/R89,0)</f>
        <v>-1.00757575757568</v>
      </c>
      <c r="Z89" s="29" t="str">
        <f aca="false">IF(X89&gt;0,"Win",IF(X89&lt;0,"Loss","Flat"))</f>
        <v>Loss</v>
      </c>
      <c r="AA89" s="29" t="n">
        <f aca="false">ROUND((C89-B89)*1440,1)</f>
        <v>2.2</v>
      </c>
      <c r="AB89" s="29" t="str">
        <f aca="false">IF(AA89&lt;1,"a) &lt;1 min",IF(AA89&lt;10,"b) 1-10 min",IF(AA89&lt;60,"c) 10-60 min",IF(AA89&lt;240,"d) 1-4 h","e) 4 h+"))))</f>
        <v>b) 1-10 min</v>
      </c>
      <c r="AC89" s="29" t="str">
        <f aca="false">IF(P89&lt;10,"a) &lt;10",IF(P89&lt;20,"b) 10-20",IF(P89&lt;40,"c) 20-40",IF(P89&lt;80,"d) 40-80","e) 80+"))))</f>
        <v>b) 10-20</v>
      </c>
      <c r="AD89" s="31" t="n">
        <f aca="false">Summary!$C$5+SUM(X$2:X89)</f>
        <v>10650.15</v>
      </c>
      <c r="AE89" s="31" t="n">
        <f aca="false">MAX(AE88,AD89)</f>
        <v>10769.43</v>
      </c>
      <c r="AF89" s="31" t="n">
        <f aca="false">AE89-AD89</f>
        <v>119.280000000001</v>
      </c>
      <c r="AG89" s="30" t="n">
        <f aca="false">IFERROR(AF89/AE89,0)</f>
        <v>0.0110757950977908</v>
      </c>
    </row>
    <row r="90" customFormat="false" ht="15" hidden="false" customHeight="false" outlineLevel="0" collapsed="false">
      <c r="A90" s="29" t="n">
        <v>89</v>
      </c>
      <c r="B90" s="44" t="n">
        <v>44775.4284722222</v>
      </c>
      <c r="C90" s="44" t="n">
        <v>44775.4305208333</v>
      </c>
      <c r="D90" s="43" t="n">
        <f aca="false">INT(C90)</f>
        <v>44775</v>
      </c>
      <c r="E90" s="43" t="n">
        <f aca="false">D90-WEEKDAY(D90,3)</f>
        <v>44774</v>
      </c>
      <c r="F90" s="29" t="s">
        <v>148</v>
      </c>
      <c r="G90" s="29" t="n">
        <v>2022</v>
      </c>
      <c r="H90" s="29" t="s">
        <v>248</v>
      </c>
      <c r="I90" s="29" t="n">
        <v>10</v>
      </c>
      <c r="J90" s="29" t="s">
        <v>250</v>
      </c>
      <c r="K90" s="29" t="s">
        <v>251</v>
      </c>
      <c r="L90" s="29" t="n">
        <v>0.04</v>
      </c>
      <c r="M90" s="32" t="n">
        <v>12827.54</v>
      </c>
      <c r="N90" s="32" t="n">
        <v>12835.4</v>
      </c>
      <c r="O90" s="32" t="n">
        <v>12808.9</v>
      </c>
      <c r="P90" s="45" t="n">
        <f aca="false">ABS(M90-N90)</f>
        <v>7.85999999999876</v>
      </c>
      <c r="Q90" s="45" t="n">
        <f aca="false">IF(O90="","",ABS(O90-M90))</f>
        <v>18.6400000000012</v>
      </c>
      <c r="R90" s="31" t="n">
        <f aca="false">P90*L90*Summary!$C$6</f>
        <v>31.4399999999951</v>
      </c>
      <c r="S90" s="32" t="n">
        <v>12835.72</v>
      </c>
      <c r="T90" s="29" t="s">
        <v>249</v>
      </c>
      <c r="U90" s="45" t="n">
        <f aca="false">IF(J90="BUY",S90-M90,M90-S90)</f>
        <v>-8.17999999999847</v>
      </c>
      <c r="V90" s="46" t="n">
        <v>0</v>
      </c>
      <c r="W90" s="46" t="n">
        <v>0</v>
      </c>
      <c r="X90" s="46" t="n">
        <v>-32.72</v>
      </c>
      <c r="Y90" s="33" t="n">
        <f aca="false">IFERROR(X90/R90,0)</f>
        <v>-1.04071246819355</v>
      </c>
      <c r="Z90" s="29" t="str">
        <f aca="false">IF(X90&gt;0,"Win",IF(X90&lt;0,"Loss","Flat"))</f>
        <v>Loss</v>
      </c>
      <c r="AA90" s="29" t="n">
        <f aca="false">ROUND((C90-B90)*1440,1)</f>
        <v>3</v>
      </c>
      <c r="AB90" s="29" t="str">
        <f aca="false">IF(AA90&lt;1,"a) &lt;1 min",IF(AA90&lt;10,"b) 1-10 min",IF(AA90&lt;60,"c) 10-60 min",IF(AA90&lt;240,"d) 1-4 h","e) 4 h+"))))</f>
        <v>b) 1-10 min</v>
      </c>
      <c r="AC90" s="29" t="str">
        <f aca="false">IF(P90&lt;10,"a) &lt;10",IF(P90&lt;20,"b) 10-20",IF(P90&lt;40,"c) 20-40",IF(P90&lt;80,"d) 40-80","e) 80+"))))</f>
        <v>a) &lt;10</v>
      </c>
      <c r="AD90" s="31" t="n">
        <f aca="false">Summary!$C$5+SUM(X$2:X90)</f>
        <v>10617.43</v>
      </c>
      <c r="AE90" s="31" t="n">
        <f aca="false">MAX(AE89,AD90)</f>
        <v>10769.43</v>
      </c>
      <c r="AF90" s="31" t="n">
        <f aca="false">AE90-AD90</f>
        <v>152</v>
      </c>
      <c r="AG90" s="30" t="n">
        <f aca="false">IFERROR(AF90/AE90,0)</f>
        <v>0.0141140246048305</v>
      </c>
    </row>
    <row r="91" customFormat="false" ht="15" hidden="false" customHeight="false" outlineLevel="0" collapsed="false">
      <c r="A91" s="29" t="n">
        <v>90</v>
      </c>
      <c r="B91" s="44" t="n">
        <v>44776.7048611111</v>
      </c>
      <c r="C91" s="44" t="n">
        <v>44776.7083333333</v>
      </c>
      <c r="D91" s="43" t="n">
        <f aca="false">INT(C91)</f>
        <v>44776</v>
      </c>
      <c r="E91" s="43" t="n">
        <f aca="false">D91-WEEKDAY(D91,3)</f>
        <v>44774</v>
      </c>
      <c r="F91" s="29" t="s">
        <v>148</v>
      </c>
      <c r="G91" s="29" t="n">
        <v>2022</v>
      </c>
      <c r="H91" s="29" t="s">
        <v>252</v>
      </c>
      <c r="I91" s="29" t="n">
        <v>16</v>
      </c>
      <c r="J91" s="29" t="s">
        <v>246</v>
      </c>
      <c r="K91" s="29" t="s">
        <v>247</v>
      </c>
      <c r="L91" s="29" t="n">
        <v>0.04</v>
      </c>
      <c r="M91" s="32" t="n">
        <v>13080.71</v>
      </c>
      <c r="N91" s="32" t="n">
        <v>13062.64</v>
      </c>
      <c r="O91" s="32" t="n">
        <v>13124.4</v>
      </c>
      <c r="P91" s="45" t="n">
        <f aca="false">ABS(M91-N91)</f>
        <v>18.0699999999997</v>
      </c>
      <c r="Q91" s="45" t="n">
        <f aca="false">IF(O91="","",ABS(O91-M91))</f>
        <v>43.6900000000005</v>
      </c>
      <c r="R91" s="31" t="n">
        <f aca="false">P91*L91*Summary!$C$6</f>
        <v>72.2799999999988</v>
      </c>
      <c r="S91" s="32" t="n">
        <v>13079.31</v>
      </c>
      <c r="T91" s="29" t="s">
        <v>255</v>
      </c>
      <c r="U91" s="45" t="n">
        <f aca="false">IF(J91="BUY",S91-M91,M91-S91)</f>
        <v>-1.39999999999964</v>
      </c>
      <c r="V91" s="46" t="n">
        <v>0</v>
      </c>
      <c r="W91" s="46" t="n">
        <v>0</v>
      </c>
      <c r="X91" s="46" t="n">
        <v>-5.6</v>
      </c>
      <c r="Y91" s="33" t="n">
        <f aca="false">IFERROR(X91/R91,0)</f>
        <v>-0.0774764803541794</v>
      </c>
      <c r="Z91" s="29" t="str">
        <f aca="false">IF(X91&gt;0,"Win",IF(X91&lt;0,"Loss","Flat"))</f>
        <v>Loss</v>
      </c>
      <c r="AA91" s="29" t="n">
        <f aca="false">ROUND((C91-B91)*1440,1)</f>
        <v>5</v>
      </c>
      <c r="AB91" s="29" t="str">
        <f aca="false">IF(AA91&lt;1,"a) &lt;1 min",IF(AA91&lt;10,"b) 1-10 min",IF(AA91&lt;60,"c) 10-60 min",IF(AA91&lt;240,"d) 1-4 h","e) 4 h+"))))</f>
        <v>b) 1-10 min</v>
      </c>
      <c r="AC91" s="29" t="str">
        <f aca="false">IF(P91&lt;10,"a) &lt;10",IF(P91&lt;20,"b) 10-20",IF(P91&lt;40,"c) 20-40",IF(P91&lt;80,"d) 40-80","e) 80+"))))</f>
        <v>b) 10-20</v>
      </c>
      <c r="AD91" s="31" t="n">
        <f aca="false">Summary!$C$5+SUM(X$2:X91)</f>
        <v>10611.83</v>
      </c>
      <c r="AE91" s="31" t="n">
        <f aca="false">MAX(AE90,AD91)</f>
        <v>10769.43</v>
      </c>
      <c r="AF91" s="31" t="n">
        <f aca="false">AE91-AD91</f>
        <v>157.6</v>
      </c>
      <c r="AG91" s="30" t="n">
        <f aca="false">IFERROR(AF91/AE91,0)</f>
        <v>0.0146340149850085</v>
      </c>
    </row>
    <row r="92" customFormat="false" ht="15" hidden="false" customHeight="false" outlineLevel="0" collapsed="false">
      <c r="A92" s="29" t="n">
        <v>91</v>
      </c>
      <c r="B92" s="44" t="n">
        <v>44777.5451388889</v>
      </c>
      <c r="C92" s="44" t="n">
        <v>44777.5477083333</v>
      </c>
      <c r="D92" s="43" t="n">
        <f aca="false">INT(C92)</f>
        <v>44777</v>
      </c>
      <c r="E92" s="43" t="n">
        <f aca="false">D92-WEEKDAY(D92,3)</f>
        <v>44774</v>
      </c>
      <c r="F92" s="29" t="s">
        <v>148</v>
      </c>
      <c r="G92" s="29" t="n">
        <v>2022</v>
      </c>
      <c r="H92" s="29" t="s">
        <v>253</v>
      </c>
      <c r="I92" s="29" t="n">
        <v>13</v>
      </c>
      <c r="J92" s="29" t="s">
        <v>246</v>
      </c>
      <c r="K92" s="29" t="s">
        <v>247</v>
      </c>
      <c r="L92" s="29" t="n">
        <v>0.03</v>
      </c>
      <c r="M92" s="32" t="n">
        <v>13293.79</v>
      </c>
      <c r="N92" s="32" t="n">
        <v>13286.69</v>
      </c>
      <c r="O92" s="32" t="n">
        <v>13311.01</v>
      </c>
      <c r="P92" s="45" t="n">
        <f aca="false">ABS(M92-N92)</f>
        <v>7.10000000000036</v>
      </c>
      <c r="Q92" s="45" t="n">
        <f aca="false">IF(O92="","",ABS(O92-M92))</f>
        <v>17.2199999999993</v>
      </c>
      <c r="R92" s="31" t="n">
        <f aca="false">P92*L92*Summary!$C$6</f>
        <v>21.3000000000011</v>
      </c>
      <c r="S92" s="32" t="n">
        <v>13293.76</v>
      </c>
      <c r="T92" s="29" t="s">
        <v>255</v>
      </c>
      <c r="U92" s="45" t="n">
        <f aca="false">IF(J92="BUY",S92-M92,M92-S92)</f>
        <v>-0.0300000000006548</v>
      </c>
      <c r="V92" s="46" t="n">
        <v>0</v>
      </c>
      <c r="W92" s="46" t="n">
        <v>0</v>
      </c>
      <c r="X92" s="46" t="n">
        <v>-0.09</v>
      </c>
      <c r="Y92" s="33" t="n">
        <f aca="false">IFERROR(X92/R92,0)</f>
        <v>-0.00422535211267584</v>
      </c>
      <c r="Z92" s="29" t="str">
        <f aca="false">IF(X92&gt;0,"Win",IF(X92&lt;0,"Loss","Flat"))</f>
        <v>Loss</v>
      </c>
      <c r="AA92" s="29" t="n">
        <f aca="false">ROUND((C92-B92)*1440,1)</f>
        <v>3.7</v>
      </c>
      <c r="AB92" s="29" t="str">
        <f aca="false">IF(AA92&lt;1,"a) &lt;1 min",IF(AA92&lt;10,"b) 1-10 min",IF(AA92&lt;60,"c) 10-60 min",IF(AA92&lt;240,"d) 1-4 h","e) 4 h+"))))</f>
        <v>b) 1-10 min</v>
      </c>
      <c r="AC92" s="29" t="str">
        <f aca="false">IF(P92&lt;10,"a) &lt;10",IF(P92&lt;20,"b) 10-20",IF(P92&lt;40,"c) 20-40",IF(P92&lt;80,"d) 40-80","e) 80+"))))</f>
        <v>a) &lt;10</v>
      </c>
      <c r="AD92" s="31" t="n">
        <f aca="false">Summary!$C$5+SUM(X$2:X92)</f>
        <v>10611.74</v>
      </c>
      <c r="AE92" s="31" t="n">
        <f aca="false">MAX(AE91,AD92)</f>
        <v>10769.43</v>
      </c>
      <c r="AF92" s="31" t="n">
        <f aca="false">AE92-AD92</f>
        <v>157.690000000001</v>
      </c>
      <c r="AG92" s="30" t="n">
        <f aca="false">IFERROR(AF92/AE92,0)</f>
        <v>0.0146423719732614</v>
      </c>
    </row>
    <row r="93" customFormat="false" ht="15" hidden="false" customHeight="false" outlineLevel="0" collapsed="false">
      <c r="A93" s="29" t="n">
        <v>92</v>
      </c>
      <c r="B93" s="44" t="n">
        <v>44778.1722222222</v>
      </c>
      <c r="C93" s="44" t="n">
        <v>44778.1906018519</v>
      </c>
      <c r="D93" s="43" t="n">
        <f aca="false">INT(C93)</f>
        <v>44778</v>
      </c>
      <c r="E93" s="43" t="n">
        <f aca="false">D93-WEEKDAY(D93,3)</f>
        <v>44774</v>
      </c>
      <c r="F93" s="29" t="s">
        <v>148</v>
      </c>
      <c r="G93" s="29" t="n">
        <v>2022</v>
      </c>
      <c r="H93" s="29" t="s">
        <v>254</v>
      </c>
      <c r="I93" s="29" t="n">
        <v>4</v>
      </c>
      <c r="J93" s="29" t="s">
        <v>246</v>
      </c>
      <c r="K93" s="29" t="s">
        <v>247</v>
      </c>
      <c r="L93" s="29" t="n">
        <v>0.03</v>
      </c>
      <c r="M93" s="32" t="n">
        <v>13340.1</v>
      </c>
      <c r="N93" s="32" t="n">
        <v>13333.99</v>
      </c>
      <c r="O93" s="32" t="n">
        <v>13354.44</v>
      </c>
      <c r="P93" s="45" t="n">
        <f aca="false">ABS(M93-N93)</f>
        <v>6.11000000000058</v>
      </c>
      <c r="Q93" s="45" t="n">
        <f aca="false">IF(O93="","",ABS(O93-M93))</f>
        <v>14.3400000000001</v>
      </c>
      <c r="R93" s="31" t="n">
        <f aca="false">P93*L93*Summary!$C$6</f>
        <v>18.3300000000017</v>
      </c>
      <c r="S93" s="32" t="n">
        <v>13333.3</v>
      </c>
      <c r="T93" s="29" t="s">
        <v>249</v>
      </c>
      <c r="U93" s="45" t="n">
        <f aca="false">IF(J93="BUY",S93-M93,M93-S93)</f>
        <v>-6.80000000000109</v>
      </c>
      <c r="V93" s="46" t="n">
        <v>0</v>
      </c>
      <c r="W93" s="46" t="n">
        <v>0</v>
      </c>
      <c r="X93" s="46" t="n">
        <v>-20.4</v>
      </c>
      <c r="Y93" s="33" t="n">
        <f aca="false">IFERROR(X93/R93,0)</f>
        <v>-1.11292962356782</v>
      </c>
      <c r="Z93" s="29" t="str">
        <f aca="false">IF(X93&gt;0,"Win",IF(X93&lt;0,"Loss","Flat"))</f>
        <v>Loss</v>
      </c>
      <c r="AA93" s="29" t="n">
        <f aca="false">ROUND((C93-B93)*1440,1)</f>
        <v>26.5</v>
      </c>
      <c r="AB93" s="29" t="str">
        <f aca="false">IF(AA93&lt;1,"a) &lt;1 min",IF(AA93&lt;10,"b) 1-10 min",IF(AA93&lt;60,"c) 10-60 min",IF(AA93&lt;240,"d) 1-4 h","e) 4 h+"))))</f>
        <v>c) 10-60 min</v>
      </c>
      <c r="AC93" s="29" t="str">
        <f aca="false">IF(P93&lt;10,"a) &lt;10",IF(P93&lt;20,"b) 10-20",IF(P93&lt;40,"c) 20-40",IF(P93&lt;80,"d) 40-80","e) 80+"))))</f>
        <v>a) &lt;10</v>
      </c>
      <c r="AD93" s="31" t="n">
        <f aca="false">Summary!$C$5+SUM(X$2:X93)</f>
        <v>10591.34</v>
      </c>
      <c r="AE93" s="31" t="n">
        <f aca="false">MAX(AE92,AD93)</f>
        <v>10769.43</v>
      </c>
      <c r="AF93" s="31" t="n">
        <f aca="false">AE93-AD93</f>
        <v>178.09</v>
      </c>
      <c r="AG93" s="30" t="n">
        <f aca="false">IFERROR(AF93/AE93,0)</f>
        <v>0.0165366226439097</v>
      </c>
    </row>
    <row r="94" customFormat="false" ht="15" hidden="false" customHeight="false" outlineLevel="0" collapsed="false">
      <c r="A94" s="29" t="n">
        <v>93</v>
      </c>
      <c r="B94" s="44" t="n">
        <v>44778.6569444445</v>
      </c>
      <c r="C94" s="44" t="n">
        <v>44778.6634837963</v>
      </c>
      <c r="D94" s="43" t="n">
        <f aca="false">INT(C94)</f>
        <v>44778</v>
      </c>
      <c r="E94" s="43" t="n">
        <f aca="false">D94-WEEKDAY(D94,3)</f>
        <v>44774</v>
      </c>
      <c r="F94" s="29" t="s">
        <v>148</v>
      </c>
      <c r="G94" s="29" t="n">
        <v>2022</v>
      </c>
      <c r="H94" s="29" t="s">
        <v>254</v>
      </c>
      <c r="I94" s="29" t="n">
        <v>15</v>
      </c>
      <c r="J94" s="29" t="s">
        <v>250</v>
      </c>
      <c r="K94" s="29" t="s">
        <v>251</v>
      </c>
      <c r="L94" s="29" t="n">
        <v>0.04</v>
      </c>
      <c r="M94" s="32" t="n">
        <v>13147.57</v>
      </c>
      <c r="N94" s="32" t="n">
        <v>13165.07</v>
      </c>
      <c r="O94" s="32" t="n">
        <v>13106.53</v>
      </c>
      <c r="P94" s="45" t="n">
        <f aca="false">ABS(M94-N94)</f>
        <v>17.5</v>
      </c>
      <c r="Q94" s="45" t="n">
        <f aca="false">IF(O94="","",ABS(O94-M94))</f>
        <v>41.0399999999991</v>
      </c>
      <c r="R94" s="31" t="n">
        <f aca="false">P94*L94*Summary!$C$6</f>
        <v>70</v>
      </c>
      <c r="S94" s="32" t="n">
        <v>13105.23</v>
      </c>
      <c r="T94" s="29" t="s">
        <v>227</v>
      </c>
      <c r="U94" s="45" t="n">
        <f aca="false">IF(J94="BUY",S94-M94,M94-S94)</f>
        <v>42.3400000000001</v>
      </c>
      <c r="V94" s="46" t="n">
        <v>0</v>
      </c>
      <c r="W94" s="46" t="n">
        <v>0</v>
      </c>
      <c r="X94" s="46" t="n">
        <v>169.36</v>
      </c>
      <c r="Y94" s="33" t="n">
        <f aca="false">IFERROR(X94/R94,0)</f>
        <v>2.41942857142857</v>
      </c>
      <c r="Z94" s="29" t="str">
        <f aca="false">IF(X94&gt;0,"Win",IF(X94&lt;0,"Loss","Flat"))</f>
        <v>Win</v>
      </c>
      <c r="AA94" s="29" t="n">
        <f aca="false">ROUND((C94-B94)*1440,1)</f>
        <v>9.4</v>
      </c>
      <c r="AB94" s="29" t="str">
        <f aca="false">IF(AA94&lt;1,"a) &lt;1 min",IF(AA94&lt;10,"b) 1-10 min",IF(AA94&lt;60,"c) 10-60 min",IF(AA94&lt;240,"d) 1-4 h","e) 4 h+"))))</f>
        <v>b) 1-10 min</v>
      </c>
      <c r="AC94" s="29" t="str">
        <f aca="false">IF(P94&lt;10,"a) &lt;10",IF(P94&lt;20,"b) 10-20",IF(P94&lt;40,"c) 20-40",IF(P94&lt;80,"d) 40-80","e) 80+"))))</f>
        <v>b) 10-20</v>
      </c>
      <c r="AD94" s="31" t="n">
        <f aca="false">Summary!$C$5+SUM(X$2:X94)</f>
        <v>10760.7</v>
      </c>
      <c r="AE94" s="31" t="n">
        <f aca="false">MAX(AE93,AD94)</f>
        <v>10769.43</v>
      </c>
      <c r="AF94" s="31" t="n">
        <f aca="false">AE94-AD94</f>
        <v>8.72999999999956</v>
      </c>
      <c r="AG94" s="30" t="n">
        <f aca="false">IFERROR(AF94/AE94,0)</f>
        <v>0.000810627860527397</v>
      </c>
    </row>
    <row r="95" customFormat="false" ht="15" hidden="false" customHeight="false" outlineLevel="0" collapsed="false">
      <c r="A95" s="29" t="n">
        <v>94</v>
      </c>
      <c r="B95" s="44" t="n">
        <v>44781.7020833333</v>
      </c>
      <c r="C95" s="44" t="n">
        <v>44781.7115856482</v>
      </c>
      <c r="D95" s="43" t="n">
        <f aca="false">INT(C95)</f>
        <v>44781</v>
      </c>
      <c r="E95" s="43" t="n">
        <f aca="false">D95-WEEKDAY(D95,3)</f>
        <v>44781</v>
      </c>
      <c r="F95" s="29" t="s">
        <v>148</v>
      </c>
      <c r="G95" s="29" t="n">
        <v>2022</v>
      </c>
      <c r="H95" s="29" t="s">
        <v>245</v>
      </c>
      <c r="I95" s="29" t="n">
        <v>16</v>
      </c>
      <c r="J95" s="29" t="s">
        <v>246</v>
      </c>
      <c r="K95" s="29" t="s">
        <v>247</v>
      </c>
      <c r="L95" s="29" t="n">
        <v>0.04</v>
      </c>
      <c r="M95" s="32" t="n">
        <v>13375.72</v>
      </c>
      <c r="N95" s="32" t="n">
        <v>13356.52</v>
      </c>
      <c r="O95" s="32" t="n">
        <v>13421.06</v>
      </c>
      <c r="P95" s="45" t="n">
        <f aca="false">ABS(M95-N95)</f>
        <v>19.1999999999989</v>
      </c>
      <c r="Q95" s="45" t="n">
        <f aca="false">IF(O95="","",ABS(O95-M95))</f>
        <v>45.3400000000001</v>
      </c>
      <c r="R95" s="31" t="n">
        <f aca="false">P95*L95*Summary!$C$6</f>
        <v>76.7999999999956</v>
      </c>
      <c r="S95" s="32" t="n">
        <v>13375.69</v>
      </c>
      <c r="T95" s="29" t="s">
        <v>255</v>
      </c>
      <c r="U95" s="45" t="n">
        <f aca="false">IF(J95="BUY",S95-M95,M95-S95)</f>
        <v>-0.0299999999988358</v>
      </c>
      <c r="V95" s="46" t="n">
        <v>0</v>
      </c>
      <c r="W95" s="46" t="n">
        <v>0</v>
      </c>
      <c r="X95" s="46" t="n">
        <v>-0.12</v>
      </c>
      <c r="Y95" s="33" t="n">
        <f aca="false">IFERROR(X95/R95,0)</f>
        <v>-0.00156250000000009</v>
      </c>
      <c r="Z95" s="29" t="str">
        <f aca="false">IF(X95&gt;0,"Win",IF(X95&lt;0,"Loss","Flat"))</f>
        <v>Loss</v>
      </c>
      <c r="AA95" s="29" t="n">
        <f aca="false">ROUND((C95-B95)*1440,1)</f>
        <v>13.7</v>
      </c>
      <c r="AB95" s="29" t="str">
        <f aca="false">IF(AA95&lt;1,"a) &lt;1 min",IF(AA95&lt;10,"b) 1-10 min",IF(AA95&lt;60,"c) 10-60 min",IF(AA95&lt;240,"d) 1-4 h","e) 4 h+"))))</f>
        <v>c) 10-60 min</v>
      </c>
      <c r="AC95" s="29" t="str">
        <f aca="false">IF(P95&lt;10,"a) &lt;10",IF(P95&lt;20,"b) 10-20",IF(P95&lt;40,"c) 20-40",IF(P95&lt;80,"d) 40-80","e) 80+"))))</f>
        <v>b) 10-20</v>
      </c>
      <c r="AD95" s="31" t="n">
        <f aca="false">Summary!$C$5+SUM(X$2:X95)</f>
        <v>10760.58</v>
      </c>
      <c r="AE95" s="31" t="n">
        <f aca="false">MAX(AE94,AD95)</f>
        <v>10769.43</v>
      </c>
      <c r="AF95" s="31" t="n">
        <f aca="false">AE95-AD95</f>
        <v>8.85000000000036</v>
      </c>
      <c r="AG95" s="30" t="n">
        <f aca="false">IFERROR(AF95/AE95,0)</f>
        <v>0.000821770511531285</v>
      </c>
    </row>
    <row r="96" customFormat="false" ht="15" hidden="false" customHeight="false" outlineLevel="0" collapsed="false">
      <c r="A96" s="29" t="n">
        <v>95</v>
      </c>
      <c r="B96" s="44" t="n">
        <v>44782.5576388889</v>
      </c>
      <c r="C96" s="44" t="n">
        <v>44782.5602430556</v>
      </c>
      <c r="D96" s="43" t="n">
        <f aca="false">INT(C96)</f>
        <v>44782</v>
      </c>
      <c r="E96" s="43" t="n">
        <f aca="false">D96-WEEKDAY(D96,3)</f>
        <v>44781</v>
      </c>
      <c r="F96" s="29" t="s">
        <v>148</v>
      </c>
      <c r="G96" s="29" t="n">
        <v>2022</v>
      </c>
      <c r="H96" s="29" t="s">
        <v>248</v>
      </c>
      <c r="I96" s="29" t="n">
        <v>13</v>
      </c>
      <c r="J96" s="29" t="s">
        <v>250</v>
      </c>
      <c r="K96" s="29" t="s">
        <v>251</v>
      </c>
      <c r="L96" s="29" t="n">
        <v>0.04</v>
      </c>
      <c r="M96" s="32" t="n">
        <v>13093.2</v>
      </c>
      <c r="N96" s="32" t="n">
        <v>13099.57</v>
      </c>
      <c r="O96" s="32" t="n">
        <v>13077.84</v>
      </c>
      <c r="P96" s="45" t="n">
        <f aca="false">ABS(M96-N96)</f>
        <v>6.36999999999898</v>
      </c>
      <c r="Q96" s="45" t="n">
        <f aca="false">IF(O96="","",ABS(O96-M96))</f>
        <v>15.3600000000006</v>
      </c>
      <c r="R96" s="31" t="n">
        <f aca="false">P96*L96*Summary!$C$6</f>
        <v>25.4799999999959</v>
      </c>
      <c r="S96" s="32" t="n">
        <v>13093.28</v>
      </c>
      <c r="T96" s="29" t="s">
        <v>255</v>
      </c>
      <c r="U96" s="45" t="n">
        <f aca="false">IF(J96="BUY",S96-M96,M96-S96)</f>
        <v>-0.0799999999999272</v>
      </c>
      <c r="V96" s="46" t="n">
        <v>0</v>
      </c>
      <c r="W96" s="46" t="n">
        <v>0</v>
      </c>
      <c r="X96" s="46" t="n">
        <v>-0.32</v>
      </c>
      <c r="Y96" s="33" t="n">
        <f aca="false">IFERROR(X96/R96,0)</f>
        <v>-0.0125588697017289</v>
      </c>
      <c r="Z96" s="29" t="str">
        <f aca="false">IF(X96&gt;0,"Win",IF(X96&lt;0,"Loss","Flat"))</f>
        <v>Loss</v>
      </c>
      <c r="AA96" s="29" t="n">
        <f aca="false">ROUND((C96-B96)*1440,1)</f>
        <v>3.8</v>
      </c>
      <c r="AB96" s="29" t="str">
        <f aca="false">IF(AA96&lt;1,"a) &lt;1 min",IF(AA96&lt;10,"b) 1-10 min",IF(AA96&lt;60,"c) 10-60 min",IF(AA96&lt;240,"d) 1-4 h","e) 4 h+"))))</f>
        <v>b) 1-10 min</v>
      </c>
      <c r="AC96" s="29" t="str">
        <f aca="false">IF(P96&lt;10,"a) &lt;10",IF(P96&lt;20,"b) 10-20",IF(P96&lt;40,"c) 20-40",IF(P96&lt;80,"d) 40-80","e) 80+"))))</f>
        <v>a) &lt;10</v>
      </c>
      <c r="AD96" s="31" t="n">
        <f aca="false">Summary!$C$5+SUM(X$2:X96)</f>
        <v>10760.26</v>
      </c>
      <c r="AE96" s="31" t="n">
        <f aca="false">MAX(AE95,AD96)</f>
        <v>10769.43</v>
      </c>
      <c r="AF96" s="31" t="n">
        <f aca="false">AE96-AD96</f>
        <v>9.17000000000007</v>
      </c>
      <c r="AG96" s="30" t="n">
        <f aca="false">IFERROR(AF96/AE96,0)</f>
        <v>0.000851484247541427</v>
      </c>
    </row>
    <row r="97" customFormat="false" ht="15" hidden="false" customHeight="false" outlineLevel="0" collapsed="false">
      <c r="A97" s="29" t="n">
        <v>96</v>
      </c>
      <c r="B97" s="44" t="n">
        <v>44783.6465277778</v>
      </c>
      <c r="C97" s="44" t="n">
        <v>44783.7220023148</v>
      </c>
      <c r="D97" s="43" t="n">
        <f aca="false">INT(C97)</f>
        <v>44783</v>
      </c>
      <c r="E97" s="43" t="n">
        <f aca="false">D97-WEEKDAY(D97,3)</f>
        <v>44781</v>
      </c>
      <c r="F97" s="29" t="s">
        <v>148</v>
      </c>
      <c r="G97" s="29" t="n">
        <v>2022</v>
      </c>
      <c r="H97" s="29" t="s">
        <v>252</v>
      </c>
      <c r="I97" s="29" t="n">
        <v>15</v>
      </c>
      <c r="J97" s="29" t="s">
        <v>246</v>
      </c>
      <c r="K97" s="29" t="s">
        <v>247</v>
      </c>
      <c r="L97" s="29" t="n">
        <v>0.04</v>
      </c>
      <c r="M97" s="32" t="n">
        <v>13237.88</v>
      </c>
      <c r="N97" s="32" t="n">
        <v>13174.6</v>
      </c>
      <c r="O97" s="32" t="n">
        <v>13401.43</v>
      </c>
      <c r="P97" s="45" t="n">
        <f aca="false">ABS(M97-N97)</f>
        <v>63.2799999999988</v>
      </c>
      <c r="Q97" s="45" t="n">
        <f aca="false">IF(O97="","",ABS(O97-M97))</f>
        <v>163.550000000001</v>
      </c>
      <c r="R97" s="31" t="n">
        <f aca="false">P97*L97*Summary!$C$6</f>
        <v>253.119999999995</v>
      </c>
      <c r="S97" s="32" t="n">
        <v>13237.88</v>
      </c>
      <c r="T97" s="29" t="s">
        <v>255</v>
      </c>
      <c r="U97" s="45" t="n">
        <f aca="false">IF(J97="BUY",S97-M97,M97-S97)</f>
        <v>0</v>
      </c>
      <c r="V97" s="46" t="n">
        <v>0</v>
      </c>
      <c r="W97" s="46" t="n">
        <v>0</v>
      </c>
      <c r="X97" s="46" t="n">
        <v>0</v>
      </c>
      <c r="Y97" s="33" t="n">
        <f aca="false">IFERROR(X97/R97,0)</f>
        <v>0</v>
      </c>
      <c r="Z97" s="29" t="str">
        <f aca="false">IF(X97&gt;0,"Win",IF(X97&lt;0,"Loss","Flat"))</f>
        <v>Flat</v>
      </c>
      <c r="AA97" s="29" t="n">
        <f aca="false">ROUND((C97-B97)*1440,1)</f>
        <v>108.7</v>
      </c>
      <c r="AB97" s="29" t="str">
        <f aca="false">IF(AA97&lt;1,"a) &lt;1 min",IF(AA97&lt;10,"b) 1-10 min",IF(AA97&lt;60,"c) 10-60 min",IF(AA97&lt;240,"d) 1-4 h","e) 4 h+"))))</f>
        <v>d) 1-4 h</v>
      </c>
      <c r="AC97" s="29" t="str">
        <f aca="false">IF(P97&lt;10,"a) &lt;10",IF(P97&lt;20,"b) 10-20",IF(P97&lt;40,"c) 20-40",IF(P97&lt;80,"d) 40-80","e) 80+"))))</f>
        <v>d) 40-80</v>
      </c>
      <c r="AD97" s="31" t="n">
        <f aca="false">Summary!$C$5+SUM(X$2:X97)</f>
        <v>10760.26</v>
      </c>
      <c r="AE97" s="31" t="n">
        <f aca="false">MAX(AE96,AD97)</f>
        <v>10769.43</v>
      </c>
      <c r="AF97" s="31" t="n">
        <f aca="false">AE97-AD97</f>
        <v>9.17000000000007</v>
      </c>
      <c r="AG97" s="30" t="n">
        <f aca="false">IFERROR(AF97/AE97,0)</f>
        <v>0.000851484247541427</v>
      </c>
    </row>
    <row r="98" customFormat="false" ht="15" hidden="false" customHeight="false" outlineLevel="0" collapsed="false">
      <c r="A98" s="29" t="n">
        <v>97</v>
      </c>
      <c r="B98" s="44" t="n">
        <v>44784.1333333333</v>
      </c>
      <c r="C98" s="44" t="n">
        <v>44784.1337731482</v>
      </c>
      <c r="D98" s="43" t="n">
        <f aca="false">INT(C98)</f>
        <v>44784</v>
      </c>
      <c r="E98" s="43" t="n">
        <f aca="false">D98-WEEKDAY(D98,3)</f>
        <v>44781</v>
      </c>
      <c r="F98" s="29" t="s">
        <v>148</v>
      </c>
      <c r="G98" s="29" t="n">
        <v>2022</v>
      </c>
      <c r="H98" s="29" t="s">
        <v>253</v>
      </c>
      <c r="I98" s="29" t="n">
        <v>3</v>
      </c>
      <c r="J98" s="29" t="s">
        <v>246</v>
      </c>
      <c r="K98" s="29" t="s">
        <v>247</v>
      </c>
      <c r="L98" s="29" t="n">
        <v>0.04</v>
      </c>
      <c r="M98" s="32" t="n">
        <v>13385.14</v>
      </c>
      <c r="N98" s="32" t="n">
        <v>13381.26</v>
      </c>
      <c r="O98" s="32" t="n">
        <v>13395.84</v>
      </c>
      <c r="P98" s="45" t="n">
        <f aca="false">ABS(M98-N98)</f>
        <v>3.8799999999992</v>
      </c>
      <c r="Q98" s="45" t="n">
        <f aca="false">IF(O98="","",ABS(O98-M98))</f>
        <v>10.7000000000007</v>
      </c>
      <c r="R98" s="31" t="n">
        <f aca="false">P98*L98*Summary!$C$6</f>
        <v>15.5199999999968</v>
      </c>
      <c r="S98" s="32" t="n">
        <v>13381.16</v>
      </c>
      <c r="T98" s="29" t="s">
        <v>249</v>
      </c>
      <c r="U98" s="45" t="n">
        <f aca="false">IF(J98="BUY",S98-M98,M98-S98)</f>
        <v>-3.97999999999956</v>
      </c>
      <c r="V98" s="46" t="n">
        <v>0</v>
      </c>
      <c r="W98" s="46" t="n">
        <v>0</v>
      </c>
      <c r="X98" s="46" t="n">
        <v>-15.92</v>
      </c>
      <c r="Y98" s="33" t="n">
        <f aca="false">IFERROR(X98/R98,0)</f>
        <v>-1.0257731958765</v>
      </c>
      <c r="Z98" s="29" t="str">
        <f aca="false">IF(X98&gt;0,"Win",IF(X98&lt;0,"Loss","Flat"))</f>
        <v>Loss</v>
      </c>
      <c r="AA98" s="29" t="n">
        <f aca="false">ROUND((C98-B98)*1440,1)</f>
        <v>0.6</v>
      </c>
      <c r="AB98" s="29" t="str">
        <f aca="false">IF(AA98&lt;1,"a) &lt;1 min",IF(AA98&lt;10,"b) 1-10 min",IF(AA98&lt;60,"c) 10-60 min",IF(AA98&lt;240,"d) 1-4 h","e) 4 h+"))))</f>
        <v>a) &lt;1 min</v>
      </c>
      <c r="AC98" s="29" t="str">
        <f aca="false">IF(P98&lt;10,"a) &lt;10",IF(P98&lt;20,"b) 10-20",IF(P98&lt;40,"c) 20-40",IF(P98&lt;80,"d) 40-80","e) 80+"))))</f>
        <v>a) &lt;10</v>
      </c>
      <c r="AD98" s="31" t="n">
        <f aca="false">Summary!$C$5+SUM(X$2:X98)</f>
        <v>10744.34</v>
      </c>
      <c r="AE98" s="31" t="n">
        <f aca="false">MAX(AE97,AD98)</f>
        <v>10769.43</v>
      </c>
      <c r="AF98" s="31" t="n">
        <f aca="false">AE98-AD98</f>
        <v>25.0900000000001</v>
      </c>
      <c r="AG98" s="30" t="n">
        <f aca="false">IFERROR(AF98/AE98,0)</f>
        <v>0.00232974261404737</v>
      </c>
    </row>
    <row r="99" customFormat="false" ht="15" hidden="false" customHeight="false" outlineLevel="0" collapsed="false">
      <c r="A99" s="29" t="n">
        <v>98</v>
      </c>
      <c r="B99" s="44" t="n">
        <v>44785.9569444444</v>
      </c>
      <c r="C99" s="44" t="n">
        <v>44785.9583449074</v>
      </c>
      <c r="D99" s="43" t="n">
        <f aca="false">INT(C99)</f>
        <v>44785</v>
      </c>
      <c r="E99" s="43" t="n">
        <f aca="false">D99-WEEKDAY(D99,3)</f>
        <v>44781</v>
      </c>
      <c r="F99" s="29" t="s">
        <v>148</v>
      </c>
      <c r="G99" s="29" t="n">
        <v>2022</v>
      </c>
      <c r="H99" s="29" t="s">
        <v>254</v>
      </c>
      <c r="I99" s="29" t="n">
        <v>22</v>
      </c>
      <c r="J99" s="29" t="s">
        <v>246</v>
      </c>
      <c r="K99" s="29" t="s">
        <v>247</v>
      </c>
      <c r="L99" s="29" t="n">
        <v>0.03</v>
      </c>
      <c r="M99" s="32" t="n">
        <v>13551.59</v>
      </c>
      <c r="N99" s="32" t="n">
        <v>13544.03</v>
      </c>
      <c r="O99" s="32" t="n">
        <v>13569.18</v>
      </c>
      <c r="P99" s="45" t="n">
        <f aca="false">ABS(M99-N99)</f>
        <v>7.55999999999949</v>
      </c>
      <c r="Q99" s="45" t="n">
        <f aca="false">IF(O99="","",ABS(O99-M99))</f>
        <v>17.5900000000001</v>
      </c>
      <c r="R99" s="31" t="n">
        <f aca="false">P99*L99*Summary!$C$6</f>
        <v>22.6799999999985</v>
      </c>
      <c r="S99" s="32" t="n">
        <v>13551.51</v>
      </c>
      <c r="T99" s="29" t="s">
        <v>255</v>
      </c>
      <c r="U99" s="45" t="n">
        <f aca="false">IF(J99="BUY",S99-M99,M99-S99)</f>
        <v>-0.0799999999999272</v>
      </c>
      <c r="V99" s="46" t="n">
        <v>0</v>
      </c>
      <c r="W99" s="46" t="n">
        <v>0</v>
      </c>
      <c r="X99" s="46" t="n">
        <v>-0.24</v>
      </c>
      <c r="Y99" s="33" t="n">
        <f aca="false">IFERROR(X99/R99,0)</f>
        <v>-0.0105820105820113</v>
      </c>
      <c r="Z99" s="29" t="str">
        <f aca="false">IF(X99&gt;0,"Win",IF(X99&lt;0,"Loss","Flat"))</f>
        <v>Loss</v>
      </c>
      <c r="AA99" s="29" t="n">
        <f aca="false">ROUND((C99-B99)*1440,1)</f>
        <v>2</v>
      </c>
      <c r="AB99" s="29" t="str">
        <f aca="false">IF(AA99&lt;1,"a) &lt;1 min",IF(AA99&lt;10,"b) 1-10 min",IF(AA99&lt;60,"c) 10-60 min",IF(AA99&lt;240,"d) 1-4 h","e) 4 h+"))))</f>
        <v>b) 1-10 min</v>
      </c>
      <c r="AC99" s="29" t="str">
        <f aca="false">IF(P99&lt;10,"a) &lt;10",IF(P99&lt;20,"b) 10-20",IF(P99&lt;40,"c) 20-40",IF(P99&lt;80,"d) 40-80","e) 80+"))))</f>
        <v>a) &lt;10</v>
      </c>
      <c r="AD99" s="31" t="n">
        <f aca="false">Summary!$C$5+SUM(X$2:X99)</f>
        <v>10744.1</v>
      </c>
      <c r="AE99" s="31" t="n">
        <f aca="false">MAX(AE98,AD99)</f>
        <v>10769.43</v>
      </c>
      <c r="AF99" s="31" t="n">
        <f aca="false">AE99-AD99</f>
        <v>25.3299999999999</v>
      </c>
      <c r="AG99" s="30" t="n">
        <f aca="false">IFERROR(AF99/AE99,0)</f>
        <v>0.00235202791605497</v>
      </c>
    </row>
    <row r="100" customFormat="false" ht="15" hidden="false" customHeight="false" outlineLevel="0" collapsed="false">
      <c r="A100" s="29" t="n">
        <v>99</v>
      </c>
      <c r="B100" s="44" t="n">
        <v>44788.6902777778</v>
      </c>
      <c r="C100" s="44" t="n">
        <v>44788.691412037</v>
      </c>
      <c r="D100" s="43" t="n">
        <f aca="false">INT(C100)</f>
        <v>44788</v>
      </c>
      <c r="E100" s="43" t="n">
        <f aca="false">D100-WEEKDAY(D100,3)</f>
        <v>44788</v>
      </c>
      <c r="F100" s="29" t="s">
        <v>148</v>
      </c>
      <c r="G100" s="29" t="n">
        <v>2022</v>
      </c>
      <c r="H100" s="29" t="s">
        <v>245</v>
      </c>
      <c r="I100" s="29" t="n">
        <v>16</v>
      </c>
      <c r="J100" s="29" t="s">
        <v>246</v>
      </c>
      <c r="K100" s="29" t="s">
        <v>247</v>
      </c>
      <c r="L100" s="29" t="n">
        <v>0.03</v>
      </c>
      <c r="M100" s="32" t="n">
        <v>13566.32</v>
      </c>
      <c r="N100" s="32" t="n">
        <v>13549.2</v>
      </c>
      <c r="O100" s="32" t="n">
        <v>13609.84</v>
      </c>
      <c r="P100" s="45" t="n">
        <f aca="false">ABS(M100-N100)</f>
        <v>17.119999999999</v>
      </c>
      <c r="Q100" s="45" t="n">
        <f aca="false">IF(O100="","",ABS(O100-M100))</f>
        <v>43.5200000000004</v>
      </c>
      <c r="R100" s="31" t="n">
        <f aca="false">P100*L100*Summary!$C$6</f>
        <v>51.3599999999969</v>
      </c>
      <c r="S100" s="32" t="n">
        <v>13566.3</v>
      </c>
      <c r="T100" s="29" t="s">
        <v>255</v>
      </c>
      <c r="U100" s="45" t="n">
        <f aca="false">IF(J100="BUY",S100-M100,M100-S100)</f>
        <v>-0.0200000000004366</v>
      </c>
      <c r="V100" s="46" t="n">
        <v>0</v>
      </c>
      <c r="W100" s="46" t="n">
        <v>0</v>
      </c>
      <c r="X100" s="46" t="n">
        <v>-0.06</v>
      </c>
      <c r="Y100" s="33" t="n">
        <f aca="false">IFERROR(X100/R100,0)</f>
        <v>-0.00116822429906549</v>
      </c>
      <c r="Z100" s="29" t="str">
        <f aca="false">IF(X100&gt;0,"Win",IF(X100&lt;0,"Loss","Flat"))</f>
        <v>Loss</v>
      </c>
      <c r="AA100" s="29" t="n">
        <f aca="false">ROUND((C100-B100)*1440,1)</f>
        <v>1.6</v>
      </c>
      <c r="AB100" s="29" t="str">
        <f aca="false">IF(AA100&lt;1,"a) &lt;1 min",IF(AA100&lt;10,"b) 1-10 min",IF(AA100&lt;60,"c) 10-60 min",IF(AA100&lt;240,"d) 1-4 h","e) 4 h+"))))</f>
        <v>b) 1-10 min</v>
      </c>
      <c r="AC100" s="29" t="str">
        <f aca="false">IF(P100&lt;10,"a) &lt;10",IF(P100&lt;20,"b) 10-20",IF(P100&lt;40,"c) 20-40",IF(P100&lt;80,"d) 40-80","e) 80+"))))</f>
        <v>b) 10-20</v>
      </c>
      <c r="AD100" s="31" t="n">
        <f aca="false">Summary!$C$5+SUM(X$2:X100)</f>
        <v>10744.04</v>
      </c>
      <c r="AE100" s="31" t="n">
        <f aca="false">MAX(AE99,AD100)</f>
        <v>10769.43</v>
      </c>
      <c r="AF100" s="31" t="n">
        <f aca="false">AE100-AD100</f>
        <v>25.3899999999994</v>
      </c>
      <c r="AG100" s="30" t="n">
        <f aca="false">IFERROR(AF100/AE100,0)</f>
        <v>0.00235759924155683</v>
      </c>
    </row>
    <row r="101" customFormat="false" ht="15" hidden="false" customHeight="false" outlineLevel="0" collapsed="false">
      <c r="A101" s="29" t="n">
        <v>100</v>
      </c>
      <c r="B101" s="44" t="n">
        <v>44789.8770833333</v>
      </c>
      <c r="C101" s="44" t="n">
        <v>44789.8817592593</v>
      </c>
      <c r="D101" s="43" t="n">
        <f aca="false">INT(C101)</f>
        <v>44789</v>
      </c>
      <c r="E101" s="43" t="n">
        <f aca="false">D101-WEEKDAY(D101,3)</f>
        <v>44788</v>
      </c>
      <c r="F101" s="29" t="s">
        <v>148</v>
      </c>
      <c r="G101" s="29" t="n">
        <v>2022</v>
      </c>
      <c r="H101" s="29" t="s">
        <v>248</v>
      </c>
      <c r="I101" s="29" t="n">
        <v>21</v>
      </c>
      <c r="J101" s="29" t="s">
        <v>246</v>
      </c>
      <c r="K101" s="29" t="s">
        <v>247</v>
      </c>
      <c r="L101" s="29" t="n">
        <v>0.03</v>
      </c>
      <c r="M101" s="32" t="n">
        <v>13696.09</v>
      </c>
      <c r="N101" s="32" t="n">
        <v>13688.89</v>
      </c>
      <c r="O101" s="32" t="n">
        <v>13713.73</v>
      </c>
      <c r="P101" s="45" t="n">
        <f aca="false">ABS(M101-N101)</f>
        <v>7.20000000000073</v>
      </c>
      <c r="Q101" s="45" t="n">
        <f aca="false">IF(O101="","",ABS(O101-M101))</f>
        <v>17.6399999999994</v>
      </c>
      <c r="R101" s="31" t="n">
        <f aca="false">P101*L101*Summary!$C$6</f>
        <v>21.6000000000022</v>
      </c>
      <c r="S101" s="32" t="n">
        <v>13713.91</v>
      </c>
      <c r="T101" s="29" t="s">
        <v>227</v>
      </c>
      <c r="U101" s="45" t="n">
        <f aca="false">IF(J101="BUY",S101-M101,M101-S101)</f>
        <v>17.8199999999997</v>
      </c>
      <c r="V101" s="46" t="n">
        <v>0</v>
      </c>
      <c r="W101" s="46" t="n">
        <v>0</v>
      </c>
      <c r="X101" s="46" t="n">
        <v>53.46</v>
      </c>
      <c r="Y101" s="33" t="n">
        <f aca="false">IFERROR(X101/R101,0)</f>
        <v>2.47499999999975</v>
      </c>
      <c r="Z101" s="29" t="str">
        <f aca="false">IF(X101&gt;0,"Win",IF(X101&lt;0,"Loss","Flat"))</f>
        <v>Win</v>
      </c>
      <c r="AA101" s="29" t="n">
        <f aca="false">ROUND((C101-B101)*1440,1)</f>
        <v>6.7</v>
      </c>
      <c r="AB101" s="29" t="str">
        <f aca="false">IF(AA101&lt;1,"a) &lt;1 min",IF(AA101&lt;10,"b) 1-10 min",IF(AA101&lt;60,"c) 10-60 min",IF(AA101&lt;240,"d) 1-4 h","e) 4 h+"))))</f>
        <v>b) 1-10 min</v>
      </c>
      <c r="AC101" s="29" t="str">
        <f aca="false">IF(P101&lt;10,"a) &lt;10",IF(P101&lt;20,"b) 10-20",IF(P101&lt;40,"c) 20-40",IF(P101&lt;80,"d) 40-80","e) 80+"))))</f>
        <v>a) &lt;10</v>
      </c>
      <c r="AD101" s="31" t="n">
        <f aca="false">Summary!$C$5+SUM(X$2:X101)</f>
        <v>10797.5</v>
      </c>
      <c r="AE101" s="31" t="n">
        <f aca="false">MAX(AE100,AD101)</f>
        <v>10797.5</v>
      </c>
      <c r="AF101" s="31" t="n">
        <f aca="false">AE101-AD101</f>
        <v>0</v>
      </c>
      <c r="AG101" s="30" t="n">
        <f aca="false">IFERROR(AF101/AE101,0)</f>
        <v>0</v>
      </c>
    </row>
    <row r="102" customFormat="false" ht="15" hidden="false" customHeight="false" outlineLevel="0" collapsed="false">
      <c r="A102" s="29" t="n">
        <v>101</v>
      </c>
      <c r="B102" s="44" t="n">
        <v>44790.6034722222</v>
      </c>
      <c r="C102" s="44" t="n">
        <v>44790.6056365741</v>
      </c>
      <c r="D102" s="43" t="n">
        <f aca="false">INT(C102)</f>
        <v>44790</v>
      </c>
      <c r="E102" s="43" t="n">
        <f aca="false">D102-WEEKDAY(D102,3)</f>
        <v>44788</v>
      </c>
      <c r="F102" s="29" t="s">
        <v>148</v>
      </c>
      <c r="G102" s="29" t="n">
        <v>2022</v>
      </c>
      <c r="H102" s="29" t="s">
        <v>252</v>
      </c>
      <c r="I102" s="29" t="n">
        <v>14</v>
      </c>
      <c r="J102" s="29" t="s">
        <v>250</v>
      </c>
      <c r="K102" s="29" t="s">
        <v>251</v>
      </c>
      <c r="L102" s="29" t="n">
        <v>0.03</v>
      </c>
      <c r="M102" s="32" t="n">
        <v>13502.36</v>
      </c>
      <c r="N102" s="32" t="n">
        <v>13509.2</v>
      </c>
      <c r="O102" s="32" t="n">
        <v>13486.51</v>
      </c>
      <c r="P102" s="45" t="n">
        <f aca="false">ABS(M102-N102)</f>
        <v>6.84000000000015</v>
      </c>
      <c r="Q102" s="45" t="n">
        <f aca="false">IF(O102="","",ABS(O102-M102))</f>
        <v>15.8500000000004</v>
      </c>
      <c r="R102" s="31" t="n">
        <f aca="false">P102*L102*Summary!$C$6</f>
        <v>20.5200000000004</v>
      </c>
      <c r="S102" s="32" t="n">
        <v>13502.6</v>
      </c>
      <c r="T102" s="29" t="s">
        <v>255</v>
      </c>
      <c r="U102" s="45" t="n">
        <f aca="false">IF(J102="BUY",S102-M102,M102-S102)</f>
        <v>-0.239999999999782</v>
      </c>
      <c r="V102" s="46" t="n">
        <v>0</v>
      </c>
      <c r="W102" s="46" t="n">
        <v>0</v>
      </c>
      <c r="X102" s="46" t="n">
        <v>-0.72</v>
      </c>
      <c r="Y102" s="33" t="n">
        <f aca="false">IFERROR(X102/R102,0)</f>
        <v>-0.0350877192982449</v>
      </c>
      <c r="Z102" s="29" t="str">
        <f aca="false">IF(X102&gt;0,"Win",IF(X102&lt;0,"Loss","Flat"))</f>
        <v>Loss</v>
      </c>
      <c r="AA102" s="29" t="n">
        <f aca="false">ROUND((C102-B102)*1440,1)</f>
        <v>3.1</v>
      </c>
      <c r="AB102" s="29" t="str">
        <f aca="false">IF(AA102&lt;1,"a) &lt;1 min",IF(AA102&lt;10,"b) 1-10 min",IF(AA102&lt;60,"c) 10-60 min",IF(AA102&lt;240,"d) 1-4 h","e) 4 h+"))))</f>
        <v>b) 1-10 min</v>
      </c>
      <c r="AC102" s="29" t="str">
        <f aca="false">IF(P102&lt;10,"a) &lt;10",IF(P102&lt;20,"b) 10-20",IF(P102&lt;40,"c) 20-40",IF(P102&lt;80,"d) 40-80","e) 80+"))))</f>
        <v>a) &lt;10</v>
      </c>
      <c r="AD102" s="31" t="n">
        <f aca="false">Summary!$C$5+SUM(X$2:X102)</f>
        <v>10796.78</v>
      </c>
      <c r="AE102" s="31" t="n">
        <f aca="false">MAX(AE101,AD102)</f>
        <v>10797.5</v>
      </c>
      <c r="AF102" s="31" t="n">
        <f aca="false">AE102-AD102</f>
        <v>0.719999999999345</v>
      </c>
      <c r="AG102" s="30" t="n">
        <f aca="false">IFERROR(AF102/AE102,0)</f>
        <v>6.66821023384436E-005</v>
      </c>
    </row>
    <row r="103" customFormat="false" ht="15" hidden="false" customHeight="false" outlineLevel="0" collapsed="false">
      <c r="A103" s="29" t="n">
        <v>102</v>
      </c>
      <c r="B103" s="44" t="n">
        <v>44792.4708333333</v>
      </c>
      <c r="C103" s="44" t="n">
        <v>44792.4719328704</v>
      </c>
      <c r="D103" s="43" t="n">
        <f aca="false">INT(C103)</f>
        <v>44792</v>
      </c>
      <c r="E103" s="43" t="n">
        <f aca="false">D103-WEEKDAY(D103,3)</f>
        <v>44788</v>
      </c>
      <c r="F103" s="29" t="s">
        <v>148</v>
      </c>
      <c r="G103" s="29" t="n">
        <v>2022</v>
      </c>
      <c r="H103" s="29" t="s">
        <v>254</v>
      </c>
      <c r="I103" s="29" t="n">
        <v>11</v>
      </c>
      <c r="J103" s="29" t="s">
        <v>250</v>
      </c>
      <c r="K103" s="29" t="s">
        <v>251</v>
      </c>
      <c r="L103" s="29" t="n">
        <v>0.04</v>
      </c>
      <c r="M103" s="32" t="n">
        <v>13387.06</v>
      </c>
      <c r="N103" s="32" t="n">
        <v>13393.67</v>
      </c>
      <c r="O103" s="32" t="n">
        <v>13371.39</v>
      </c>
      <c r="P103" s="45" t="n">
        <f aca="false">ABS(M103-N103)</f>
        <v>6.61000000000058</v>
      </c>
      <c r="Q103" s="45" t="n">
        <f aca="false">IF(O103="","",ABS(O103-M103))</f>
        <v>15.6700000000001</v>
      </c>
      <c r="R103" s="31" t="n">
        <f aca="false">P103*L103*Summary!$C$6</f>
        <v>26.4400000000023</v>
      </c>
      <c r="S103" s="32" t="n">
        <v>13394</v>
      </c>
      <c r="T103" s="29" t="s">
        <v>249</v>
      </c>
      <c r="U103" s="45" t="n">
        <f aca="false">IF(J103="BUY",S103-M103,M103-S103)</f>
        <v>-6.94000000000051</v>
      </c>
      <c r="V103" s="46" t="n">
        <v>0</v>
      </c>
      <c r="W103" s="46" t="n">
        <v>0</v>
      </c>
      <c r="X103" s="46" t="n">
        <v>-27.76</v>
      </c>
      <c r="Y103" s="33" t="n">
        <f aca="false">IFERROR(X103/R103,0)</f>
        <v>-1.0499243570347</v>
      </c>
      <c r="Z103" s="29" t="str">
        <f aca="false">IF(X103&gt;0,"Win",IF(X103&lt;0,"Loss","Flat"))</f>
        <v>Loss</v>
      </c>
      <c r="AA103" s="29" t="n">
        <f aca="false">ROUND((C103-B103)*1440,1)</f>
        <v>1.6</v>
      </c>
      <c r="AB103" s="29" t="str">
        <f aca="false">IF(AA103&lt;1,"a) &lt;1 min",IF(AA103&lt;10,"b) 1-10 min",IF(AA103&lt;60,"c) 10-60 min",IF(AA103&lt;240,"d) 1-4 h","e) 4 h+"))))</f>
        <v>b) 1-10 min</v>
      </c>
      <c r="AC103" s="29" t="str">
        <f aca="false">IF(P103&lt;10,"a) &lt;10",IF(P103&lt;20,"b) 10-20",IF(P103&lt;40,"c) 20-40",IF(P103&lt;80,"d) 40-80","e) 80+"))))</f>
        <v>a) &lt;10</v>
      </c>
      <c r="AD103" s="31" t="n">
        <f aca="false">Summary!$C$5+SUM(X$2:X103)</f>
        <v>10769.02</v>
      </c>
      <c r="AE103" s="31" t="n">
        <f aca="false">MAX(AE102,AD103)</f>
        <v>10797.5</v>
      </c>
      <c r="AF103" s="31" t="n">
        <f aca="false">AE103-AD103</f>
        <v>28.4799999999996</v>
      </c>
      <c r="AG103" s="30" t="n">
        <f aca="false">IFERROR(AF103/AE103,0)</f>
        <v>0.00263764760361191</v>
      </c>
    </row>
    <row r="104" customFormat="false" ht="15" hidden="false" customHeight="false" outlineLevel="0" collapsed="false">
      <c r="A104" s="29" t="n">
        <v>103</v>
      </c>
      <c r="B104" s="44" t="n">
        <v>44795.0423842593</v>
      </c>
      <c r="C104" s="44" t="n">
        <v>44795.0425115741</v>
      </c>
      <c r="D104" s="43" t="n">
        <f aca="false">INT(C104)</f>
        <v>44795</v>
      </c>
      <c r="E104" s="43" t="n">
        <f aca="false">D104-WEEKDAY(D104,3)</f>
        <v>44795</v>
      </c>
      <c r="F104" s="29" t="s">
        <v>148</v>
      </c>
      <c r="G104" s="29" t="n">
        <v>2022</v>
      </c>
      <c r="H104" s="29" t="s">
        <v>245</v>
      </c>
      <c r="I104" s="29" t="n">
        <v>1</v>
      </c>
      <c r="J104" s="29" t="s">
        <v>250</v>
      </c>
      <c r="K104" s="29" t="s">
        <v>251</v>
      </c>
      <c r="L104" s="29" t="n">
        <v>0.04</v>
      </c>
      <c r="M104" s="32" t="n">
        <v>13160.58</v>
      </c>
      <c r="N104" s="32" t="n">
        <v>13174.97</v>
      </c>
      <c r="O104" s="32" t="n">
        <v>13125.33</v>
      </c>
      <c r="P104" s="45" t="n">
        <f aca="false">ABS(M104-N104)</f>
        <v>14.3899999999994</v>
      </c>
      <c r="Q104" s="45" t="n">
        <f aca="false">IF(O104="","",ABS(O104-M104))</f>
        <v>35.25</v>
      </c>
      <c r="R104" s="31" t="n">
        <f aca="false">P104*L104*Summary!$C$6</f>
        <v>57.5599999999977</v>
      </c>
      <c r="S104" s="32" t="n">
        <v>13175.73</v>
      </c>
      <c r="T104" s="29" t="s">
        <v>249</v>
      </c>
      <c r="U104" s="45" t="n">
        <f aca="false">IF(J104="BUY",S104-M104,M104-S104)</f>
        <v>-15.1499999999996</v>
      </c>
      <c r="V104" s="46" t="n">
        <v>0</v>
      </c>
      <c r="W104" s="46" t="n">
        <v>0</v>
      </c>
      <c r="X104" s="46" t="n">
        <v>-60.6</v>
      </c>
      <c r="Y104" s="33" t="n">
        <f aca="false">IFERROR(X104/R104,0)</f>
        <v>-1.05281445448232</v>
      </c>
      <c r="Z104" s="29" t="str">
        <f aca="false">IF(X104&gt;0,"Win",IF(X104&lt;0,"Loss","Flat"))</f>
        <v>Loss</v>
      </c>
      <c r="AA104" s="29" t="n">
        <f aca="false">ROUND((C104-B104)*1440,1)</f>
        <v>0.2</v>
      </c>
      <c r="AB104" s="29" t="str">
        <f aca="false">IF(AA104&lt;1,"a) &lt;1 min",IF(AA104&lt;10,"b) 1-10 min",IF(AA104&lt;60,"c) 10-60 min",IF(AA104&lt;240,"d) 1-4 h","e) 4 h+"))))</f>
        <v>a) &lt;1 min</v>
      </c>
      <c r="AC104" s="29" t="str">
        <f aca="false">IF(P104&lt;10,"a) &lt;10",IF(P104&lt;20,"b) 10-20",IF(P104&lt;40,"c) 20-40",IF(P104&lt;80,"d) 40-80","e) 80+"))))</f>
        <v>b) 10-20</v>
      </c>
      <c r="AD104" s="31" t="n">
        <f aca="false">Summary!$C$5+SUM(X$2:X104)</f>
        <v>10708.42</v>
      </c>
      <c r="AE104" s="31" t="n">
        <f aca="false">MAX(AE103,AD104)</f>
        <v>10797.5</v>
      </c>
      <c r="AF104" s="31" t="n">
        <f aca="false">AE104-AD104</f>
        <v>89.0799999999999</v>
      </c>
      <c r="AG104" s="30" t="n">
        <f aca="false">IFERROR(AF104/AE104,0)</f>
        <v>0.00825005788376938</v>
      </c>
    </row>
    <row r="105" customFormat="false" ht="15" hidden="false" customHeight="false" outlineLevel="0" collapsed="false">
      <c r="A105" s="29" t="n">
        <v>104</v>
      </c>
      <c r="B105" s="44" t="n">
        <v>44796.3833333333</v>
      </c>
      <c r="C105" s="44" t="n">
        <v>44796.4012847222</v>
      </c>
      <c r="D105" s="43" t="n">
        <f aca="false">INT(C105)</f>
        <v>44796</v>
      </c>
      <c r="E105" s="43" t="n">
        <f aca="false">D105-WEEKDAY(D105,3)</f>
        <v>44795</v>
      </c>
      <c r="F105" s="29" t="s">
        <v>148</v>
      </c>
      <c r="G105" s="29" t="n">
        <v>2022</v>
      </c>
      <c r="H105" s="29" t="s">
        <v>248</v>
      </c>
      <c r="I105" s="29" t="n">
        <v>9</v>
      </c>
      <c r="J105" s="29" t="s">
        <v>250</v>
      </c>
      <c r="K105" s="29" t="s">
        <v>251</v>
      </c>
      <c r="L105" s="29" t="n">
        <v>0.04</v>
      </c>
      <c r="M105" s="32" t="n">
        <v>12837.79</v>
      </c>
      <c r="N105" s="32" t="n">
        <v>12849.13</v>
      </c>
      <c r="O105" s="32" t="n">
        <v>12809.88</v>
      </c>
      <c r="P105" s="45" t="n">
        <f aca="false">ABS(M105-N105)</f>
        <v>11.3399999999983</v>
      </c>
      <c r="Q105" s="45" t="n">
        <f aca="false">IF(O105="","",ABS(O105-M105))</f>
        <v>27.9100000000017</v>
      </c>
      <c r="R105" s="31" t="n">
        <f aca="false">P105*L105*Summary!$C$6</f>
        <v>45.3599999999933</v>
      </c>
      <c r="S105" s="32" t="n">
        <v>12808.54</v>
      </c>
      <c r="T105" s="29" t="s">
        <v>227</v>
      </c>
      <c r="U105" s="45" t="n">
        <f aca="false">IF(J105="BUY",S105-M105,M105-S105)</f>
        <v>29.25</v>
      </c>
      <c r="V105" s="46" t="n">
        <v>0</v>
      </c>
      <c r="W105" s="46" t="n">
        <v>0</v>
      </c>
      <c r="X105" s="46" t="n">
        <v>117</v>
      </c>
      <c r="Y105" s="33" t="n">
        <f aca="false">IFERROR(X105/R105,0)</f>
        <v>2.57936507936546</v>
      </c>
      <c r="Z105" s="29" t="str">
        <f aca="false">IF(X105&gt;0,"Win",IF(X105&lt;0,"Loss","Flat"))</f>
        <v>Win</v>
      </c>
      <c r="AA105" s="29" t="n">
        <f aca="false">ROUND((C105-B105)*1440,1)</f>
        <v>25.9</v>
      </c>
      <c r="AB105" s="29" t="str">
        <f aca="false">IF(AA105&lt;1,"a) &lt;1 min",IF(AA105&lt;10,"b) 1-10 min",IF(AA105&lt;60,"c) 10-60 min",IF(AA105&lt;240,"d) 1-4 h","e) 4 h+"))))</f>
        <v>c) 10-60 min</v>
      </c>
      <c r="AC105" s="29" t="str">
        <f aca="false">IF(P105&lt;10,"a) &lt;10",IF(P105&lt;20,"b) 10-20",IF(P105&lt;40,"c) 20-40",IF(P105&lt;80,"d) 40-80","e) 80+"))))</f>
        <v>b) 10-20</v>
      </c>
      <c r="AD105" s="31" t="n">
        <f aca="false">Summary!$C$5+SUM(X$2:X105)</f>
        <v>10825.42</v>
      </c>
      <c r="AE105" s="31" t="n">
        <f aca="false">MAX(AE104,AD105)</f>
        <v>10825.42</v>
      </c>
      <c r="AF105" s="31" t="n">
        <f aca="false">AE105-AD105</f>
        <v>0</v>
      </c>
      <c r="AG105" s="30" t="n">
        <f aca="false">IFERROR(AF105/AE105,0)</f>
        <v>0</v>
      </c>
    </row>
    <row r="106" customFormat="false" ht="15" hidden="false" customHeight="false" outlineLevel="0" collapsed="false">
      <c r="A106" s="29" t="n">
        <v>105</v>
      </c>
      <c r="B106" s="44" t="n">
        <v>44798.3868055556</v>
      </c>
      <c r="C106" s="44" t="n">
        <v>44798.3868055556</v>
      </c>
      <c r="D106" s="43" t="n">
        <f aca="false">INT(C106)</f>
        <v>44798</v>
      </c>
      <c r="E106" s="43" t="n">
        <f aca="false">D106-WEEKDAY(D106,3)</f>
        <v>44795</v>
      </c>
      <c r="F106" s="29" t="s">
        <v>148</v>
      </c>
      <c r="G106" s="29" t="n">
        <v>2022</v>
      </c>
      <c r="H106" s="29" t="s">
        <v>253</v>
      </c>
      <c r="I106" s="29" t="n">
        <v>9</v>
      </c>
      <c r="J106" s="29" t="s">
        <v>246</v>
      </c>
      <c r="K106" s="29" t="s">
        <v>247</v>
      </c>
      <c r="L106" s="29" t="n">
        <v>0.04</v>
      </c>
      <c r="M106" s="32" t="n">
        <v>13058.01</v>
      </c>
      <c r="N106" s="32" t="n">
        <v>13039.12</v>
      </c>
      <c r="O106" s="32" t="n">
        <v>13108.36</v>
      </c>
      <c r="P106" s="45" t="n">
        <f aca="false">ABS(M106-N106)</f>
        <v>18.8899999999994</v>
      </c>
      <c r="Q106" s="45" t="n">
        <f aca="false">IF(O106="","",ABS(O106-M106))</f>
        <v>50.3500000000004</v>
      </c>
      <c r="R106" s="31" t="n">
        <f aca="false">P106*L106*Summary!$C$6</f>
        <v>75.5599999999977</v>
      </c>
      <c r="S106" s="32" t="n">
        <v>13036.28</v>
      </c>
      <c r="T106" s="29" t="s">
        <v>249</v>
      </c>
      <c r="U106" s="45" t="n">
        <f aca="false">IF(J106="BUY",S106-M106,M106-S106)</f>
        <v>-21.7299999999996</v>
      </c>
      <c r="V106" s="46" t="n">
        <v>0</v>
      </c>
      <c r="W106" s="46" t="n">
        <v>0</v>
      </c>
      <c r="X106" s="46" t="n">
        <v>-86.92</v>
      </c>
      <c r="Y106" s="33" t="n">
        <f aca="false">IFERROR(X106/R106,0)</f>
        <v>-1.15034409740607</v>
      </c>
      <c r="Z106" s="29" t="str">
        <f aca="false">IF(X106&gt;0,"Win",IF(X106&lt;0,"Loss","Flat"))</f>
        <v>Loss</v>
      </c>
      <c r="AA106" s="29" t="n">
        <f aca="false">ROUND((C106-B106)*1440,1)</f>
        <v>0</v>
      </c>
      <c r="AB106" s="29" t="str">
        <f aca="false">IF(AA106&lt;1,"a) &lt;1 min",IF(AA106&lt;10,"b) 1-10 min",IF(AA106&lt;60,"c) 10-60 min",IF(AA106&lt;240,"d) 1-4 h","e) 4 h+"))))</f>
        <v>a) &lt;1 min</v>
      </c>
      <c r="AC106" s="29" t="str">
        <f aca="false">IF(P106&lt;10,"a) &lt;10",IF(P106&lt;20,"b) 10-20",IF(P106&lt;40,"c) 20-40",IF(P106&lt;80,"d) 40-80","e) 80+"))))</f>
        <v>b) 10-20</v>
      </c>
      <c r="AD106" s="31" t="n">
        <f aca="false">Summary!$C$5+SUM(X$2:X106)</f>
        <v>10738.5</v>
      </c>
      <c r="AE106" s="31" t="n">
        <f aca="false">MAX(AE105,AD106)</f>
        <v>10825.42</v>
      </c>
      <c r="AF106" s="31" t="n">
        <f aca="false">AE106-AD106</f>
        <v>86.9200000000001</v>
      </c>
      <c r="AG106" s="30" t="n">
        <f aca="false">IFERROR(AF106/AE106,0)</f>
        <v>0.00802924967345379</v>
      </c>
    </row>
    <row r="107" customFormat="false" ht="15" hidden="false" customHeight="false" outlineLevel="0" collapsed="false">
      <c r="A107" s="29" t="n">
        <v>106</v>
      </c>
      <c r="B107" s="44" t="n">
        <v>44799.6680555556</v>
      </c>
      <c r="C107" s="44" t="n">
        <v>44799.669849537</v>
      </c>
      <c r="D107" s="43" t="n">
        <f aca="false">INT(C107)</f>
        <v>44799</v>
      </c>
      <c r="E107" s="43" t="n">
        <f aca="false">D107-WEEKDAY(D107,3)</f>
        <v>44795</v>
      </c>
      <c r="F107" s="29" t="s">
        <v>148</v>
      </c>
      <c r="G107" s="29" t="n">
        <v>2022</v>
      </c>
      <c r="H107" s="29" t="s">
        <v>254</v>
      </c>
      <c r="I107" s="29" t="n">
        <v>16</v>
      </c>
      <c r="J107" s="29" t="s">
        <v>246</v>
      </c>
      <c r="K107" s="29" t="s">
        <v>247</v>
      </c>
      <c r="L107" s="29" t="n">
        <v>0.04</v>
      </c>
      <c r="M107" s="32" t="n">
        <v>13149.62</v>
      </c>
      <c r="N107" s="32" t="n">
        <v>13141.05</v>
      </c>
      <c r="O107" s="32" t="n">
        <v>13170.97</v>
      </c>
      <c r="P107" s="45" t="n">
        <f aca="false">ABS(M107-N107)</f>
        <v>8.57000000000153</v>
      </c>
      <c r="Q107" s="45" t="n">
        <f aca="false">IF(O107="","",ABS(O107-M107))</f>
        <v>21.3499999999985</v>
      </c>
      <c r="R107" s="31" t="n">
        <f aca="false">P107*L107*Summary!$C$6</f>
        <v>34.2800000000061</v>
      </c>
      <c r="S107" s="32" t="n">
        <v>13171.05</v>
      </c>
      <c r="T107" s="29" t="s">
        <v>227</v>
      </c>
      <c r="U107" s="45" t="n">
        <f aca="false">IF(J107="BUY",S107-M107,M107-S107)</f>
        <v>21.4299999999985</v>
      </c>
      <c r="V107" s="46" t="n">
        <v>0</v>
      </c>
      <c r="W107" s="46" t="n">
        <v>0</v>
      </c>
      <c r="X107" s="46" t="n">
        <v>85.72</v>
      </c>
      <c r="Y107" s="33" t="n">
        <f aca="false">IFERROR(X107/R107,0)</f>
        <v>2.50058343057132</v>
      </c>
      <c r="Z107" s="29" t="str">
        <f aca="false">IF(X107&gt;0,"Win",IF(X107&lt;0,"Loss","Flat"))</f>
        <v>Win</v>
      </c>
      <c r="AA107" s="29" t="n">
        <f aca="false">ROUND((C107-B107)*1440,1)</f>
        <v>2.6</v>
      </c>
      <c r="AB107" s="29" t="str">
        <f aca="false">IF(AA107&lt;1,"a) &lt;1 min",IF(AA107&lt;10,"b) 1-10 min",IF(AA107&lt;60,"c) 10-60 min",IF(AA107&lt;240,"d) 1-4 h","e) 4 h+"))))</f>
        <v>b) 1-10 min</v>
      </c>
      <c r="AC107" s="29" t="str">
        <f aca="false">IF(P107&lt;10,"a) &lt;10",IF(P107&lt;20,"b) 10-20",IF(P107&lt;40,"c) 20-40",IF(P107&lt;80,"d) 40-80","e) 80+"))))</f>
        <v>a) &lt;10</v>
      </c>
      <c r="AD107" s="31" t="n">
        <f aca="false">Summary!$C$5+SUM(X$2:X107)</f>
        <v>10824.22</v>
      </c>
      <c r="AE107" s="31" t="n">
        <f aca="false">MAX(AE106,AD107)</f>
        <v>10825.42</v>
      </c>
      <c r="AF107" s="31" t="n">
        <f aca="false">AE107-AD107</f>
        <v>1.20000000000073</v>
      </c>
      <c r="AG107" s="30" t="n">
        <f aca="false">IFERROR(AF107/AE107,0)</f>
        <v>0.000110850202578812</v>
      </c>
    </row>
    <row r="108" customFormat="false" ht="15" hidden="false" customHeight="false" outlineLevel="0" collapsed="false">
      <c r="A108" s="29" t="n">
        <v>107</v>
      </c>
      <c r="B108" s="44" t="n">
        <v>44799.7347222222</v>
      </c>
      <c r="C108" s="44" t="n">
        <v>44799.7356597222</v>
      </c>
      <c r="D108" s="43" t="n">
        <f aca="false">INT(C108)</f>
        <v>44799</v>
      </c>
      <c r="E108" s="43" t="n">
        <f aca="false">D108-WEEKDAY(D108,3)</f>
        <v>44795</v>
      </c>
      <c r="F108" s="29" t="s">
        <v>148</v>
      </c>
      <c r="G108" s="29" t="n">
        <v>2022</v>
      </c>
      <c r="H108" s="29" t="s">
        <v>254</v>
      </c>
      <c r="I108" s="29" t="n">
        <v>17</v>
      </c>
      <c r="J108" s="29" t="s">
        <v>250</v>
      </c>
      <c r="K108" s="29" t="s">
        <v>251</v>
      </c>
      <c r="L108" s="29" t="n">
        <v>0.04</v>
      </c>
      <c r="M108" s="32" t="n">
        <v>12907.85</v>
      </c>
      <c r="N108" s="32" t="n">
        <v>12928.57</v>
      </c>
      <c r="O108" s="32" t="n">
        <v>12860.37</v>
      </c>
      <c r="P108" s="45" t="n">
        <f aca="false">ABS(M108-N108)</f>
        <v>20.7199999999993</v>
      </c>
      <c r="Q108" s="45" t="n">
        <f aca="false">IF(O108="","",ABS(O108-M108))</f>
        <v>47.4799999999996</v>
      </c>
      <c r="R108" s="31" t="n">
        <f aca="false">P108*L108*Summary!$C$6</f>
        <v>82.8799999999974</v>
      </c>
      <c r="S108" s="32" t="n">
        <v>12860.15</v>
      </c>
      <c r="T108" s="29" t="s">
        <v>227</v>
      </c>
      <c r="U108" s="45" t="n">
        <f aca="false">IF(J108="BUY",S108-M108,M108-S108)</f>
        <v>47.7000000000007</v>
      </c>
      <c r="V108" s="46" t="n">
        <v>0</v>
      </c>
      <c r="W108" s="46" t="n">
        <v>0</v>
      </c>
      <c r="X108" s="46" t="n">
        <v>190.8</v>
      </c>
      <c r="Y108" s="33" t="n">
        <f aca="false">IFERROR(X108/R108,0)</f>
        <v>2.30212355212363</v>
      </c>
      <c r="Z108" s="29" t="str">
        <f aca="false">IF(X108&gt;0,"Win",IF(X108&lt;0,"Loss","Flat"))</f>
        <v>Win</v>
      </c>
      <c r="AA108" s="29" t="n">
        <f aca="false">ROUND((C108-B108)*1440,1)</f>
        <v>1.4</v>
      </c>
      <c r="AB108" s="29" t="str">
        <f aca="false">IF(AA108&lt;1,"a) &lt;1 min",IF(AA108&lt;10,"b) 1-10 min",IF(AA108&lt;60,"c) 10-60 min",IF(AA108&lt;240,"d) 1-4 h","e) 4 h+"))))</f>
        <v>b) 1-10 min</v>
      </c>
      <c r="AC108" s="29" t="str">
        <f aca="false">IF(P108&lt;10,"a) &lt;10",IF(P108&lt;20,"b) 10-20",IF(P108&lt;40,"c) 20-40",IF(P108&lt;80,"d) 40-80","e) 80+"))))</f>
        <v>c) 20-40</v>
      </c>
      <c r="AD108" s="31" t="n">
        <f aca="false">Summary!$C$5+SUM(X$2:X108)</f>
        <v>11015.02</v>
      </c>
      <c r="AE108" s="31" t="n">
        <f aca="false">MAX(AE107,AD108)</f>
        <v>11015.02</v>
      </c>
      <c r="AF108" s="31" t="n">
        <f aca="false">AE108-AD108</f>
        <v>0</v>
      </c>
      <c r="AG108" s="30" t="n">
        <f aca="false">IFERROR(AF108/AE108,0)</f>
        <v>0</v>
      </c>
    </row>
    <row r="109" customFormat="false" ht="15" hidden="false" customHeight="false" outlineLevel="0" collapsed="false">
      <c r="A109" s="29" t="n">
        <v>108</v>
      </c>
      <c r="B109" s="44" t="n">
        <v>44802.0430555556</v>
      </c>
      <c r="C109" s="44" t="n">
        <v>44802.0525462963</v>
      </c>
      <c r="D109" s="43" t="n">
        <f aca="false">INT(C109)</f>
        <v>44802</v>
      </c>
      <c r="E109" s="43" t="n">
        <f aca="false">D109-WEEKDAY(D109,3)</f>
        <v>44802</v>
      </c>
      <c r="F109" s="29" t="s">
        <v>148</v>
      </c>
      <c r="G109" s="29" t="n">
        <v>2022</v>
      </c>
      <c r="H109" s="29" t="s">
        <v>245</v>
      </c>
      <c r="I109" s="29" t="n">
        <v>1</v>
      </c>
      <c r="J109" s="29" t="s">
        <v>250</v>
      </c>
      <c r="K109" s="29" t="s">
        <v>251</v>
      </c>
      <c r="L109" s="29" t="n">
        <v>0.04</v>
      </c>
      <c r="M109" s="32" t="n">
        <v>12490.5</v>
      </c>
      <c r="N109" s="32" t="n">
        <v>12516.62</v>
      </c>
      <c r="O109" s="32" t="n">
        <v>12426.5</v>
      </c>
      <c r="P109" s="45" t="n">
        <f aca="false">ABS(M109-N109)</f>
        <v>26.1200000000008</v>
      </c>
      <c r="Q109" s="45" t="n">
        <f aca="false">IF(O109="","",ABS(O109-M109))</f>
        <v>64</v>
      </c>
      <c r="R109" s="31" t="n">
        <f aca="false">P109*L109*Summary!$C$6</f>
        <v>104.480000000003</v>
      </c>
      <c r="S109" s="32" t="n">
        <v>12490.6</v>
      </c>
      <c r="T109" s="29" t="s">
        <v>255</v>
      </c>
      <c r="U109" s="45" t="n">
        <f aca="false">IF(J109="BUY",S109-M109,M109-S109)</f>
        <v>-0.100000000000364</v>
      </c>
      <c r="V109" s="46" t="n">
        <v>0</v>
      </c>
      <c r="W109" s="46" t="n">
        <v>0</v>
      </c>
      <c r="X109" s="46" t="n">
        <v>-0.4</v>
      </c>
      <c r="Y109" s="33" t="n">
        <f aca="false">IFERROR(X109/R109,0)</f>
        <v>-0.00382848392036742</v>
      </c>
      <c r="Z109" s="29" t="str">
        <f aca="false">IF(X109&gt;0,"Win",IF(X109&lt;0,"Loss","Flat"))</f>
        <v>Loss</v>
      </c>
      <c r="AA109" s="29" t="n">
        <f aca="false">ROUND((C109-B109)*1440,1)</f>
        <v>13.7</v>
      </c>
      <c r="AB109" s="29" t="str">
        <f aca="false">IF(AA109&lt;1,"a) &lt;1 min",IF(AA109&lt;10,"b) 1-10 min",IF(AA109&lt;60,"c) 10-60 min",IF(AA109&lt;240,"d) 1-4 h","e) 4 h+"))))</f>
        <v>c) 10-60 min</v>
      </c>
      <c r="AC109" s="29" t="str">
        <f aca="false">IF(P109&lt;10,"a) &lt;10",IF(P109&lt;20,"b) 10-20",IF(P109&lt;40,"c) 20-40",IF(P109&lt;80,"d) 40-80","e) 80+"))))</f>
        <v>c) 20-40</v>
      </c>
      <c r="AD109" s="31" t="n">
        <f aca="false">Summary!$C$5+SUM(X$2:X109)</f>
        <v>11014.62</v>
      </c>
      <c r="AE109" s="31" t="n">
        <f aca="false">MAX(AE108,AD109)</f>
        <v>11015.02</v>
      </c>
      <c r="AF109" s="31" t="n">
        <f aca="false">AE109-AD109</f>
        <v>0.399999999999636</v>
      </c>
      <c r="AG109" s="30" t="n">
        <f aca="false">IFERROR(AF109/AE109,0)</f>
        <v>3.63140511773593E-005</v>
      </c>
    </row>
    <row r="110" customFormat="false" ht="15" hidden="false" customHeight="false" outlineLevel="0" collapsed="false">
      <c r="A110" s="29" t="n">
        <v>109</v>
      </c>
      <c r="B110" s="44" t="n">
        <v>44803.4527777778</v>
      </c>
      <c r="C110" s="44" t="n">
        <v>44803.4531712963</v>
      </c>
      <c r="D110" s="43" t="n">
        <f aca="false">INT(C110)</f>
        <v>44803</v>
      </c>
      <c r="E110" s="43" t="n">
        <f aca="false">D110-WEEKDAY(D110,3)</f>
        <v>44802</v>
      </c>
      <c r="F110" s="29" t="s">
        <v>148</v>
      </c>
      <c r="G110" s="29" t="n">
        <v>2022</v>
      </c>
      <c r="H110" s="29" t="s">
        <v>248</v>
      </c>
      <c r="I110" s="29" t="n">
        <v>10</v>
      </c>
      <c r="J110" s="29" t="s">
        <v>246</v>
      </c>
      <c r="K110" s="29" t="s">
        <v>247</v>
      </c>
      <c r="L110" s="29" t="n">
        <v>0.04</v>
      </c>
      <c r="M110" s="32" t="n">
        <v>12605.43</v>
      </c>
      <c r="N110" s="32" t="n">
        <v>12599.13</v>
      </c>
      <c r="O110" s="32" t="n">
        <v>12621.38</v>
      </c>
      <c r="P110" s="45" t="n">
        <f aca="false">ABS(M110-N110)</f>
        <v>6.30000000000109</v>
      </c>
      <c r="Q110" s="45" t="n">
        <f aca="false">IF(O110="","",ABS(O110-M110))</f>
        <v>15.9499999999989</v>
      </c>
      <c r="R110" s="31" t="n">
        <f aca="false">P110*L110*Summary!$C$6</f>
        <v>25.2000000000044</v>
      </c>
      <c r="S110" s="32" t="n">
        <v>12599.1</v>
      </c>
      <c r="T110" s="29" t="s">
        <v>249</v>
      </c>
      <c r="U110" s="45" t="n">
        <f aca="false">IF(J110="BUY",S110-M110,M110-S110)</f>
        <v>-6.32999999999993</v>
      </c>
      <c r="V110" s="46" t="n">
        <v>0</v>
      </c>
      <c r="W110" s="46" t="n">
        <v>0</v>
      </c>
      <c r="X110" s="46" t="n">
        <v>-25.32</v>
      </c>
      <c r="Y110" s="33" t="n">
        <f aca="false">IFERROR(X110/R110,0)</f>
        <v>-1.00476190476173</v>
      </c>
      <c r="Z110" s="29" t="str">
        <f aca="false">IF(X110&gt;0,"Win",IF(X110&lt;0,"Loss","Flat"))</f>
        <v>Loss</v>
      </c>
      <c r="AA110" s="29" t="n">
        <f aca="false">ROUND((C110-B110)*1440,1)</f>
        <v>0.6</v>
      </c>
      <c r="AB110" s="29" t="str">
        <f aca="false">IF(AA110&lt;1,"a) &lt;1 min",IF(AA110&lt;10,"b) 1-10 min",IF(AA110&lt;60,"c) 10-60 min",IF(AA110&lt;240,"d) 1-4 h","e) 4 h+"))))</f>
        <v>a) &lt;1 min</v>
      </c>
      <c r="AC110" s="29" t="str">
        <f aca="false">IF(P110&lt;10,"a) &lt;10",IF(P110&lt;20,"b) 10-20",IF(P110&lt;40,"c) 20-40",IF(P110&lt;80,"d) 40-80","e) 80+"))))</f>
        <v>a) &lt;10</v>
      </c>
      <c r="AD110" s="31" t="n">
        <f aca="false">Summary!$C$5+SUM(X$2:X110)</f>
        <v>10989.3</v>
      </c>
      <c r="AE110" s="31" t="n">
        <f aca="false">MAX(AE109,AD110)</f>
        <v>11015.02</v>
      </c>
      <c r="AF110" s="31" t="n">
        <f aca="false">AE110-AD110</f>
        <v>25.7200000000012</v>
      </c>
      <c r="AG110" s="30" t="n">
        <f aca="false">IFERROR(AF110/AE110,0)</f>
        <v>0.00233499349070643</v>
      </c>
    </row>
    <row r="111" customFormat="false" ht="15" hidden="false" customHeight="false" outlineLevel="0" collapsed="false">
      <c r="A111" s="29" t="n">
        <v>110</v>
      </c>
      <c r="B111" s="44" t="n">
        <v>44803.725</v>
      </c>
      <c r="C111" s="44" t="n">
        <v>44803.7263888889</v>
      </c>
      <c r="D111" s="43" t="n">
        <f aca="false">INT(C111)</f>
        <v>44803</v>
      </c>
      <c r="E111" s="43" t="n">
        <f aca="false">D111-WEEKDAY(D111,3)</f>
        <v>44802</v>
      </c>
      <c r="F111" s="29" t="s">
        <v>148</v>
      </c>
      <c r="G111" s="29" t="n">
        <v>2022</v>
      </c>
      <c r="H111" s="29" t="s">
        <v>248</v>
      </c>
      <c r="I111" s="29" t="n">
        <v>17</v>
      </c>
      <c r="J111" s="29" t="s">
        <v>250</v>
      </c>
      <c r="K111" s="29" t="s">
        <v>251</v>
      </c>
      <c r="L111" s="29" t="n">
        <v>0.04</v>
      </c>
      <c r="M111" s="32" t="n">
        <v>12380.79</v>
      </c>
      <c r="N111" s="32" t="n">
        <v>12395.5</v>
      </c>
      <c r="O111" s="32" t="n">
        <v>12345.45</v>
      </c>
      <c r="P111" s="45" t="n">
        <f aca="false">ABS(M111-N111)</f>
        <v>14.7099999999991</v>
      </c>
      <c r="Q111" s="45" t="n">
        <f aca="false">IF(O111="","",ABS(O111-M111))</f>
        <v>35.3400000000001</v>
      </c>
      <c r="R111" s="31" t="n">
        <f aca="false">P111*L111*Summary!$C$6</f>
        <v>58.8399999999965</v>
      </c>
      <c r="S111" s="32" t="n">
        <v>12395.79</v>
      </c>
      <c r="T111" s="29" t="s">
        <v>249</v>
      </c>
      <c r="U111" s="45" t="n">
        <f aca="false">IF(J111="BUY",S111-M111,M111-S111)</f>
        <v>-15</v>
      </c>
      <c r="V111" s="46" t="n">
        <v>0</v>
      </c>
      <c r="W111" s="46" t="n">
        <v>0</v>
      </c>
      <c r="X111" s="46" t="n">
        <v>-60</v>
      </c>
      <c r="Y111" s="33" t="n">
        <f aca="false">IFERROR(X111/R111,0)</f>
        <v>-1.01971447994568</v>
      </c>
      <c r="Z111" s="29" t="str">
        <f aca="false">IF(X111&gt;0,"Win",IF(X111&lt;0,"Loss","Flat"))</f>
        <v>Loss</v>
      </c>
      <c r="AA111" s="29" t="n">
        <f aca="false">ROUND((C111-B111)*1440,1)</f>
        <v>2</v>
      </c>
      <c r="AB111" s="29" t="str">
        <f aca="false">IF(AA111&lt;1,"a) &lt;1 min",IF(AA111&lt;10,"b) 1-10 min",IF(AA111&lt;60,"c) 10-60 min",IF(AA111&lt;240,"d) 1-4 h","e) 4 h+"))))</f>
        <v>b) 1-10 min</v>
      </c>
      <c r="AC111" s="29" t="str">
        <f aca="false">IF(P111&lt;10,"a) &lt;10",IF(P111&lt;20,"b) 10-20",IF(P111&lt;40,"c) 20-40",IF(P111&lt;80,"d) 40-80","e) 80+"))))</f>
        <v>b) 10-20</v>
      </c>
      <c r="AD111" s="31" t="n">
        <f aca="false">Summary!$C$5+SUM(X$2:X111)</f>
        <v>10929.3</v>
      </c>
      <c r="AE111" s="31" t="n">
        <f aca="false">MAX(AE110,AD111)</f>
        <v>11015.02</v>
      </c>
      <c r="AF111" s="31" t="n">
        <f aca="false">AE111-AD111</f>
        <v>85.7200000000012</v>
      </c>
      <c r="AG111" s="30" t="n">
        <f aca="false">IFERROR(AF111/AE111,0)</f>
        <v>0.00778210116731528</v>
      </c>
    </row>
    <row r="112" customFormat="false" ht="15" hidden="false" customHeight="false" outlineLevel="0" collapsed="false">
      <c r="A112" s="29" t="n">
        <v>111</v>
      </c>
      <c r="B112" s="44" t="n">
        <v>44805.0506944444</v>
      </c>
      <c r="C112" s="44" t="n">
        <v>44805.0517939815</v>
      </c>
      <c r="D112" s="43" t="n">
        <f aca="false">INT(C112)</f>
        <v>44805</v>
      </c>
      <c r="E112" s="43" t="n">
        <f aca="false">D112-WEEKDAY(D112,3)</f>
        <v>44802</v>
      </c>
      <c r="F112" s="29" t="s">
        <v>149</v>
      </c>
      <c r="G112" s="29" t="n">
        <v>2022</v>
      </c>
      <c r="H112" s="29" t="s">
        <v>253</v>
      </c>
      <c r="I112" s="29" t="n">
        <v>1</v>
      </c>
      <c r="J112" s="29" t="s">
        <v>250</v>
      </c>
      <c r="K112" s="29" t="s">
        <v>251</v>
      </c>
      <c r="L112" s="29" t="n">
        <v>0.04</v>
      </c>
      <c r="M112" s="32" t="n">
        <v>12266.25</v>
      </c>
      <c r="N112" s="32" t="n">
        <v>12270.1</v>
      </c>
      <c r="O112" s="32" t="n">
        <v>12257.15</v>
      </c>
      <c r="P112" s="45" t="n">
        <f aca="false">ABS(M112-N112)</f>
        <v>3.85000000000036</v>
      </c>
      <c r="Q112" s="45" t="n">
        <f aca="false">IF(O112="","",ABS(O112-M112))</f>
        <v>9.10000000000036</v>
      </c>
      <c r="R112" s="31" t="n">
        <f aca="false">P112*L112*Summary!$C$6</f>
        <v>15.4000000000015</v>
      </c>
      <c r="S112" s="32" t="n">
        <v>12257.13</v>
      </c>
      <c r="T112" s="29" t="s">
        <v>227</v>
      </c>
      <c r="U112" s="45" t="n">
        <f aca="false">IF(J112="BUY",S112-M112,M112-S112)</f>
        <v>9.1200000000008</v>
      </c>
      <c r="V112" s="46" t="n">
        <v>0</v>
      </c>
      <c r="W112" s="46" t="n">
        <v>0</v>
      </c>
      <c r="X112" s="46" t="n">
        <v>36.48</v>
      </c>
      <c r="Y112" s="33" t="n">
        <f aca="false">IFERROR(X112/R112,0)</f>
        <v>2.36883116883095</v>
      </c>
      <c r="Z112" s="29" t="str">
        <f aca="false">IF(X112&gt;0,"Win",IF(X112&lt;0,"Loss","Flat"))</f>
        <v>Win</v>
      </c>
      <c r="AA112" s="29" t="n">
        <f aca="false">ROUND((C112-B112)*1440,1)</f>
        <v>1.6</v>
      </c>
      <c r="AB112" s="29" t="str">
        <f aca="false">IF(AA112&lt;1,"a) &lt;1 min",IF(AA112&lt;10,"b) 1-10 min",IF(AA112&lt;60,"c) 10-60 min",IF(AA112&lt;240,"d) 1-4 h","e) 4 h+"))))</f>
        <v>b) 1-10 min</v>
      </c>
      <c r="AC112" s="29" t="str">
        <f aca="false">IF(P112&lt;10,"a) &lt;10",IF(P112&lt;20,"b) 10-20",IF(P112&lt;40,"c) 20-40",IF(P112&lt;80,"d) 40-80","e) 80+"))))</f>
        <v>a) &lt;10</v>
      </c>
      <c r="AD112" s="31" t="n">
        <f aca="false">Summary!$C$5+SUM(X$2:X112)</f>
        <v>10965.78</v>
      </c>
      <c r="AE112" s="31" t="n">
        <f aca="false">MAX(AE111,AD112)</f>
        <v>11015.02</v>
      </c>
      <c r="AF112" s="31" t="n">
        <f aca="false">AE112-AD112</f>
        <v>49.2399999999998</v>
      </c>
      <c r="AG112" s="30" t="n">
        <f aca="false">IFERROR(AF112/AE112,0)</f>
        <v>0.00447025969993698</v>
      </c>
    </row>
    <row r="113" customFormat="false" ht="15" hidden="false" customHeight="false" outlineLevel="0" collapsed="false">
      <c r="A113" s="29" t="n">
        <v>112</v>
      </c>
      <c r="B113" s="44" t="n">
        <v>44806.0423611111</v>
      </c>
      <c r="C113" s="44" t="n">
        <v>44806.0544444445</v>
      </c>
      <c r="D113" s="43" t="n">
        <f aca="false">INT(C113)</f>
        <v>44806</v>
      </c>
      <c r="E113" s="43" t="n">
        <f aca="false">D113-WEEKDAY(D113,3)</f>
        <v>44802</v>
      </c>
      <c r="F113" s="29" t="s">
        <v>149</v>
      </c>
      <c r="G113" s="29" t="n">
        <v>2022</v>
      </c>
      <c r="H113" s="29" t="s">
        <v>254</v>
      </c>
      <c r="I113" s="29" t="n">
        <v>1</v>
      </c>
      <c r="J113" s="29" t="s">
        <v>246</v>
      </c>
      <c r="K113" s="29" t="s">
        <v>247</v>
      </c>
      <c r="L113" s="29" t="n">
        <v>0.04</v>
      </c>
      <c r="M113" s="32" t="n">
        <v>12289.75</v>
      </c>
      <c r="N113" s="32" t="n">
        <v>12275.26</v>
      </c>
      <c r="O113" s="32" t="n">
        <v>12325.38</v>
      </c>
      <c r="P113" s="45" t="n">
        <f aca="false">ABS(M113-N113)</f>
        <v>14.4899999999998</v>
      </c>
      <c r="Q113" s="45" t="n">
        <f aca="false">IF(O113="","",ABS(O113-M113))</f>
        <v>35.6299999999992</v>
      </c>
      <c r="R113" s="31" t="n">
        <f aca="false">P113*L113*Summary!$C$6</f>
        <v>57.9599999999991</v>
      </c>
      <c r="S113" s="32" t="n">
        <v>12289.58</v>
      </c>
      <c r="T113" s="29" t="s">
        <v>255</v>
      </c>
      <c r="U113" s="45" t="n">
        <f aca="false">IF(J113="BUY",S113-M113,M113-S113)</f>
        <v>-0.170000000000073</v>
      </c>
      <c r="V113" s="46" t="n">
        <v>0</v>
      </c>
      <c r="W113" s="46" t="n">
        <v>0</v>
      </c>
      <c r="X113" s="46" t="n">
        <v>-0.68</v>
      </c>
      <c r="Y113" s="33" t="n">
        <f aca="false">IFERROR(X113/R113,0)</f>
        <v>-0.0117322291235336</v>
      </c>
      <c r="Z113" s="29" t="str">
        <f aca="false">IF(X113&gt;0,"Win",IF(X113&lt;0,"Loss","Flat"))</f>
        <v>Loss</v>
      </c>
      <c r="AA113" s="29" t="n">
        <f aca="false">ROUND((C113-B113)*1440,1)</f>
        <v>17.4</v>
      </c>
      <c r="AB113" s="29" t="str">
        <f aca="false">IF(AA113&lt;1,"a) &lt;1 min",IF(AA113&lt;10,"b) 1-10 min",IF(AA113&lt;60,"c) 10-60 min",IF(AA113&lt;240,"d) 1-4 h","e) 4 h+"))))</f>
        <v>c) 10-60 min</v>
      </c>
      <c r="AC113" s="29" t="str">
        <f aca="false">IF(P113&lt;10,"a) &lt;10",IF(P113&lt;20,"b) 10-20",IF(P113&lt;40,"c) 20-40",IF(P113&lt;80,"d) 40-80","e) 80+"))))</f>
        <v>b) 10-20</v>
      </c>
      <c r="AD113" s="31" t="n">
        <f aca="false">Summary!$C$5+SUM(X$2:X113)</f>
        <v>10965.1</v>
      </c>
      <c r="AE113" s="31" t="n">
        <f aca="false">MAX(AE112,AD113)</f>
        <v>11015.02</v>
      </c>
      <c r="AF113" s="31" t="n">
        <f aca="false">AE113-AD113</f>
        <v>49.9200000000001</v>
      </c>
      <c r="AG113" s="30" t="n">
        <f aca="false">IFERROR(AF113/AE113,0)</f>
        <v>0.00453199358693857</v>
      </c>
    </row>
    <row r="114" customFormat="false" ht="15" hidden="false" customHeight="false" outlineLevel="0" collapsed="false">
      <c r="A114" s="29" t="n">
        <v>113</v>
      </c>
      <c r="B114" s="44" t="n">
        <v>44810.06875</v>
      </c>
      <c r="C114" s="44" t="n">
        <v>44810.0716782407</v>
      </c>
      <c r="D114" s="43" t="n">
        <f aca="false">INT(C114)</f>
        <v>44810</v>
      </c>
      <c r="E114" s="43" t="n">
        <f aca="false">D114-WEEKDAY(D114,3)</f>
        <v>44809</v>
      </c>
      <c r="F114" s="29" t="s">
        <v>149</v>
      </c>
      <c r="G114" s="29" t="n">
        <v>2022</v>
      </c>
      <c r="H114" s="29" t="s">
        <v>248</v>
      </c>
      <c r="I114" s="29" t="n">
        <v>1</v>
      </c>
      <c r="J114" s="29" t="s">
        <v>246</v>
      </c>
      <c r="K114" s="29" t="s">
        <v>247</v>
      </c>
      <c r="L114" s="29" t="n">
        <v>0.04</v>
      </c>
      <c r="M114" s="32" t="n">
        <v>12165.75</v>
      </c>
      <c r="N114" s="32" t="n">
        <v>12158.15</v>
      </c>
      <c r="O114" s="32" t="n">
        <v>12184.51</v>
      </c>
      <c r="P114" s="45" t="n">
        <f aca="false">ABS(M114-N114)</f>
        <v>7.60000000000036</v>
      </c>
      <c r="Q114" s="45" t="n">
        <f aca="false">IF(O114="","",ABS(O114-M114))</f>
        <v>18.7600000000002</v>
      </c>
      <c r="R114" s="31" t="n">
        <f aca="false">P114*L114*Summary!$C$6</f>
        <v>30.4000000000015</v>
      </c>
      <c r="S114" s="32" t="n">
        <v>12165.07</v>
      </c>
      <c r="T114" s="29" t="s">
        <v>255</v>
      </c>
      <c r="U114" s="45" t="n">
        <f aca="false">IF(J114="BUY",S114-M114,M114-S114)</f>
        <v>-0.680000000000291</v>
      </c>
      <c r="V114" s="46" t="n">
        <v>0</v>
      </c>
      <c r="W114" s="46" t="n">
        <v>0</v>
      </c>
      <c r="X114" s="46" t="n">
        <v>-2.72</v>
      </c>
      <c r="Y114" s="33" t="n">
        <f aca="false">IFERROR(X114/R114,0)</f>
        <v>-0.089473684210522</v>
      </c>
      <c r="Z114" s="29" t="str">
        <f aca="false">IF(X114&gt;0,"Win",IF(X114&lt;0,"Loss","Flat"))</f>
        <v>Loss</v>
      </c>
      <c r="AA114" s="29" t="n">
        <f aca="false">ROUND((C114-B114)*1440,1)</f>
        <v>4.2</v>
      </c>
      <c r="AB114" s="29" t="str">
        <f aca="false">IF(AA114&lt;1,"a) &lt;1 min",IF(AA114&lt;10,"b) 1-10 min",IF(AA114&lt;60,"c) 10-60 min",IF(AA114&lt;240,"d) 1-4 h","e) 4 h+"))))</f>
        <v>b) 1-10 min</v>
      </c>
      <c r="AC114" s="29" t="str">
        <f aca="false">IF(P114&lt;10,"a) &lt;10",IF(P114&lt;20,"b) 10-20",IF(P114&lt;40,"c) 20-40",IF(P114&lt;80,"d) 40-80","e) 80+"))))</f>
        <v>a) &lt;10</v>
      </c>
      <c r="AD114" s="31" t="n">
        <f aca="false">Summary!$C$5+SUM(X$2:X114)</f>
        <v>10962.38</v>
      </c>
      <c r="AE114" s="31" t="n">
        <f aca="false">MAX(AE113,AD114)</f>
        <v>11015.02</v>
      </c>
      <c r="AF114" s="31" t="n">
        <f aca="false">AE114-AD114</f>
        <v>52.6400000000012</v>
      </c>
      <c r="AG114" s="30" t="n">
        <f aca="false">IFERROR(AF114/AE114,0)</f>
        <v>0.00477892913494494</v>
      </c>
    </row>
    <row r="115" customFormat="false" ht="15" hidden="false" customHeight="false" outlineLevel="0" collapsed="false">
      <c r="A115" s="29" t="n">
        <v>114</v>
      </c>
      <c r="B115" s="44" t="n">
        <v>44810.7041666667</v>
      </c>
      <c r="C115" s="44" t="n">
        <v>44810.7082407407</v>
      </c>
      <c r="D115" s="43" t="n">
        <f aca="false">INT(C115)</f>
        <v>44810</v>
      </c>
      <c r="E115" s="43" t="n">
        <f aca="false">D115-WEEKDAY(D115,3)</f>
        <v>44809</v>
      </c>
      <c r="F115" s="29" t="s">
        <v>149</v>
      </c>
      <c r="G115" s="29" t="n">
        <v>2022</v>
      </c>
      <c r="H115" s="29" t="s">
        <v>248</v>
      </c>
      <c r="I115" s="29" t="n">
        <v>16</v>
      </c>
      <c r="J115" s="29" t="s">
        <v>250</v>
      </c>
      <c r="K115" s="29" t="s">
        <v>251</v>
      </c>
      <c r="L115" s="29" t="n">
        <v>0.04</v>
      </c>
      <c r="M115" s="32" t="n">
        <v>12032.74</v>
      </c>
      <c r="N115" s="32" t="n">
        <v>12048.65</v>
      </c>
      <c r="O115" s="32" t="n">
        <v>11990.91</v>
      </c>
      <c r="P115" s="45" t="n">
        <f aca="false">ABS(M115-N115)</f>
        <v>15.9099999999999</v>
      </c>
      <c r="Q115" s="45" t="n">
        <f aca="false">IF(O115="","",ABS(O115-M115))</f>
        <v>41.8299999999999</v>
      </c>
      <c r="R115" s="31" t="n">
        <f aca="false">P115*L115*Summary!$C$6</f>
        <v>63.6399999999994</v>
      </c>
      <c r="S115" s="32" t="n">
        <v>12033.09</v>
      </c>
      <c r="T115" s="29" t="s">
        <v>255</v>
      </c>
      <c r="U115" s="45" t="n">
        <f aca="false">IF(J115="BUY",S115-M115,M115-S115)</f>
        <v>-0.350000000000364</v>
      </c>
      <c r="V115" s="46" t="n">
        <v>0</v>
      </c>
      <c r="W115" s="46" t="n">
        <v>0</v>
      </c>
      <c r="X115" s="46" t="n">
        <v>-1.4</v>
      </c>
      <c r="Y115" s="33" t="n">
        <f aca="false">IFERROR(X115/R115,0)</f>
        <v>-0.0219987429289757</v>
      </c>
      <c r="Z115" s="29" t="str">
        <f aca="false">IF(X115&gt;0,"Win",IF(X115&lt;0,"Loss","Flat"))</f>
        <v>Loss</v>
      </c>
      <c r="AA115" s="29" t="n">
        <f aca="false">ROUND((C115-B115)*1440,1)</f>
        <v>5.9</v>
      </c>
      <c r="AB115" s="29" t="str">
        <f aca="false">IF(AA115&lt;1,"a) &lt;1 min",IF(AA115&lt;10,"b) 1-10 min",IF(AA115&lt;60,"c) 10-60 min",IF(AA115&lt;240,"d) 1-4 h","e) 4 h+"))))</f>
        <v>b) 1-10 min</v>
      </c>
      <c r="AC115" s="29" t="str">
        <f aca="false">IF(P115&lt;10,"a) &lt;10",IF(P115&lt;20,"b) 10-20",IF(P115&lt;40,"c) 20-40",IF(P115&lt;80,"d) 40-80","e) 80+"))))</f>
        <v>b) 10-20</v>
      </c>
      <c r="AD115" s="31" t="n">
        <f aca="false">Summary!$C$5+SUM(X$2:X115)</f>
        <v>10960.98</v>
      </c>
      <c r="AE115" s="31" t="n">
        <f aca="false">MAX(AE114,AD115)</f>
        <v>11015.02</v>
      </c>
      <c r="AF115" s="31" t="n">
        <f aca="false">AE115-AD115</f>
        <v>54.0400000000009</v>
      </c>
      <c r="AG115" s="30" t="n">
        <f aca="false">IFERROR(AF115/AE115,0)</f>
        <v>0.00490602831406578</v>
      </c>
    </row>
    <row r="116" customFormat="false" ht="15" hidden="false" customHeight="false" outlineLevel="0" collapsed="false">
      <c r="A116" s="29" t="n">
        <v>115</v>
      </c>
      <c r="B116" s="44" t="n">
        <v>44811.1520833333</v>
      </c>
      <c r="C116" s="44" t="n">
        <v>44811.1522916667</v>
      </c>
      <c r="D116" s="43" t="n">
        <f aca="false">INT(C116)</f>
        <v>44811</v>
      </c>
      <c r="E116" s="43" t="n">
        <f aca="false">D116-WEEKDAY(D116,3)</f>
        <v>44809</v>
      </c>
      <c r="F116" s="29" t="s">
        <v>149</v>
      </c>
      <c r="G116" s="29" t="n">
        <v>2022</v>
      </c>
      <c r="H116" s="29" t="s">
        <v>252</v>
      </c>
      <c r="I116" s="29" t="n">
        <v>3</v>
      </c>
      <c r="J116" s="29" t="s">
        <v>250</v>
      </c>
      <c r="K116" s="29" t="s">
        <v>251</v>
      </c>
      <c r="L116" s="29" t="n">
        <v>0.04</v>
      </c>
      <c r="M116" s="32" t="n">
        <v>11920.56</v>
      </c>
      <c r="N116" s="32" t="n">
        <v>11925.92</v>
      </c>
      <c r="O116" s="32" t="n">
        <v>11907.42</v>
      </c>
      <c r="P116" s="45" t="n">
        <f aca="false">ABS(M116-N116)</f>
        <v>5.36000000000058</v>
      </c>
      <c r="Q116" s="45" t="n">
        <f aca="false">IF(O116="","",ABS(O116-M116))</f>
        <v>13.1399999999994</v>
      </c>
      <c r="R116" s="31" t="n">
        <f aca="false">P116*L116*Summary!$C$6</f>
        <v>21.4400000000023</v>
      </c>
      <c r="S116" s="32" t="n">
        <v>11926.18</v>
      </c>
      <c r="T116" s="29" t="s">
        <v>249</v>
      </c>
      <c r="U116" s="45" t="n">
        <f aca="false">IF(J116="BUY",S116-M116,M116-S116)</f>
        <v>-5.6200000000008</v>
      </c>
      <c r="V116" s="46" t="n">
        <v>0</v>
      </c>
      <c r="W116" s="46" t="n">
        <v>0</v>
      </c>
      <c r="X116" s="46" t="n">
        <v>-22.48</v>
      </c>
      <c r="Y116" s="33" t="n">
        <f aca="false">IFERROR(X116/R116,0)</f>
        <v>-1.04850746268645</v>
      </c>
      <c r="Z116" s="29" t="str">
        <f aca="false">IF(X116&gt;0,"Win",IF(X116&lt;0,"Loss","Flat"))</f>
        <v>Loss</v>
      </c>
      <c r="AA116" s="29" t="n">
        <f aca="false">ROUND((C116-B116)*1440,1)</f>
        <v>0.3</v>
      </c>
      <c r="AB116" s="29" t="str">
        <f aca="false">IF(AA116&lt;1,"a) &lt;1 min",IF(AA116&lt;10,"b) 1-10 min",IF(AA116&lt;60,"c) 10-60 min",IF(AA116&lt;240,"d) 1-4 h","e) 4 h+"))))</f>
        <v>a) &lt;1 min</v>
      </c>
      <c r="AC116" s="29" t="str">
        <f aca="false">IF(P116&lt;10,"a) &lt;10",IF(P116&lt;20,"b) 10-20",IF(P116&lt;40,"c) 20-40",IF(P116&lt;80,"d) 40-80","e) 80+"))))</f>
        <v>a) &lt;10</v>
      </c>
      <c r="AD116" s="31" t="n">
        <f aca="false">Summary!$C$5+SUM(X$2:X116)</f>
        <v>10938.5</v>
      </c>
      <c r="AE116" s="31" t="n">
        <f aca="false">MAX(AE115,AD116)</f>
        <v>11015.02</v>
      </c>
      <c r="AF116" s="31" t="n">
        <f aca="false">AE116-AD116</f>
        <v>76.5200000000004</v>
      </c>
      <c r="AG116" s="30" t="n">
        <f aca="false">IFERROR(AF116/AE116,0)</f>
        <v>0.00694687799023519</v>
      </c>
    </row>
    <row r="117" customFormat="false" ht="15" hidden="false" customHeight="false" outlineLevel="0" collapsed="false">
      <c r="A117" s="29" t="n">
        <v>116</v>
      </c>
      <c r="B117" s="44" t="n">
        <v>44811.8777777778</v>
      </c>
      <c r="C117" s="44" t="n">
        <v>44811.8795601852</v>
      </c>
      <c r="D117" s="43" t="n">
        <f aca="false">INT(C117)</f>
        <v>44811</v>
      </c>
      <c r="E117" s="43" t="n">
        <f aca="false">D117-WEEKDAY(D117,3)</f>
        <v>44809</v>
      </c>
      <c r="F117" s="29" t="s">
        <v>149</v>
      </c>
      <c r="G117" s="29" t="n">
        <v>2022</v>
      </c>
      <c r="H117" s="29" t="s">
        <v>252</v>
      </c>
      <c r="I117" s="29" t="n">
        <v>21</v>
      </c>
      <c r="J117" s="29" t="s">
        <v>246</v>
      </c>
      <c r="K117" s="29" t="s">
        <v>247</v>
      </c>
      <c r="L117" s="29" t="n">
        <v>0.04</v>
      </c>
      <c r="M117" s="32" t="n">
        <v>12237.33</v>
      </c>
      <c r="N117" s="32" t="n">
        <v>12226.84</v>
      </c>
      <c r="O117" s="32" t="n">
        <v>12263.28</v>
      </c>
      <c r="P117" s="45" t="n">
        <f aca="false">ABS(M117-N117)</f>
        <v>10.4899999999998</v>
      </c>
      <c r="Q117" s="45" t="n">
        <f aca="false">IF(O117="","",ABS(O117-M117))</f>
        <v>25.9500000000007</v>
      </c>
      <c r="R117" s="31" t="n">
        <f aca="false">P117*L117*Summary!$C$6</f>
        <v>41.9599999999991</v>
      </c>
      <c r="S117" s="32" t="n">
        <v>12236.87</v>
      </c>
      <c r="T117" s="29" t="s">
        <v>255</v>
      </c>
      <c r="U117" s="45" t="n">
        <f aca="false">IF(J117="BUY",S117-M117,M117-S117)</f>
        <v>-0.459999999999127</v>
      </c>
      <c r="V117" s="46" t="n">
        <v>0</v>
      </c>
      <c r="W117" s="46" t="n">
        <v>0</v>
      </c>
      <c r="X117" s="46" t="n">
        <v>-1.84</v>
      </c>
      <c r="Y117" s="33" t="n">
        <f aca="false">IFERROR(X117/R117,0)</f>
        <v>-0.0438512869399437</v>
      </c>
      <c r="Z117" s="29" t="str">
        <f aca="false">IF(X117&gt;0,"Win",IF(X117&lt;0,"Loss","Flat"))</f>
        <v>Loss</v>
      </c>
      <c r="AA117" s="29" t="n">
        <f aca="false">ROUND((C117-B117)*1440,1)</f>
        <v>2.6</v>
      </c>
      <c r="AB117" s="29" t="str">
        <f aca="false">IF(AA117&lt;1,"a) &lt;1 min",IF(AA117&lt;10,"b) 1-10 min",IF(AA117&lt;60,"c) 10-60 min",IF(AA117&lt;240,"d) 1-4 h","e) 4 h+"))))</f>
        <v>b) 1-10 min</v>
      </c>
      <c r="AC117" s="29" t="str">
        <f aca="false">IF(P117&lt;10,"a) &lt;10",IF(P117&lt;20,"b) 10-20",IF(P117&lt;40,"c) 20-40",IF(P117&lt;80,"d) 40-80","e) 80+"))))</f>
        <v>b) 10-20</v>
      </c>
      <c r="AD117" s="31" t="n">
        <f aca="false">Summary!$C$5+SUM(X$2:X117)</f>
        <v>10936.66</v>
      </c>
      <c r="AE117" s="31" t="n">
        <f aca="false">MAX(AE116,AD117)</f>
        <v>11015.02</v>
      </c>
      <c r="AF117" s="31" t="n">
        <f aca="false">AE117-AD117</f>
        <v>78.3600000000006</v>
      </c>
      <c r="AG117" s="30" t="n">
        <f aca="false">IFERROR(AF117/AE117,0)</f>
        <v>0.00711392262565121</v>
      </c>
    </row>
    <row r="118" customFormat="false" ht="15" hidden="false" customHeight="false" outlineLevel="0" collapsed="false">
      <c r="A118" s="29" t="n">
        <v>117</v>
      </c>
      <c r="B118" s="44" t="n">
        <v>44812.3840277778</v>
      </c>
      <c r="C118" s="44" t="n">
        <v>44812.3856018519</v>
      </c>
      <c r="D118" s="43" t="n">
        <f aca="false">INT(C118)</f>
        <v>44812</v>
      </c>
      <c r="E118" s="43" t="n">
        <f aca="false">D118-WEEKDAY(D118,3)</f>
        <v>44809</v>
      </c>
      <c r="F118" s="29" t="s">
        <v>149</v>
      </c>
      <c r="G118" s="29" t="n">
        <v>2022</v>
      </c>
      <c r="H118" s="29" t="s">
        <v>253</v>
      </c>
      <c r="I118" s="29" t="n">
        <v>9</v>
      </c>
      <c r="J118" s="29" t="s">
        <v>246</v>
      </c>
      <c r="K118" s="29" t="s">
        <v>247</v>
      </c>
      <c r="L118" s="29" t="n">
        <v>0.04</v>
      </c>
      <c r="M118" s="32" t="n">
        <v>12298.92</v>
      </c>
      <c r="N118" s="32" t="n">
        <v>12293.4</v>
      </c>
      <c r="O118" s="32" t="n">
        <v>12312.23</v>
      </c>
      <c r="P118" s="45" t="n">
        <f aca="false">ABS(M118-N118)</f>
        <v>5.52000000000044</v>
      </c>
      <c r="Q118" s="45" t="n">
        <f aca="false">IF(O118="","",ABS(O118-M118))</f>
        <v>13.3099999999995</v>
      </c>
      <c r="R118" s="31" t="n">
        <f aca="false">P118*L118*Summary!$C$6</f>
        <v>22.0800000000017</v>
      </c>
      <c r="S118" s="32" t="n">
        <v>12313.18</v>
      </c>
      <c r="T118" s="29" t="s">
        <v>227</v>
      </c>
      <c r="U118" s="45" t="n">
        <f aca="false">IF(J118="BUY",S118-M118,M118-S118)</f>
        <v>14.2600000000002</v>
      </c>
      <c r="V118" s="46" t="n">
        <v>0</v>
      </c>
      <c r="W118" s="46" t="n">
        <v>0</v>
      </c>
      <c r="X118" s="46" t="n">
        <v>57.04</v>
      </c>
      <c r="Y118" s="33" t="n">
        <f aca="false">IFERROR(X118/R118,0)</f>
        <v>2.58333333333313</v>
      </c>
      <c r="Z118" s="29" t="str">
        <f aca="false">IF(X118&gt;0,"Win",IF(X118&lt;0,"Loss","Flat"))</f>
        <v>Win</v>
      </c>
      <c r="AA118" s="29" t="n">
        <f aca="false">ROUND((C118-B118)*1440,1)</f>
        <v>2.3</v>
      </c>
      <c r="AB118" s="29" t="str">
        <f aca="false">IF(AA118&lt;1,"a) &lt;1 min",IF(AA118&lt;10,"b) 1-10 min",IF(AA118&lt;60,"c) 10-60 min",IF(AA118&lt;240,"d) 1-4 h","e) 4 h+"))))</f>
        <v>b) 1-10 min</v>
      </c>
      <c r="AC118" s="29" t="str">
        <f aca="false">IF(P118&lt;10,"a) &lt;10",IF(P118&lt;20,"b) 10-20",IF(P118&lt;40,"c) 20-40",IF(P118&lt;80,"d) 40-80","e) 80+"))))</f>
        <v>a) &lt;10</v>
      </c>
      <c r="AD118" s="31" t="n">
        <f aca="false">Summary!$C$5+SUM(X$2:X118)</f>
        <v>10993.7</v>
      </c>
      <c r="AE118" s="31" t="n">
        <f aca="false">MAX(AE117,AD118)</f>
        <v>11015.02</v>
      </c>
      <c r="AF118" s="31" t="n">
        <f aca="false">AE118-AD118</f>
        <v>21.3199999999997</v>
      </c>
      <c r="AG118" s="30" t="n">
        <f aca="false">IFERROR(AF118/AE118,0)</f>
        <v>0.00193553892775498</v>
      </c>
    </row>
    <row r="119" customFormat="false" ht="15" hidden="false" customHeight="false" outlineLevel="0" collapsed="false">
      <c r="A119" s="29" t="n">
        <v>118</v>
      </c>
      <c r="B119" s="44" t="n">
        <v>44813.1465277778</v>
      </c>
      <c r="C119" s="44" t="n">
        <v>44813.1677777778</v>
      </c>
      <c r="D119" s="43" t="n">
        <f aca="false">INT(C119)</f>
        <v>44813</v>
      </c>
      <c r="E119" s="43" t="n">
        <f aca="false">D119-WEEKDAY(D119,3)</f>
        <v>44809</v>
      </c>
      <c r="F119" s="29" t="s">
        <v>149</v>
      </c>
      <c r="G119" s="29" t="n">
        <v>2022</v>
      </c>
      <c r="H119" s="29" t="s">
        <v>254</v>
      </c>
      <c r="I119" s="29" t="n">
        <v>3</v>
      </c>
      <c r="J119" s="29" t="s">
        <v>246</v>
      </c>
      <c r="K119" s="29" t="s">
        <v>247</v>
      </c>
      <c r="L119" s="29" t="n">
        <v>0.04</v>
      </c>
      <c r="M119" s="32" t="n">
        <v>12381.36</v>
      </c>
      <c r="N119" s="32" t="n">
        <v>12375.58</v>
      </c>
      <c r="O119" s="32" t="n">
        <v>12395.46</v>
      </c>
      <c r="P119" s="45" t="n">
        <f aca="false">ABS(M119-N119)</f>
        <v>5.78000000000066</v>
      </c>
      <c r="Q119" s="45" t="n">
        <f aca="false">IF(O119="","",ABS(O119-M119))</f>
        <v>14.0999999999985</v>
      </c>
      <c r="R119" s="31" t="n">
        <f aca="false">P119*L119*Summary!$C$6</f>
        <v>23.1200000000026</v>
      </c>
      <c r="S119" s="32" t="n">
        <v>12381.25</v>
      </c>
      <c r="T119" s="29" t="s">
        <v>255</v>
      </c>
      <c r="U119" s="45" t="n">
        <f aca="false">IF(J119="BUY",S119-M119,M119-S119)</f>
        <v>-0.110000000000582</v>
      </c>
      <c r="V119" s="46" t="n">
        <v>0</v>
      </c>
      <c r="W119" s="46" t="n">
        <v>0</v>
      </c>
      <c r="X119" s="46" t="n">
        <v>-0.44</v>
      </c>
      <c r="Y119" s="33" t="n">
        <f aca="false">IFERROR(X119/R119,0)</f>
        <v>-0.01903114186851</v>
      </c>
      <c r="Z119" s="29" t="str">
        <f aca="false">IF(X119&gt;0,"Win",IF(X119&lt;0,"Loss","Flat"))</f>
        <v>Loss</v>
      </c>
      <c r="AA119" s="29" t="n">
        <f aca="false">ROUND((C119-B119)*1440,1)</f>
        <v>30.6</v>
      </c>
      <c r="AB119" s="29" t="str">
        <f aca="false">IF(AA119&lt;1,"a) &lt;1 min",IF(AA119&lt;10,"b) 1-10 min",IF(AA119&lt;60,"c) 10-60 min",IF(AA119&lt;240,"d) 1-4 h","e) 4 h+"))))</f>
        <v>c) 10-60 min</v>
      </c>
      <c r="AC119" s="29" t="str">
        <f aca="false">IF(P119&lt;10,"a) &lt;10",IF(P119&lt;20,"b) 10-20",IF(P119&lt;40,"c) 20-40",IF(P119&lt;80,"d) 40-80","e) 80+"))))</f>
        <v>a) &lt;10</v>
      </c>
      <c r="AD119" s="31" t="n">
        <f aca="false">Summary!$C$5+SUM(X$2:X119)</f>
        <v>10993.26</v>
      </c>
      <c r="AE119" s="31" t="n">
        <f aca="false">MAX(AE118,AD119)</f>
        <v>11015.02</v>
      </c>
      <c r="AF119" s="31" t="n">
        <f aca="false">AE119-AD119</f>
        <v>21.7600000000002</v>
      </c>
      <c r="AG119" s="30" t="n">
        <f aca="false">IFERROR(AF119/AE119,0)</f>
        <v>0.00197548438405016</v>
      </c>
    </row>
    <row r="120" customFormat="false" ht="15" hidden="false" customHeight="false" outlineLevel="0" collapsed="false">
      <c r="A120" s="29" t="n">
        <v>119</v>
      </c>
      <c r="B120" s="44" t="n">
        <v>44816.0423611111</v>
      </c>
      <c r="C120" s="44" t="n">
        <v>44816.0440856482</v>
      </c>
      <c r="D120" s="43" t="n">
        <f aca="false">INT(C120)</f>
        <v>44816</v>
      </c>
      <c r="E120" s="43" t="n">
        <f aca="false">D120-WEEKDAY(D120,3)</f>
        <v>44816</v>
      </c>
      <c r="F120" s="29" t="s">
        <v>149</v>
      </c>
      <c r="G120" s="29" t="n">
        <v>2022</v>
      </c>
      <c r="H120" s="29" t="s">
        <v>245</v>
      </c>
      <c r="I120" s="29" t="n">
        <v>1</v>
      </c>
      <c r="J120" s="29" t="s">
        <v>246</v>
      </c>
      <c r="K120" s="29" t="s">
        <v>247</v>
      </c>
      <c r="L120" s="29" t="n">
        <v>0.04</v>
      </c>
      <c r="M120" s="32" t="n">
        <v>12636.22</v>
      </c>
      <c r="N120" s="32" t="n">
        <v>12622.35</v>
      </c>
      <c r="O120" s="32" t="n">
        <v>12670.21</v>
      </c>
      <c r="P120" s="45" t="n">
        <f aca="false">ABS(M120-N120)</f>
        <v>13.869999999999</v>
      </c>
      <c r="Q120" s="45" t="n">
        <f aca="false">IF(O120="","",ABS(O120-M120))</f>
        <v>33.9899999999998</v>
      </c>
      <c r="R120" s="31" t="n">
        <f aca="false">P120*L120*Summary!$C$6</f>
        <v>55.4799999999959</v>
      </c>
      <c r="S120" s="32" t="n">
        <v>12670.62</v>
      </c>
      <c r="T120" s="29" t="s">
        <v>227</v>
      </c>
      <c r="U120" s="45" t="n">
        <f aca="false">IF(J120="BUY",S120-M120,M120-S120)</f>
        <v>34.4000000000015</v>
      </c>
      <c r="V120" s="46" t="n">
        <v>0</v>
      </c>
      <c r="W120" s="46" t="n">
        <v>0</v>
      </c>
      <c r="X120" s="46" t="n">
        <v>137.6</v>
      </c>
      <c r="Y120" s="33" t="n">
        <f aca="false">IFERROR(X120/R120,0)</f>
        <v>2.48017303532823</v>
      </c>
      <c r="Z120" s="29" t="str">
        <f aca="false">IF(X120&gt;0,"Win",IF(X120&lt;0,"Loss","Flat"))</f>
        <v>Win</v>
      </c>
      <c r="AA120" s="29" t="n">
        <f aca="false">ROUND((C120-B120)*1440,1)</f>
        <v>2.5</v>
      </c>
      <c r="AB120" s="29" t="str">
        <f aca="false">IF(AA120&lt;1,"a) &lt;1 min",IF(AA120&lt;10,"b) 1-10 min",IF(AA120&lt;60,"c) 10-60 min",IF(AA120&lt;240,"d) 1-4 h","e) 4 h+"))))</f>
        <v>b) 1-10 min</v>
      </c>
      <c r="AC120" s="29" t="str">
        <f aca="false">IF(P120&lt;10,"a) &lt;10",IF(P120&lt;20,"b) 10-20",IF(P120&lt;40,"c) 20-40",IF(P120&lt;80,"d) 40-80","e) 80+"))))</f>
        <v>b) 10-20</v>
      </c>
      <c r="AD120" s="31" t="n">
        <f aca="false">Summary!$C$5+SUM(X$2:X120)</f>
        <v>11130.86</v>
      </c>
      <c r="AE120" s="31" t="n">
        <f aca="false">MAX(AE119,AD120)</f>
        <v>11130.86</v>
      </c>
      <c r="AF120" s="31" t="n">
        <f aca="false">AE120-AD120</f>
        <v>0</v>
      </c>
      <c r="AG120" s="30" t="n">
        <f aca="false">IFERROR(AF120/AE120,0)</f>
        <v>0</v>
      </c>
    </row>
    <row r="121" customFormat="false" ht="15" hidden="false" customHeight="false" outlineLevel="0" collapsed="false">
      <c r="A121" s="29" t="n">
        <v>120</v>
      </c>
      <c r="B121" s="44" t="n">
        <v>44817.0423611111</v>
      </c>
      <c r="C121" s="44" t="n">
        <v>44817.0425925926</v>
      </c>
      <c r="D121" s="43" t="n">
        <f aca="false">INT(C121)</f>
        <v>44817</v>
      </c>
      <c r="E121" s="43" t="n">
        <f aca="false">D121-WEEKDAY(D121,3)</f>
        <v>44816</v>
      </c>
      <c r="F121" s="29" t="s">
        <v>149</v>
      </c>
      <c r="G121" s="29" t="n">
        <v>2022</v>
      </c>
      <c r="H121" s="29" t="s">
        <v>248</v>
      </c>
      <c r="I121" s="29" t="n">
        <v>1</v>
      </c>
      <c r="J121" s="29" t="s">
        <v>246</v>
      </c>
      <c r="K121" s="29" t="s">
        <v>247</v>
      </c>
      <c r="L121" s="29" t="n">
        <v>0.04</v>
      </c>
      <c r="M121" s="32" t="n">
        <v>12770.05</v>
      </c>
      <c r="N121" s="32" t="n">
        <v>12765.31</v>
      </c>
      <c r="O121" s="32" t="n">
        <v>12780.78</v>
      </c>
      <c r="P121" s="45" t="n">
        <f aca="false">ABS(M121-N121)</f>
        <v>4.73999999999978</v>
      </c>
      <c r="Q121" s="45" t="n">
        <f aca="false">IF(O121="","",ABS(O121-M121))</f>
        <v>10.7300000000014</v>
      </c>
      <c r="R121" s="31" t="n">
        <f aca="false">P121*L121*Summary!$C$6</f>
        <v>18.9599999999991</v>
      </c>
      <c r="S121" s="32" t="n">
        <v>12765.22</v>
      </c>
      <c r="T121" s="29" t="s">
        <v>249</v>
      </c>
      <c r="U121" s="45" t="n">
        <f aca="false">IF(J121="BUY",S121-M121,M121-S121)</f>
        <v>-4.82999999999993</v>
      </c>
      <c r="V121" s="46" t="n">
        <v>0</v>
      </c>
      <c r="W121" s="46" t="n">
        <v>0</v>
      </c>
      <c r="X121" s="46" t="n">
        <v>-19.32</v>
      </c>
      <c r="Y121" s="33" t="n">
        <f aca="false">IFERROR(X121/R121,0)</f>
        <v>-1.0189873417722</v>
      </c>
      <c r="Z121" s="29" t="str">
        <f aca="false">IF(X121&gt;0,"Win",IF(X121&lt;0,"Loss","Flat"))</f>
        <v>Loss</v>
      </c>
      <c r="AA121" s="29" t="n">
        <f aca="false">ROUND((C121-B121)*1440,1)</f>
        <v>0.3</v>
      </c>
      <c r="AB121" s="29" t="str">
        <f aca="false">IF(AA121&lt;1,"a) &lt;1 min",IF(AA121&lt;10,"b) 1-10 min",IF(AA121&lt;60,"c) 10-60 min",IF(AA121&lt;240,"d) 1-4 h","e) 4 h+"))))</f>
        <v>a) &lt;1 min</v>
      </c>
      <c r="AC121" s="29" t="str">
        <f aca="false">IF(P121&lt;10,"a) &lt;10",IF(P121&lt;20,"b) 10-20",IF(P121&lt;40,"c) 20-40",IF(P121&lt;80,"d) 40-80","e) 80+"))))</f>
        <v>a) &lt;10</v>
      </c>
      <c r="AD121" s="31" t="n">
        <f aca="false">Summary!$C$5+SUM(X$2:X121)</f>
        <v>11111.54</v>
      </c>
      <c r="AE121" s="31" t="n">
        <f aca="false">MAX(AE120,AD121)</f>
        <v>11130.86</v>
      </c>
      <c r="AF121" s="31" t="n">
        <f aca="false">AE121-AD121</f>
        <v>19.3199999999997</v>
      </c>
      <c r="AG121" s="30" t="n">
        <f aca="false">IFERROR(AF121/AE121,0)</f>
        <v>0.00173571494026515</v>
      </c>
    </row>
    <row r="122" customFormat="false" ht="15" hidden="false" customHeight="false" outlineLevel="0" collapsed="false">
      <c r="A122" s="29" t="n">
        <v>121</v>
      </c>
      <c r="B122" s="44" t="n">
        <v>44817.6465277778</v>
      </c>
      <c r="C122" s="44" t="n">
        <v>44817.6666550926</v>
      </c>
      <c r="D122" s="43" t="n">
        <f aca="false">INT(C122)</f>
        <v>44817</v>
      </c>
      <c r="E122" s="43" t="n">
        <f aca="false">D122-WEEKDAY(D122,3)</f>
        <v>44816</v>
      </c>
      <c r="F122" s="29" t="s">
        <v>149</v>
      </c>
      <c r="G122" s="29" t="n">
        <v>2022</v>
      </c>
      <c r="H122" s="29" t="s">
        <v>248</v>
      </c>
      <c r="I122" s="29" t="n">
        <v>15</v>
      </c>
      <c r="J122" s="29" t="s">
        <v>250</v>
      </c>
      <c r="K122" s="29" t="s">
        <v>251</v>
      </c>
      <c r="L122" s="29" t="n">
        <v>0.04</v>
      </c>
      <c r="M122" s="32" t="n">
        <v>12550.13</v>
      </c>
      <c r="N122" s="32" t="n">
        <v>12629.58</v>
      </c>
      <c r="O122" s="32" t="n">
        <v>12373.22</v>
      </c>
      <c r="P122" s="45" t="n">
        <f aca="false">ABS(M122-N122)</f>
        <v>79.4500000000007</v>
      </c>
      <c r="Q122" s="45" t="n">
        <f aca="false">IF(O122="","",ABS(O122-M122))</f>
        <v>176.91</v>
      </c>
      <c r="R122" s="31" t="n">
        <f aca="false">P122*L122*Summary!$C$6</f>
        <v>317.800000000003</v>
      </c>
      <c r="S122" s="32" t="n">
        <v>12372.92</v>
      </c>
      <c r="T122" s="29" t="s">
        <v>227</v>
      </c>
      <c r="U122" s="45" t="n">
        <f aca="false">IF(J122="BUY",S122-M122,M122-S122)</f>
        <v>177.209999999999</v>
      </c>
      <c r="V122" s="46" t="n">
        <v>0</v>
      </c>
      <c r="W122" s="46" t="n">
        <v>0</v>
      </c>
      <c r="X122" s="46" t="n">
        <v>708.84</v>
      </c>
      <c r="Y122" s="33" t="n">
        <f aca="false">IFERROR(X122/R122,0)</f>
        <v>2.23045940843296</v>
      </c>
      <c r="Z122" s="29" t="str">
        <f aca="false">IF(X122&gt;0,"Win",IF(X122&lt;0,"Loss","Flat"))</f>
        <v>Win</v>
      </c>
      <c r="AA122" s="29" t="n">
        <f aca="false">ROUND((C122-B122)*1440,1)</f>
        <v>29</v>
      </c>
      <c r="AB122" s="29" t="str">
        <f aca="false">IF(AA122&lt;1,"a) &lt;1 min",IF(AA122&lt;10,"b) 1-10 min",IF(AA122&lt;60,"c) 10-60 min",IF(AA122&lt;240,"d) 1-4 h","e) 4 h+"))))</f>
        <v>c) 10-60 min</v>
      </c>
      <c r="AC122" s="29" t="str">
        <f aca="false">IF(P122&lt;10,"a) &lt;10",IF(P122&lt;20,"b) 10-20",IF(P122&lt;40,"c) 20-40",IF(P122&lt;80,"d) 40-80","e) 80+"))))</f>
        <v>d) 40-80</v>
      </c>
      <c r="AD122" s="31" t="n">
        <f aca="false">Summary!$C$5+SUM(X$2:X122)</f>
        <v>11820.38</v>
      </c>
      <c r="AE122" s="31" t="n">
        <f aca="false">MAX(AE121,AD122)</f>
        <v>11820.38</v>
      </c>
      <c r="AF122" s="31" t="n">
        <f aca="false">AE122-AD122</f>
        <v>0</v>
      </c>
      <c r="AG122" s="30" t="n">
        <f aca="false">IFERROR(AF122/AE122,0)</f>
        <v>0</v>
      </c>
    </row>
    <row r="123" customFormat="false" ht="15" hidden="false" customHeight="false" outlineLevel="0" collapsed="false">
      <c r="A123" s="29" t="n">
        <v>122</v>
      </c>
      <c r="B123" s="44" t="n">
        <v>44819.0722337963</v>
      </c>
      <c r="C123" s="44" t="n">
        <v>44819.0729513889</v>
      </c>
      <c r="D123" s="43" t="n">
        <f aca="false">INT(C123)</f>
        <v>44819</v>
      </c>
      <c r="E123" s="43" t="n">
        <f aca="false">D123-WEEKDAY(D123,3)</f>
        <v>44816</v>
      </c>
      <c r="F123" s="29" t="s">
        <v>149</v>
      </c>
      <c r="G123" s="29" t="n">
        <v>2022</v>
      </c>
      <c r="H123" s="29" t="s">
        <v>253</v>
      </c>
      <c r="I123" s="29" t="n">
        <v>1</v>
      </c>
      <c r="J123" s="29" t="s">
        <v>246</v>
      </c>
      <c r="K123" s="29" t="s">
        <v>247</v>
      </c>
      <c r="L123" s="29" t="n">
        <v>0.04</v>
      </c>
      <c r="M123" s="32" t="n">
        <v>12175.52</v>
      </c>
      <c r="N123" s="32" t="n">
        <v>12172.7</v>
      </c>
      <c r="O123" s="32" t="n">
        <v>12183.01</v>
      </c>
      <c r="P123" s="45" t="n">
        <f aca="false">ABS(M123-N123)</f>
        <v>2.81999999999971</v>
      </c>
      <c r="Q123" s="45" t="n">
        <f aca="false">IF(O123="","",ABS(O123-M123))</f>
        <v>7.48999999999978</v>
      </c>
      <c r="R123" s="31" t="n">
        <f aca="false">P123*L123*Summary!$C$6</f>
        <v>11.2799999999988</v>
      </c>
      <c r="S123" s="32" t="n">
        <v>12183.28</v>
      </c>
      <c r="T123" s="29" t="s">
        <v>227</v>
      </c>
      <c r="U123" s="45" t="n">
        <f aca="false">IF(J123="BUY",S123-M123,M123-S123)</f>
        <v>7.76000000000022</v>
      </c>
      <c r="V123" s="46" t="n">
        <v>0</v>
      </c>
      <c r="W123" s="46" t="n">
        <v>0</v>
      </c>
      <c r="X123" s="46" t="n">
        <v>31.04</v>
      </c>
      <c r="Y123" s="33" t="n">
        <f aca="false">IFERROR(X123/R123,0)</f>
        <v>2.75177304964567</v>
      </c>
      <c r="Z123" s="29" t="str">
        <f aca="false">IF(X123&gt;0,"Win",IF(X123&lt;0,"Loss","Flat"))</f>
        <v>Win</v>
      </c>
      <c r="AA123" s="29" t="n">
        <f aca="false">ROUND((C123-B123)*1440,1)</f>
        <v>1</v>
      </c>
      <c r="AB123" s="29" t="str">
        <f aca="false">IF(AA123&lt;1,"a) &lt;1 min",IF(AA123&lt;10,"b) 1-10 min",IF(AA123&lt;60,"c) 10-60 min",IF(AA123&lt;240,"d) 1-4 h","e) 4 h+"))))</f>
        <v>b) 1-10 min</v>
      </c>
      <c r="AC123" s="29" t="str">
        <f aca="false">IF(P123&lt;10,"a) &lt;10",IF(P123&lt;20,"b) 10-20",IF(P123&lt;40,"c) 20-40",IF(P123&lt;80,"d) 40-80","e) 80+"))))</f>
        <v>a) &lt;10</v>
      </c>
      <c r="AD123" s="31" t="n">
        <f aca="false">Summary!$C$5+SUM(X$2:X123)</f>
        <v>11851.42</v>
      </c>
      <c r="AE123" s="31" t="n">
        <f aca="false">MAX(AE122,AD123)</f>
        <v>11851.42</v>
      </c>
      <c r="AF123" s="31" t="n">
        <f aca="false">AE123-AD123</f>
        <v>0</v>
      </c>
      <c r="AG123" s="30" t="n">
        <f aca="false">IFERROR(AF123/AE123,0)</f>
        <v>0</v>
      </c>
    </row>
    <row r="124" customFormat="false" ht="15" hidden="false" customHeight="false" outlineLevel="0" collapsed="false">
      <c r="A124" s="29" t="n">
        <v>123</v>
      </c>
      <c r="B124" s="44" t="n">
        <v>44819.74375</v>
      </c>
      <c r="C124" s="44" t="n">
        <v>44819.7481481481</v>
      </c>
      <c r="D124" s="43" t="n">
        <f aca="false">INT(C124)</f>
        <v>44819</v>
      </c>
      <c r="E124" s="43" t="n">
        <f aca="false">D124-WEEKDAY(D124,3)</f>
        <v>44816</v>
      </c>
      <c r="F124" s="29" t="s">
        <v>149</v>
      </c>
      <c r="G124" s="29" t="n">
        <v>2022</v>
      </c>
      <c r="H124" s="29" t="s">
        <v>253</v>
      </c>
      <c r="I124" s="29" t="n">
        <v>17</v>
      </c>
      <c r="J124" s="29" t="s">
        <v>250</v>
      </c>
      <c r="K124" s="29" t="s">
        <v>251</v>
      </c>
      <c r="L124" s="29" t="n">
        <v>0.04</v>
      </c>
      <c r="M124" s="32" t="n">
        <v>11978.36</v>
      </c>
      <c r="N124" s="32" t="n">
        <v>11998.31</v>
      </c>
      <c r="O124" s="32" t="n">
        <v>11934.45</v>
      </c>
      <c r="P124" s="45" t="n">
        <f aca="false">ABS(M124-N124)</f>
        <v>19.9499999999989</v>
      </c>
      <c r="Q124" s="45" t="n">
        <f aca="false">IF(O124="","",ABS(O124-M124))</f>
        <v>43.9099999999999</v>
      </c>
      <c r="R124" s="31" t="n">
        <f aca="false">P124*L124*Summary!$C$6</f>
        <v>79.7999999999956</v>
      </c>
      <c r="S124" s="32" t="n">
        <v>11934.12</v>
      </c>
      <c r="T124" s="29" t="s">
        <v>227</v>
      </c>
      <c r="U124" s="45" t="n">
        <f aca="false">IF(J124="BUY",S124-M124,M124-S124)</f>
        <v>44.2399999999998</v>
      </c>
      <c r="V124" s="46" t="n">
        <v>0</v>
      </c>
      <c r="W124" s="46" t="n">
        <v>0</v>
      </c>
      <c r="X124" s="46" t="n">
        <v>176.96</v>
      </c>
      <c r="Y124" s="33" t="n">
        <f aca="false">IFERROR(X124/R124,0)</f>
        <v>2.21754385964924</v>
      </c>
      <c r="Z124" s="29" t="str">
        <f aca="false">IF(X124&gt;0,"Win",IF(X124&lt;0,"Loss","Flat"))</f>
        <v>Win</v>
      </c>
      <c r="AA124" s="29" t="n">
        <f aca="false">ROUND((C124-B124)*1440,1)</f>
        <v>6.3</v>
      </c>
      <c r="AB124" s="29" t="str">
        <f aca="false">IF(AA124&lt;1,"a) &lt;1 min",IF(AA124&lt;10,"b) 1-10 min",IF(AA124&lt;60,"c) 10-60 min",IF(AA124&lt;240,"d) 1-4 h","e) 4 h+"))))</f>
        <v>b) 1-10 min</v>
      </c>
      <c r="AC124" s="29" t="str">
        <f aca="false">IF(P124&lt;10,"a) &lt;10",IF(P124&lt;20,"b) 10-20",IF(P124&lt;40,"c) 20-40",IF(P124&lt;80,"d) 40-80","e) 80+"))))</f>
        <v>b) 10-20</v>
      </c>
      <c r="AD124" s="31" t="n">
        <f aca="false">Summary!$C$5+SUM(X$2:X124)</f>
        <v>12028.38</v>
      </c>
      <c r="AE124" s="31" t="n">
        <f aca="false">MAX(AE123,AD124)</f>
        <v>12028.38</v>
      </c>
      <c r="AF124" s="31" t="n">
        <f aca="false">AE124-AD124</f>
        <v>0</v>
      </c>
      <c r="AG124" s="30" t="n">
        <f aca="false">IFERROR(AF124/AE124,0)</f>
        <v>0</v>
      </c>
    </row>
    <row r="125" customFormat="false" ht="15" hidden="false" customHeight="false" outlineLevel="0" collapsed="false">
      <c r="A125" s="29" t="n">
        <v>124</v>
      </c>
      <c r="B125" s="44" t="n">
        <v>44820.0423611111</v>
      </c>
      <c r="C125" s="44" t="n">
        <v>44820.3765856482</v>
      </c>
      <c r="D125" s="43" t="n">
        <f aca="false">INT(C125)</f>
        <v>44820</v>
      </c>
      <c r="E125" s="43" t="n">
        <f aca="false">D125-WEEKDAY(D125,3)</f>
        <v>44816</v>
      </c>
      <c r="F125" s="29" t="s">
        <v>149</v>
      </c>
      <c r="G125" s="29" t="n">
        <v>2022</v>
      </c>
      <c r="H125" s="29" t="s">
        <v>254</v>
      </c>
      <c r="I125" s="29" t="n">
        <v>1</v>
      </c>
      <c r="J125" s="29" t="s">
        <v>250</v>
      </c>
      <c r="K125" s="29" t="s">
        <v>251</v>
      </c>
      <c r="L125" s="29" t="n">
        <v>0.05</v>
      </c>
      <c r="M125" s="32" t="n">
        <v>11861.11</v>
      </c>
      <c r="N125" s="32" t="n">
        <v>11882.31</v>
      </c>
      <c r="O125" s="32" t="n">
        <v>11809.21</v>
      </c>
      <c r="P125" s="45" t="n">
        <f aca="false">ABS(M125-N125)</f>
        <v>21.1999999999989</v>
      </c>
      <c r="Q125" s="45" t="n">
        <f aca="false">IF(O125="","",ABS(O125-M125))</f>
        <v>51.9000000000015</v>
      </c>
      <c r="R125" s="31" t="n">
        <f aca="false">P125*L125*Summary!$C$6</f>
        <v>105.999999999995</v>
      </c>
      <c r="S125" s="32" t="n">
        <v>11808.38</v>
      </c>
      <c r="T125" s="29" t="s">
        <v>227</v>
      </c>
      <c r="U125" s="45" t="n">
        <f aca="false">IF(J125="BUY",S125-M125,M125-S125)</f>
        <v>52.7300000000014</v>
      </c>
      <c r="V125" s="46" t="n">
        <v>0</v>
      </c>
      <c r="W125" s="46" t="n">
        <v>0</v>
      </c>
      <c r="X125" s="46" t="n">
        <v>263.65</v>
      </c>
      <c r="Y125" s="33" t="n">
        <f aca="false">IFERROR(X125/R125,0)</f>
        <v>2.48726415094352</v>
      </c>
      <c r="Z125" s="29" t="str">
        <f aca="false">IF(X125&gt;0,"Win",IF(X125&lt;0,"Loss","Flat"))</f>
        <v>Win</v>
      </c>
      <c r="AA125" s="29" t="n">
        <f aca="false">ROUND((C125-B125)*1440,1)</f>
        <v>481.3</v>
      </c>
      <c r="AB125" s="29" t="str">
        <f aca="false">IF(AA125&lt;1,"a) &lt;1 min",IF(AA125&lt;10,"b) 1-10 min",IF(AA125&lt;60,"c) 10-60 min",IF(AA125&lt;240,"d) 1-4 h","e) 4 h+"))))</f>
        <v>e) 4 h+</v>
      </c>
      <c r="AC125" s="29" t="str">
        <f aca="false">IF(P125&lt;10,"a) &lt;10",IF(P125&lt;20,"b) 10-20",IF(P125&lt;40,"c) 20-40",IF(P125&lt;80,"d) 40-80","e) 80+"))))</f>
        <v>c) 20-40</v>
      </c>
      <c r="AD125" s="31" t="n">
        <f aca="false">Summary!$C$5+SUM(X$2:X125)</f>
        <v>12292.03</v>
      </c>
      <c r="AE125" s="31" t="n">
        <f aca="false">MAX(AE124,AD125)</f>
        <v>12292.03</v>
      </c>
      <c r="AF125" s="31" t="n">
        <f aca="false">AE125-AD125</f>
        <v>0</v>
      </c>
      <c r="AG125" s="30" t="n">
        <f aca="false">IFERROR(AF125/AE125,0)</f>
        <v>0</v>
      </c>
    </row>
    <row r="126" customFormat="false" ht="15" hidden="false" customHeight="false" outlineLevel="0" collapsed="false">
      <c r="A126" s="29" t="n">
        <v>125</v>
      </c>
      <c r="B126" s="44" t="n">
        <v>44823.7368055556</v>
      </c>
      <c r="C126" s="44" t="n">
        <v>44823.743287037</v>
      </c>
      <c r="D126" s="43" t="n">
        <f aca="false">INT(C126)</f>
        <v>44823</v>
      </c>
      <c r="E126" s="43" t="n">
        <f aca="false">D126-WEEKDAY(D126,3)</f>
        <v>44823</v>
      </c>
      <c r="F126" s="29" t="s">
        <v>149</v>
      </c>
      <c r="G126" s="29" t="n">
        <v>2022</v>
      </c>
      <c r="H126" s="29" t="s">
        <v>245</v>
      </c>
      <c r="I126" s="29" t="n">
        <v>17</v>
      </c>
      <c r="J126" s="29" t="s">
        <v>246</v>
      </c>
      <c r="K126" s="29" t="s">
        <v>247</v>
      </c>
      <c r="L126" s="29" t="n">
        <v>0.05</v>
      </c>
      <c r="M126" s="32" t="n">
        <v>11881.5</v>
      </c>
      <c r="N126" s="32" t="n">
        <v>11870.27</v>
      </c>
      <c r="O126" s="32" t="n">
        <v>11908.14</v>
      </c>
      <c r="P126" s="45" t="n">
        <f aca="false">ABS(M126-N126)</f>
        <v>11.2299999999996</v>
      </c>
      <c r="Q126" s="45" t="n">
        <f aca="false">IF(O126="","",ABS(O126-M126))</f>
        <v>26.6399999999994</v>
      </c>
      <c r="R126" s="31" t="n">
        <f aca="false">P126*L126*Summary!$C$6</f>
        <v>56.1499999999978</v>
      </c>
      <c r="S126" s="32" t="n">
        <v>11881.36</v>
      </c>
      <c r="T126" s="29" t="s">
        <v>255</v>
      </c>
      <c r="U126" s="45" t="n">
        <f aca="false">IF(J126="BUY",S126-M126,M126-S126)</f>
        <v>-0.139999999999418</v>
      </c>
      <c r="V126" s="46" t="n">
        <v>0</v>
      </c>
      <c r="W126" s="46" t="n">
        <v>0</v>
      </c>
      <c r="X126" s="46" t="n">
        <v>-0.7</v>
      </c>
      <c r="Y126" s="33" t="n">
        <f aca="false">IFERROR(X126/R126,0)</f>
        <v>-0.0124666073018705</v>
      </c>
      <c r="Z126" s="29" t="str">
        <f aca="false">IF(X126&gt;0,"Win",IF(X126&lt;0,"Loss","Flat"))</f>
        <v>Loss</v>
      </c>
      <c r="AA126" s="29" t="n">
        <f aca="false">ROUND((C126-B126)*1440,1)</f>
        <v>9.3</v>
      </c>
      <c r="AB126" s="29" t="str">
        <f aca="false">IF(AA126&lt;1,"a) &lt;1 min",IF(AA126&lt;10,"b) 1-10 min",IF(AA126&lt;60,"c) 10-60 min",IF(AA126&lt;240,"d) 1-4 h","e) 4 h+"))))</f>
        <v>b) 1-10 min</v>
      </c>
      <c r="AC126" s="29" t="str">
        <f aca="false">IF(P126&lt;10,"a) &lt;10",IF(P126&lt;20,"b) 10-20",IF(P126&lt;40,"c) 20-40",IF(P126&lt;80,"d) 40-80","e) 80+"))))</f>
        <v>b) 10-20</v>
      </c>
      <c r="AD126" s="31" t="n">
        <f aca="false">Summary!$C$5+SUM(X$2:X126)</f>
        <v>12291.33</v>
      </c>
      <c r="AE126" s="31" t="n">
        <f aca="false">MAX(AE125,AD126)</f>
        <v>12292.03</v>
      </c>
      <c r="AF126" s="31" t="n">
        <f aca="false">AE126-AD126</f>
        <v>0.700000000000728</v>
      </c>
      <c r="AG126" s="30" t="n">
        <f aca="false">IFERROR(AF126/AE126,0)</f>
        <v>5.69474692138506E-005</v>
      </c>
    </row>
    <row r="127" customFormat="false" ht="15" hidden="false" customHeight="false" outlineLevel="0" collapsed="false">
      <c r="A127" s="29" t="n">
        <v>126</v>
      </c>
      <c r="B127" s="44" t="n">
        <v>44824.1055555556</v>
      </c>
      <c r="C127" s="44" t="n">
        <v>44824.1074189815</v>
      </c>
      <c r="D127" s="43" t="n">
        <f aca="false">INT(C127)</f>
        <v>44824</v>
      </c>
      <c r="E127" s="43" t="n">
        <f aca="false">D127-WEEKDAY(D127,3)</f>
        <v>44823</v>
      </c>
      <c r="F127" s="29" t="s">
        <v>149</v>
      </c>
      <c r="G127" s="29" t="n">
        <v>2022</v>
      </c>
      <c r="H127" s="29" t="s">
        <v>248</v>
      </c>
      <c r="I127" s="29" t="n">
        <v>2</v>
      </c>
      <c r="J127" s="29" t="s">
        <v>246</v>
      </c>
      <c r="K127" s="29" t="s">
        <v>247</v>
      </c>
      <c r="L127" s="29" t="n">
        <v>0.05</v>
      </c>
      <c r="M127" s="32" t="n">
        <v>11998.11</v>
      </c>
      <c r="N127" s="32" t="n">
        <v>11994.45</v>
      </c>
      <c r="O127" s="32" t="n">
        <v>12007.74</v>
      </c>
      <c r="P127" s="45" t="n">
        <f aca="false">ABS(M127-N127)</f>
        <v>3.65999999999985</v>
      </c>
      <c r="Q127" s="45" t="n">
        <f aca="false">IF(O127="","",ABS(O127-M127))</f>
        <v>9.6299999999992</v>
      </c>
      <c r="R127" s="31" t="n">
        <f aca="false">P127*L127*Summary!$C$6</f>
        <v>18.2999999999993</v>
      </c>
      <c r="S127" s="32" t="n">
        <v>11994.32</v>
      </c>
      <c r="T127" s="29" t="s">
        <v>249</v>
      </c>
      <c r="U127" s="45" t="n">
        <f aca="false">IF(J127="BUY",S127-M127,M127-S127)</f>
        <v>-3.79000000000087</v>
      </c>
      <c r="V127" s="46" t="n">
        <v>0</v>
      </c>
      <c r="W127" s="46" t="n">
        <v>0</v>
      </c>
      <c r="X127" s="46" t="n">
        <v>-18.95</v>
      </c>
      <c r="Y127" s="33" t="n">
        <f aca="false">IFERROR(X127/R127,0)</f>
        <v>-1.0355191256831</v>
      </c>
      <c r="Z127" s="29" t="str">
        <f aca="false">IF(X127&gt;0,"Win",IF(X127&lt;0,"Loss","Flat"))</f>
        <v>Loss</v>
      </c>
      <c r="AA127" s="29" t="n">
        <f aca="false">ROUND((C127-B127)*1440,1)</f>
        <v>2.7</v>
      </c>
      <c r="AB127" s="29" t="str">
        <f aca="false">IF(AA127&lt;1,"a) &lt;1 min",IF(AA127&lt;10,"b) 1-10 min",IF(AA127&lt;60,"c) 10-60 min",IF(AA127&lt;240,"d) 1-4 h","e) 4 h+"))))</f>
        <v>b) 1-10 min</v>
      </c>
      <c r="AC127" s="29" t="str">
        <f aca="false">IF(P127&lt;10,"a) &lt;10",IF(P127&lt;20,"b) 10-20",IF(P127&lt;40,"c) 20-40",IF(P127&lt;80,"d) 40-80","e) 80+"))))</f>
        <v>a) &lt;10</v>
      </c>
      <c r="AD127" s="31" t="n">
        <f aca="false">Summary!$C$5+SUM(X$2:X127)</f>
        <v>12272.38</v>
      </c>
      <c r="AE127" s="31" t="n">
        <f aca="false">MAX(AE126,AD127)</f>
        <v>12292.03</v>
      </c>
      <c r="AF127" s="31" t="n">
        <f aca="false">AE127-AD127</f>
        <v>19.6499999999996</v>
      </c>
      <c r="AG127" s="30" t="n">
        <f aca="false">IFERROR(AF127/AE127,0)</f>
        <v>0.00159859681435854</v>
      </c>
    </row>
    <row r="128" customFormat="false" ht="15" hidden="false" customHeight="false" outlineLevel="0" collapsed="false">
      <c r="A128" s="29" t="n">
        <v>127</v>
      </c>
      <c r="B128" s="44" t="n">
        <v>44825.8784722222</v>
      </c>
      <c r="C128" s="44" t="n">
        <v>44825.8809837963</v>
      </c>
      <c r="D128" s="43" t="n">
        <f aca="false">INT(C128)</f>
        <v>44825</v>
      </c>
      <c r="E128" s="43" t="n">
        <f aca="false">D128-WEEKDAY(D128,3)</f>
        <v>44823</v>
      </c>
      <c r="F128" s="29" t="s">
        <v>149</v>
      </c>
      <c r="G128" s="29" t="n">
        <v>2022</v>
      </c>
      <c r="H128" s="29" t="s">
        <v>252</v>
      </c>
      <c r="I128" s="29" t="n">
        <v>21</v>
      </c>
      <c r="J128" s="29" t="s">
        <v>250</v>
      </c>
      <c r="K128" s="29" t="s">
        <v>251</v>
      </c>
      <c r="L128" s="29" t="n">
        <v>0.05</v>
      </c>
      <c r="M128" s="32" t="n">
        <v>11718.4</v>
      </c>
      <c r="N128" s="32" t="n">
        <v>11804.4</v>
      </c>
      <c r="O128" s="32" t="n">
        <v>11514.38</v>
      </c>
      <c r="P128" s="45" t="n">
        <f aca="false">ABS(M128-N128)</f>
        <v>86</v>
      </c>
      <c r="Q128" s="45" t="n">
        <f aca="false">IF(O128="","",ABS(O128-M128))</f>
        <v>204.02</v>
      </c>
      <c r="R128" s="31" t="n">
        <f aca="false">P128*L128*Summary!$C$6</f>
        <v>430</v>
      </c>
      <c r="S128" s="32" t="n">
        <v>11784.82</v>
      </c>
      <c r="T128" s="29" t="s">
        <v>256</v>
      </c>
      <c r="U128" s="45" t="n">
        <f aca="false">IF(J128="BUY",S128-M128,M128-S128)</f>
        <v>-66.4200000000001</v>
      </c>
      <c r="V128" s="46" t="n">
        <v>0</v>
      </c>
      <c r="W128" s="46" t="n">
        <v>0</v>
      </c>
      <c r="X128" s="46" t="n">
        <v>-332.1</v>
      </c>
      <c r="Y128" s="33" t="n">
        <f aca="false">IFERROR(X128/R128,0)</f>
        <v>-0.772325581395349</v>
      </c>
      <c r="Z128" s="29" t="str">
        <f aca="false">IF(X128&gt;0,"Win",IF(X128&lt;0,"Loss","Flat"))</f>
        <v>Loss</v>
      </c>
      <c r="AA128" s="29" t="n">
        <f aca="false">ROUND((C128-B128)*1440,1)</f>
        <v>3.6</v>
      </c>
      <c r="AB128" s="29" t="str">
        <f aca="false">IF(AA128&lt;1,"a) &lt;1 min",IF(AA128&lt;10,"b) 1-10 min",IF(AA128&lt;60,"c) 10-60 min",IF(AA128&lt;240,"d) 1-4 h","e) 4 h+"))))</f>
        <v>b) 1-10 min</v>
      </c>
      <c r="AC128" s="29" t="str">
        <f aca="false">IF(P128&lt;10,"a) &lt;10",IF(P128&lt;20,"b) 10-20",IF(P128&lt;40,"c) 20-40",IF(P128&lt;80,"d) 40-80","e) 80+"))))</f>
        <v>e) 80+</v>
      </c>
      <c r="AD128" s="31" t="n">
        <f aca="false">Summary!$C$5+SUM(X$2:X128)</f>
        <v>11940.28</v>
      </c>
      <c r="AE128" s="31" t="n">
        <f aca="false">MAX(AE127,AD128)</f>
        <v>12292.03</v>
      </c>
      <c r="AF128" s="31" t="n">
        <f aca="false">AE128-AD128</f>
        <v>351.75</v>
      </c>
      <c r="AG128" s="30" t="n">
        <f aca="false">IFERROR(AF128/AE128,0)</f>
        <v>0.0286161032799302</v>
      </c>
    </row>
    <row r="129" customFormat="false" ht="15" hidden="false" customHeight="false" outlineLevel="0" collapsed="false">
      <c r="A129" s="29" t="n">
        <v>128</v>
      </c>
      <c r="B129" s="44" t="n">
        <v>44826.0423611111</v>
      </c>
      <c r="C129" s="44" t="n">
        <v>44826.0726851852</v>
      </c>
      <c r="D129" s="43" t="n">
        <f aca="false">INT(C129)</f>
        <v>44826</v>
      </c>
      <c r="E129" s="43" t="n">
        <f aca="false">D129-WEEKDAY(D129,3)</f>
        <v>44823</v>
      </c>
      <c r="F129" s="29" t="s">
        <v>149</v>
      </c>
      <c r="G129" s="29" t="n">
        <v>2022</v>
      </c>
      <c r="H129" s="29" t="s">
        <v>253</v>
      </c>
      <c r="I129" s="29" t="n">
        <v>1</v>
      </c>
      <c r="J129" s="29" t="s">
        <v>250</v>
      </c>
      <c r="K129" s="29" t="s">
        <v>251</v>
      </c>
      <c r="L129" s="29" t="n">
        <v>0.05</v>
      </c>
      <c r="M129" s="32" t="n">
        <v>11601.55</v>
      </c>
      <c r="N129" s="32" t="n">
        <v>11617.32</v>
      </c>
      <c r="O129" s="32" t="n">
        <v>11563.79</v>
      </c>
      <c r="P129" s="45" t="n">
        <f aca="false">ABS(M129-N129)</f>
        <v>15.7700000000004</v>
      </c>
      <c r="Q129" s="45" t="n">
        <f aca="false">IF(O129="","",ABS(O129-M129))</f>
        <v>37.7599999999984</v>
      </c>
      <c r="R129" s="31" t="n">
        <f aca="false">P129*L129*Summary!$C$6</f>
        <v>78.8500000000022</v>
      </c>
      <c r="S129" s="32" t="n">
        <v>11563.78</v>
      </c>
      <c r="T129" s="29" t="s">
        <v>227</v>
      </c>
      <c r="U129" s="45" t="n">
        <f aca="false">IF(J129="BUY",S129-M129,M129-S129)</f>
        <v>37.7699999999986</v>
      </c>
      <c r="V129" s="46" t="n">
        <v>0</v>
      </c>
      <c r="W129" s="46" t="n">
        <v>0</v>
      </c>
      <c r="X129" s="46" t="n">
        <v>188.85</v>
      </c>
      <c r="Y129" s="33" t="n">
        <f aca="false">IFERROR(X129/R129,0)</f>
        <v>2.3950538998097</v>
      </c>
      <c r="Z129" s="29" t="str">
        <f aca="false">IF(X129&gt;0,"Win",IF(X129&lt;0,"Loss","Flat"))</f>
        <v>Win</v>
      </c>
      <c r="AA129" s="29" t="n">
        <f aca="false">ROUND((C129-B129)*1440,1)</f>
        <v>43.7</v>
      </c>
      <c r="AB129" s="29" t="str">
        <f aca="false">IF(AA129&lt;1,"a) &lt;1 min",IF(AA129&lt;10,"b) 1-10 min",IF(AA129&lt;60,"c) 10-60 min",IF(AA129&lt;240,"d) 1-4 h","e) 4 h+"))))</f>
        <v>c) 10-60 min</v>
      </c>
      <c r="AC129" s="29" t="str">
        <f aca="false">IF(P129&lt;10,"a) &lt;10",IF(P129&lt;20,"b) 10-20",IF(P129&lt;40,"c) 20-40",IF(P129&lt;80,"d) 40-80","e) 80+"))))</f>
        <v>b) 10-20</v>
      </c>
      <c r="AD129" s="31" t="n">
        <f aca="false">Summary!$C$5+SUM(X$2:X129)</f>
        <v>12129.13</v>
      </c>
      <c r="AE129" s="31" t="n">
        <f aca="false">MAX(AE128,AD129)</f>
        <v>12292.03</v>
      </c>
      <c r="AF129" s="31" t="n">
        <f aca="false">AE129-AD129</f>
        <v>162.9</v>
      </c>
      <c r="AG129" s="30" t="n">
        <f aca="false">IFERROR(AF129/AE129,0)</f>
        <v>0.0132524896213237</v>
      </c>
    </row>
    <row r="130" customFormat="false" ht="15" hidden="false" customHeight="false" outlineLevel="0" collapsed="false">
      <c r="A130" s="29" t="n">
        <v>129</v>
      </c>
      <c r="B130" s="44" t="n">
        <v>44827.2965277778</v>
      </c>
      <c r="C130" s="44" t="n">
        <v>44827.307349537</v>
      </c>
      <c r="D130" s="43" t="n">
        <f aca="false">INT(C130)</f>
        <v>44827</v>
      </c>
      <c r="E130" s="43" t="n">
        <f aca="false">D130-WEEKDAY(D130,3)</f>
        <v>44823</v>
      </c>
      <c r="F130" s="29" t="s">
        <v>149</v>
      </c>
      <c r="G130" s="29" t="n">
        <v>2022</v>
      </c>
      <c r="H130" s="29" t="s">
        <v>254</v>
      </c>
      <c r="I130" s="29" t="n">
        <v>7</v>
      </c>
      <c r="J130" s="29" t="s">
        <v>250</v>
      </c>
      <c r="K130" s="29" t="s">
        <v>251</v>
      </c>
      <c r="L130" s="29" t="n">
        <v>0.05</v>
      </c>
      <c r="M130" s="32" t="n">
        <v>11441.87</v>
      </c>
      <c r="N130" s="32" t="n">
        <v>11449.16</v>
      </c>
      <c r="O130" s="32" t="n">
        <v>11423.83</v>
      </c>
      <c r="P130" s="45" t="n">
        <f aca="false">ABS(M130-N130)</f>
        <v>7.28999999999905</v>
      </c>
      <c r="Q130" s="45" t="n">
        <f aca="false">IF(O130="","",ABS(O130-M130))</f>
        <v>18.0400000000009</v>
      </c>
      <c r="R130" s="31" t="n">
        <f aca="false">P130*L130*Summary!$C$6</f>
        <v>36.4499999999953</v>
      </c>
      <c r="S130" s="32" t="n">
        <v>11449.21</v>
      </c>
      <c r="T130" s="29" t="s">
        <v>249</v>
      </c>
      <c r="U130" s="45" t="n">
        <f aca="false">IF(J130="BUY",S130-M130,M130-S130)</f>
        <v>-7.33999999999833</v>
      </c>
      <c r="V130" s="46" t="n">
        <v>0</v>
      </c>
      <c r="W130" s="46" t="n">
        <v>0</v>
      </c>
      <c r="X130" s="46" t="n">
        <v>-36.7</v>
      </c>
      <c r="Y130" s="33" t="n">
        <f aca="false">IFERROR(X130/R130,0)</f>
        <v>-1.00685871056254</v>
      </c>
      <c r="Z130" s="29" t="str">
        <f aca="false">IF(X130&gt;0,"Win",IF(X130&lt;0,"Loss","Flat"))</f>
        <v>Loss</v>
      </c>
      <c r="AA130" s="29" t="n">
        <f aca="false">ROUND((C130-B130)*1440,1)</f>
        <v>15.6</v>
      </c>
      <c r="AB130" s="29" t="str">
        <f aca="false">IF(AA130&lt;1,"a) &lt;1 min",IF(AA130&lt;10,"b) 1-10 min",IF(AA130&lt;60,"c) 10-60 min",IF(AA130&lt;240,"d) 1-4 h","e) 4 h+"))))</f>
        <v>c) 10-60 min</v>
      </c>
      <c r="AC130" s="29" t="str">
        <f aca="false">IF(P130&lt;10,"a) &lt;10",IF(P130&lt;20,"b) 10-20",IF(P130&lt;40,"c) 20-40",IF(P130&lt;80,"d) 40-80","e) 80+"))))</f>
        <v>a) &lt;10</v>
      </c>
      <c r="AD130" s="31" t="n">
        <f aca="false">Summary!$C$5+SUM(X$2:X130)</f>
        <v>12092.43</v>
      </c>
      <c r="AE130" s="31" t="n">
        <f aca="false">MAX(AE129,AD130)</f>
        <v>12292.03</v>
      </c>
      <c r="AF130" s="31" t="n">
        <f aca="false">AE130-AD130</f>
        <v>199.6</v>
      </c>
      <c r="AG130" s="30" t="n">
        <f aca="false">IFERROR(AF130/AE130,0)</f>
        <v>0.0162381640786754</v>
      </c>
    </row>
    <row r="131" customFormat="false" ht="15" hidden="false" customHeight="false" outlineLevel="0" collapsed="false">
      <c r="A131" s="29" t="n">
        <v>130</v>
      </c>
      <c r="B131" s="44" t="n">
        <v>44831.6930555556</v>
      </c>
      <c r="C131" s="44" t="n">
        <v>44831.6961805556</v>
      </c>
      <c r="D131" s="43" t="n">
        <f aca="false">INT(C131)</f>
        <v>44831</v>
      </c>
      <c r="E131" s="43" t="n">
        <f aca="false">D131-WEEKDAY(D131,3)</f>
        <v>44830</v>
      </c>
      <c r="F131" s="29" t="s">
        <v>149</v>
      </c>
      <c r="G131" s="29" t="n">
        <v>2022</v>
      </c>
      <c r="H131" s="29" t="s">
        <v>248</v>
      </c>
      <c r="I131" s="29" t="n">
        <v>16</v>
      </c>
      <c r="J131" s="29" t="s">
        <v>246</v>
      </c>
      <c r="K131" s="29" t="s">
        <v>247</v>
      </c>
      <c r="L131" s="29" t="n">
        <v>0.05</v>
      </c>
      <c r="M131" s="32" t="n">
        <v>11482.72</v>
      </c>
      <c r="N131" s="32" t="n">
        <v>11465.24</v>
      </c>
      <c r="O131" s="32" t="n">
        <v>11528.61</v>
      </c>
      <c r="P131" s="45" t="n">
        <f aca="false">ABS(M131-N131)</f>
        <v>17.4799999999996</v>
      </c>
      <c r="Q131" s="45" t="n">
        <f aca="false">IF(O131="","",ABS(O131-M131))</f>
        <v>45.8900000000012</v>
      </c>
      <c r="R131" s="31" t="n">
        <f aca="false">P131*L131*Summary!$C$6</f>
        <v>87.3999999999978</v>
      </c>
      <c r="S131" s="32" t="n">
        <v>11482.66</v>
      </c>
      <c r="T131" s="29" t="s">
        <v>255</v>
      </c>
      <c r="U131" s="45" t="n">
        <f aca="false">IF(J131="BUY",S131-M131,M131-S131)</f>
        <v>-0.0599999999994907</v>
      </c>
      <c r="V131" s="46" t="n">
        <v>0</v>
      </c>
      <c r="W131" s="46" t="n">
        <v>0</v>
      </c>
      <c r="X131" s="46" t="n">
        <v>-0.3</v>
      </c>
      <c r="Y131" s="33" t="n">
        <f aca="false">IFERROR(X131/R131,0)</f>
        <v>-0.00343249427917629</v>
      </c>
      <c r="Z131" s="29" t="str">
        <f aca="false">IF(X131&gt;0,"Win",IF(X131&lt;0,"Loss","Flat"))</f>
        <v>Loss</v>
      </c>
      <c r="AA131" s="29" t="n">
        <f aca="false">ROUND((C131-B131)*1440,1)</f>
        <v>4.5</v>
      </c>
      <c r="AB131" s="29" t="str">
        <f aca="false">IF(AA131&lt;1,"a) &lt;1 min",IF(AA131&lt;10,"b) 1-10 min",IF(AA131&lt;60,"c) 10-60 min",IF(AA131&lt;240,"d) 1-4 h","e) 4 h+"))))</f>
        <v>b) 1-10 min</v>
      </c>
      <c r="AC131" s="29" t="str">
        <f aca="false">IF(P131&lt;10,"a) &lt;10",IF(P131&lt;20,"b) 10-20",IF(P131&lt;40,"c) 20-40",IF(P131&lt;80,"d) 40-80","e) 80+"))))</f>
        <v>b) 10-20</v>
      </c>
      <c r="AD131" s="31" t="n">
        <f aca="false">Summary!$C$5+SUM(X$2:X131)</f>
        <v>12092.13</v>
      </c>
      <c r="AE131" s="31" t="n">
        <f aca="false">MAX(AE130,AD131)</f>
        <v>12292.03</v>
      </c>
      <c r="AF131" s="31" t="n">
        <f aca="false">AE131-AD131</f>
        <v>199.9</v>
      </c>
      <c r="AG131" s="30" t="n">
        <f aca="false">IFERROR(AF131/AE131,0)</f>
        <v>0.0162625701369098</v>
      </c>
    </row>
    <row r="132" customFormat="false" ht="15" hidden="false" customHeight="false" outlineLevel="0" collapsed="false">
      <c r="A132" s="29" t="n">
        <v>131</v>
      </c>
      <c r="B132" s="44" t="n">
        <v>44831.8048611111</v>
      </c>
      <c r="C132" s="44" t="n">
        <v>44831.8062037037</v>
      </c>
      <c r="D132" s="43" t="n">
        <f aca="false">INT(C132)</f>
        <v>44831</v>
      </c>
      <c r="E132" s="43" t="n">
        <f aca="false">D132-WEEKDAY(D132,3)</f>
        <v>44830</v>
      </c>
      <c r="F132" s="29" t="s">
        <v>149</v>
      </c>
      <c r="G132" s="29" t="n">
        <v>2022</v>
      </c>
      <c r="H132" s="29" t="s">
        <v>248</v>
      </c>
      <c r="I132" s="29" t="n">
        <v>19</v>
      </c>
      <c r="J132" s="29" t="s">
        <v>250</v>
      </c>
      <c r="K132" s="29" t="s">
        <v>251</v>
      </c>
      <c r="L132" s="29" t="n">
        <v>0.05</v>
      </c>
      <c r="M132" s="32" t="n">
        <v>11180.55</v>
      </c>
      <c r="N132" s="32" t="n">
        <v>11195.92</v>
      </c>
      <c r="O132" s="32" t="n">
        <v>11142.89</v>
      </c>
      <c r="P132" s="45" t="n">
        <f aca="false">ABS(M132-N132)</f>
        <v>15.3700000000008</v>
      </c>
      <c r="Q132" s="45" t="n">
        <f aca="false">IF(O132="","",ABS(O132-M132))</f>
        <v>37.6599999999999</v>
      </c>
      <c r="R132" s="31" t="n">
        <f aca="false">P132*L132*Summary!$C$6</f>
        <v>76.850000000004</v>
      </c>
      <c r="S132" s="32" t="n">
        <v>11196.14</v>
      </c>
      <c r="T132" s="29" t="s">
        <v>249</v>
      </c>
      <c r="U132" s="45" t="n">
        <f aca="false">IF(J132="BUY",S132-M132,M132-S132)</f>
        <v>-15.5900000000001</v>
      </c>
      <c r="V132" s="46" t="n">
        <v>0</v>
      </c>
      <c r="W132" s="46" t="n">
        <v>0</v>
      </c>
      <c r="X132" s="46" t="n">
        <v>-77.95</v>
      </c>
      <c r="Y132" s="33" t="n">
        <f aca="false">IFERROR(X132/R132,0)</f>
        <v>-1.01431359791797</v>
      </c>
      <c r="Z132" s="29" t="str">
        <f aca="false">IF(X132&gt;0,"Win",IF(X132&lt;0,"Loss","Flat"))</f>
        <v>Loss</v>
      </c>
      <c r="AA132" s="29" t="n">
        <f aca="false">ROUND((C132-B132)*1440,1)</f>
        <v>1.9</v>
      </c>
      <c r="AB132" s="29" t="str">
        <f aca="false">IF(AA132&lt;1,"a) &lt;1 min",IF(AA132&lt;10,"b) 1-10 min",IF(AA132&lt;60,"c) 10-60 min",IF(AA132&lt;240,"d) 1-4 h","e) 4 h+"))))</f>
        <v>b) 1-10 min</v>
      </c>
      <c r="AC132" s="29" t="str">
        <f aca="false">IF(P132&lt;10,"a) &lt;10",IF(P132&lt;20,"b) 10-20",IF(P132&lt;40,"c) 20-40",IF(P132&lt;80,"d) 40-80","e) 80+"))))</f>
        <v>b) 10-20</v>
      </c>
      <c r="AD132" s="31" t="n">
        <f aca="false">Summary!$C$5+SUM(X$2:X132)</f>
        <v>12014.18</v>
      </c>
      <c r="AE132" s="31" t="n">
        <f aca="false">MAX(AE131,AD132)</f>
        <v>12292.03</v>
      </c>
      <c r="AF132" s="31" t="n">
        <f aca="false">AE132-AD132</f>
        <v>277.85</v>
      </c>
      <c r="AG132" s="30" t="n">
        <f aca="false">IFERROR(AF132/AE132,0)</f>
        <v>0.0226040776015028</v>
      </c>
    </row>
    <row r="133" customFormat="false" ht="15" hidden="false" customHeight="false" outlineLevel="0" collapsed="false">
      <c r="A133" s="29" t="n">
        <v>132</v>
      </c>
      <c r="B133" s="44" t="n">
        <v>44832.2173611111</v>
      </c>
      <c r="C133" s="44" t="n">
        <v>44832.2268865741</v>
      </c>
      <c r="D133" s="43" t="n">
        <f aca="false">INT(C133)</f>
        <v>44832</v>
      </c>
      <c r="E133" s="43" t="n">
        <f aca="false">D133-WEEKDAY(D133,3)</f>
        <v>44830</v>
      </c>
      <c r="F133" s="29" t="s">
        <v>149</v>
      </c>
      <c r="G133" s="29" t="n">
        <v>2022</v>
      </c>
      <c r="H133" s="29" t="s">
        <v>252</v>
      </c>
      <c r="I133" s="29" t="n">
        <v>5</v>
      </c>
      <c r="J133" s="29" t="s">
        <v>250</v>
      </c>
      <c r="K133" s="29" t="s">
        <v>251</v>
      </c>
      <c r="L133" s="29" t="n">
        <v>0.05</v>
      </c>
      <c r="M133" s="32" t="n">
        <v>11147.37</v>
      </c>
      <c r="N133" s="32" t="n">
        <v>11160.76</v>
      </c>
      <c r="O133" s="32" t="n">
        <v>11114.36</v>
      </c>
      <c r="P133" s="45" t="n">
        <f aca="false">ABS(M133-N133)</f>
        <v>13.3899999999994</v>
      </c>
      <c r="Q133" s="45" t="n">
        <f aca="false">IF(O133="","",ABS(O133-M133))</f>
        <v>33.0100000000002</v>
      </c>
      <c r="R133" s="31" t="n">
        <f aca="false">P133*L133*Summary!$C$6</f>
        <v>66.9499999999971</v>
      </c>
      <c r="S133" s="32" t="n">
        <v>11147.63</v>
      </c>
      <c r="T133" s="29" t="s">
        <v>255</v>
      </c>
      <c r="U133" s="45" t="n">
        <f aca="false">IF(J133="BUY",S133-M133,M133-S133)</f>
        <v>-0.259999999998399</v>
      </c>
      <c r="V133" s="46" t="n">
        <v>0</v>
      </c>
      <c r="W133" s="46" t="n">
        <v>0</v>
      </c>
      <c r="X133" s="46" t="n">
        <v>-1.3</v>
      </c>
      <c r="Y133" s="33" t="n">
        <f aca="false">IFERROR(X133/R133,0)</f>
        <v>-0.0194174757281562</v>
      </c>
      <c r="Z133" s="29" t="str">
        <f aca="false">IF(X133&gt;0,"Win",IF(X133&lt;0,"Loss","Flat"))</f>
        <v>Loss</v>
      </c>
      <c r="AA133" s="29" t="n">
        <f aca="false">ROUND((C133-B133)*1440,1)</f>
        <v>13.7</v>
      </c>
      <c r="AB133" s="29" t="str">
        <f aca="false">IF(AA133&lt;1,"a) &lt;1 min",IF(AA133&lt;10,"b) 1-10 min",IF(AA133&lt;60,"c) 10-60 min",IF(AA133&lt;240,"d) 1-4 h","e) 4 h+"))))</f>
        <v>c) 10-60 min</v>
      </c>
      <c r="AC133" s="29" t="str">
        <f aca="false">IF(P133&lt;10,"a) &lt;10",IF(P133&lt;20,"b) 10-20",IF(P133&lt;40,"c) 20-40",IF(P133&lt;80,"d) 40-80","e) 80+"))))</f>
        <v>b) 10-20</v>
      </c>
      <c r="AD133" s="31" t="n">
        <f aca="false">Summary!$C$5+SUM(X$2:X133)</f>
        <v>12012.88</v>
      </c>
      <c r="AE133" s="31" t="n">
        <f aca="false">MAX(AE132,AD133)</f>
        <v>12292.03</v>
      </c>
      <c r="AF133" s="31" t="n">
        <f aca="false">AE133-AD133</f>
        <v>279.150000000001</v>
      </c>
      <c r="AG133" s="30" t="n">
        <f aca="false">IFERROR(AF133/AE133,0)</f>
        <v>0.0227098371871856</v>
      </c>
    </row>
    <row r="134" customFormat="false" ht="15" hidden="false" customHeight="false" outlineLevel="0" collapsed="false">
      <c r="A134" s="29" t="n">
        <v>133</v>
      </c>
      <c r="B134" s="44" t="n">
        <v>44832.925</v>
      </c>
      <c r="C134" s="44" t="n">
        <v>44832.9291782407</v>
      </c>
      <c r="D134" s="43" t="n">
        <f aca="false">INT(C134)</f>
        <v>44832</v>
      </c>
      <c r="E134" s="43" t="n">
        <f aca="false">D134-WEEKDAY(D134,3)</f>
        <v>44830</v>
      </c>
      <c r="F134" s="29" t="s">
        <v>149</v>
      </c>
      <c r="G134" s="29" t="n">
        <v>2022</v>
      </c>
      <c r="H134" s="29" t="s">
        <v>252</v>
      </c>
      <c r="I134" s="29" t="n">
        <v>22</v>
      </c>
      <c r="J134" s="29" t="s">
        <v>246</v>
      </c>
      <c r="K134" s="29" t="s">
        <v>247</v>
      </c>
      <c r="L134" s="29" t="n">
        <v>0.05</v>
      </c>
      <c r="M134" s="32" t="n">
        <v>11505.73</v>
      </c>
      <c r="N134" s="32" t="n">
        <v>11495.11</v>
      </c>
      <c r="O134" s="32" t="n">
        <v>11532.79</v>
      </c>
      <c r="P134" s="45" t="n">
        <f aca="false">ABS(M134-N134)</f>
        <v>10.619999999999</v>
      </c>
      <c r="Q134" s="45" t="n">
        <f aca="false">IF(O134="","",ABS(O134-M134))</f>
        <v>27.0600000000013</v>
      </c>
      <c r="R134" s="31" t="n">
        <f aca="false">P134*L134*Summary!$C$6</f>
        <v>53.0999999999949</v>
      </c>
      <c r="S134" s="32" t="n">
        <v>11495.05</v>
      </c>
      <c r="T134" s="29" t="s">
        <v>249</v>
      </c>
      <c r="U134" s="45" t="n">
        <f aca="false">IF(J134="BUY",S134-M134,M134-S134)</f>
        <v>-10.6800000000003</v>
      </c>
      <c r="V134" s="46" t="n">
        <v>0</v>
      </c>
      <c r="W134" s="46" t="n">
        <v>0</v>
      </c>
      <c r="X134" s="46" t="n">
        <v>-53.4</v>
      </c>
      <c r="Y134" s="33" t="n">
        <f aca="false">IFERROR(X134/R134,0)</f>
        <v>-1.00564971751422</v>
      </c>
      <c r="Z134" s="29" t="str">
        <f aca="false">IF(X134&gt;0,"Win",IF(X134&lt;0,"Loss","Flat"))</f>
        <v>Loss</v>
      </c>
      <c r="AA134" s="29" t="n">
        <f aca="false">ROUND((C134-B134)*1440,1)</f>
        <v>6</v>
      </c>
      <c r="AB134" s="29" t="str">
        <f aca="false">IF(AA134&lt;1,"a) &lt;1 min",IF(AA134&lt;10,"b) 1-10 min",IF(AA134&lt;60,"c) 10-60 min",IF(AA134&lt;240,"d) 1-4 h","e) 4 h+"))))</f>
        <v>b) 1-10 min</v>
      </c>
      <c r="AC134" s="29" t="str">
        <f aca="false">IF(P134&lt;10,"a) &lt;10",IF(P134&lt;20,"b) 10-20",IF(P134&lt;40,"c) 20-40",IF(P134&lt;80,"d) 40-80","e) 80+"))))</f>
        <v>b) 10-20</v>
      </c>
      <c r="AD134" s="31" t="n">
        <f aca="false">Summary!$C$5+SUM(X$2:X134)</f>
        <v>11959.48</v>
      </c>
      <c r="AE134" s="31" t="n">
        <f aca="false">MAX(AE133,AD134)</f>
        <v>12292.03</v>
      </c>
      <c r="AF134" s="31" t="n">
        <f aca="false">AE134-AD134</f>
        <v>332.550000000001</v>
      </c>
      <c r="AG134" s="30" t="n">
        <f aca="false">IFERROR(AF134/AE134,0)</f>
        <v>0.0270541155529234</v>
      </c>
    </row>
    <row r="135" customFormat="false" ht="15" hidden="false" customHeight="false" outlineLevel="0" collapsed="false">
      <c r="A135" s="29" t="n">
        <v>134</v>
      </c>
      <c r="B135" s="44" t="n">
        <v>44833.8743055556</v>
      </c>
      <c r="C135" s="44" t="n">
        <v>44833.8790046296</v>
      </c>
      <c r="D135" s="43" t="n">
        <f aca="false">INT(C135)</f>
        <v>44833</v>
      </c>
      <c r="E135" s="43" t="n">
        <f aca="false">D135-WEEKDAY(D135,3)</f>
        <v>44830</v>
      </c>
      <c r="F135" s="29" t="s">
        <v>149</v>
      </c>
      <c r="G135" s="29" t="n">
        <v>2022</v>
      </c>
      <c r="H135" s="29" t="s">
        <v>253</v>
      </c>
      <c r="I135" s="29" t="n">
        <v>20</v>
      </c>
      <c r="J135" s="29" t="s">
        <v>250</v>
      </c>
      <c r="K135" s="29" t="s">
        <v>251</v>
      </c>
      <c r="L135" s="29" t="n">
        <v>0.05</v>
      </c>
      <c r="M135" s="32" t="n">
        <v>11069.58</v>
      </c>
      <c r="N135" s="32" t="n">
        <v>11079.63</v>
      </c>
      <c r="O135" s="32" t="n">
        <v>11044.96</v>
      </c>
      <c r="P135" s="45" t="n">
        <f aca="false">ABS(M135-N135)</f>
        <v>10.0499999999993</v>
      </c>
      <c r="Q135" s="45" t="n">
        <f aca="false">IF(O135="","",ABS(O135-M135))</f>
        <v>24.6200000000008</v>
      </c>
      <c r="R135" s="31" t="n">
        <f aca="false">P135*L135*Summary!$C$6</f>
        <v>50.2499999999964</v>
      </c>
      <c r="S135" s="32" t="n">
        <v>11069.81</v>
      </c>
      <c r="T135" s="29" t="s">
        <v>255</v>
      </c>
      <c r="U135" s="45" t="n">
        <f aca="false">IF(J135="BUY",S135-M135,M135-S135)</f>
        <v>-0.229999999999563</v>
      </c>
      <c r="V135" s="46" t="n">
        <v>0</v>
      </c>
      <c r="W135" s="46" t="n">
        <v>0</v>
      </c>
      <c r="X135" s="46" t="n">
        <v>-1.15</v>
      </c>
      <c r="Y135" s="33" t="n">
        <f aca="false">IFERROR(X135/R135,0)</f>
        <v>-0.0228855721393051</v>
      </c>
      <c r="Z135" s="29" t="str">
        <f aca="false">IF(X135&gt;0,"Win",IF(X135&lt;0,"Loss","Flat"))</f>
        <v>Loss</v>
      </c>
      <c r="AA135" s="29" t="n">
        <f aca="false">ROUND((C135-B135)*1440,1)</f>
        <v>6.8</v>
      </c>
      <c r="AB135" s="29" t="str">
        <f aca="false">IF(AA135&lt;1,"a) &lt;1 min",IF(AA135&lt;10,"b) 1-10 min",IF(AA135&lt;60,"c) 10-60 min",IF(AA135&lt;240,"d) 1-4 h","e) 4 h+"))))</f>
        <v>b) 1-10 min</v>
      </c>
      <c r="AC135" s="29" t="str">
        <f aca="false">IF(P135&lt;10,"a) &lt;10",IF(P135&lt;20,"b) 10-20",IF(P135&lt;40,"c) 20-40",IF(P135&lt;80,"d) 40-80","e) 80+"))))</f>
        <v>b) 10-20</v>
      </c>
      <c r="AD135" s="31" t="n">
        <f aca="false">Summary!$C$5+SUM(X$2:X135)</f>
        <v>11958.33</v>
      </c>
      <c r="AE135" s="31" t="n">
        <f aca="false">MAX(AE134,AD135)</f>
        <v>12292.03</v>
      </c>
      <c r="AF135" s="31" t="n">
        <f aca="false">AE135-AD135</f>
        <v>333.700000000001</v>
      </c>
      <c r="AG135" s="30" t="n">
        <f aca="false">IFERROR(AF135/AE135,0)</f>
        <v>0.0271476721094889</v>
      </c>
    </row>
    <row r="136" customFormat="false" ht="15" hidden="false" customHeight="false" outlineLevel="0" collapsed="false">
      <c r="A136" s="29" t="n">
        <v>135</v>
      </c>
      <c r="B136" s="44" t="n">
        <v>44834.94375</v>
      </c>
      <c r="C136" s="44" t="n">
        <v>44834.9440277778</v>
      </c>
      <c r="D136" s="43" t="n">
        <f aca="false">INT(C136)</f>
        <v>44834</v>
      </c>
      <c r="E136" s="43" t="n">
        <f aca="false">D136-WEEKDAY(D136,3)</f>
        <v>44830</v>
      </c>
      <c r="F136" s="29" t="s">
        <v>149</v>
      </c>
      <c r="G136" s="29" t="n">
        <v>2022</v>
      </c>
      <c r="H136" s="29" t="s">
        <v>254</v>
      </c>
      <c r="I136" s="29" t="n">
        <v>22</v>
      </c>
      <c r="J136" s="29" t="s">
        <v>250</v>
      </c>
      <c r="K136" s="29" t="s">
        <v>251</v>
      </c>
      <c r="L136" s="29" t="n">
        <v>0.05</v>
      </c>
      <c r="M136" s="32" t="n">
        <v>11028.01</v>
      </c>
      <c r="N136" s="32" t="n">
        <v>11040.99</v>
      </c>
      <c r="O136" s="32" t="n">
        <v>10996.38</v>
      </c>
      <c r="P136" s="45" t="n">
        <f aca="false">ABS(M136-N136)</f>
        <v>12.9799999999996</v>
      </c>
      <c r="Q136" s="45" t="n">
        <f aca="false">IF(O136="","",ABS(O136-M136))</f>
        <v>31.630000000001</v>
      </c>
      <c r="R136" s="31" t="n">
        <f aca="false">P136*L136*Summary!$C$6</f>
        <v>64.8999999999978</v>
      </c>
      <c r="S136" s="32" t="n">
        <v>11041.59</v>
      </c>
      <c r="T136" s="29" t="s">
        <v>249</v>
      </c>
      <c r="U136" s="45" t="n">
        <f aca="false">IF(J136="BUY",S136-M136,M136-S136)</f>
        <v>-13.5799999999999</v>
      </c>
      <c r="V136" s="46" t="n">
        <v>0</v>
      </c>
      <c r="W136" s="46" t="n">
        <v>0</v>
      </c>
      <c r="X136" s="46" t="n">
        <v>-67.9</v>
      </c>
      <c r="Y136" s="33" t="n">
        <f aca="false">IFERROR(X136/R136,0)</f>
        <v>-1.04622496147923</v>
      </c>
      <c r="Z136" s="29" t="str">
        <f aca="false">IF(X136&gt;0,"Win",IF(X136&lt;0,"Loss","Flat"))</f>
        <v>Loss</v>
      </c>
      <c r="AA136" s="29" t="n">
        <f aca="false">ROUND((C136-B136)*1440,1)</f>
        <v>0.4</v>
      </c>
      <c r="AB136" s="29" t="str">
        <f aca="false">IF(AA136&lt;1,"a) &lt;1 min",IF(AA136&lt;10,"b) 1-10 min",IF(AA136&lt;60,"c) 10-60 min",IF(AA136&lt;240,"d) 1-4 h","e) 4 h+"))))</f>
        <v>a) &lt;1 min</v>
      </c>
      <c r="AC136" s="29" t="str">
        <f aca="false">IF(P136&lt;10,"a) &lt;10",IF(P136&lt;20,"b) 10-20",IF(P136&lt;40,"c) 20-40",IF(P136&lt;80,"d) 40-80","e) 80+"))))</f>
        <v>b) 10-20</v>
      </c>
      <c r="AD136" s="31" t="n">
        <f aca="false">Summary!$C$5+SUM(X$2:X136)</f>
        <v>11890.43</v>
      </c>
      <c r="AE136" s="31" t="n">
        <f aca="false">MAX(AE135,AD136)</f>
        <v>12292.03</v>
      </c>
      <c r="AF136" s="31" t="n">
        <f aca="false">AE136-AD136</f>
        <v>401.6</v>
      </c>
      <c r="AG136" s="30" t="n">
        <f aca="false">IFERROR(AF136/AE136,0)</f>
        <v>0.0326715766232266</v>
      </c>
    </row>
    <row r="137" customFormat="false" ht="15" hidden="false" customHeight="false" outlineLevel="0" collapsed="false">
      <c r="A137" s="29" t="n">
        <v>136</v>
      </c>
      <c r="B137" s="44" t="n">
        <v>44837.0423611111</v>
      </c>
      <c r="C137" s="44" t="n">
        <v>44837.0504861111</v>
      </c>
      <c r="D137" s="43" t="n">
        <f aca="false">INT(C137)</f>
        <v>44837</v>
      </c>
      <c r="E137" s="43" t="n">
        <f aca="false">D137-WEEKDAY(D137,3)</f>
        <v>44837</v>
      </c>
      <c r="F137" s="29" t="s">
        <v>150</v>
      </c>
      <c r="G137" s="29" t="n">
        <v>2022</v>
      </c>
      <c r="H137" s="29" t="s">
        <v>245</v>
      </c>
      <c r="I137" s="29" t="n">
        <v>1</v>
      </c>
      <c r="J137" s="29" t="s">
        <v>250</v>
      </c>
      <c r="K137" s="29" t="s">
        <v>251</v>
      </c>
      <c r="L137" s="29" t="n">
        <v>0.05</v>
      </c>
      <c r="M137" s="32" t="n">
        <v>10938.54</v>
      </c>
      <c r="N137" s="32" t="n">
        <v>10960.53</v>
      </c>
      <c r="O137" s="32" t="n">
        <v>10884.65</v>
      </c>
      <c r="P137" s="45" t="n">
        <f aca="false">ABS(M137-N137)</f>
        <v>21.9899999999998</v>
      </c>
      <c r="Q137" s="45" t="n">
        <f aca="false">IF(O137="","",ABS(O137-M137))</f>
        <v>53.8900000000012</v>
      </c>
      <c r="R137" s="31" t="n">
        <f aca="false">P137*L137*Summary!$C$6</f>
        <v>109.949999999999</v>
      </c>
      <c r="S137" s="32" t="n">
        <v>10960.59</v>
      </c>
      <c r="T137" s="29" t="s">
        <v>249</v>
      </c>
      <c r="U137" s="45" t="n">
        <f aca="false">IF(J137="BUY",S137-M137,M137-S137)</f>
        <v>-22.0499999999993</v>
      </c>
      <c r="V137" s="46" t="n">
        <v>0</v>
      </c>
      <c r="W137" s="46" t="n">
        <v>0</v>
      </c>
      <c r="X137" s="46" t="n">
        <v>-110.25</v>
      </c>
      <c r="Y137" s="33" t="n">
        <f aca="false">IFERROR(X137/R137,0)</f>
        <v>-1.00272851296045</v>
      </c>
      <c r="Z137" s="29" t="str">
        <f aca="false">IF(X137&gt;0,"Win",IF(X137&lt;0,"Loss","Flat"))</f>
        <v>Loss</v>
      </c>
      <c r="AA137" s="29" t="n">
        <f aca="false">ROUND((C137-B137)*1440,1)</f>
        <v>11.7</v>
      </c>
      <c r="AB137" s="29" t="str">
        <f aca="false">IF(AA137&lt;1,"a) &lt;1 min",IF(AA137&lt;10,"b) 1-10 min",IF(AA137&lt;60,"c) 10-60 min",IF(AA137&lt;240,"d) 1-4 h","e) 4 h+"))))</f>
        <v>c) 10-60 min</v>
      </c>
      <c r="AC137" s="29" t="str">
        <f aca="false">IF(P137&lt;10,"a) &lt;10",IF(P137&lt;20,"b) 10-20",IF(P137&lt;40,"c) 20-40",IF(P137&lt;80,"d) 40-80","e) 80+"))))</f>
        <v>c) 20-40</v>
      </c>
      <c r="AD137" s="31" t="n">
        <f aca="false">Summary!$C$5+SUM(X$2:X137)</f>
        <v>11780.18</v>
      </c>
      <c r="AE137" s="31" t="n">
        <f aca="false">MAX(AE136,AD137)</f>
        <v>12292.03</v>
      </c>
      <c r="AF137" s="31" t="n">
        <f aca="false">AE137-AD137</f>
        <v>511.85</v>
      </c>
      <c r="AG137" s="30" t="n">
        <f aca="false">IFERROR(AF137/AE137,0)</f>
        <v>0.0416408030243988</v>
      </c>
    </row>
    <row r="138" customFormat="false" ht="15" hidden="false" customHeight="false" outlineLevel="0" collapsed="false">
      <c r="A138" s="29" t="n">
        <v>137</v>
      </c>
      <c r="B138" s="44" t="n">
        <v>44837.9159722222</v>
      </c>
      <c r="C138" s="44" t="n">
        <v>44837.9163425926</v>
      </c>
      <c r="D138" s="43" t="n">
        <f aca="false">INT(C138)</f>
        <v>44837</v>
      </c>
      <c r="E138" s="43" t="n">
        <f aca="false">D138-WEEKDAY(D138,3)</f>
        <v>44837</v>
      </c>
      <c r="F138" s="29" t="s">
        <v>150</v>
      </c>
      <c r="G138" s="29" t="n">
        <v>2022</v>
      </c>
      <c r="H138" s="29" t="s">
        <v>245</v>
      </c>
      <c r="I138" s="29" t="n">
        <v>21</v>
      </c>
      <c r="J138" s="29" t="s">
        <v>246</v>
      </c>
      <c r="K138" s="29" t="s">
        <v>247</v>
      </c>
      <c r="L138" s="29" t="n">
        <v>0.05</v>
      </c>
      <c r="M138" s="32" t="n">
        <v>11297.73</v>
      </c>
      <c r="N138" s="32" t="n">
        <v>11291.5</v>
      </c>
      <c r="O138" s="32" t="n">
        <v>11313.14</v>
      </c>
      <c r="P138" s="45" t="n">
        <f aca="false">ABS(M138-N138)</f>
        <v>6.22999999999956</v>
      </c>
      <c r="Q138" s="45" t="n">
        <f aca="false">IF(O138="","",ABS(O138-M138))</f>
        <v>15.4099999999999</v>
      </c>
      <c r="R138" s="31" t="n">
        <f aca="false">P138*L138*Summary!$C$6</f>
        <v>31.1499999999978</v>
      </c>
      <c r="S138" s="32" t="n">
        <v>11291.24</v>
      </c>
      <c r="T138" s="29" t="s">
        <v>249</v>
      </c>
      <c r="U138" s="45" t="n">
        <f aca="false">IF(J138="BUY",S138-M138,M138-S138)</f>
        <v>-6.48999999999978</v>
      </c>
      <c r="V138" s="46" t="n">
        <v>0</v>
      </c>
      <c r="W138" s="46" t="n">
        <v>0</v>
      </c>
      <c r="X138" s="46" t="n">
        <v>-32.45</v>
      </c>
      <c r="Y138" s="33" t="n">
        <f aca="false">IFERROR(X138/R138,0)</f>
        <v>-1.0417335473516</v>
      </c>
      <c r="Z138" s="29" t="str">
        <f aca="false">IF(X138&gt;0,"Win",IF(X138&lt;0,"Loss","Flat"))</f>
        <v>Loss</v>
      </c>
      <c r="AA138" s="29" t="n">
        <f aca="false">ROUND((C138-B138)*1440,1)</f>
        <v>0.5</v>
      </c>
      <c r="AB138" s="29" t="str">
        <f aca="false">IF(AA138&lt;1,"a) &lt;1 min",IF(AA138&lt;10,"b) 1-10 min",IF(AA138&lt;60,"c) 10-60 min",IF(AA138&lt;240,"d) 1-4 h","e) 4 h+"))))</f>
        <v>a) &lt;1 min</v>
      </c>
      <c r="AC138" s="29" t="str">
        <f aca="false">IF(P138&lt;10,"a) &lt;10",IF(P138&lt;20,"b) 10-20",IF(P138&lt;40,"c) 20-40",IF(P138&lt;80,"d) 40-80","e) 80+"))))</f>
        <v>a) &lt;10</v>
      </c>
      <c r="AD138" s="31" t="n">
        <f aca="false">Summary!$C$5+SUM(X$2:X138)</f>
        <v>11747.73</v>
      </c>
      <c r="AE138" s="31" t="n">
        <f aca="false">MAX(AE137,AD138)</f>
        <v>12292.03</v>
      </c>
      <c r="AF138" s="31" t="n">
        <f aca="false">AE138-AD138</f>
        <v>544.300000000001</v>
      </c>
      <c r="AG138" s="30" t="n">
        <f aca="false">IFERROR(AF138/AE138,0)</f>
        <v>0.0442807249900953</v>
      </c>
    </row>
    <row r="139" customFormat="false" ht="15" hidden="false" customHeight="false" outlineLevel="0" collapsed="false">
      <c r="A139" s="29" t="n">
        <v>138</v>
      </c>
      <c r="B139" s="44" t="n">
        <v>44838.1354166667</v>
      </c>
      <c r="C139" s="44" t="n">
        <v>44838.1360416667</v>
      </c>
      <c r="D139" s="43" t="n">
        <f aca="false">INT(C139)</f>
        <v>44838</v>
      </c>
      <c r="E139" s="43" t="n">
        <f aca="false">D139-WEEKDAY(D139,3)</f>
        <v>44837</v>
      </c>
      <c r="F139" s="29" t="s">
        <v>150</v>
      </c>
      <c r="G139" s="29" t="n">
        <v>2022</v>
      </c>
      <c r="H139" s="29" t="s">
        <v>248</v>
      </c>
      <c r="I139" s="29" t="n">
        <v>3</v>
      </c>
      <c r="J139" s="29" t="s">
        <v>246</v>
      </c>
      <c r="K139" s="29" t="s">
        <v>247</v>
      </c>
      <c r="L139" s="29" t="n">
        <v>0.05</v>
      </c>
      <c r="M139" s="32" t="n">
        <v>11307.61</v>
      </c>
      <c r="N139" s="32" t="n">
        <v>11301.42</v>
      </c>
      <c r="O139" s="32" t="n">
        <v>11322.77</v>
      </c>
      <c r="P139" s="45" t="n">
        <f aca="false">ABS(M139-N139)</f>
        <v>6.19000000000051</v>
      </c>
      <c r="Q139" s="45" t="n">
        <f aca="false">IF(O139="","",ABS(O139-M139))</f>
        <v>15.1599999999999</v>
      </c>
      <c r="R139" s="31" t="n">
        <f aca="false">P139*L139*Summary!$C$6</f>
        <v>30.9500000000025</v>
      </c>
      <c r="S139" s="32" t="n">
        <v>11322.9</v>
      </c>
      <c r="T139" s="29" t="s">
        <v>227</v>
      </c>
      <c r="U139" s="45" t="n">
        <f aca="false">IF(J139="BUY",S139-M139,M139-S139)</f>
        <v>15.2899999999991</v>
      </c>
      <c r="V139" s="46" t="n">
        <v>0</v>
      </c>
      <c r="W139" s="46" t="n">
        <v>0</v>
      </c>
      <c r="X139" s="46" t="n">
        <v>76.45</v>
      </c>
      <c r="Y139" s="33" t="n">
        <f aca="false">IFERROR(X139/R139,0)</f>
        <v>2.47011308562177</v>
      </c>
      <c r="Z139" s="29" t="str">
        <f aca="false">IF(X139&gt;0,"Win",IF(X139&lt;0,"Loss","Flat"))</f>
        <v>Win</v>
      </c>
      <c r="AA139" s="29" t="n">
        <f aca="false">ROUND((C139-B139)*1440,1)</f>
        <v>0.9</v>
      </c>
      <c r="AB139" s="29" t="str">
        <f aca="false">IF(AA139&lt;1,"a) &lt;1 min",IF(AA139&lt;10,"b) 1-10 min",IF(AA139&lt;60,"c) 10-60 min",IF(AA139&lt;240,"d) 1-4 h","e) 4 h+"))))</f>
        <v>a) &lt;1 min</v>
      </c>
      <c r="AC139" s="29" t="str">
        <f aca="false">IF(P139&lt;10,"a) &lt;10",IF(P139&lt;20,"b) 10-20",IF(P139&lt;40,"c) 20-40",IF(P139&lt;80,"d) 40-80","e) 80+"))))</f>
        <v>a) &lt;10</v>
      </c>
      <c r="AD139" s="31" t="n">
        <f aca="false">Summary!$C$5+SUM(X$2:X139)</f>
        <v>11824.18</v>
      </c>
      <c r="AE139" s="31" t="n">
        <f aca="false">MAX(AE138,AD139)</f>
        <v>12292.03</v>
      </c>
      <c r="AF139" s="31" t="n">
        <f aca="false">AE139-AD139</f>
        <v>467.85</v>
      </c>
      <c r="AG139" s="30" t="n">
        <f aca="false">IFERROR(AF139/AE139,0)</f>
        <v>0.0380612478166747</v>
      </c>
    </row>
    <row r="140" customFormat="false" ht="15" hidden="false" customHeight="false" outlineLevel="0" collapsed="false">
      <c r="A140" s="29" t="n">
        <v>139</v>
      </c>
      <c r="B140" s="44" t="n">
        <v>44839.9201388889</v>
      </c>
      <c r="C140" s="44" t="n">
        <v>44839.9223032407</v>
      </c>
      <c r="D140" s="43" t="n">
        <f aca="false">INT(C140)</f>
        <v>44839</v>
      </c>
      <c r="E140" s="43" t="n">
        <f aca="false">D140-WEEKDAY(D140,3)</f>
        <v>44837</v>
      </c>
      <c r="F140" s="29" t="s">
        <v>150</v>
      </c>
      <c r="G140" s="29" t="n">
        <v>2022</v>
      </c>
      <c r="H140" s="29" t="s">
        <v>252</v>
      </c>
      <c r="I140" s="29" t="n">
        <v>22</v>
      </c>
      <c r="J140" s="29" t="s">
        <v>246</v>
      </c>
      <c r="K140" s="29" t="s">
        <v>247</v>
      </c>
      <c r="L140" s="29" t="n">
        <v>0.05</v>
      </c>
      <c r="M140" s="32" t="n">
        <v>11610.5</v>
      </c>
      <c r="N140" s="32" t="n">
        <v>11597.16</v>
      </c>
      <c r="O140" s="32" t="n">
        <v>11640.53</v>
      </c>
      <c r="P140" s="45" t="n">
        <f aca="false">ABS(M140-N140)</f>
        <v>13.3400000000001</v>
      </c>
      <c r="Q140" s="45" t="n">
        <f aca="false">IF(O140="","",ABS(O140-M140))</f>
        <v>30.0300000000007</v>
      </c>
      <c r="R140" s="31" t="n">
        <f aca="false">P140*L140*Summary!$C$6</f>
        <v>66.7000000000007</v>
      </c>
      <c r="S140" s="32" t="n">
        <v>11597.02</v>
      </c>
      <c r="T140" s="29" t="s">
        <v>249</v>
      </c>
      <c r="U140" s="45" t="n">
        <f aca="false">IF(J140="BUY",S140-M140,M140-S140)</f>
        <v>-13.4799999999996</v>
      </c>
      <c r="V140" s="46" t="n">
        <v>0</v>
      </c>
      <c r="W140" s="46" t="n">
        <v>0</v>
      </c>
      <c r="X140" s="46" t="n">
        <v>-67.4</v>
      </c>
      <c r="Y140" s="33" t="n">
        <f aca="false">IFERROR(X140/R140,0)</f>
        <v>-1.01049475262368</v>
      </c>
      <c r="Z140" s="29" t="str">
        <f aca="false">IF(X140&gt;0,"Win",IF(X140&lt;0,"Loss","Flat"))</f>
        <v>Loss</v>
      </c>
      <c r="AA140" s="29" t="n">
        <f aca="false">ROUND((C140-B140)*1440,1)</f>
        <v>3.1</v>
      </c>
      <c r="AB140" s="29" t="str">
        <f aca="false">IF(AA140&lt;1,"a) &lt;1 min",IF(AA140&lt;10,"b) 1-10 min",IF(AA140&lt;60,"c) 10-60 min",IF(AA140&lt;240,"d) 1-4 h","e) 4 h+"))))</f>
        <v>b) 1-10 min</v>
      </c>
      <c r="AC140" s="29" t="str">
        <f aca="false">IF(P140&lt;10,"a) &lt;10",IF(P140&lt;20,"b) 10-20",IF(P140&lt;40,"c) 20-40",IF(P140&lt;80,"d) 40-80","e) 80+"))))</f>
        <v>b) 10-20</v>
      </c>
      <c r="AD140" s="31" t="n">
        <f aca="false">Summary!$C$5+SUM(X$2:X140)</f>
        <v>11756.78</v>
      </c>
      <c r="AE140" s="31" t="n">
        <f aca="false">MAX(AE139,AD140)</f>
        <v>12292.03</v>
      </c>
      <c r="AF140" s="31" t="n">
        <f aca="false">AE140-AD140</f>
        <v>535.25</v>
      </c>
      <c r="AG140" s="30" t="n">
        <f aca="false">IFERROR(AF140/AE140,0)</f>
        <v>0.0435444755666883</v>
      </c>
    </row>
    <row r="141" customFormat="false" ht="15" hidden="false" customHeight="false" outlineLevel="0" collapsed="false">
      <c r="A141" s="29" t="n">
        <v>140</v>
      </c>
      <c r="B141" s="44" t="n">
        <v>44840.1340277778</v>
      </c>
      <c r="C141" s="44" t="n">
        <v>44840.1418865741</v>
      </c>
      <c r="D141" s="43" t="n">
        <f aca="false">INT(C141)</f>
        <v>44840</v>
      </c>
      <c r="E141" s="43" t="n">
        <f aca="false">D141-WEEKDAY(D141,3)</f>
        <v>44837</v>
      </c>
      <c r="F141" s="29" t="s">
        <v>150</v>
      </c>
      <c r="G141" s="29" t="n">
        <v>2022</v>
      </c>
      <c r="H141" s="29" t="s">
        <v>253</v>
      </c>
      <c r="I141" s="29" t="n">
        <v>3</v>
      </c>
      <c r="J141" s="29" t="s">
        <v>246</v>
      </c>
      <c r="K141" s="29" t="s">
        <v>247</v>
      </c>
      <c r="L141" s="29" t="n">
        <v>0.05</v>
      </c>
      <c r="M141" s="32" t="n">
        <v>11656.32</v>
      </c>
      <c r="N141" s="32" t="n">
        <v>11648.18</v>
      </c>
      <c r="O141" s="32" t="n">
        <v>11676.89</v>
      </c>
      <c r="P141" s="45" t="n">
        <f aca="false">ABS(M141-N141)</f>
        <v>8.13999999999942</v>
      </c>
      <c r="Q141" s="45" t="n">
        <f aca="false">IF(O141="","",ABS(O141-M141))</f>
        <v>20.5699999999997</v>
      </c>
      <c r="R141" s="31" t="n">
        <f aca="false">P141*L141*Summary!$C$6</f>
        <v>40.6999999999971</v>
      </c>
      <c r="S141" s="32" t="n">
        <v>11656.26</v>
      </c>
      <c r="T141" s="29" t="s">
        <v>255</v>
      </c>
      <c r="U141" s="45" t="n">
        <f aca="false">IF(J141="BUY",S141-M141,M141-S141)</f>
        <v>-0.0599999999994907</v>
      </c>
      <c r="V141" s="46" t="n">
        <v>0</v>
      </c>
      <c r="W141" s="46" t="n">
        <v>0</v>
      </c>
      <c r="X141" s="46" t="n">
        <v>-0.3</v>
      </c>
      <c r="Y141" s="33" t="n">
        <f aca="false">IFERROR(X141/R141,0)</f>
        <v>-0.0073710073710079</v>
      </c>
      <c r="Z141" s="29" t="str">
        <f aca="false">IF(X141&gt;0,"Win",IF(X141&lt;0,"Loss","Flat"))</f>
        <v>Loss</v>
      </c>
      <c r="AA141" s="29" t="n">
        <f aca="false">ROUND((C141-B141)*1440,1)</f>
        <v>11.3</v>
      </c>
      <c r="AB141" s="29" t="str">
        <f aca="false">IF(AA141&lt;1,"a) &lt;1 min",IF(AA141&lt;10,"b) 1-10 min",IF(AA141&lt;60,"c) 10-60 min",IF(AA141&lt;240,"d) 1-4 h","e) 4 h+"))))</f>
        <v>c) 10-60 min</v>
      </c>
      <c r="AC141" s="29" t="str">
        <f aca="false">IF(P141&lt;10,"a) &lt;10",IF(P141&lt;20,"b) 10-20",IF(P141&lt;40,"c) 20-40",IF(P141&lt;80,"d) 40-80","e) 80+"))))</f>
        <v>a) &lt;10</v>
      </c>
      <c r="AD141" s="31" t="n">
        <f aca="false">Summary!$C$5+SUM(X$2:X141)</f>
        <v>11756.48</v>
      </c>
      <c r="AE141" s="31" t="n">
        <f aca="false">MAX(AE140,AD141)</f>
        <v>12292.03</v>
      </c>
      <c r="AF141" s="31" t="n">
        <f aca="false">AE141-AD141</f>
        <v>535.550000000001</v>
      </c>
      <c r="AG141" s="30" t="n">
        <f aca="false">IFERROR(AF141/AE141,0)</f>
        <v>0.0435688816249229</v>
      </c>
    </row>
    <row r="142" customFormat="false" ht="15" hidden="false" customHeight="false" outlineLevel="0" collapsed="false">
      <c r="A142" s="29" t="n">
        <v>141</v>
      </c>
      <c r="B142" s="44" t="n">
        <v>44841.0423611111</v>
      </c>
      <c r="C142" s="44" t="n">
        <v>44841.0449537037</v>
      </c>
      <c r="D142" s="43" t="n">
        <f aca="false">INT(C142)</f>
        <v>44841</v>
      </c>
      <c r="E142" s="43" t="n">
        <f aca="false">D142-WEEKDAY(D142,3)</f>
        <v>44837</v>
      </c>
      <c r="F142" s="29" t="s">
        <v>150</v>
      </c>
      <c r="G142" s="29" t="n">
        <v>2022</v>
      </c>
      <c r="H142" s="29" t="s">
        <v>254</v>
      </c>
      <c r="I142" s="29" t="n">
        <v>1</v>
      </c>
      <c r="J142" s="29" t="s">
        <v>250</v>
      </c>
      <c r="K142" s="29" t="s">
        <v>251</v>
      </c>
      <c r="L142" s="29" t="n">
        <v>0.05</v>
      </c>
      <c r="M142" s="32" t="n">
        <v>11427.45</v>
      </c>
      <c r="N142" s="32" t="n">
        <v>11444.46</v>
      </c>
      <c r="O142" s="32" t="n">
        <v>11385.92</v>
      </c>
      <c r="P142" s="45" t="n">
        <f aca="false">ABS(M142-N142)</f>
        <v>17.0099999999984</v>
      </c>
      <c r="Q142" s="45" t="n">
        <f aca="false">IF(O142="","",ABS(O142-M142))</f>
        <v>41.5300000000007</v>
      </c>
      <c r="R142" s="31" t="n">
        <f aca="false">P142*L142*Summary!$C$6</f>
        <v>85.049999999992</v>
      </c>
      <c r="S142" s="32" t="n">
        <v>11444.8</v>
      </c>
      <c r="T142" s="29" t="s">
        <v>249</v>
      </c>
      <c r="U142" s="45" t="n">
        <f aca="false">IF(J142="BUY",S142-M142,M142-S142)</f>
        <v>-17.3499999999985</v>
      </c>
      <c r="V142" s="46" t="n">
        <v>0</v>
      </c>
      <c r="W142" s="46" t="n">
        <v>0</v>
      </c>
      <c r="X142" s="46" t="n">
        <v>-86.75</v>
      </c>
      <c r="Y142" s="33" t="n">
        <f aca="false">IFERROR(X142/R142,0)</f>
        <v>-1.01998824221056</v>
      </c>
      <c r="Z142" s="29" t="str">
        <f aca="false">IF(X142&gt;0,"Win",IF(X142&lt;0,"Loss","Flat"))</f>
        <v>Loss</v>
      </c>
      <c r="AA142" s="29" t="n">
        <f aca="false">ROUND((C142-B142)*1440,1)</f>
        <v>3.7</v>
      </c>
      <c r="AB142" s="29" t="str">
        <f aca="false">IF(AA142&lt;1,"a) &lt;1 min",IF(AA142&lt;10,"b) 1-10 min",IF(AA142&lt;60,"c) 10-60 min",IF(AA142&lt;240,"d) 1-4 h","e) 4 h+"))))</f>
        <v>b) 1-10 min</v>
      </c>
      <c r="AC142" s="29" t="str">
        <f aca="false">IF(P142&lt;10,"a) &lt;10",IF(P142&lt;20,"b) 10-20",IF(P142&lt;40,"c) 20-40",IF(P142&lt;80,"d) 40-80","e) 80+"))))</f>
        <v>b) 10-20</v>
      </c>
      <c r="AD142" s="31" t="n">
        <f aca="false">Summary!$C$5+SUM(X$2:X142)</f>
        <v>11669.73</v>
      </c>
      <c r="AE142" s="31" t="n">
        <f aca="false">MAX(AE141,AD142)</f>
        <v>12292.03</v>
      </c>
      <c r="AF142" s="31" t="n">
        <f aca="false">AE142-AD142</f>
        <v>622.300000000001</v>
      </c>
      <c r="AG142" s="30" t="n">
        <f aca="false">IFERROR(AF142/AE142,0)</f>
        <v>0.0506263001310606</v>
      </c>
    </row>
    <row r="143" customFormat="false" ht="15" hidden="false" customHeight="false" outlineLevel="0" collapsed="false">
      <c r="A143" s="29" t="n">
        <v>142</v>
      </c>
      <c r="B143" s="44" t="n">
        <v>44844.04375</v>
      </c>
      <c r="C143" s="44" t="n">
        <v>44844.0904282407</v>
      </c>
      <c r="D143" s="43" t="n">
        <f aca="false">INT(C143)</f>
        <v>44844</v>
      </c>
      <c r="E143" s="43" t="n">
        <f aca="false">D143-WEEKDAY(D143,3)</f>
        <v>44844</v>
      </c>
      <c r="F143" s="29" t="s">
        <v>150</v>
      </c>
      <c r="G143" s="29" t="n">
        <v>2022</v>
      </c>
      <c r="H143" s="29" t="s">
        <v>245</v>
      </c>
      <c r="I143" s="29" t="n">
        <v>1</v>
      </c>
      <c r="J143" s="29" t="s">
        <v>250</v>
      </c>
      <c r="K143" s="29" t="s">
        <v>251</v>
      </c>
      <c r="L143" s="29" t="n">
        <v>0.05</v>
      </c>
      <c r="M143" s="32" t="n">
        <v>10979.79</v>
      </c>
      <c r="N143" s="32" t="n">
        <v>11000.97</v>
      </c>
      <c r="O143" s="32" t="n">
        <v>10927.9</v>
      </c>
      <c r="P143" s="45" t="n">
        <f aca="false">ABS(M143-N143)</f>
        <v>21.1799999999985</v>
      </c>
      <c r="Q143" s="45" t="n">
        <f aca="false">IF(O143="","",ABS(O143-M143))</f>
        <v>51.8900000000012</v>
      </c>
      <c r="R143" s="31" t="n">
        <f aca="false">P143*L143*Summary!$C$6</f>
        <v>105.899999999992</v>
      </c>
      <c r="S143" s="32" t="n">
        <v>10981.21</v>
      </c>
      <c r="T143" s="29" t="s">
        <v>255</v>
      </c>
      <c r="U143" s="45" t="n">
        <f aca="false">IF(J143="BUY",S143-M143,M143-S143)</f>
        <v>-1.41999999999825</v>
      </c>
      <c r="V143" s="46" t="n">
        <v>0</v>
      </c>
      <c r="W143" s="46" t="n">
        <v>0</v>
      </c>
      <c r="X143" s="46" t="n">
        <v>-7.1</v>
      </c>
      <c r="Y143" s="33" t="n">
        <f aca="false">IFERROR(X143/R143,0)</f>
        <v>-0.0670443814919784</v>
      </c>
      <c r="Z143" s="29" t="str">
        <f aca="false">IF(X143&gt;0,"Win",IF(X143&lt;0,"Loss","Flat"))</f>
        <v>Loss</v>
      </c>
      <c r="AA143" s="29" t="n">
        <f aca="false">ROUND((C143-B143)*1440,1)</f>
        <v>67.2</v>
      </c>
      <c r="AB143" s="29" t="str">
        <f aca="false">IF(AA143&lt;1,"a) &lt;1 min",IF(AA143&lt;10,"b) 1-10 min",IF(AA143&lt;60,"c) 10-60 min",IF(AA143&lt;240,"d) 1-4 h","e) 4 h+"))))</f>
        <v>d) 1-4 h</v>
      </c>
      <c r="AC143" s="29" t="str">
        <f aca="false">IF(P143&lt;10,"a) &lt;10",IF(P143&lt;20,"b) 10-20",IF(P143&lt;40,"c) 20-40",IF(P143&lt;80,"d) 40-80","e) 80+"))))</f>
        <v>c) 20-40</v>
      </c>
      <c r="AD143" s="31" t="n">
        <f aca="false">Summary!$C$5+SUM(X$2:X143)</f>
        <v>11662.63</v>
      </c>
      <c r="AE143" s="31" t="n">
        <f aca="false">MAX(AE142,AD143)</f>
        <v>12292.03</v>
      </c>
      <c r="AF143" s="31" t="n">
        <f aca="false">AE143-AD143</f>
        <v>629.400000000002</v>
      </c>
      <c r="AG143" s="30" t="n">
        <f aca="false">IFERROR(AF143/AE143,0)</f>
        <v>0.0512039101759434</v>
      </c>
    </row>
    <row r="144" customFormat="false" ht="15" hidden="false" customHeight="false" outlineLevel="0" collapsed="false">
      <c r="A144" s="29" t="n">
        <v>143</v>
      </c>
      <c r="B144" s="44" t="n">
        <v>44845.4173611111</v>
      </c>
      <c r="C144" s="44" t="n">
        <v>44845.4190509259</v>
      </c>
      <c r="D144" s="43" t="n">
        <f aca="false">INT(C144)</f>
        <v>44845</v>
      </c>
      <c r="E144" s="43" t="n">
        <f aca="false">D144-WEEKDAY(D144,3)</f>
        <v>44844</v>
      </c>
      <c r="F144" s="29" t="s">
        <v>150</v>
      </c>
      <c r="G144" s="29" t="n">
        <v>2022</v>
      </c>
      <c r="H144" s="29" t="s">
        <v>248</v>
      </c>
      <c r="I144" s="29" t="n">
        <v>10</v>
      </c>
      <c r="J144" s="29" t="s">
        <v>250</v>
      </c>
      <c r="K144" s="29" t="s">
        <v>251</v>
      </c>
      <c r="L144" s="29" t="n">
        <v>0.05</v>
      </c>
      <c r="M144" s="32" t="n">
        <v>10814.72</v>
      </c>
      <c r="N144" s="32" t="n">
        <v>10830.23</v>
      </c>
      <c r="O144" s="32" t="n">
        <v>10774.37</v>
      </c>
      <c r="P144" s="45" t="n">
        <f aca="false">ABS(M144-N144)</f>
        <v>15.5100000000002</v>
      </c>
      <c r="Q144" s="45" t="n">
        <f aca="false">IF(O144="","",ABS(O144-M144))</f>
        <v>40.3499999999985</v>
      </c>
      <c r="R144" s="31" t="n">
        <f aca="false">P144*L144*Summary!$C$6</f>
        <v>77.5500000000011</v>
      </c>
      <c r="S144" s="32" t="n">
        <v>10815.26</v>
      </c>
      <c r="T144" s="29" t="s">
        <v>255</v>
      </c>
      <c r="U144" s="45" t="n">
        <f aca="false">IF(J144="BUY",S144-M144,M144-S144)</f>
        <v>-0.540000000000873</v>
      </c>
      <c r="V144" s="46" t="n">
        <v>0</v>
      </c>
      <c r="W144" s="46" t="n">
        <v>0</v>
      </c>
      <c r="X144" s="46" t="n">
        <v>-2.7</v>
      </c>
      <c r="Y144" s="33" t="n">
        <f aca="false">IFERROR(X144/R144,0)</f>
        <v>-0.0348162475822045</v>
      </c>
      <c r="Z144" s="29" t="str">
        <f aca="false">IF(X144&gt;0,"Win",IF(X144&lt;0,"Loss","Flat"))</f>
        <v>Loss</v>
      </c>
      <c r="AA144" s="29" t="n">
        <f aca="false">ROUND((C144-B144)*1440,1)</f>
        <v>2.4</v>
      </c>
      <c r="AB144" s="29" t="str">
        <f aca="false">IF(AA144&lt;1,"a) &lt;1 min",IF(AA144&lt;10,"b) 1-10 min",IF(AA144&lt;60,"c) 10-60 min",IF(AA144&lt;240,"d) 1-4 h","e) 4 h+"))))</f>
        <v>b) 1-10 min</v>
      </c>
      <c r="AC144" s="29" t="str">
        <f aca="false">IF(P144&lt;10,"a) &lt;10",IF(P144&lt;20,"b) 10-20",IF(P144&lt;40,"c) 20-40",IF(P144&lt;80,"d) 40-80","e) 80+"))))</f>
        <v>b) 10-20</v>
      </c>
      <c r="AD144" s="31" t="n">
        <f aca="false">Summary!$C$5+SUM(X$2:X144)</f>
        <v>11659.93</v>
      </c>
      <c r="AE144" s="31" t="n">
        <f aca="false">MAX(AE143,AD144)</f>
        <v>12292.03</v>
      </c>
      <c r="AF144" s="31" t="n">
        <f aca="false">AE144-AD144</f>
        <v>632.1</v>
      </c>
      <c r="AG144" s="30" t="n">
        <f aca="false">IFERROR(AF144/AE144,0)</f>
        <v>0.0514235647000536</v>
      </c>
    </row>
    <row r="145" customFormat="false" ht="15" hidden="false" customHeight="false" outlineLevel="0" collapsed="false">
      <c r="A145" s="29" t="n">
        <v>144</v>
      </c>
      <c r="B145" s="44" t="n">
        <v>44847.6465277778</v>
      </c>
      <c r="C145" s="44" t="n">
        <v>44847.7034027778</v>
      </c>
      <c r="D145" s="43" t="n">
        <f aca="false">INT(C145)</f>
        <v>44847</v>
      </c>
      <c r="E145" s="43" t="n">
        <f aca="false">D145-WEEKDAY(D145,3)</f>
        <v>44844</v>
      </c>
      <c r="F145" s="29" t="s">
        <v>150</v>
      </c>
      <c r="G145" s="29" t="n">
        <v>2022</v>
      </c>
      <c r="H145" s="29" t="s">
        <v>253</v>
      </c>
      <c r="I145" s="29" t="n">
        <v>15</v>
      </c>
      <c r="J145" s="29" t="s">
        <v>250</v>
      </c>
      <c r="K145" s="29" t="s">
        <v>251</v>
      </c>
      <c r="L145" s="29" t="n">
        <v>0.05</v>
      </c>
      <c r="M145" s="32" t="n">
        <v>10497.73</v>
      </c>
      <c r="N145" s="32" t="n">
        <v>10593.41</v>
      </c>
      <c r="O145" s="32" t="n">
        <v>10262.9</v>
      </c>
      <c r="P145" s="45" t="n">
        <f aca="false">ABS(M145-N145)</f>
        <v>95.6800000000003</v>
      </c>
      <c r="Q145" s="45" t="n">
        <f aca="false">IF(O145="","",ABS(O145-M145))</f>
        <v>234.83</v>
      </c>
      <c r="R145" s="31" t="n">
        <f aca="false">P145*L145*Summary!$C$6</f>
        <v>478.400000000002</v>
      </c>
      <c r="S145" s="32" t="n">
        <v>10556.11</v>
      </c>
      <c r="T145" s="29" t="s">
        <v>256</v>
      </c>
      <c r="U145" s="45" t="n">
        <f aca="false">IF(J145="BUY",S145-M145,M145-S145)</f>
        <v>-58.380000000001</v>
      </c>
      <c r="V145" s="46" t="n">
        <v>0</v>
      </c>
      <c r="W145" s="46" t="n">
        <v>0</v>
      </c>
      <c r="X145" s="46" t="n">
        <v>-291.9</v>
      </c>
      <c r="Y145" s="33" t="n">
        <f aca="false">IFERROR(X145/R145,0)</f>
        <v>-0.610158862876252</v>
      </c>
      <c r="Z145" s="29" t="str">
        <f aca="false">IF(X145&gt;0,"Win",IF(X145&lt;0,"Loss","Flat"))</f>
        <v>Loss</v>
      </c>
      <c r="AA145" s="29" t="n">
        <f aca="false">ROUND((C145-B145)*1440,1)</f>
        <v>81.9</v>
      </c>
      <c r="AB145" s="29" t="str">
        <f aca="false">IF(AA145&lt;1,"a) &lt;1 min",IF(AA145&lt;10,"b) 1-10 min",IF(AA145&lt;60,"c) 10-60 min",IF(AA145&lt;240,"d) 1-4 h","e) 4 h+"))))</f>
        <v>d) 1-4 h</v>
      </c>
      <c r="AC145" s="29" t="str">
        <f aca="false">IF(P145&lt;10,"a) &lt;10",IF(P145&lt;20,"b) 10-20",IF(P145&lt;40,"c) 20-40",IF(P145&lt;80,"d) 40-80","e) 80+"))))</f>
        <v>e) 80+</v>
      </c>
      <c r="AD145" s="31" t="n">
        <f aca="false">Summary!$C$5+SUM(X$2:X145)</f>
        <v>11368.03</v>
      </c>
      <c r="AE145" s="31" t="n">
        <f aca="false">MAX(AE144,AD145)</f>
        <v>12292.03</v>
      </c>
      <c r="AF145" s="31" t="n">
        <f aca="false">AE145-AD145</f>
        <v>924</v>
      </c>
      <c r="AG145" s="30" t="n">
        <f aca="false">IFERROR(AF145/AE145,0)</f>
        <v>0.0751706593622046</v>
      </c>
    </row>
    <row r="146" customFormat="false" ht="15" hidden="false" customHeight="false" outlineLevel="0" collapsed="false">
      <c r="A146" s="29" t="n">
        <v>145</v>
      </c>
      <c r="B146" s="44" t="n">
        <v>44848.1986111111</v>
      </c>
      <c r="C146" s="44" t="n">
        <v>44848.199537037</v>
      </c>
      <c r="D146" s="43" t="n">
        <f aca="false">INT(C146)</f>
        <v>44848</v>
      </c>
      <c r="E146" s="43" t="n">
        <f aca="false">D146-WEEKDAY(D146,3)</f>
        <v>44844</v>
      </c>
      <c r="F146" s="29" t="s">
        <v>150</v>
      </c>
      <c r="G146" s="29" t="n">
        <v>2022</v>
      </c>
      <c r="H146" s="29" t="s">
        <v>254</v>
      </c>
      <c r="I146" s="29" t="n">
        <v>4</v>
      </c>
      <c r="J146" s="29" t="s">
        <v>246</v>
      </c>
      <c r="K146" s="29" t="s">
        <v>247</v>
      </c>
      <c r="L146" s="29" t="n">
        <v>0.05</v>
      </c>
      <c r="M146" s="32" t="n">
        <v>11098.81</v>
      </c>
      <c r="N146" s="32" t="n">
        <v>11086.4</v>
      </c>
      <c r="O146" s="32" t="n">
        <v>11128.9</v>
      </c>
      <c r="P146" s="45" t="n">
        <f aca="false">ABS(M146-N146)</f>
        <v>12.4099999999999</v>
      </c>
      <c r="Q146" s="45" t="n">
        <f aca="false">IF(O146="","",ABS(O146-M146))</f>
        <v>30.0900000000001</v>
      </c>
      <c r="R146" s="31" t="n">
        <f aca="false">P146*L146*Summary!$C$6</f>
        <v>62.0499999999993</v>
      </c>
      <c r="S146" s="32" t="n">
        <v>11086.29</v>
      </c>
      <c r="T146" s="29" t="s">
        <v>249</v>
      </c>
      <c r="U146" s="45" t="n">
        <f aca="false">IF(J146="BUY",S146-M146,M146-S146)</f>
        <v>-12.5199999999986</v>
      </c>
      <c r="V146" s="46" t="n">
        <v>0</v>
      </c>
      <c r="W146" s="46" t="n">
        <v>0</v>
      </c>
      <c r="X146" s="46" t="n">
        <v>-62.6</v>
      </c>
      <c r="Y146" s="33" t="n">
        <f aca="false">IFERROR(X146/R146,0)</f>
        <v>-1.00886381950041</v>
      </c>
      <c r="Z146" s="29" t="str">
        <f aca="false">IF(X146&gt;0,"Win",IF(X146&lt;0,"Loss","Flat"))</f>
        <v>Loss</v>
      </c>
      <c r="AA146" s="29" t="n">
        <f aca="false">ROUND((C146-B146)*1440,1)</f>
        <v>1.3</v>
      </c>
      <c r="AB146" s="29" t="str">
        <f aca="false">IF(AA146&lt;1,"a) &lt;1 min",IF(AA146&lt;10,"b) 1-10 min",IF(AA146&lt;60,"c) 10-60 min",IF(AA146&lt;240,"d) 1-4 h","e) 4 h+"))))</f>
        <v>b) 1-10 min</v>
      </c>
      <c r="AC146" s="29" t="str">
        <f aca="false">IF(P146&lt;10,"a) &lt;10",IF(P146&lt;20,"b) 10-20",IF(P146&lt;40,"c) 20-40",IF(P146&lt;80,"d) 40-80","e) 80+"))))</f>
        <v>b) 10-20</v>
      </c>
      <c r="AD146" s="31" t="n">
        <f aca="false">Summary!$C$5+SUM(X$2:X146)</f>
        <v>11305.43</v>
      </c>
      <c r="AE146" s="31" t="n">
        <f aca="false">MAX(AE145,AD146)</f>
        <v>12292.03</v>
      </c>
      <c r="AF146" s="31" t="n">
        <f aca="false">AE146-AD146</f>
        <v>986.6</v>
      </c>
      <c r="AG146" s="30" t="n">
        <f aca="false">IFERROR(AF146/AE146,0)</f>
        <v>0.0802633901804666</v>
      </c>
    </row>
    <row r="147" customFormat="false" ht="15" hidden="false" customHeight="false" outlineLevel="0" collapsed="false">
      <c r="A147" s="29" t="n">
        <v>146</v>
      </c>
      <c r="B147" s="44" t="n">
        <v>44852.0423611111</v>
      </c>
      <c r="C147" s="44" t="n">
        <v>44852.0999884259</v>
      </c>
      <c r="D147" s="43" t="n">
        <f aca="false">INT(C147)</f>
        <v>44852</v>
      </c>
      <c r="E147" s="43" t="n">
        <f aca="false">D147-WEEKDAY(D147,3)</f>
        <v>44851</v>
      </c>
      <c r="F147" s="29" t="s">
        <v>150</v>
      </c>
      <c r="G147" s="29" t="n">
        <v>2022</v>
      </c>
      <c r="H147" s="29" t="s">
        <v>248</v>
      </c>
      <c r="I147" s="29" t="n">
        <v>1</v>
      </c>
      <c r="J147" s="29" t="s">
        <v>246</v>
      </c>
      <c r="K147" s="29" t="s">
        <v>247</v>
      </c>
      <c r="L147" s="29" t="n">
        <v>0.05</v>
      </c>
      <c r="M147" s="32" t="n">
        <v>11116.7</v>
      </c>
      <c r="N147" s="32" t="n">
        <v>11104.36</v>
      </c>
      <c r="O147" s="32" t="n">
        <v>11148.17</v>
      </c>
      <c r="P147" s="45" t="n">
        <f aca="false">ABS(M147-N147)</f>
        <v>12.3400000000001</v>
      </c>
      <c r="Q147" s="45" t="n">
        <f aca="false">IF(O147="","",ABS(O147-M147))</f>
        <v>31.4699999999993</v>
      </c>
      <c r="R147" s="31" t="n">
        <f aca="false">P147*L147*Summary!$C$6</f>
        <v>61.7000000000007</v>
      </c>
      <c r="S147" s="32" t="n">
        <v>11148.19</v>
      </c>
      <c r="T147" s="29" t="s">
        <v>227</v>
      </c>
      <c r="U147" s="45" t="n">
        <f aca="false">IF(J147="BUY",S147-M147,M147-S147)</f>
        <v>31.4899999999998</v>
      </c>
      <c r="V147" s="46" t="n">
        <v>0</v>
      </c>
      <c r="W147" s="46" t="n">
        <v>0</v>
      </c>
      <c r="X147" s="46" t="n">
        <v>157.45</v>
      </c>
      <c r="Y147" s="33" t="n">
        <f aca="false">IFERROR(X147/R147,0)</f>
        <v>2.55186385737436</v>
      </c>
      <c r="Z147" s="29" t="str">
        <f aca="false">IF(X147&gt;0,"Win",IF(X147&lt;0,"Loss","Flat"))</f>
        <v>Win</v>
      </c>
      <c r="AA147" s="29" t="n">
        <f aca="false">ROUND((C147-B147)*1440,1)</f>
        <v>83</v>
      </c>
      <c r="AB147" s="29" t="str">
        <f aca="false">IF(AA147&lt;1,"a) &lt;1 min",IF(AA147&lt;10,"b) 1-10 min",IF(AA147&lt;60,"c) 10-60 min",IF(AA147&lt;240,"d) 1-4 h","e) 4 h+"))))</f>
        <v>d) 1-4 h</v>
      </c>
      <c r="AC147" s="29" t="str">
        <f aca="false">IF(P147&lt;10,"a) &lt;10",IF(P147&lt;20,"b) 10-20",IF(P147&lt;40,"c) 20-40",IF(P147&lt;80,"d) 40-80","e) 80+"))))</f>
        <v>b) 10-20</v>
      </c>
      <c r="AD147" s="31" t="n">
        <f aca="false">Summary!$C$5+SUM(X$2:X147)</f>
        <v>11462.88</v>
      </c>
      <c r="AE147" s="31" t="n">
        <f aca="false">MAX(AE146,AD147)</f>
        <v>12292.03</v>
      </c>
      <c r="AF147" s="31" t="n">
        <f aca="false">AE147-AD147</f>
        <v>829.150000000002</v>
      </c>
      <c r="AG147" s="30" t="n">
        <f aca="false">IFERROR(AF147/AE147,0)</f>
        <v>0.067454277283736</v>
      </c>
    </row>
    <row r="148" customFormat="false" ht="15" hidden="false" customHeight="false" outlineLevel="0" collapsed="false">
      <c r="A148" s="29" t="n">
        <v>147</v>
      </c>
      <c r="B148" s="44" t="n">
        <v>44853.8368055556</v>
      </c>
      <c r="C148" s="44" t="n">
        <v>44853.8473611111</v>
      </c>
      <c r="D148" s="43" t="n">
        <f aca="false">INT(C148)</f>
        <v>44853</v>
      </c>
      <c r="E148" s="43" t="n">
        <f aca="false">D148-WEEKDAY(D148,3)</f>
        <v>44851</v>
      </c>
      <c r="F148" s="29" t="s">
        <v>150</v>
      </c>
      <c r="G148" s="29" t="n">
        <v>2022</v>
      </c>
      <c r="H148" s="29" t="s">
        <v>252</v>
      </c>
      <c r="I148" s="29" t="n">
        <v>20</v>
      </c>
      <c r="J148" s="29" t="s">
        <v>250</v>
      </c>
      <c r="K148" s="29" t="s">
        <v>251</v>
      </c>
      <c r="L148" s="29" t="n">
        <v>0.05</v>
      </c>
      <c r="M148" s="32" t="n">
        <v>11013.86</v>
      </c>
      <c r="N148" s="32" t="n">
        <v>11036.65</v>
      </c>
      <c r="O148" s="32" t="n">
        <v>10963.22</v>
      </c>
      <c r="P148" s="45" t="n">
        <f aca="false">ABS(M148-N148)</f>
        <v>22.7899999999991</v>
      </c>
      <c r="Q148" s="45" t="n">
        <f aca="false">IF(O148="","",ABS(O148-M148))</f>
        <v>50.6400000000012</v>
      </c>
      <c r="R148" s="31" t="n">
        <f aca="false">P148*L148*Summary!$C$6</f>
        <v>113.949999999995</v>
      </c>
      <c r="S148" s="32" t="n">
        <v>11037.4</v>
      </c>
      <c r="T148" s="29" t="s">
        <v>249</v>
      </c>
      <c r="U148" s="45" t="n">
        <f aca="false">IF(J148="BUY",S148-M148,M148-S148)</f>
        <v>-23.5399999999991</v>
      </c>
      <c r="V148" s="46" t="n">
        <v>0</v>
      </c>
      <c r="W148" s="46" t="n">
        <v>0</v>
      </c>
      <c r="X148" s="46" t="n">
        <v>-117.7</v>
      </c>
      <c r="Y148" s="33" t="n">
        <f aca="false">IFERROR(X148/R148,0)</f>
        <v>-1.03290917068894</v>
      </c>
      <c r="Z148" s="29" t="str">
        <f aca="false">IF(X148&gt;0,"Win",IF(X148&lt;0,"Loss","Flat"))</f>
        <v>Loss</v>
      </c>
      <c r="AA148" s="29" t="n">
        <f aca="false">ROUND((C148-B148)*1440,1)</f>
        <v>15.2</v>
      </c>
      <c r="AB148" s="29" t="str">
        <f aca="false">IF(AA148&lt;1,"a) &lt;1 min",IF(AA148&lt;10,"b) 1-10 min",IF(AA148&lt;60,"c) 10-60 min",IF(AA148&lt;240,"d) 1-4 h","e) 4 h+"))))</f>
        <v>c) 10-60 min</v>
      </c>
      <c r="AC148" s="29" t="str">
        <f aca="false">IF(P148&lt;10,"a) &lt;10",IF(P148&lt;20,"b) 10-20",IF(P148&lt;40,"c) 20-40",IF(P148&lt;80,"d) 40-80","e) 80+"))))</f>
        <v>c) 20-40</v>
      </c>
      <c r="AD148" s="31" t="n">
        <f aca="false">Summary!$C$5+SUM(X$2:X148)</f>
        <v>11345.18</v>
      </c>
      <c r="AE148" s="31" t="n">
        <f aca="false">MAX(AE147,AD148)</f>
        <v>12292.03</v>
      </c>
      <c r="AF148" s="31" t="n">
        <f aca="false">AE148-AD148</f>
        <v>946.85</v>
      </c>
      <c r="AG148" s="30" t="n">
        <f aca="false">IFERROR(AF148/AE148,0)</f>
        <v>0.0770295874643977</v>
      </c>
    </row>
    <row r="149" customFormat="false" ht="15" hidden="false" customHeight="false" outlineLevel="0" collapsed="false">
      <c r="A149" s="29" t="n">
        <v>148</v>
      </c>
      <c r="B149" s="44" t="n">
        <v>44854.1555555556</v>
      </c>
      <c r="C149" s="44" t="n">
        <v>44854.1574652778</v>
      </c>
      <c r="D149" s="43" t="n">
        <f aca="false">INT(C149)</f>
        <v>44854</v>
      </c>
      <c r="E149" s="43" t="n">
        <f aca="false">D149-WEEKDAY(D149,3)</f>
        <v>44851</v>
      </c>
      <c r="F149" s="29" t="s">
        <v>150</v>
      </c>
      <c r="G149" s="29" t="n">
        <v>2022</v>
      </c>
      <c r="H149" s="29" t="s">
        <v>253</v>
      </c>
      <c r="I149" s="29" t="n">
        <v>3</v>
      </c>
      <c r="J149" s="29" t="s">
        <v>250</v>
      </c>
      <c r="K149" s="29" t="s">
        <v>251</v>
      </c>
      <c r="L149" s="29" t="n">
        <v>0.05</v>
      </c>
      <c r="M149" s="32" t="n">
        <v>10995.14</v>
      </c>
      <c r="N149" s="32" t="n">
        <v>11007.45</v>
      </c>
      <c r="O149" s="32" t="n">
        <v>10965.44</v>
      </c>
      <c r="P149" s="45" t="n">
        <f aca="false">ABS(M149-N149)</f>
        <v>12.3100000000013</v>
      </c>
      <c r="Q149" s="45" t="n">
        <f aca="false">IF(O149="","",ABS(O149-M149))</f>
        <v>29.6999999999989</v>
      </c>
      <c r="R149" s="31" t="n">
        <f aca="false">P149*L149*Summary!$C$6</f>
        <v>61.5500000000066</v>
      </c>
      <c r="S149" s="32" t="n">
        <v>11008.07</v>
      </c>
      <c r="T149" s="29" t="s">
        <v>249</v>
      </c>
      <c r="U149" s="45" t="n">
        <f aca="false">IF(J149="BUY",S149-M149,M149-S149)</f>
        <v>-12.9300000000003</v>
      </c>
      <c r="V149" s="46" t="n">
        <v>0</v>
      </c>
      <c r="W149" s="46" t="n">
        <v>0</v>
      </c>
      <c r="X149" s="46" t="n">
        <v>-64.65</v>
      </c>
      <c r="Y149" s="33" t="n">
        <f aca="false">IFERROR(X149/R149,0)</f>
        <v>-1.05036555645805</v>
      </c>
      <c r="Z149" s="29" t="str">
        <f aca="false">IF(X149&gt;0,"Win",IF(X149&lt;0,"Loss","Flat"))</f>
        <v>Loss</v>
      </c>
      <c r="AA149" s="29" t="n">
        <f aca="false">ROUND((C149-B149)*1440,1)</f>
        <v>2.8</v>
      </c>
      <c r="AB149" s="29" t="str">
        <f aca="false">IF(AA149&lt;1,"a) &lt;1 min",IF(AA149&lt;10,"b) 1-10 min",IF(AA149&lt;60,"c) 10-60 min",IF(AA149&lt;240,"d) 1-4 h","e) 4 h+"))))</f>
        <v>b) 1-10 min</v>
      </c>
      <c r="AC149" s="29" t="str">
        <f aca="false">IF(P149&lt;10,"a) &lt;10",IF(P149&lt;20,"b) 10-20",IF(P149&lt;40,"c) 20-40",IF(P149&lt;80,"d) 40-80","e) 80+"))))</f>
        <v>b) 10-20</v>
      </c>
      <c r="AD149" s="31" t="n">
        <f aca="false">Summary!$C$5+SUM(X$2:X149)</f>
        <v>11280.53</v>
      </c>
      <c r="AE149" s="31" t="n">
        <f aca="false">MAX(AE148,AD149)</f>
        <v>12292.03</v>
      </c>
      <c r="AF149" s="31" t="n">
        <f aca="false">AE149-AD149</f>
        <v>1011.5</v>
      </c>
      <c r="AG149" s="30" t="n">
        <f aca="false">IFERROR(AF149/AE149,0)</f>
        <v>0.0822890930139285</v>
      </c>
    </row>
    <row r="150" customFormat="false" ht="15" hidden="false" customHeight="false" outlineLevel="0" collapsed="false">
      <c r="A150" s="29" t="n">
        <v>149</v>
      </c>
      <c r="B150" s="44" t="n">
        <v>44855.0881944444</v>
      </c>
      <c r="C150" s="44" t="n">
        <v>44855.0916203704</v>
      </c>
      <c r="D150" s="43" t="n">
        <f aca="false">INT(C150)</f>
        <v>44855</v>
      </c>
      <c r="E150" s="43" t="n">
        <f aca="false">D150-WEEKDAY(D150,3)</f>
        <v>44851</v>
      </c>
      <c r="F150" s="29" t="s">
        <v>150</v>
      </c>
      <c r="G150" s="29" t="n">
        <v>2022</v>
      </c>
      <c r="H150" s="29" t="s">
        <v>254</v>
      </c>
      <c r="I150" s="29" t="n">
        <v>2</v>
      </c>
      <c r="J150" s="29" t="s">
        <v>250</v>
      </c>
      <c r="K150" s="29" t="s">
        <v>251</v>
      </c>
      <c r="L150" s="29" t="n">
        <v>0.05</v>
      </c>
      <c r="M150" s="32" t="n">
        <v>10955.15</v>
      </c>
      <c r="N150" s="32" t="n">
        <v>10960.82</v>
      </c>
      <c r="O150" s="32" t="n">
        <v>10942.09</v>
      </c>
      <c r="P150" s="45" t="n">
        <f aca="false">ABS(M150-N150)</f>
        <v>5.67000000000007</v>
      </c>
      <c r="Q150" s="45" t="n">
        <f aca="false">IF(O150="","",ABS(O150-M150))</f>
        <v>13.0599999999995</v>
      </c>
      <c r="R150" s="31" t="n">
        <f aca="false">P150*L150*Summary!$C$6</f>
        <v>28.3500000000004</v>
      </c>
      <c r="S150" s="32" t="n">
        <v>10955.4</v>
      </c>
      <c r="T150" s="29" t="s">
        <v>255</v>
      </c>
      <c r="U150" s="45" t="n">
        <f aca="false">IF(J150="BUY",S150-M150,M150-S150)</f>
        <v>-0.25</v>
      </c>
      <c r="V150" s="46" t="n">
        <v>0</v>
      </c>
      <c r="W150" s="46" t="n">
        <v>0</v>
      </c>
      <c r="X150" s="46" t="n">
        <v>-1.25</v>
      </c>
      <c r="Y150" s="33" t="n">
        <f aca="false">IFERROR(X150/R150,0)</f>
        <v>-0.0440917107583769</v>
      </c>
      <c r="Z150" s="29" t="str">
        <f aca="false">IF(X150&gt;0,"Win",IF(X150&lt;0,"Loss","Flat"))</f>
        <v>Loss</v>
      </c>
      <c r="AA150" s="29" t="n">
        <f aca="false">ROUND((C150-B150)*1440,1)</f>
        <v>4.9</v>
      </c>
      <c r="AB150" s="29" t="str">
        <f aca="false">IF(AA150&lt;1,"a) &lt;1 min",IF(AA150&lt;10,"b) 1-10 min",IF(AA150&lt;60,"c) 10-60 min",IF(AA150&lt;240,"d) 1-4 h","e) 4 h+"))))</f>
        <v>b) 1-10 min</v>
      </c>
      <c r="AC150" s="29" t="str">
        <f aca="false">IF(P150&lt;10,"a) &lt;10",IF(P150&lt;20,"b) 10-20",IF(P150&lt;40,"c) 20-40",IF(P150&lt;80,"d) 40-80","e) 80+"))))</f>
        <v>a) &lt;10</v>
      </c>
      <c r="AD150" s="31" t="n">
        <f aca="false">Summary!$C$5+SUM(X$2:X150)</f>
        <v>11279.28</v>
      </c>
      <c r="AE150" s="31" t="n">
        <f aca="false">MAX(AE149,AD150)</f>
        <v>12292.03</v>
      </c>
      <c r="AF150" s="31" t="n">
        <f aca="false">AE150-AD150</f>
        <v>1012.75</v>
      </c>
      <c r="AG150" s="30" t="n">
        <f aca="false">IFERROR(AF150/AE150,0)</f>
        <v>0.0823907849232389</v>
      </c>
    </row>
    <row r="151" customFormat="false" ht="15" hidden="false" customHeight="false" outlineLevel="0" collapsed="false">
      <c r="A151" s="29" t="n">
        <v>150</v>
      </c>
      <c r="B151" s="44" t="n">
        <v>44855.9263888889</v>
      </c>
      <c r="C151" s="44" t="n">
        <v>44855.9295717593</v>
      </c>
      <c r="D151" s="43" t="n">
        <f aca="false">INT(C151)</f>
        <v>44855</v>
      </c>
      <c r="E151" s="43" t="n">
        <f aca="false">D151-WEEKDAY(D151,3)</f>
        <v>44851</v>
      </c>
      <c r="F151" s="29" t="s">
        <v>150</v>
      </c>
      <c r="G151" s="29" t="n">
        <v>2022</v>
      </c>
      <c r="H151" s="29" t="s">
        <v>254</v>
      </c>
      <c r="I151" s="29" t="n">
        <v>22</v>
      </c>
      <c r="J151" s="29" t="s">
        <v>246</v>
      </c>
      <c r="K151" s="29" t="s">
        <v>247</v>
      </c>
      <c r="L151" s="29" t="n">
        <v>0.04</v>
      </c>
      <c r="M151" s="32" t="n">
        <v>11282.3</v>
      </c>
      <c r="N151" s="32" t="n">
        <v>11274.42</v>
      </c>
      <c r="O151" s="32" t="n">
        <v>11300.77</v>
      </c>
      <c r="P151" s="45" t="n">
        <f aca="false">ABS(M151-N151)</f>
        <v>7.8799999999992</v>
      </c>
      <c r="Q151" s="45" t="n">
        <f aca="false">IF(O151="","",ABS(O151-M151))</f>
        <v>18.4700000000012</v>
      </c>
      <c r="R151" s="31" t="n">
        <f aca="false">P151*L151*Summary!$C$6</f>
        <v>31.5199999999968</v>
      </c>
      <c r="S151" s="32" t="n">
        <v>11300.99</v>
      </c>
      <c r="T151" s="29" t="s">
        <v>227</v>
      </c>
      <c r="U151" s="45" t="n">
        <f aca="false">IF(J151="BUY",S151-M151,M151-S151)</f>
        <v>18.6900000000005</v>
      </c>
      <c r="V151" s="46" t="n">
        <v>0</v>
      </c>
      <c r="W151" s="46" t="n">
        <v>0</v>
      </c>
      <c r="X151" s="46" t="n">
        <v>74.76</v>
      </c>
      <c r="Y151" s="33" t="n">
        <f aca="false">IFERROR(X151/R151,0)</f>
        <v>2.37182741116775</v>
      </c>
      <c r="Z151" s="29" t="str">
        <f aca="false">IF(X151&gt;0,"Win",IF(X151&lt;0,"Loss","Flat"))</f>
        <v>Win</v>
      </c>
      <c r="AA151" s="29" t="n">
        <f aca="false">ROUND((C151-B151)*1440,1)</f>
        <v>4.6</v>
      </c>
      <c r="AB151" s="29" t="str">
        <f aca="false">IF(AA151&lt;1,"a) &lt;1 min",IF(AA151&lt;10,"b) 1-10 min",IF(AA151&lt;60,"c) 10-60 min",IF(AA151&lt;240,"d) 1-4 h","e) 4 h+"))))</f>
        <v>b) 1-10 min</v>
      </c>
      <c r="AC151" s="29" t="str">
        <f aca="false">IF(P151&lt;10,"a) &lt;10",IF(P151&lt;20,"b) 10-20",IF(P151&lt;40,"c) 20-40",IF(P151&lt;80,"d) 40-80","e) 80+"))))</f>
        <v>a) &lt;10</v>
      </c>
      <c r="AD151" s="31" t="n">
        <f aca="false">Summary!$C$5+SUM(X$2:X151)</f>
        <v>11354.04</v>
      </c>
      <c r="AE151" s="31" t="n">
        <f aca="false">MAX(AE150,AD151)</f>
        <v>12292.03</v>
      </c>
      <c r="AF151" s="31" t="n">
        <f aca="false">AE151-AD151</f>
        <v>937.99</v>
      </c>
      <c r="AG151" s="30" t="n">
        <f aca="false">IFERROR(AF151/AE151,0)</f>
        <v>0.0763087952112059</v>
      </c>
    </row>
    <row r="152" customFormat="false" ht="15" hidden="false" customHeight="false" outlineLevel="0" collapsed="false">
      <c r="A152" s="29" t="n">
        <v>151</v>
      </c>
      <c r="B152" s="44" t="n">
        <v>44858.0423611111</v>
      </c>
      <c r="C152" s="44" t="n">
        <v>44858.0458333333</v>
      </c>
      <c r="D152" s="43" t="n">
        <f aca="false">INT(C152)</f>
        <v>44858</v>
      </c>
      <c r="E152" s="43" t="n">
        <f aca="false">D152-WEEKDAY(D152,3)</f>
        <v>44858</v>
      </c>
      <c r="F152" s="29" t="s">
        <v>150</v>
      </c>
      <c r="G152" s="29" t="n">
        <v>2022</v>
      </c>
      <c r="H152" s="29" t="s">
        <v>245</v>
      </c>
      <c r="I152" s="29" t="n">
        <v>1</v>
      </c>
      <c r="J152" s="29" t="s">
        <v>246</v>
      </c>
      <c r="K152" s="29" t="s">
        <v>247</v>
      </c>
      <c r="L152" s="29" t="n">
        <v>0.04</v>
      </c>
      <c r="M152" s="32" t="n">
        <v>11404.17</v>
      </c>
      <c r="N152" s="32" t="n">
        <v>11382.58</v>
      </c>
      <c r="O152" s="32" t="n">
        <v>11460.75</v>
      </c>
      <c r="P152" s="45" t="n">
        <f aca="false">ABS(M152-N152)</f>
        <v>21.5900000000001</v>
      </c>
      <c r="Q152" s="45" t="n">
        <f aca="false">IF(O152="","",ABS(O152-M152))</f>
        <v>56.5799999999999</v>
      </c>
      <c r="R152" s="31" t="n">
        <f aca="false">P152*L152*Summary!$C$6</f>
        <v>86.3600000000006</v>
      </c>
      <c r="S152" s="32" t="n">
        <v>11460.77</v>
      </c>
      <c r="T152" s="29" t="s">
        <v>227</v>
      </c>
      <c r="U152" s="45" t="n">
        <f aca="false">IF(J152="BUY",S152-M152,M152-S152)</f>
        <v>56.6000000000004</v>
      </c>
      <c r="V152" s="46" t="n">
        <v>0</v>
      </c>
      <c r="W152" s="46" t="n">
        <v>0</v>
      </c>
      <c r="X152" s="46" t="n">
        <v>226.4</v>
      </c>
      <c r="Y152" s="33" t="n">
        <f aca="false">IFERROR(X152/R152,0)</f>
        <v>2.62158406669753</v>
      </c>
      <c r="Z152" s="29" t="str">
        <f aca="false">IF(X152&gt;0,"Win",IF(X152&lt;0,"Loss","Flat"))</f>
        <v>Win</v>
      </c>
      <c r="AA152" s="29" t="n">
        <f aca="false">ROUND((C152-B152)*1440,1)</f>
        <v>5</v>
      </c>
      <c r="AB152" s="29" t="str">
        <f aca="false">IF(AA152&lt;1,"a) &lt;1 min",IF(AA152&lt;10,"b) 1-10 min",IF(AA152&lt;60,"c) 10-60 min",IF(AA152&lt;240,"d) 1-4 h","e) 4 h+"))))</f>
        <v>b) 1-10 min</v>
      </c>
      <c r="AC152" s="29" t="str">
        <f aca="false">IF(P152&lt;10,"a) &lt;10",IF(P152&lt;20,"b) 10-20",IF(P152&lt;40,"c) 20-40",IF(P152&lt;80,"d) 40-80","e) 80+"))))</f>
        <v>c) 20-40</v>
      </c>
      <c r="AD152" s="31" t="n">
        <f aca="false">Summary!$C$5+SUM(X$2:X152)</f>
        <v>11580.44</v>
      </c>
      <c r="AE152" s="31" t="n">
        <f aca="false">MAX(AE151,AD152)</f>
        <v>12292.03</v>
      </c>
      <c r="AF152" s="31" t="n">
        <f aca="false">AE152-AD152</f>
        <v>711.59</v>
      </c>
      <c r="AG152" s="30" t="n">
        <f aca="false">IFERROR(AF152/AE152,0)</f>
        <v>0.0578903565969169</v>
      </c>
    </row>
    <row r="153" customFormat="false" ht="15" hidden="false" customHeight="false" outlineLevel="0" collapsed="false">
      <c r="A153" s="29" t="n">
        <v>152</v>
      </c>
      <c r="B153" s="44" t="n">
        <v>44859.6881944445</v>
      </c>
      <c r="C153" s="44" t="n">
        <v>44859.691724537</v>
      </c>
      <c r="D153" s="43" t="n">
        <f aca="false">INT(C153)</f>
        <v>44859</v>
      </c>
      <c r="E153" s="43" t="n">
        <f aca="false">D153-WEEKDAY(D153,3)</f>
        <v>44858</v>
      </c>
      <c r="F153" s="29" t="s">
        <v>150</v>
      </c>
      <c r="G153" s="29" t="n">
        <v>2022</v>
      </c>
      <c r="H153" s="29" t="s">
        <v>248</v>
      </c>
      <c r="I153" s="29" t="n">
        <v>16</v>
      </c>
      <c r="J153" s="29" t="s">
        <v>246</v>
      </c>
      <c r="K153" s="29" t="s">
        <v>247</v>
      </c>
      <c r="L153" s="29" t="n">
        <v>0.05</v>
      </c>
      <c r="M153" s="32" t="n">
        <v>11495.32</v>
      </c>
      <c r="N153" s="32" t="n">
        <v>11481.43</v>
      </c>
      <c r="O153" s="32" t="n">
        <v>11529.33</v>
      </c>
      <c r="P153" s="45" t="n">
        <f aca="false">ABS(M153-N153)</f>
        <v>13.8899999999994</v>
      </c>
      <c r="Q153" s="45" t="n">
        <f aca="false">IF(O153="","",ABS(O153-M153))</f>
        <v>34.0100000000002</v>
      </c>
      <c r="R153" s="31" t="n">
        <f aca="false">P153*L153*Summary!$C$6</f>
        <v>69.4499999999971</v>
      </c>
      <c r="S153" s="32" t="n">
        <v>11494.7</v>
      </c>
      <c r="T153" s="29" t="s">
        <v>255</v>
      </c>
      <c r="U153" s="45" t="n">
        <f aca="false">IF(J153="BUY",S153-M153,M153-S153)</f>
        <v>-0.619999999998981</v>
      </c>
      <c r="V153" s="46" t="n">
        <v>0</v>
      </c>
      <c r="W153" s="46" t="n">
        <v>0</v>
      </c>
      <c r="X153" s="46" t="n">
        <v>-3.1</v>
      </c>
      <c r="Y153" s="33" t="n">
        <f aca="false">IFERROR(X153/R153,0)</f>
        <v>-0.044636429085675</v>
      </c>
      <c r="Z153" s="29" t="str">
        <f aca="false">IF(X153&gt;0,"Win",IF(X153&lt;0,"Loss","Flat"))</f>
        <v>Loss</v>
      </c>
      <c r="AA153" s="29" t="n">
        <f aca="false">ROUND((C153-B153)*1440,1)</f>
        <v>5.1</v>
      </c>
      <c r="AB153" s="29" t="str">
        <f aca="false">IF(AA153&lt;1,"a) &lt;1 min",IF(AA153&lt;10,"b) 1-10 min",IF(AA153&lt;60,"c) 10-60 min",IF(AA153&lt;240,"d) 1-4 h","e) 4 h+"))))</f>
        <v>b) 1-10 min</v>
      </c>
      <c r="AC153" s="29" t="str">
        <f aca="false">IF(P153&lt;10,"a) &lt;10",IF(P153&lt;20,"b) 10-20",IF(P153&lt;40,"c) 20-40",IF(P153&lt;80,"d) 40-80","e) 80+"))))</f>
        <v>b) 10-20</v>
      </c>
      <c r="AD153" s="31" t="n">
        <f aca="false">Summary!$C$5+SUM(X$2:X153)</f>
        <v>11577.34</v>
      </c>
      <c r="AE153" s="31" t="n">
        <f aca="false">MAX(AE152,AD153)</f>
        <v>12292.03</v>
      </c>
      <c r="AF153" s="31" t="n">
        <f aca="false">AE153-AD153</f>
        <v>714.690000000001</v>
      </c>
      <c r="AG153" s="30" t="n">
        <f aca="false">IFERROR(AF153/AE153,0)</f>
        <v>0.0581425525320066</v>
      </c>
    </row>
    <row r="154" customFormat="false" ht="15" hidden="false" customHeight="false" outlineLevel="0" collapsed="false">
      <c r="A154" s="29" t="n">
        <v>153</v>
      </c>
      <c r="B154" s="44" t="n">
        <v>44860.9645833333</v>
      </c>
      <c r="C154" s="44" t="n">
        <v>44860.9678587963</v>
      </c>
      <c r="D154" s="43" t="n">
        <f aca="false">INT(C154)</f>
        <v>44860</v>
      </c>
      <c r="E154" s="43" t="n">
        <f aca="false">D154-WEEKDAY(D154,3)</f>
        <v>44858</v>
      </c>
      <c r="F154" s="29" t="s">
        <v>150</v>
      </c>
      <c r="G154" s="29" t="n">
        <v>2022</v>
      </c>
      <c r="H154" s="29" t="s">
        <v>252</v>
      </c>
      <c r="I154" s="29" t="n">
        <v>23</v>
      </c>
      <c r="J154" s="29" t="s">
        <v>250</v>
      </c>
      <c r="K154" s="29" t="s">
        <v>251</v>
      </c>
      <c r="L154" s="29" t="n">
        <v>0.05</v>
      </c>
      <c r="M154" s="32" t="n">
        <v>11370.16</v>
      </c>
      <c r="N154" s="32" t="n">
        <v>11417.52</v>
      </c>
      <c r="O154" s="32" t="n">
        <v>11259.2</v>
      </c>
      <c r="P154" s="45" t="n">
        <f aca="false">ABS(M154-N154)</f>
        <v>47.3600000000006</v>
      </c>
      <c r="Q154" s="45" t="n">
        <f aca="false">IF(O154="","",ABS(O154-M154))</f>
        <v>110.959999999999</v>
      </c>
      <c r="R154" s="31" t="n">
        <f aca="false">P154*L154*Summary!$C$6</f>
        <v>236.800000000003</v>
      </c>
      <c r="S154" s="32" t="n">
        <v>11418.12</v>
      </c>
      <c r="T154" s="29" t="s">
        <v>249</v>
      </c>
      <c r="U154" s="45" t="n">
        <f aca="false">IF(J154="BUY",S154-M154,M154-S154)</f>
        <v>-47.9600000000009</v>
      </c>
      <c r="V154" s="46" t="n">
        <v>0</v>
      </c>
      <c r="W154" s="46" t="n">
        <v>0</v>
      </c>
      <c r="X154" s="46" t="n">
        <v>-239.8</v>
      </c>
      <c r="Y154" s="33" t="n">
        <f aca="false">IFERROR(X154/R154,0)</f>
        <v>-1.01266891891891</v>
      </c>
      <c r="Z154" s="29" t="str">
        <f aca="false">IF(X154&gt;0,"Win",IF(X154&lt;0,"Loss","Flat"))</f>
        <v>Loss</v>
      </c>
      <c r="AA154" s="29" t="n">
        <f aca="false">ROUND((C154-B154)*1440,1)</f>
        <v>4.7</v>
      </c>
      <c r="AB154" s="29" t="str">
        <f aca="false">IF(AA154&lt;1,"a) &lt;1 min",IF(AA154&lt;10,"b) 1-10 min",IF(AA154&lt;60,"c) 10-60 min",IF(AA154&lt;240,"d) 1-4 h","e) 4 h+"))))</f>
        <v>b) 1-10 min</v>
      </c>
      <c r="AC154" s="29" t="str">
        <f aca="false">IF(P154&lt;10,"a) &lt;10",IF(P154&lt;20,"b) 10-20",IF(P154&lt;40,"c) 20-40",IF(P154&lt;80,"d) 40-80","e) 80+"))))</f>
        <v>d) 40-80</v>
      </c>
      <c r="AD154" s="31" t="n">
        <f aca="false">Summary!$C$5+SUM(X$2:X154)</f>
        <v>11337.54</v>
      </c>
      <c r="AE154" s="31" t="n">
        <f aca="false">MAX(AE153,AD154)</f>
        <v>12292.03</v>
      </c>
      <c r="AF154" s="31" t="n">
        <f aca="false">AE154-AD154</f>
        <v>954.49</v>
      </c>
      <c r="AG154" s="30" t="n">
        <f aca="false">IFERROR(AF154/AE154,0)</f>
        <v>0.0776511284141025</v>
      </c>
    </row>
    <row r="155" customFormat="false" ht="15" hidden="false" customHeight="false" outlineLevel="0" collapsed="false">
      <c r="A155" s="29" t="n">
        <v>154</v>
      </c>
      <c r="B155" s="44" t="n">
        <v>44861.5048611111</v>
      </c>
      <c r="C155" s="44" t="n">
        <v>44861.5078009259</v>
      </c>
      <c r="D155" s="43" t="n">
        <f aca="false">INT(C155)</f>
        <v>44861</v>
      </c>
      <c r="E155" s="43" t="n">
        <f aca="false">D155-WEEKDAY(D155,3)</f>
        <v>44858</v>
      </c>
      <c r="F155" s="29" t="s">
        <v>150</v>
      </c>
      <c r="G155" s="29" t="n">
        <v>2022</v>
      </c>
      <c r="H155" s="29" t="s">
        <v>253</v>
      </c>
      <c r="I155" s="29" t="n">
        <v>12</v>
      </c>
      <c r="J155" s="29" t="s">
        <v>250</v>
      </c>
      <c r="K155" s="29" t="s">
        <v>251</v>
      </c>
      <c r="L155" s="29" t="n">
        <v>0.04</v>
      </c>
      <c r="M155" s="32" t="n">
        <v>11367.41</v>
      </c>
      <c r="N155" s="32" t="n">
        <v>11374.97</v>
      </c>
      <c r="O155" s="32" t="n">
        <v>11348.89</v>
      </c>
      <c r="P155" s="45" t="n">
        <f aca="false">ABS(M155-N155)</f>
        <v>7.55999999999949</v>
      </c>
      <c r="Q155" s="45" t="n">
        <f aca="false">IF(O155="","",ABS(O155-M155))</f>
        <v>18.5200000000004</v>
      </c>
      <c r="R155" s="31" t="n">
        <f aca="false">P155*L155*Summary!$C$6</f>
        <v>30.239999999998</v>
      </c>
      <c r="S155" s="32" t="n">
        <v>11375.1</v>
      </c>
      <c r="T155" s="29" t="s">
        <v>249</v>
      </c>
      <c r="U155" s="45" t="n">
        <f aca="false">IF(J155="BUY",S155-M155,M155-S155)</f>
        <v>-7.69000000000051</v>
      </c>
      <c r="V155" s="46" t="n">
        <v>0</v>
      </c>
      <c r="W155" s="46" t="n">
        <v>0</v>
      </c>
      <c r="X155" s="46" t="n">
        <v>-30.76</v>
      </c>
      <c r="Y155" s="33" t="n">
        <f aca="false">IFERROR(X155/R155,0)</f>
        <v>-1.01719576719584</v>
      </c>
      <c r="Z155" s="29" t="str">
        <f aca="false">IF(X155&gt;0,"Win",IF(X155&lt;0,"Loss","Flat"))</f>
        <v>Loss</v>
      </c>
      <c r="AA155" s="29" t="n">
        <f aca="false">ROUND((C155-B155)*1440,1)</f>
        <v>4.2</v>
      </c>
      <c r="AB155" s="29" t="str">
        <f aca="false">IF(AA155&lt;1,"a) &lt;1 min",IF(AA155&lt;10,"b) 1-10 min",IF(AA155&lt;60,"c) 10-60 min",IF(AA155&lt;240,"d) 1-4 h","e) 4 h+"))))</f>
        <v>b) 1-10 min</v>
      </c>
      <c r="AC155" s="29" t="str">
        <f aca="false">IF(P155&lt;10,"a) &lt;10",IF(P155&lt;20,"b) 10-20",IF(P155&lt;40,"c) 20-40",IF(P155&lt;80,"d) 40-80","e) 80+"))))</f>
        <v>a) &lt;10</v>
      </c>
      <c r="AD155" s="31" t="n">
        <f aca="false">Summary!$C$5+SUM(X$2:X155)</f>
        <v>11306.78</v>
      </c>
      <c r="AE155" s="31" t="n">
        <f aca="false">MAX(AE154,AD155)</f>
        <v>12292.03</v>
      </c>
      <c r="AF155" s="31" t="n">
        <f aca="false">AE155-AD155</f>
        <v>985.25</v>
      </c>
      <c r="AG155" s="30" t="n">
        <f aca="false">IFERROR(AF155/AE155,0)</f>
        <v>0.0801535629184114</v>
      </c>
    </row>
    <row r="156" customFormat="false" ht="15" hidden="false" customHeight="false" outlineLevel="0" collapsed="false">
      <c r="A156" s="29" t="n">
        <v>155</v>
      </c>
      <c r="B156" s="44" t="n">
        <v>44862.8388888889</v>
      </c>
      <c r="C156" s="44" t="n">
        <v>44862.8451157407</v>
      </c>
      <c r="D156" s="43" t="n">
        <f aca="false">INT(C156)</f>
        <v>44862</v>
      </c>
      <c r="E156" s="43" t="n">
        <f aca="false">D156-WEEKDAY(D156,3)</f>
        <v>44858</v>
      </c>
      <c r="F156" s="29" t="s">
        <v>150</v>
      </c>
      <c r="G156" s="29" t="n">
        <v>2022</v>
      </c>
      <c r="H156" s="29" t="s">
        <v>254</v>
      </c>
      <c r="I156" s="29" t="n">
        <v>20</v>
      </c>
      <c r="J156" s="29" t="s">
        <v>246</v>
      </c>
      <c r="K156" s="29" t="s">
        <v>247</v>
      </c>
      <c r="L156" s="29" t="n">
        <v>0.04</v>
      </c>
      <c r="M156" s="32" t="n">
        <v>11493.21</v>
      </c>
      <c r="N156" s="32" t="n">
        <v>11485.18</v>
      </c>
      <c r="O156" s="32" t="n">
        <v>11513.49</v>
      </c>
      <c r="P156" s="45" t="n">
        <f aca="false">ABS(M156-N156)</f>
        <v>8.02999999999884</v>
      </c>
      <c r="Q156" s="45" t="n">
        <f aca="false">IF(O156="","",ABS(O156-M156))</f>
        <v>20.2800000000007</v>
      </c>
      <c r="R156" s="31" t="n">
        <f aca="false">P156*L156*Summary!$C$6</f>
        <v>32.1199999999953</v>
      </c>
      <c r="S156" s="32" t="n">
        <v>11485.12</v>
      </c>
      <c r="T156" s="29" t="s">
        <v>249</v>
      </c>
      <c r="U156" s="45" t="n">
        <f aca="false">IF(J156="BUY",S156-M156,M156-S156)</f>
        <v>-8.08999999999833</v>
      </c>
      <c r="V156" s="46" t="n">
        <v>0</v>
      </c>
      <c r="W156" s="46" t="n">
        <v>0</v>
      </c>
      <c r="X156" s="46" t="n">
        <v>-32.36</v>
      </c>
      <c r="Y156" s="33" t="n">
        <f aca="false">IFERROR(X156/R156,0)</f>
        <v>-1.00747198007487</v>
      </c>
      <c r="Z156" s="29" t="str">
        <f aca="false">IF(X156&gt;0,"Win",IF(X156&lt;0,"Loss","Flat"))</f>
        <v>Loss</v>
      </c>
      <c r="AA156" s="29" t="n">
        <f aca="false">ROUND((C156-B156)*1440,1)</f>
        <v>9</v>
      </c>
      <c r="AB156" s="29" t="str">
        <f aca="false">IF(AA156&lt;1,"a) &lt;1 min",IF(AA156&lt;10,"b) 1-10 min",IF(AA156&lt;60,"c) 10-60 min",IF(AA156&lt;240,"d) 1-4 h","e) 4 h+"))))</f>
        <v>b) 1-10 min</v>
      </c>
      <c r="AC156" s="29" t="str">
        <f aca="false">IF(P156&lt;10,"a) &lt;10",IF(P156&lt;20,"b) 10-20",IF(P156&lt;40,"c) 20-40",IF(P156&lt;80,"d) 40-80","e) 80+"))))</f>
        <v>a) &lt;10</v>
      </c>
      <c r="AD156" s="31" t="n">
        <f aca="false">Summary!$C$5+SUM(X$2:X156)</f>
        <v>11274.42</v>
      </c>
      <c r="AE156" s="31" t="n">
        <f aca="false">MAX(AE155,AD156)</f>
        <v>12292.03</v>
      </c>
      <c r="AF156" s="31" t="n">
        <f aca="false">AE156-AD156</f>
        <v>1017.61</v>
      </c>
      <c r="AG156" s="30" t="n">
        <f aca="false">IFERROR(AF156/AE156,0)</f>
        <v>0.0827861630666375</v>
      </c>
    </row>
    <row r="157" customFormat="false" ht="15" hidden="false" customHeight="false" outlineLevel="0" collapsed="false">
      <c r="A157" s="29" t="n">
        <v>156</v>
      </c>
      <c r="B157" s="44" t="n">
        <v>44866.5576388889</v>
      </c>
      <c r="C157" s="44" t="n">
        <v>44866.5600578704</v>
      </c>
      <c r="D157" s="43" t="n">
        <f aca="false">INT(C157)</f>
        <v>44866</v>
      </c>
      <c r="E157" s="43" t="n">
        <f aca="false">D157-WEEKDAY(D157,3)</f>
        <v>44865</v>
      </c>
      <c r="F157" s="29" t="s">
        <v>151</v>
      </c>
      <c r="G157" s="29" t="n">
        <v>2022</v>
      </c>
      <c r="H157" s="29" t="s">
        <v>248</v>
      </c>
      <c r="I157" s="29" t="n">
        <v>13</v>
      </c>
      <c r="J157" s="29" t="s">
        <v>246</v>
      </c>
      <c r="K157" s="29" t="s">
        <v>247</v>
      </c>
      <c r="L157" s="29" t="n">
        <v>0.04</v>
      </c>
      <c r="M157" s="32" t="n">
        <v>11544.52</v>
      </c>
      <c r="N157" s="32" t="n">
        <v>11539.22</v>
      </c>
      <c r="O157" s="32" t="n">
        <v>11557.57</v>
      </c>
      <c r="P157" s="45" t="n">
        <f aca="false">ABS(M157-N157)</f>
        <v>5.30000000000109</v>
      </c>
      <c r="Q157" s="45" t="n">
        <f aca="false">IF(O157="","",ABS(O157-M157))</f>
        <v>13.0499999999993</v>
      </c>
      <c r="R157" s="31" t="n">
        <f aca="false">P157*L157*Summary!$C$6</f>
        <v>21.2000000000044</v>
      </c>
      <c r="S157" s="32" t="n">
        <v>11544.33</v>
      </c>
      <c r="T157" s="29" t="s">
        <v>255</v>
      </c>
      <c r="U157" s="45" t="n">
        <f aca="false">IF(J157="BUY",S157-M157,M157-S157)</f>
        <v>-0.190000000000509</v>
      </c>
      <c r="V157" s="46" t="n">
        <v>0</v>
      </c>
      <c r="W157" s="46" t="n">
        <v>0</v>
      </c>
      <c r="X157" s="46" t="n">
        <v>-0.76</v>
      </c>
      <c r="Y157" s="33" t="n">
        <f aca="false">IFERROR(X157/R157,0)</f>
        <v>-0.0358490566037662</v>
      </c>
      <c r="Z157" s="29" t="str">
        <f aca="false">IF(X157&gt;0,"Win",IF(X157&lt;0,"Loss","Flat"))</f>
        <v>Loss</v>
      </c>
      <c r="AA157" s="29" t="n">
        <f aca="false">ROUND((C157-B157)*1440,1)</f>
        <v>3.5</v>
      </c>
      <c r="AB157" s="29" t="str">
        <f aca="false">IF(AA157&lt;1,"a) &lt;1 min",IF(AA157&lt;10,"b) 1-10 min",IF(AA157&lt;60,"c) 10-60 min",IF(AA157&lt;240,"d) 1-4 h","e) 4 h+"))))</f>
        <v>b) 1-10 min</v>
      </c>
      <c r="AC157" s="29" t="str">
        <f aca="false">IF(P157&lt;10,"a) &lt;10",IF(P157&lt;20,"b) 10-20",IF(P157&lt;40,"c) 20-40",IF(P157&lt;80,"d) 40-80","e) 80+"))))</f>
        <v>a) &lt;10</v>
      </c>
      <c r="AD157" s="31" t="n">
        <f aca="false">Summary!$C$5+SUM(X$2:X157)</f>
        <v>11273.66</v>
      </c>
      <c r="AE157" s="31" t="n">
        <f aca="false">MAX(AE156,AD157)</f>
        <v>12292.03</v>
      </c>
      <c r="AF157" s="31" t="n">
        <f aca="false">AE157-AD157</f>
        <v>1018.37</v>
      </c>
      <c r="AG157" s="30" t="n">
        <f aca="false">IFERROR(AF157/AE157,0)</f>
        <v>0.0828479917474982</v>
      </c>
    </row>
    <row r="158" customFormat="false" ht="15" hidden="false" customHeight="false" outlineLevel="0" collapsed="false">
      <c r="A158" s="29" t="n">
        <v>157</v>
      </c>
      <c r="B158" s="44" t="n">
        <v>44866.7444444444</v>
      </c>
      <c r="C158" s="44" t="n">
        <v>44866.7462731482</v>
      </c>
      <c r="D158" s="43" t="n">
        <f aca="false">INT(C158)</f>
        <v>44866</v>
      </c>
      <c r="E158" s="43" t="n">
        <f aca="false">D158-WEEKDAY(D158,3)</f>
        <v>44865</v>
      </c>
      <c r="F158" s="29" t="s">
        <v>151</v>
      </c>
      <c r="G158" s="29" t="n">
        <v>2022</v>
      </c>
      <c r="H158" s="29" t="s">
        <v>248</v>
      </c>
      <c r="I158" s="29" t="n">
        <v>17</v>
      </c>
      <c r="J158" s="29" t="s">
        <v>250</v>
      </c>
      <c r="K158" s="29" t="s">
        <v>251</v>
      </c>
      <c r="L158" s="29" t="n">
        <v>0.04</v>
      </c>
      <c r="M158" s="32" t="n">
        <v>11325.26</v>
      </c>
      <c r="N158" s="32" t="n">
        <v>11338.46</v>
      </c>
      <c r="O158" s="32" t="n">
        <v>11292.89</v>
      </c>
      <c r="P158" s="45" t="n">
        <f aca="false">ABS(M158-N158)</f>
        <v>13.1999999999989</v>
      </c>
      <c r="Q158" s="45" t="n">
        <f aca="false">IF(O158="","",ABS(O158-M158))</f>
        <v>32.3700000000008</v>
      </c>
      <c r="R158" s="31" t="n">
        <f aca="false">P158*L158*Summary!$C$6</f>
        <v>52.7999999999956</v>
      </c>
      <c r="S158" s="32" t="n">
        <v>11338.52</v>
      </c>
      <c r="T158" s="29" t="s">
        <v>249</v>
      </c>
      <c r="U158" s="45" t="n">
        <f aca="false">IF(J158="BUY",S158-M158,M158-S158)</f>
        <v>-13.2600000000002</v>
      </c>
      <c r="V158" s="46" t="n">
        <v>0</v>
      </c>
      <c r="W158" s="46" t="n">
        <v>0</v>
      </c>
      <c r="X158" s="46" t="n">
        <v>-53.04</v>
      </c>
      <c r="Y158" s="33" t="n">
        <f aca="false">IFERROR(X158/R158,0)</f>
        <v>-1.00454545454554</v>
      </c>
      <c r="Z158" s="29" t="str">
        <f aca="false">IF(X158&gt;0,"Win",IF(X158&lt;0,"Loss","Flat"))</f>
        <v>Loss</v>
      </c>
      <c r="AA158" s="29" t="n">
        <f aca="false">ROUND((C158-B158)*1440,1)</f>
        <v>2.6</v>
      </c>
      <c r="AB158" s="29" t="str">
        <f aca="false">IF(AA158&lt;1,"a) &lt;1 min",IF(AA158&lt;10,"b) 1-10 min",IF(AA158&lt;60,"c) 10-60 min",IF(AA158&lt;240,"d) 1-4 h","e) 4 h+"))))</f>
        <v>b) 1-10 min</v>
      </c>
      <c r="AC158" s="29" t="str">
        <f aca="false">IF(P158&lt;10,"a) &lt;10",IF(P158&lt;20,"b) 10-20",IF(P158&lt;40,"c) 20-40",IF(P158&lt;80,"d) 40-80","e) 80+"))))</f>
        <v>b) 10-20</v>
      </c>
      <c r="AD158" s="31" t="n">
        <f aca="false">Summary!$C$5+SUM(X$2:X158)</f>
        <v>11220.62</v>
      </c>
      <c r="AE158" s="31" t="n">
        <f aca="false">MAX(AE157,AD158)</f>
        <v>12292.03</v>
      </c>
      <c r="AF158" s="31" t="n">
        <f aca="false">AE158-AD158</f>
        <v>1071.41</v>
      </c>
      <c r="AG158" s="30" t="n">
        <f aca="false">IFERROR(AF158/AE158,0)</f>
        <v>0.0871629828433547</v>
      </c>
    </row>
    <row r="159" customFormat="false" ht="15" hidden="false" customHeight="false" outlineLevel="0" collapsed="false">
      <c r="A159" s="29" t="n">
        <v>158</v>
      </c>
      <c r="B159" s="44" t="n">
        <v>44867.6895833333</v>
      </c>
      <c r="C159" s="44" t="n">
        <v>44867.6916203704</v>
      </c>
      <c r="D159" s="43" t="n">
        <f aca="false">INT(C159)</f>
        <v>44867</v>
      </c>
      <c r="E159" s="43" t="n">
        <f aca="false">D159-WEEKDAY(D159,3)</f>
        <v>44865</v>
      </c>
      <c r="F159" s="29" t="s">
        <v>151</v>
      </c>
      <c r="G159" s="29" t="n">
        <v>2022</v>
      </c>
      <c r="H159" s="29" t="s">
        <v>252</v>
      </c>
      <c r="I159" s="29" t="n">
        <v>16</v>
      </c>
      <c r="J159" s="29" t="s">
        <v>250</v>
      </c>
      <c r="K159" s="29" t="s">
        <v>251</v>
      </c>
      <c r="L159" s="29" t="n">
        <v>0.04</v>
      </c>
      <c r="M159" s="32" t="n">
        <v>11242.36</v>
      </c>
      <c r="N159" s="32" t="n">
        <v>11257.33</v>
      </c>
      <c r="O159" s="32" t="n">
        <v>11207.19</v>
      </c>
      <c r="P159" s="45" t="n">
        <f aca="false">ABS(M159-N159)</f>
        <v>14.9699999999993</v>
      </c>
      <c r="Q159" s="45" t="n">
        <f aca="false">IF(O159="","",ABS(O159-M159))</f>
        <v>35.1700000000001</v>
      </c>
      <c r="R159" s="31" t="n">
        <f aca="false">P159*L159*Summary!$C$6</f>
        <v>59.8799999999974</v>
      </c>
      <c r="S159" s="32" t="n">
        <v>11258.22</v>
      </c>
      <c r="T159" s="29" t="s">
        <v>249</v>
      </c>
      <c r="U159" s="45" t="n">
        <f aca="false">IF(J159="BUY",S159-M159,M159-S159)</f>
        <v>-15.8599999999988</v>
      </c>
      <c r="V159" s="46" t="n">
        <v>0</v>
      </c>
      <c r="W159" s="46" t="n">
        <v>0</v>
      </c>
      <c r="X159" s="46" t="n">
        <v>-63.44</v>
      </c>
      <c r="Y159" s="33" t="n">
        <f aca="false">IFERROR(X159/R159,0)</f>
        <v>-1.059452237809</v>
      </c>
      <c r="Z159" s="29" t="str">
        <f aca="false">IF(X159&gt;0,"Win",IF(X159&lt;0,"Loss","Flat"))</f>
        <v>Loss</v>
      </c>
      <c r="AA159" s="29" t="n">
        <f aca="false">ROUND((C159-B159)*1440,1)</f>
        <v>2.9</v>
      </c>
      <c r="AB159" s="29" t="str">
        <f aca="false">IF(AA159&lt;1,"a) &lt;1 min",IF(AA159&lt;10,"b) 1-10 min",IF(AA159&lt;60,"c) 10-60 min",IF(AA159&lt;240,"d) 1-4 h","e) 4 h+"))))</f>
        <v>b) 1-10 min</v>
      </c>
      <c r="AC159" s="29" t="str">
        <f aca="false">IF(P159&lt;10,"a) &lt;10",IF(P159&lt;20,"b) 10-20",IF(P159&lt;40,"c) 20-40",IF(P159&lt;80,"d) 40-80","e) 80+"))))</f>
        <v>b) 10-20</v>
      </c>
      <c r="AD159" s="31" t="n">
        <f aca="false">Summary!$C$5+SUM(X$2:X159)</f>
        <v>11157.18</v>
      </c>
      <c r="AE159" s="31" t="n">
        <f aca="false">MAX(AE158,AD159)</f>
        <v>12292.03</v>
      </c>
      <c r="AF159" s="31" t="n">
        <f aca="false">AE159-AD159</f>
        <v>1134.85</v>
      </c>
      <c r="AG159" s="30" t="n">
        <f aca="false">IFERROR(AF159/AE159,0)</f>
        <v>0.0923240506246731</v>
      </c>
    </row>
    <row r="160" customFormat="false" ht="15" hidden="false" customHeight="false" outlineLevel="0" collapsed="false">
      <c r="A160" s="29" t="n">
        <v>159</v>
      </c>
      <c r="B160" s="44" t="n">
        <v>44868.0479166667</v>
      </c>
      <c r="C160" s="44" t="n">
        <v>44868.051099537</v>
      </c>
      <c r="D160" s="43" t="n">
        <f aca="false">INT(C160)</f>
        <v>44868</v>
      </c>
      <c r="E160" s="43" t="n">
        <f aca="false">D160-WEEKDAY(D160,3)</f>
        <v>44865</v>
      </c>
      <c r="F160" s="29" t="s">
        <v>151</v>
      </c>
      <c r="G160" s="29" t="n">
        <v>2022</v>
      </c>
      <c r="H160" s="29" t="s">
        <v>253</v>
      </c>
      <c r="I160" s="29" t="n">
        <v>1</v>
      </c>
      <c r="J160" s="29" t="s">
        <v>250</v>
      </c>
      <c r="K160" s="29" t="s">
        <v>251</v>
      </c>
      <c r="L160" s="29" t="n">
        <v>0.05</v>
      </c>
      <c r="M160" s="32" t="n">
        <v>10865.84</v>
      </c>
      <c r="N160" s="32" t="n">
        <v>10873.76</v>
      </c>
      <c r="O160" s="32" t="n">
        <v>10846.39</v>
      </c>
      <c r="P160" s="45" t="n">
        <f aca="false">ABS(M160-N160)</f>
        <v>7.92000000000007</v>
      </c>
      <c r="Q160" s="45" t="n">
        <f aca="false">IF(O160="","",ABS(O160-M160))</f>
        <v>19.4500000000007</v>
      </c>
      <c r="R160" s="31" t="n">
        <f aca="false">P160*L160*Summary!$C$6</f>
        <v>39.6000000000004</v>
      </c>
      <c r="S160" s="32" t="n">
        <v>10874.89</v>
      </c>
      <c r="T160" s="29" t="s">
        <v>249</v>
      </c>
      <c r="U160" s="45" t="n">
        <f aca="false">IF(J160="BUY",S160-M160,M160-S160)</f>
        <v>-9.04999999999927</v>
      </c>
      <c r="V160" s="46" t="n">
        <v>0</v>
      </c>
      <c r="W160" s="46" t="n">
        <v>0</v>
      </c>
      <c r="X160" s="46" t="n">
        <v>-45.25</v>
      </c>
      <c r="Y160" s="33" t="n">
        <f aca="false">IFERROR(X160/R160,0)</f>
        <v>-1.14267676767676</v>
      </c>
      <c r="Z160" s="29" t="str">
        <f aca="false">IF(X160&gt;0,"Win",IF(X160&lt;0,"Loss","Flat"))</f>
        <v>Loss</v>
      </c>
      <c r="AA160" s="29" t="n">
        <f aca="false">ROUND((C160-B160)*1440,1)</f>
        <v>4.6</v>
      </c>
      <c r="AB160" s="29" t="str">
        <f aca="false">IF(AA160&lt;1,"a) &lt;1 min",IF(AA160&lt;10,"b) 1-10 min",IF(AA160&lt;60,"c) 10-60 min",IF(AA160&lt;240,"d) 1-4 h","e) 4 h+"))))</f>
        <v>b) 1-10 min</v>
      </c>
      <c r="AC160" s="29" t="str">
        <f aca="false">IF(P160&lt;10,"a) &lt;10",IF(P160&lt;20,"b) 10-20",IF(P160&lt;40,"c) 20-40",IF(P160&lt;80,"d) 40-80","e) 80+"))))</f>
        <v>a) &lt;10</v>
      </c>
      <c r="AD160" s="31" t="n">
        <f aca="false">Summary!$C$5+SUM(X$2:X160)</f>
        <v>11111.93</v>
      </c>
      <c r="AE160" s="31" t="n">
        <f aca="false">MAX(AE159,AD160)</f>
        <v>12292.03</v>
      </c>
      <c r="AF160" s="31" t="n">
        <f aca="false">AE160-AD160</f>
        <v>1180.1</v>
      </c>
      <c r="AG160" s="30" t="n">
        <f aca="false">IFERROR(AF160/AE160,0)</f>
        <v>0.0960052977417075</v>
      </c>
    </row>
    <row r="161" customFormat="false" ht="15" hidden="false" customHeight="false" outlineLevel="0" collapsed="false">
      <c r="A161" s="29" t="n">
        <v>160</v>
      </c>
      <c r="B161" s="44" t="n">
        <v>44869.0444444444</v>
      </c>
      <c r="C161" s="44" t="n">
        <v>44869.1031597222</v>
      </c>
      <c r="D161" s="43" t="n">
        <f aca="false">INT(C161)</f>
        <v>44869</v>
      </c>
      <c r="E161" s="43" t="n">
        <f aca="false">D161-WEEKDAY(D161,3)</f>
        <v>44865</v>
      </c>
      <c r="F161" s="29" t="s">
        <v>151</v>
      </c>
      <c r="G161" s="29" t="n">
        <v>2022</v>
      </c>
      <c r="H161" s="29" t="s">
        <v>254</v>
      </c>
      <c r="I161" s="29" t="n">
        <v>1</v>
      </c>
      <c r="J161" s="29" t="s">
        <v>250</v>
      </c>
      <c r="K161" s="29" t="s">
        <v>251</v>
      </c>
      <c r="L161" s="29" t="n">
        <v>0.05</v>
      </c>
      <c r="M161" s="32" t="n">
        <v>10666.12</v>
      </c>
      <c r="N161" s="32" t="n">
        <v>10678.97</v>
      </c>
      <c r="O161" s="32" t="n">
        <v>10635.57</v>
      </c>
      <c r="P161" s="45" t="n">
        <f aca="false">ABS(M161-N161)</f>
        <v>12.8499999999985</v>
      </c>
      <c r="Q161" s="45" t="n">
        <f aca="false">IF(O161="","",ABS(O161-M161))</f>
        <v>30.5500000000011</v>
      </c>
      <c r="R161" s="31" t="n">
        <f aca="false">P161*L161*Summary!$C$6</f>
        <v>64.2499999999927</v>
      </c>
      <c r="S161" s="32" t="n">
        <v>10679</v>
      </c>
      <c r="T161" s="29" t="s">
        <v>249</v>
      </c>
      <c r="U161" s="45" t="n">
        <f aca="false">IF(J161="BUY",S161-M161,M161-S161)</f>
        <v>-12.8799999999992</v>
      </c>
      <c r="V161" s="46" t="n">
        <v>0</v>
      </c>
      <c r="W161" s="46" t="n">
        <v>0</v>
      </c>
      <c r="X161" s="46" t="n">
        <v>-64.4</v>
      </c>
      <c r="Y161" s="33" t="n">
        <f aca="false">IFERROR(X161/R161,0)</f>
        <v>-1.00233463035031</v>
      </c>
      <c r="Z161" s="29" t="str">
        <f aca="false">IF(X161&gt;0,"Win",IF(X161&lt;0,"Loss","Flat"))</f>
        <v>Loss</v>
      </c>
      <c r="AA161" s="29" t="n">
        <f aca="false">ROUND((C161-B161)*1440,1)</f>
        <v>84.6</v>
      </c>
      <c r="AB161" s="29" t="str">
        <f aca="false">IF(AA161&lt;1,"a) &lt;1 min",IF(AA161&lt;10,"b) 1-10 min",IF(AA161&lt;60,"c) 10-60 min",IF(AA161&lt;240,"d) 1-4 h","e) 4 h+"))))</f>
        <v>d) 1-4 h</v>
      </c>
      <c r="AC161" s="29" t="str">
        <f aca="false">IF(P161&lt;10,"a) &lt;10",IF(P161&lt;20,"b) 10-20",IF(P161&lt;40,"c) 20-40",IF(P161&lt;80,"d) 40-80","e) 80+"))))</f>
        <v>b) 10-20</v>
      </c>
      <c r="AD161" s="31" t="n">
        <f aca="false">Summary!$C$5+SUM(X$2:X161)</f>
        <v>11047.53</v>
      </c>
      <c r="AE161" s="31" t="n">
        <f aca="false">MAX(AE160,AD161)</f>
        <v>12292.03</v>
      </c>
      <c r="AF161" s="31" t="n">
        <f aca="false">AE161-AD161</f>
        <v>1244.5</v>
      </c>
      <c r="AG161" s="30" t="n">
        <f aca="false">IFERROR(AF161/AE161,0)</f>
        <v>0.101244464909376</v>
      </c>
    </row>
    <row r="162" customFormat="false" ht="15" hidden="false" customHeight="false" outlineLevel="0" collapsed="false">
      <c r="A162" s="29" t="n">
        <v>161</v>
      </c>
      <c r="B162" s="44" t="n">
        <v>44872.8861111111</v>
      </c>
      <c r="C162" s="44" t="n">
        <v>44872.8958680556</v>
      </c>
      <c r="D162" s="43" t="n">
        <f aca="false">INT(C162)</f>
        <v>44872</v>
      </c>
      <c r="E162" s="43" t="n">
        <f aca="false">D162-WEEKDAY(D162,3)</f>
        <v>44872</v>
      </c>
      <c r="F162" s="29" t="s">
        <v>151</v>
      </c>
      <c r="G162" s="29" t="n">
        <v>2022</v>
      </c>
      <c r="H162" s="29" t="s">
        <v>245</v>
      </c>
      <c r="I162" s="29" t="n">
        <v>21</v>
      </c>
      <c r="J162" s="29" t="s">
        <v>246</v>
      </c>
      <c r="K162" s="29" t="s">
        <v>247</v>
      </c>
      <c r="L162" s="29" t="n">
        <v>0.05</v>
      </c>
      <c r="M162" s="32" t="n">
        <v>10944.61</v>
      </c>
      <c r="N162" s="32" t="n">
        <v>10936.83</v>
      </c>
      <c r="O162" s="32" t="n">
        <v>10963.35</v>
      </c>
      <c r="P162" s="45" t="n">
        <f aca="false">ABS(M162-N162)</f>
        <v>7.78000000000066</v>
      </c>
      <c r="Q162" s="45" t="n">
        <f aca="false">IF(O162="","",ABS(O162-M162))</f>
        <v>18.7399999999998</v>
      </c>
      <c r="R162" s="31" t="n">
        <f aca="false">P162*L162*Summary!$C$6</f>
        <v>38.9000000000033</v>
      </c>
      <c r="S162" s="32" t="n">
        <v>10963.4</v>
      </c>
      <c r="T162" s="29" t="s">
        <v>227</v>
      </c>
      <c r="U162" s="45" t="n">
        <f aca="false">IF(J162="BUY",S162-M162,M162-S162)</f>
        <v>18.7899999999991</v>
      </c>
      <c r="V162" s="46" t="n">
        <v>0</v>
      </c>
      <c r="W162" s="46" t="n">
        <v>0</v>
      </c>
      <c r="X162" s="46" t="n">
        <v>93.95</v>
      </c>
      <c r="Y162" s="33" t="n">
        <f aca="false">IFERROR(X162/R162,0)</f>
        <v>2.41516709511548</v>
      </c>
      <c r="Z162" s="29" t="str">
        <f aca="false">IF(X162&gt;0,"Win",IF(X162&lt;0,"Loss","Flat"))</f>
        <v>Win</v>
      </c>
      <c r="AA162" s="29" t="n">
        <f aca="false">ROUND((C162-B162)*1440,1)</f>
        <v>14.1</v>
      </c>
      <c r="AB162" s="29" t="str">
        <f aca="false">IF(AA162&lt;1,"a) &lt;1 min",IF(AA162&lt;10,"b) 1-10 min",IF(AA162&lt;60,"c) 10-60 min",IF(AA162&lt;240,"d) 1-4 h","e) 4 h+"))))</f>
        <v>c) 10-60 min</v>
      </c>
      <c r="AC162" s="29" t="str">
        <f aca="false">IF(P162&lt;10,"a) &lt;10",IF(P162&lt;20,"b) 10-20",IF(P162&lt;40,"c) 20-40",IF(P162&lt;80,"d) 40-80","e) 80+"))))</f>
        <v>a) &lt;10</v>
      </c>
      <c r="AD162" s="31" t="n">
        <f aca="false">Summary!$C$5+SUM(X$2:X162)</f>
        <v>11141.48</v>
      </c>
      <c r="AE162" s="31" t="n">
        <f aca="false">MAX(AE161,AD162)</f>
        <v>12292.03</v>
      </c>
      <c r="AF162" s="31" t="n">
        <f aca="false">AE162-AD162</f>
        <v>1150.55</v>
      </c>
      <c r="AG162" s="30" t="n">
        <f aca="false">IFERROR(AF162/AE162,0)</f>
        <v>0.093601301005611</v>
      </c>
    </row>
    <row r="163" customFormat="false" ht="15" hidden="false" customHeight="false" outlineLevel="0" collapsed="false">
      <c r="A163" s="29" t="n">
        <v>162</v>
      </c>
      <c r="B163" s="44" t="n">
        <v>44873.1048611111</v>
      </c>
      <c r="C163" s="44" t="n">
        <v>44873.1189236111</v>
      </c>
      <c r="D163" s="43" t="n">
        <f aca="false">INT(C163)</f>
        <v>44873</v>
      </c>
      <c r="E163" s="43" t="n">
        <f aca="false">D163-WEEKDAY(D163,3)</f>
        <v>44872</v>
      </c>
      <c r="F163" s="29" t="s">
        <v>151</v>
      </c>
      <c r="G163" s="29" t="n">
        <v>2022</v>
      </c>
      <c r="H163" s="29" t="s">
        <v>248</v>
      </c>
      <c r="I163" s="29" t="n">
        <v>2</v>
      </c>
      <c r="J163" s="29" t="s">
        <v>246</v>
      </c>
      <c r="K163" s="29" t="s">
        <v>247</v>
      </c>
      <c r="L163" s="29" t="n">
        <v>0.05</v>
      </c>
      <c r="M163" s="32" t="n">
        <v>11010.91</v>
      </c>
      <c r="N163" s="32" t="n">
        <v>11004.56</v>
      </c>
      <c r="O163" s="32" t="n">
        <v>11026.48</v>
      </c>
      <c r="P163" s="45" t="n">
        <f aca="false">ABS(M163-N163)</f>
        <v>6.35000000000036</v>
      </c>
      <c r="Q163" s="45" t="n">
        <f aca="false">IF(O163="","",ABS(O163-M163))</f>
        <v>15.5699999999997</v>
      </c>
      <c r="R163" s="31" t="n">
        <f aca="false">P163*L163*Summary!$C$6</f>
        <v>31.7500000000018</v>
      </c>
      <c r="S163" s="32" t="n">
        <v>11010.81</v>
      </c>
      <c r="T163" s="29" t="s">
        <v>255</v>
      </c>
      <c r="U163" s="45" t="n">
        <f aca="false">IF(J163="BUY",S163-M163,M163-S163)</f>
        <v>-0.100000000000364</v>
      </c>
      <c r="V163" s="46" t="n">
        <v>0</v>
      </c>
      <c r="W163" s="46" t="n">
        <v>0</v>
      </c>
      <c r="X163" s="46" t="n">
        <v>-0.5</v>
      </c>
      <c r="Y163" s="33" t="n">
        <f aca="false">IFERROR(X163/R163,0)</f>
        <v>-0.0157480314960621</v>
      </c>
      <c r="Z163" s="29" t="str">
        <f aca="false">IF(X163&gt;0,"Win",IF(X163&lt;0,"Loss","Flat"))</f>
        <v>Loss</v>
      </c>
      <c r="AA163" s="29" t="n">
        <f aca="false">ROUND((C163-B163)*1440,1)</f>
        <v>20.3</v>
      </c>
      <c r="AB163" s="29" t="str">
        <f aca="false">IF(AA163&lt;1,"a) &lt;1 min",IF(AA163&lt;10,"b) 1-10 min",IF(AA163&lt;60,"c) 10-60 min",IF(AA163&lt;240,"d) 1-4 h","e) 4 h+"))))</f>
        <v>c) 10-60 min</v>
      </c>
      <c r="AC163" s="29" t="str">
        <f aca="false">IF(P163&lt;10,"a) &lt;10",IF(P163&lt;20,"b) 10-20",IF(P163&lt;40,"c) 20-40",IF(P163&lt;80,"d) 40-80","e) 80+"))))</f>
        <v>a) &lt;10</v>
      </c>
      <c r="AD163" s="31" t="n">
        <f aca="false">Summary!$C$5+SUM(X$2:X163)</f>
        <v>11140.98</v>
      </c>
      <c r="AE163" s="31" t="n">
        <f aca="false">MAX(AE162,AD163)</f>
        <v>12292.03</v>
      </c>
      <c r="AF163" s="31" t="n">
        <f aca="false">AE163-AD163</f>
        <v>1151.05</v>
      </c>
      <c r="AG163" s="30" t="n">
        <f aca="false">IFERROR(AF163/AE163,0)</f>
        <v>0.0936419777693352</v>
      </c>
    </row>
    <row r="164" customFormat="false" ht="15" hidden="false" customHeight="false" outlineLevel="0" collapsed="false">
      <c r="A164" s="29" t="n">
        <v>163</v>
      </c>
      <c r="B164" s="44" t="n">
        <v>44874.8527777778</v>
      </c>
      <c r="C164" s="44" t="n">
        <v>44874.8547222222</v>
      </c>
      <c r="D164" s="43" t="n">
        <f aca="false">INT(C164)</f>
        <v>44874</v>
      </c>
      <c r="E164" s="43" t="n">
        <f aca="false">D164-WEEKDAY(D164,3)</f>
        <v>44872</v>
      </c>
      <c r="F164" s="29" t="s">
        <v>151</v>
      </c>
      <c r="G164" s="29" t="n">
        <v>2022</v>
      </c>
      <c r="H164" s="29" t="s">
        <v>252</v>
      </c>
      <c r="I164" s="29" t="n">
        <v>20</v>
      </c>
      <c r="J164" s="29" t="s">
        <v>250</v>
      </c>
      <c r="K164" s="29" t="s">
        <v>251</v>
      </c>
      <c r="L164" s="29" t="n">
        <v>0.05</v>
      </c>
      <c r="M164" s="32" t="n">
        <v>10888.18</v>
      </c>
      <c r="N164" s="32" t="n">
        <v>10897.48</v>
      </c>
      <c r="O164" s="32" t="n">
        <v>10865.39</v>
      </c>
      <c r="P164" s="45" t="n">
        <f aca="false">ABS(M164-N164)</f>
        <v>9.29999999999927</v>
      </c>
      <c r="Q164" s="45" t="n">
        <f aca="false">IF(O164="","",ABS(O164-M164))</f>
        <v>22.7900000000009</v>
      </c>
      <c r="R164" s="31" t="n">
        <f aca="false">P164*L164*Summary!$C$6</f>
        <v>46.4999999999964</v>
      </c>
      <c r="S164" s="32" t="n">
        <v>10865.19</v>
      </c>
      <c r="T164" s="29" t="s">
        <v>227</v>
      </c>
      <c r="U164" s="45" t="n">
        <f aca="false">IF(J164="BUY",S164-M164,M164-S164)</f>
        <v>22.9899999999998</v>
      </c>
      <c r="V164" s="46" t="n">
        <v>0</v>
      </c>
      <c r="W164" s="46" t="n">
        <v>0</v>
      </c>
      <c r="X164" s="46" t="n">
        <v>114.95</v>
      </c>
      <c r="Y164" s="33" t="n">
        <f aca="false">IFERROR(X164/R164,0)</f>
        <v>2.47204301075288</v>
      </c>
      <c r="Z164" s="29" t="str">
        <f aca="false">IF(X164&gt;0,"Win",IF(X164&lt;0,"Loss","Flat"))</f>
        <v>Win</v>
      </c>
      <c r="AA164" s="29" t="n">
        <f aca="false">ROUND((C164-B164)*1440,1)</f>
        <v>2.8</v>
      </c>
      <c r="AB164" s="29" t="str">
        <f aca="false">IF(AA164&lt;1,"a) &lt;1 min",IF(AA164&lt;10,"b) 1-10 min",IF(AA164&lt;60,"c) 10-60 min",IF(AA164&lt;240,"d) 1-4 h","e) 4 h+"))))</f>
        <v>b) 1-10 min</v>
      </c>
      <c r="AC164" s="29" t="str">
        <f aca="false">IF(P164&lt;10,"a) &lt;10",IF(P164&lt;20,"b) 10-20",IF(P164&lt;40,"c) 20-40",IF(P164&lt;80,"d) 40-80","e) 80+"))))</f>
        <v>a) &lt;10</v>
      </c>
      <c r="AD164" s="31" t="n">
        <f aca="false">Summary!$C$5+SUM(X$2:X164)</f>
        <v>11255.93</v>
      </c>
      <c r="AE164" s="31" t="n">
        <f aca="false">MAX(AE163,AD164)</f>
        <v>12292.03</v>
      </c>
      <c r="AF164" s="31" t="n">
        <f aca="false">AE164-AD164</f>
        <v>1036.1</v>
      </c>
      <c r="AG164" s="30" t="n">
        <f aca="false">IFERROR(AF164/AE164,0)</f>
        <v>0.0842903897891561</v>
      </c>
    </row>
    <row r="165" customFormat="false" ht="15" hidden="false" customHeight="false" outlineLevel="0" collapsed="false">
      <c r="A165" s="29" t="n">
        <v>164</v>
      </c>
      <c r="B165" s="44" t="n">
        <v>44875.6472222222</v>
      </c>
      <c r="C165" s="44" t="n">
        <v>44875.7051736111</v>
      </c>
      <c r="D165" s="43" t="n">
        <f aca="false">INT(C165)</f>
        <v>44875</v>
      </c>
      <c r="E165" s="43" t="n">
        <f aca="false">D165-WEEKDAY(D165,3)</f>
        <v>44872</v>
      </c>
      <c r="F165" s="29" t="s">
        <v>151</v>
      </c>
      <c r="G165" s="29" t="n">
        <v>2022</v>
      </c>
      <c r="H165" s="29" t="s">
        <v>253</v>
      </c>
      <c r="I165" s="29" t="n">
        <v>15</v>
      </c>
      <c r="J165" s="29" t="s">
        <v>246</v>
      </c>
      <c r="K165" s="29" t="s">
        <v>247</v>
      </c>
      <c r="L165" s="29" t="n">
        <v>0.05</v>
      </c>
      <c r="M165" s="32" t="n">
        <v>11168.22</v>
      </c>
      <c r="N165" s="32" t="n">
        <v>11080.66</v>
      </c>
      <c r="O165" s="32" t="n">
        <v>11382.74</v>
      </c>
      <c r="P165" s="45" t="n">
        <f aca="false">ABS(M165-N165)</f>
        <v>87.5599999999995</v>
      </c>
      <c r="Q165" s="45" t="n">
        <f aca="false">IF(O165="","",ABS(O165-M165))</f>
        <v>214.52</v>
      </c>
      <c r="R165" s="31" t="n">
        <f aca="false">P165*L165*Summary!$C$6</f>
        <v>437.799999999997</v>
      </c>
      <c r="S165" s="32" t="n">
        <v>11382.82</v>
      </c>
      <c r="T165" s="29" t="s">
        <v>227</v>
      </c>
      <c r="U165" s="45" t="n">
        <f aca="false">IF(J165="BUY",S165-M165,M165-S165)</f>
        <v>214.6</v>
      </c>
      <c r="V165" s="46" t="n">
        <v>0</v>
      </c>
      <c r="W165" s="46" t="n">
        <v>0</v>
      </c>
      <c r="X165" s="46" t="n">
        <v>1073</v>
      </c>
      <c r="Y165" s="33" t="n">
        <f aca="false">IFERROR(X165/R165,0)</f>
        <v>2.450890817725</v>
      </c>
      <c r="Z165" s="29" t="str">
        <f aca="false">IF(X165&gt;0,"Win",IF(X165&lt;0,"Loss","Flat"))</f>
        <v>Win</v>
      </c>
      <c r="AA165" s="29" t="n">
        <f aca="false">ROUND((C165-B165)*1440,1)</f>
        <v>83.5</v>
      </c>
      <c r="AB165" s="29" t="str">
        <f aca="false">IF(AA165&lt;1,"a) &lt;1 min",IF(AA165&lt;10,"b) 1-10 min",IF(AA165&lt;60,"c) 10-60 min",IF(AA165&lt;240,"d) 1-4 h","e) 4 h+"))))</f>
        <v>d) 1-4 h</v>
      </c>
      <c r="AC165" s="29" t="str">
        <f aca="false">IF(P165&lt;10,"a) &lt;10",IF(P165&lt;20,"b) 10-20",IF(P165&lt;40,"c) 20-40",IF(P165&lt;80,"d) 40-80","e) 80+"))))</f>
        <v>e) 80+</v>
      </c>
      <c r="AD165" s="31" t="n">
        <f aca="false">Summary!$C$5+SUM(X$2:X165)</f>
        <v>12328.93</v>
      </c>
      <c r="AE165" s="31" t="n">
        <f aca="false">MAX(AE164,AD165)</f>
        <v>12328.93</v>
      </c>
      <c r="AF165" s="31" t="n">
        <f aca="false">AE165-AD165</f>
        <v>0</v>
      </c>
      <c r="AG165" s="30" t="n">
        <f aca="false">IFERROR(AF165/AE165,0)</f>
        <v>0</v>
      </c>
    </row>
    <row r="166" customFormat="false" ht="15" hidden="false" customHeight="false" outlineLevel="0" collapsed="false">
      <c r="A166" s="29" t="n">
        <v>165</v>
      </c>
      <c r="B166" s="44" t="n">
        <v>44876.0423611111</v>
      </c>
      <c r="C166" s="44" t="n">
        <v>44876.0892939815</v>
      </c>
      <c r="D166" s="43" t="n">
        <f aca="false">INT(C166)</f>
        <v>44876</v>
      </c>
      <c r="E166" s="43" t="n">
        <f aca="false">D166-WEEKDAY(D166,3)</f>
        <v>44872</v>
      </c>
      <c r="F166" s="29" t="s">
        <v>151</v>
      </c>
      <c r="G166" s="29" t="n">
        <v>2022</v>
      </c>
      <c r="H166" s="29" t="s">
        <v>254</v>
      </c>
      <c r="I166" s="29" t="n">
        <v>1</v>
      </c>
      <c r="J166" s="29" t="s">
        <v>246</v>
      </c>
      <c r="K166" s="29" t="s">
        <v>247</v>
      </c>
      <c r="L166" s="29" t="n">
        <v>0.05</v>
      </c>
      <c r="M166" s="32" t="n">
        <v>11620.39</v>
      </c>
      <c r="N166" s="32" t="n">
        <v>11606.28</v>
      </c>
      <c r="O166" s="32" t="n">
        <v>11655.02</v>
      </c>
      <c r="P166" s="45" t="n">
        <f aca="false">ABS(M166-N166)</f>
        <v>14.1099999999988</v>
      </c>
      <c r="Q166" s="45" t="n">
        <f aca="false">IF(O166="","",ABS(O166-M166))</f>
        <v>34.630000000001</v>
      </c>
      <c r="R166" s="31" t="n">
        <f aca="false">P166*L166*Summary!$C$6</f>
        <v>70.5499999999938</v>
      </c>
      <c r="S166" s="32" t="n">
        <v>11620.35</v>
      </c>
      <c r="T166" s="29" t="s">
        <v>255</v>
      </c>
      <c r="U166" s="45" t="n">
        <f aca="false">IF(J166="BUY",S166-M166,M166-S166)</f>
        <v>-0.0399999999990541</v>
      </c>
      <c r="V166" s="46" t="n">
        <v>0</v>
      </c>
      <c r="W166" s="46" t="n">
        <v>0</v>
      </c>
      <c r="X166" s="46" t="n">
        <v>-0.2</v>
      </c>
      <c r="Y166" s="33" t="n">
        <f aca="false">IFERROR(X166/R166,0)</f>
        <v>-0.00283486888731421</v>
      </c>
      <c r="Z166" s="29" t="str">
        <f aca="false">IF(X166&gt;0,"Win",IF(X166&lt;0,"Loss","Flat"))</f>
        <v>Loss</v>
      </c>
      <c r="AA166" s="29" t="n">
        <f aca="false">ROUND((C166-B166)*1440,1)</f>
        <v>67.6</v>
      </c>
      <c r="AB166" s="29" t="str">
        <f aca="false">IF(AA166&lt;1,"a) &lt;1 min",IF(AA166&lt;10,"b) 1-10 min",IF(AA166&lt;60,"c) 10-60 min",IF(AA166&lt;240,"d) 1-4 h","e) 4 h+"))))</f>
        <v>d) 1-4 h</v>
      </c>
      <c r="AC166" s="29" t="str">
        <f aca="false">IF(P166&lt;10,"a) &lt;10",IF(P166&lt;20,"b) 10-20",IF(P166&lt;40,"c) 20-40",IF(P166&lt;80,"d) 40-80","e) 80+"))))</f>
        <v>b) 10-20</v>
      </c>
      <c r="AD166" s="31" t="n">
        <f aca="false">Summary!$C$5+SUM(X$2:X166)</f>
        <v>12328.73</v>
      </c>
      <c r="AE166" s="31" t="n">
        <f aca="false">MAX(AE165,AD166)</f>
        <v>12328.93</v>
      </c>
      <c r="AF166" s="31" t="n">
        <f aca="false">AE166-AD166</f>
        <v>0.200000000000728</v>
      </c>
      <c r="AG166" s="30" t="n">
        <f aca="false">IFERROR(AF166/AE166,0)</f>
        <v>1.62220079115323E-005</v>
      </c>
    </row>
    <row r="167" customFormat="false" ht="15" hidden="false" customHeight="false" outlineLevel="0" collapsed="false">
      <c r="A167" s="29" t="n">
        <v>166</v>
      </c>
      <c r="B167" s="44" t="n">
        <v>44879.8520833333</v>
      </c>
      <c r="C167" s="44" t="n">
        <v>44879.8548611111</v>
      </c>
      <c r="D167" s="43" t="n">
        <f aca="false">INT(C167)</f>
        <v>44879</v>
      </c>
      <c r="E167" s="43" t="n">
        <f aca="false">D167-WEEKDAY(D167,3)</f>
        <v>44879</v>
      </c>
      <c r="F167" s="29" t="s">
        <v>151</v>
      </c>
      <c r="G167" s="29" t="n">
        <v>2022</v>
      </c>
      <c r="H167" s="29" t="s">
        <v>245</v>
      </c>
      <c r="I167" s="29" t="n">
        <v>20</v>
      </c>
      <c r="J167" s="29" t="s">
        <v>246</v>
      </c>
      <c r="K167" s="29" t="s">
        <v>247</v>
      </c>
      <c r="L167" s="29" t="n">
        <v>0.05</v>
      </c>
      <c r="M167" s="32" t="n">
        <v>11842.24</v>
      </c>
      <c r="N167" s="32" t="n">
        <v>11835.48</v>
      </c>
      <c r="O167" s="32" t="n">
        <v>11858.91</v>
      </c>
      <c r="P167" s="45" t="n">
        <f aca="false">ABS(M167-N167)</f>
        <v>6.76000000000022</v>
      </c>
      <c r="Q167" s="45" t="n">
        <f aca="false">IF(O167="","",ABS(O167-M167))</f>
        <v>16.6700000000001</v>
      </c>
      <c r="R167" s="31" t="n">
        <f aca="false">P167*L167*Summary!$C$6</f>
        <v>33.8000000000011</v>
      </c>
      <c r="S167" s="32" t="n">
        <v>11841.89</v>
      </c>
      <c r="T167" s="29" t="s">
        <v>255</v>
      </c>
      <c r="U167" s="45" t="n">
        <f aca="false">IF(J167="BUY",S167-M167,M167-S167)</f>
        <v>-0.350000000000364</v>
      </c>
      <c r="V167" s="46" t="n">
        <v>0</v>
      </c>
      <c r="W167" s="46" t="n">
        <v>0</v>
      </c>
      <c r="X167" s="46" t="n">
        <v>-1.75</v>
      </c>
      <c r="Y167" s="33" t="n">
        <f aca="false">IFERROR(X167/R167,0)</f>
        <v>-0.0517751479289924</v>
      </c>
      <c r="Z167" s="29" t="str">
        <f aca="false">IF(X167&gt;0,"Win",IF(X167&lt;0,"Loss","Flat"))</f>
        <v>Loss</v>
      </c>
      <c r="AA167" s="29" t="n">
        <f aca="false">ROUND((C167-B167)*1440,1)</f>
        <v>4</v>
      </c>
      <c r="AB167" s="29" t="str">
        <f aca="false">IF(AA167&lt;1,"a) &lt;1 min",IF(AA167&lt;10,"b) 1-10 min",IF(AA167&lt;60,"c) 10-60 min",IF(AA167&lt;240,"d) 1-4 h","e) 4 h+"))))</f>
        <v>b) 1-10 min</v>
      </c>
      <c r="AC167" s="29" t="str">
        <f aca="false">IF(P167&lt;10,"a) &lt;10",IF(P167&lt;20,"b) 10-20",IF(P167&lt;40,"c) 20-40",IF(P167&lt;80,"d) 40-80","e) 80+"))))</f>
        <v>a) &lt;10</v>
      </c>
      <c r="AD167" s="31" t="n">
        <f aca="false">Summary!$C$5+SUM(X$2:X167)</f>
        <v>12326.98</v>
      </c>
      <c r="AE167" s="31" t="n">
        <f aca="false">MAX(AE166,AD167)</f>
        <v>12328.93</v>
      </c>
      <c r="AF167" s="31" t="n">
        <f aca="false">AE167-AD167</f>
        <v>1.95000000000073</v>
      </c>
      <c r="AG167" s="30" t="n">
        <f aca="false">IFERROR(AF167/AE167,0)</f>
        <v>0.000158164577136923</v>
      </c>
    </row>
    <row r="168" customFormat="false" ht="15" hidden="false" customHeight="false" outlineLevel="0" collapsed="false">
      <c r="A168" s="29" t="n">
        <v>167</v>
      </c>
      <c r="B168" s="44" t="n">
        <v>44880.6020833333</v>
      </c>
      <c r="C168" s="44" t="n">
        <v>44880.6103472222</v>
      </c>
      <c r="D168" s="43" t="n">
        <f aca="false">INT(C168)</f>
        <v>44880</v>
      </c>
      <c r="E168" s="43" t="n">
        <f aca="false">D168-WEEKDAY(D168,3)</f>
        <v>44879</v>
      </c>
      <c r="F168" s="29" t="s">
        <v>151</v>
      </c>
      <c r="G168" s="29" t="n">
        <v>2022</v>
      </c>
      <c r="H168" s="29" t="s">
        <v>248</v>
      </c>
      <c r="I168" s="29" t="n">
        <v>14</v>
      </c>
      <c r="J168" s="29" t="s">
        <v>246</v>
      </c>
      <c r="K168" s="29" t="s">
        <v>247</v>
      </c>
      <c r="L168" s="29" t="n">
        <v>0.05</v>
      </c>
      <c r="M168" s="32" t="n">
        <v>11867.12</v>
      </c>
      <c r="N168" s="32" t="n">
        <v>11859.93</v>
      </c>
      <c r="O168" s="32" t="n">
        <v>11885.23</v>
      </c>
      <c r="P168" s="45" t="n">
        <f aca="false">ABS(M168-N168)</f>
        <v>7.19000000000051</v>
      </c>
      <c r="Q168" s="45" t="n">
        <f aca="false">IF(O168="","",ABS(O168-M168))</f>
        <v>18.1099999999988</v>
      </c>
      <c r="R168" s="31" t="n">
        <f aca="false">P168*L168*Summary!$C$6</f>
        <v>35.9500000000026</v>
      </c>
      <c r="S168" s="32" t="n">
        <v>11885.27</v>
      </c>
      <c r="T168" s="29" t="s">
        <v>227</v>
      </c>
      <c r="U168" s="45" t="n">
        <f aca="false">IF(J168="BUY",S168-M168,M168-S168)</f>
        <v>18.1499999999996</v>
      </c>
      <c r="V168" s="46" t="n">
        <v>0</v>
      </c>
      <c r="W168" s="46" t="n">
        <v>0</v>
      </c>
      <c r="X168" s="46" t="n">
        <v>90.75</v>
      </c>
      <c r="Y168" s="33" t="n">
        <f aca="false">IFERROR(X168/R168,0)</f>
        <v>2.52433936022235</v>
      </c>
      <c r="Z168" s="29" t="str">
        <f aca="false">IF(X168&gt;0,"Win",IF(X168&lt;0,"Loss","Flat"))</f>
        <v>Win</v>
      </c>
      <c r="AA168" s="29" t="n">
        <f aca="false">ROUND((C168-B168)*1440,1)</f>
        <v>11.9</v>
      </c>
      <c r="AB168" s="29" t="str">
        <f aca="false">IF(AA168&lt;1,"a) &lt;1 min",IF(AA168&lt;10,"b) 1-10 min",IF(AA168&lt;60,"c) 10-60 min",IF(AA168&lt;240,"d) 1-4 h","e) 4 h+"))))</f>
        <v>c) 10-60 min</v>
      </c>
      <c r="AC168" s="29" t="str">
        <f aca="false">IF(P168&lt;10,"a) &lt;10",IF(P168&lt;20,"b) 10-20",IF(P168&lt;40,"c) 20-40",IF(P168&lt;80,"d) 40-80","e) 80+"))))</f>
        <v>a) &lt;10</v>
      </c>
      <c r="AD168" s="31" t="n">
        <f aca="false">Summary!$C$5+SUM(X$2:X168)</f>
        <v>12417.73</v>
      </c>
      <c r="AE168" s="31" t="n">
        <f aca="false">MAX(AE167,AD168)</f>
        <v>12417.73</v>
      </c>
      <c r="AF168" s="31" t="n">
        <f aca="false">AE168-AD168</f>
        <v>0</v>
      </c>
      <c r="AG168" s="30" t="n">
        <f aca="false">IFERROR(AF168/AE168,0)</f>
        <v>0</v>
      </c>
    </row>
    <row r="169" customFormat="false" ht="15" hidden="false" customHeight="false" outlineLevel="0" collapsed="false">
      <c r="A169" s="29" t="n">
        <v>168</v>
      </c>
      <c r="B169" s="44" t="n">
        <v>44881.7013888889</v>
      </c>
      <c r="C169" s="44" t="n">
        <v>44881.7055208333</v>
      </c>
      <c r="D169" s="43" t="n">
        <f aca="false">INT(C169)</f>
        <v>44881</v>
      </c>
      <c r="E169" s="43" t="n">
        <f aca="false">D169-WEEKDAY(D169,3)</f>
        <v>44879</v>
      </c>
      <c r="F169" s="29" t="s">
        <v>151</v>
      </c>
      <c r="G169" s="29" t="n">
        <v>2022</v>
      </c>
      <c r="H169" s="29" t="s">
        <v>252</v>
      </c>
      <c r="I169" s="29" t="n">
        <v>16</v>
      </c>
      <c r="J169" s="29" t="s">
        <v>250</v>
      </c>
      <c r="K169" s="29" t="s">
        <v>251</v>
      </c>
      <c r="L169" s="29" t="n">
        <v>0.05</v>
      </c>
      <c r="M169" s="32" t="n">
        <v>11719.21</v>
      </c>
      <c r="N169" s="32" t="n">
        <v>11744.42</v>
      </c>
      <c r="O169" s="32" t="n">
        <v>11661.14</v>
      </c>
      <c r="P169" s="45" t="n">
        <f aca="false">ABS(M169-N169)</f>
        <v>25.2100000000009</v>
      </c>
      <c r="Q169" s="45" t="n">
        <f aca="false">IF(O169="","",ABS(O169-M169))</f>
        <v>58.0699999999997</v>
      </c>
      <c r="R169" s="31" t="n">
        <f aca="false">P169*L169*Summary!$C$6</f>
        <v>126.050000000005</v>
      </c>
      <c r="S169" s="32" t="n">
        <v>11744.84</v>
      </c>
      <c r="T169" s="29" t="s">
        <v>249</v>
      </c>
      <c r="U169" s="45" t="n">
        <f aca="false">IF(J169="BUY",S169-M169,M169-S169)</f>
        <v>-25.630000000001</v>
      </c>
      <c r="V169" s="46" t="n">
        <v>0</v>
      </c>
      <c r="W169" s="46" t="n">
        <v>0</v>
      </c>
      <c r="X169" s="46" t="n">
        <v>-128.15</v>
      </c>
      <c r="Y169" s="33" t="n">
        <f aca="false">IFERROR(X169/R169,0)</f>
        <v>-1.01666005553348</v>
      </c>
      <c r="Z169" s="29" t="str">
        <f aca="false">IF(X169&gt;0,"Win",IF(X169&lt;0,"Loss","Flat"))</f>
        <v>Loss</v>
      </c>
      <c r="AA169" s="29" t="n">
        <f aca="false">ROUND((C169-B169)*1440,1)</f>
        <v>6</v>
      </c>
      <c r="AB169" s="29" t="str">
        <f aca="false">IF(AA169&lt;1,"a) &lt;1 min",IF(AA169&lt;10,"b) 1-10 min",IF(AA169&lt;60,"c) 10-60 min",IF(AA169&lt;240,"d) 1-4 h","e) 4 h+"))))</f>
        <v>b) 1-10 min</v>
      </c>
      <c r="AC169" s="29" t="str">
        <f aca="false">IF(P169&lt;10,"a) &lt;10",IF(P169&lt;20,"b) 10-20",IF(P169&lt;40,"c) 20-40",IF(P169&lt;80,"d) 40-80","e) 80+"))))</f>
        <v>c) 20-40</v>
      </c>
      <c r="AD169" s="31" t="n">
        <f aca="false">Summary!$C$5+SUM(X$2:X169)</f>
        <v>12289.58</v>
      </c>
      <c r="AE169" s="31" t="n">
        <f aca="false">MAX(AE168,AD169)</f>
        <v>12417.73</v>
      </c>
      <c r="AF169" s="31" t="n">
        <f aca="false">AE169-AD169</f>
        <v>128.15</v>
      </c>
      <c r="AG169" s="30" t="n">
        <f aca="false">IFERROR(AF169/AE169,0)</f>
        <v>0.010319921595976</v>
      </c>
    </row>
    <row r="170" customFormat="false" ht="15" hidden="false" customHeight="false" outlineLevel="0" collapsed="false">
      <c r="A170" s="29" t="n">
        <v>169</v>
      </c>
      <c r="B170" s="44" t="n">
        <v>44882.5354166667</v>
      </c>
      <c r="C170" s="44" t="n">
        <v>44882.5385300926</v>
      </c>
      <c r="D170" s="43" t="n">
        <f aca="false">INT(C170)</f>
        <v>44882</v>
      </c>
      <c r="E170" s="43" t="n">
        <f aca="false">D170-WEEKDAY(D170,3)</f>
        <v>44879</v>
      </c>
      <c r="F170" s="29" t="s">
        <v>151</v>
      </c>
      <c r="G170" s="29" t="n">
        <v>2022</v>
      </c>
      <c r="H170" s="29" t="s">
        <v>253</v>
      </c>
      <c r="I170" s="29" t="n">
        <v>12</v>
      </c>
      <c r="J170" s="29" t="s">
        <v>250</v>
      </c>
      <c r="K170" s="29" t="s">
        <v>251</v>
      </c>
      <c r="L170" s="29" t="n">
        <v>0.05</v>
      </c>
      <c r="M170" s="32" t="n">
        <v>11652.9</v>
      </c>
      <c r="N170" s="32" t="n">
        <v>11662.69</v>
      </c>
      <c r="O170" s="32" t="n">
        <v>11628.22</v>
      </c>
      <c r="P170" s="45" t="n">
        <f aca="false">ABS(M170-N170)</f>
        <v>9.79000000000087</v>
      </c>
      <c r="Q170" s="45" t="n">
        <f aca="false">IF(O170="","",ABS(O170-M170))</f>
        <v>24.6800000000003</v>
      </c>
      <c r="R170" s="31" t="n">
        <f aca="false">P170*L170*Summary!$C$6</f>
        <v>48.9500000000044</v>
      </c>
      <c r="S170" s="32" t="n">
        <v>11628.12</v>
      </c>
      <c r="T170" s="29" t="s">
        <v>227</v>
      </c>
      <c r="U170" s="45" t="n">
        <f aca="false">IF(J170="BUY",S170-M170,M170-S170)</f>
        <v>24.7799999999988</v>
      </c>
      <c r="V170" s="46" t="n">
        <v>0</v>
      </c>
      <c r="W170" s="46" t="n">
        <v>0</v>
      </c>
      <c r="X170" s="46" t="n">
        <v>123.9</v>
      </c>
      <c r="Y170" s="33" t="n">
        <f aca="false">IFERROR(X170/R170,0)</f>
        <v>2.53115423901918</v>
      </c>
      <c r="Z170" s="29" t="str">
        <f aca="false">IF(X170&gt;0,"Win",IF(X170&lt;0,"Loss","Flat"))</f>
        <v>Win</v>
      </c>
      <c r="AA170" s="29" t="n">
        <f aca="false">ROUND((C170-B170)*1440,1)</f>
        <v>4.5</v>
      </c>
      <c r="AB170" s="29" t="str">
        <f aca="false">IF(AA170&lt;1,"a) &lt;1 min",IF(AA170&lt;10,"b) 1-10 min",IF(AA170&lt;60,"c) 10-60 min",IF(AA170&lt;240,"d) 1-4 h","e) 4 h+"))))</f>
        <v>b) 1-10 min</v>
      </c>
      <c r="AC170" s="29" t="str">
        <f aca="false">IF(P170&lt;10,"a) &lt;10",IF(P170&lt;20,"b) 10-20",IF(P170&lt;40,"c) 20-40",IF(P170&lt;80,"d) 40-80","e) 80+"))))</f>
        <v>a) &lt;10</v>
      </c>
      <c r="AD170" s="31" t="n">
        <f aca="false">Summary!$C$5+SUM(X$2:X170)</f>
        <v>12413.48</v>
      </c>
      <c r="AE170" s="31" t="n">
        <f aca="false">MAX(AE169,AD170)</f>
        <v>12417.73</v>
      </c>
      <c r="AF170" s="31" t="n">
        <f aca="false">AE170-AD170</f>
        <v>4.25</v>
      </c>
      <c r="AG170" s="30" t="n">
        <f aca="false">IFERROR(AF170/AE170,0)</f>
        <v>0.000342252569511497</v>
      </c>
    </row>
    <row r="171" customFormat="false" ht="15" hidden="false" customHeight="false" outlineLevel="0" collapsed="false">
      <c r="A171" s="29" t="n">
        <v>170</v>
      </c>
      <c r="B171" s="44" t="n">
        <v>44883.5951388889</v>
      </c>
      <c r="C171" s="44" t="n">
        <v>44883.5983564815</v>
      </c>
      <c r="D171" s="43" t="n">
        <f aca="false">INT(C171)</f>
        <v>44883</v>
      </c>
      <c r="E171" s="43" t="n">
        <f aca="false">D171-WEEKDAY(D171,3)</f>
        <v>44879</v>
      </c>
      <c r="F171" s="29" t="s">
        <v>151</v>
      </c>
      <c r="G171" s="29" t="n">
        <v>2022</v>
      </c>
      <c r="H171" s="29" t="s">
        <v>254</v>
      </c>
      <c r="I171" s="29" t="n">
        <v>14</v>
      </c>
      <c r="J171" s="29" t="s">
        <v>246</v>
      </c>
      <c r="K171" s="29" t="s">
        <v>247</v>
      </c>
      <c r="L171" s="29" t="n">
        <v>0.05</v>
      </c>
      <c r="M171" s="32" t="n">
        <v>11795.27</v>
      </c>
      <c r="N171" s="32" t="n">
        <v>11789.67</v>
      </c>
      <c r="O171" s="32" t="n">
        <v>11808.99</v>
      </c>
      <c r="P171" s="45" t="n">
        <f aca="false">ABS(M171-N171)</f>
        <v>5.60000000000036</v>
      </c>
      <c r="Q171" s="45" t="n">
        <f aca="false">IF(O171="","",ABS(O171-M171))</f>
        <v>13.7199999999993</v>
      </c>
      <c r="R171" s="31" t="n">
        <f aca="false">P171*L171*Summary!$C$6</f>
        <v>28.0000000000018</v>
      </c>
      <c r="S171" s="32" t="n">
        <v>11789.65</v>
      </c>
      <c r="T171" s="29" t="s">
        <v>249</v>
      </c>
      <c r="U171" s="45" t="n">
        <f aca="false">IF(J171="BUY",S171-M171,M171-S171)</f>
        <v>-5.6200000000008</v>
      </c>
      <c r="V171" s="46" t="n">
        <v>0</v>
      </c>
      <c r="W171" s="46" t="n">
        <v>0</v>
      </c>
      <c r="X171" s="46" t="n">
        <v>-28.1</v>
      </c>
      <c r="Y171" s="33" t="n">
        <f aca="false">IFERROR(X171/R171,0)</f>
        <v>-1.00357142857136</v>
      </c>
      <c r="Z171" s="29" t="str">
        <f aca="false">IF(X171&gt;0,"Win",IF(X171&lt;0,"Loss","Flat"))</f>
        <v>Loss</v>
      </c>
      <c r="AA171" s="29" t="n">
        <f aca="false">ROUND((C171-B171)*1440,1)</f>
        <v>4.6</v>
      </c>
      <c r="AB171" s="29" t="str">
        <f aca="false">IF(AA171&lt;1,"a) &lt;1 min",IF(AA171&lt;10,"b) 1-10 min",IF(AA171&lt;60,"c) 10-60 min",IF(AA171&lt;240,"d) 1-4 h","e) 4 h+"))))</f>
        <v>b) 1-10 min</v>
      </c>
      <c r="AC171" s="29" t="str">
        <f aca="false">IF(P171&lt;10,"a) &lt;10",IF(P171&lt;20,"b) 10-20",IF(P171&lt;40,"c) 20-40",IF(P171&lt;80,"d) 40-80","e) 80+"))))</f>
        <v>a) &lt;10</v>
      </c>
      <c r="AD171" s="31" t="n">
        <f aca="false">Summary!$C$5+SUM(X$2:X171)</f>
        <v>12385.38</v>
      </c>
      <c r="AE171" s="31" t="n">
        <f aca="false">MAX(AE170,AD171)</f>
        <v>12417.73</v>
      </c>
      <c r="AF171" s="31" t="n">
        <f aca="false">AE171-AD171</f>
        <v>32.3499999999985</v>
      </c>
      <c r="AG171" s="30" t="n">
        <f aca="false">IFERROR(AF171/AE171,0)</f>
        <v>0.00260514602910504</v>
      </c>
    </row>
    <row r="172" customFormat="false" ht="15" hidden="false" customHeight="false" outlineLevel="0" collapsed="false">
      <c r="A172" s="29" t="n">
        <v>171</v>
      </c>
      <c r="B172" s="44" t="n">
        <v>44886.5819444444</v>
      </c>
      <c r="C172" s="44" t="n">
        <v>44886.5833333333</v>
      </c>
      <c r="D172" s="43" t="n">
        <f aca="false">INT(C172)</f>
        <v>44886</v>
      </c>
      <c r="E172" s="43" t="n">
        <f aca="false">D172-WEEKDAY(D172,3)</f>
        <v>44886</v>
      </c>
      <c r="F172" s="29" t="s">
        <v>151</v>
      </c>
      <c r="G172" s="29" t="n">
        <v>2022</v>
      </c>
      <c r="H172" s="29" t="s">
        <v>245</v>
      </c>
      <c r="I172" s="29" t="n">
        <v>13</v>
      </c>
      <c r="J172" s="29" t="s">
        <v>250</v>
      </c>
      <c r="K172" s="29" t="s">
        <v>251</v>
      </c>
      <c r="L172" s="29" t="n">
        <v>0.05</v>
      </c>
      <c r="M172" s="32" t="n">
        <v>11573</v>
      </c>
      <c r="N172" s="32" t="n">
        <v>11578.78</v>
      </c>
      <c r="O172" s="32" t="n">
        <v>11559.95</v>
      </c>
      <c r="P172" s="45" t="n">
        <f aca="false">ABS(M172-N172)</f>
        <v>5.78000000000066</v>
      </c>
      <c r="Q172" s="45" t="n">
        <f aca="false">IF(O172="","",ABS(O172-M172))</f>
        <v>13.0499999999993</v>
      </c>
      <c r="R172" s="31" t="n">
        <f aca="false">P172*L172*Summary!$C$6</f>
        <v>28.9000000000033</v>
      </c>
      <c r="S172" s="32" t="n">
        <v>11580.32</v>
      </c>
      <c r="T172" s="29" t="s">
        <v>249</v>
      </c>
      <c r="U172" s="45" t="n">
        <f aca="false">IF(J172="BUY",S172-M172,M172-S172)</f>
        <v>-7.31999999999971</v>
      </c>
      <c r="V172" s="46" t="n">
        <v>0</v>
      </c>
      <c r="W172" s="46" t="n">
        <v>0</v>
      </c>
      <c r="X172" s="46" t="n">
        <v>-36.6</v>
      </c>
      <c r="Y172" s="33" t="n">
        <f aca="false">IFERROR(X172/R172,0)</f>
        <v>-1.26643598615903</v>
      </c>
      <c r="Z172" s="29" t="str">
        <f aca="false">IF(X172&gt;0,"Win",IF(X172&lt;0,"Loss","Flat"))</f>
        <v>Loss</v>
      </c>
      <c r="AA172" s="29" t="n">
        <f aca="false">ROUND((C172-B172)*1440,1)</f>
        <v>2</v>
      </c>
      <c r="AB172" s="29" t="str">
        <f aca="false">IF(AA172&lt;1,"a) &lt;1 min",IF(AA172&lt;10,"b) 1-10 min",IF(AA172&lt;60,"c) 10-60 min",IF(AA172&lt;240,"d) 1-4 h","e) 4 h+"))))</f>
        <v>b) 1-10 min</v>
      </c>
      <c r="AC172" s="29" t="str">
        <f aca="false">IF(P172&lt;10,"a) &lt;10",IF(P172&lt;20,"b) 10-20",IF(P172&lt;40,"c) 20-40",IF(P172&lt;80,"d) 40-80","e) 80+"))))</f>
        <v>a) &lt;10</v>
      </c>
      <c r="AD172" s="31" t="n">
        <f aca="false">Summary!$C$5+SUM(X$2:X172)</f>
        <v>12348.78</v>
      </c>
      <c r="AE172" s="31" t="n">
        <f aca="false">MAX(AE171,AD172)</f>
        <v>12417.73</v>
      </c>
      <c r="AF172" s="31" t="n">
        <f aca="false">AE172-AD172</f>
        <v>68.9500000000007</v>
      </c>
      <c r="AG172" s="30" t="n">
        <f aca="false">IFERROR(AF172/AE172,0)</f>
        <v>0.00555254462772187</v>
      </c>
    </row>
    <row r="173" customFormat="false" ht="15" hidden="false" customHeight="false" outlineLevel="0" collapsed="false">
      <c r="A173" s="29" t="n">
        <v>172</v>
      </c>
      <c r="B173" s="44" t="n">
        <v>44887.4388888889</v>
      </c>
      <c r="C173" s="44" t="n">
        <v>44887.4432986111</v>
      </c>
      <c r="D173" s="43" t="n">
        <f aca="false">INT(C173)</f>
        <v>44887</v>
      </c>
      <c r="E173" s="43" t="n">
        <f aca="false">D173-WEEKDAY(D173,3)</f>
        <v>44886</v>
      </c>
      <c r="F173" s="29" t="s">
        <v>151</v>
      </c>
      <c r="G173" s="29" t="n">
        <v>2022</v>
      </c>
      <c r="H173" s="29" t="s">
        <v>248</v>
      </c>
      <c r="I173" s="29" t="n">
        <v>10</v>
      </c>
      <c r="J173" s="29" t="s">
        <v>250</v>
      </c>
      <c r="K173" s="29" t="s">
        <v>251</v>
      </c>
      <c r="L173" s="29" t="n">
        <v>0.05</v>
      </c>
      <c r="M173" s="32" t="n">
        <v>11519.96</v>
      </c>
      <c r="N173" s="32" t="n">
        <v>11527.03</v>
      </c>
      <c r="O173" s="32" t="n">
        <v>11503.51</v>
      </c>
      <c r="P173" s="45" t="n">
        <f aca="false">ABS(M173-N173)</f>
        <v>7.07000000000153</v>
      </c>
      <c r="Q173" s="45" t="n">
        <f aca="false">IF(O173="","",ABS(O173-M173))</f>
        <v>16.4499999999989</v>
      </c>
      <c r="R173" s="31" t="n">
        <f aca="false">P173*L173*Summary!$C$6</f>
        <v>35.3500000000076</v>
      </c>
      <c r="S173" s="32" t="n">
        <v>11503.35</v>
      </c>
      <c r="T173" s="29" t="s">
        <v>227</v>
      </c>
      <c r="U173" s="45" t="n">
        <f aca="false">IF(J173="BUY",S173-M173,M173-S173)</f>
        <v>16.6099999999988</v>
      </c>
      <c r="V173" s="46" t="n">
        <v>0</v>
      </c>
      <c r="W173" s="46" t="n">
        <v>0</v>
      </c>
      <c r="X173" s="46" t="n">
        <v>83.05</v>
      </c>
      <c r="Y173" s="33" t="n">
        <f aca="false">IFERROR(X173/R173,0)</f>
        <v>2.34936350777884</v>
      </c>
      <c r="Z173" s="29" t="str">
        <f aca="false">IF(X173&gt;0,"Win",IF(X173&lt;0,"Loss","Flat"))</f>
        <v>Win</v>
      </c>
      <c r="AA173" s="29" t="n">
        <f aca="false">ROUND((C173-B173)*1440,1)</f>
        <v>6.4</v>
      </c>
      <c r="AB173" s="29" t="str">
        <f aca="false">IF(AA173&lt;1,"a) &lt;1 min",IF(AA173&lt;10,"b) 1-10 min",IF(AA173&lt;60,"c) 10-60 min",IF(AA173&lt;240,"d) 1-4 h","e) 4 h+"))))</f>
        <v>b) 1-10 min</v>
      </c>
      <c r="AC173" s="29" t="str">
        <f aca="false">IF(P173&lt;10,"a) &lt;10",IF(P173&lt;20,"b) 10-20",IF(P173&lt;40,"c) 20-40",IF(P173&lt;80,"d) 40-80","e) 80+"))))</f>
        <v>a) &lt;10</v>
      </c>
      <c r="AD173" s="31" t="n">
        <f aca="false">Summary!$C$5+SUM(X$2:X173)</f>
        <v>12431.83</v>
      </c>
      <c r="AE173" s="31" t="n">
        <f aca="false">MAX(AE172,AD173)</f>
        <v>12431.83</v>
      </c>
      <c r="AF173" s="31" t="n">
        <f aca="false">AE173-AD173</f>
        <v>0</v>
      </c>
      <c r="AG173" s="30" t="n">
        <f aca="false">IFERROR(AF173/AE173,0)</f>
        <v>0</v>
      </c>
    </row>
    <row r="174" customFormat="false" ht="15" hidden="false" customHeight="false" outlineLevel="0" collapsed="false">
      <c r="A174" s="29" t="n">
        <v>173</v>
      </c>
      <c r="B174" s="44" t="n">
        <v>44887.95625</v>
      </c>
      <c r="C174" s="44" t="n">
        <v>44887.9572685185</v>
      </c>
      <c r="D174" s="43" t="n">
        <f aca="false">INT(C174)</f>
        <v>44887</v>
      </c>
      <c r="E174" s="43" t="n">
        <f aca="false">D174-WEEKDAY(D174,3)</f>
        <v>44886</v>
      </c>
      <c r="F174" s="29" t="s">
        <v>151</v>
      </c>
      <c r="G174" s="29" t="n">
        <v>2022</v>
      </c>
      <c r="H174" s="29" t="s">
        <v>248</v>
      </c>
      <c r="I174" s="29" t="n">
        <v>22</v>
      </c>
      <c r="J174" s="29" t="s">
        <v>246</v>
      </c>
      <c r="K174" s="29" t="s">
        <v>247</v>
      </c>
      <c r="L174" s="29" t="n">
        <v>0.05</v>
      </c>
      <c r="M174" s="32" t="n">
        <v>11723.09</v>
      </c>
      <c r="N174" s="32" t="n">
        <v>11716.11</v>
      </c>
      <c r="O174" s="32" t="n">
        <v>11739.29</v>
      </c>
      <c r="P174" s="45" t="n">
        <f aca="false">ABS(M174-N174)</f>
        <v>6.97999999999956</v>
      </c>
      <c r="Q174" s="45" t="n">
        <f aca="false">IF(O174="","",ABS(O174-M174))</f>
        <v>16.2000000000007</v>
      </c>
      <c r="R174" s="31" t="n">
        <f aca="false">P174*L174*Summary!$C$6</f>
        <v>34.8999999999978</v>
      </c>
      <c r="S174" s="32" t="n">
        <v>11722.94</v>
      </c>
      <c r="T174" s="29" t="s">
        <v>255</v>
      </c>
      <c r="U174" s="45" t="n">
        <f aca="false">IF(J174="BUY",S174-M174,M174-S174)</f>
        <v>-0.149999999999636</v>
      </c>
      <c r="V174" s="46" t="n">
        <v>0</v>
      </c>
      <c r="W174" s="46" t="n">
        <v>0</v>
      </c>
      <c r="X174" s="46" t="n">
        <v>-0.75</v>
      </c>
      <c r="Y174" s="33" t="n">
        <f aca="false">IFERROR(X174/R174,0)</f>
        <v>-0.0214899713467062</v>
      </c>
      <c r="Z174" s="29" t="str">
        <f aca="false">IF(X174&gt;0,"Win",IF(X174&lt;0,"Loss","Flat"))</f>
        <v>Loss</v>
      </c>
      <c r="AA174" s="29" t="n">
        <f aca="false">ROUND((C174-B174)*1440,1)</f>
        <v>1.5</v>
      </c>
      <c r="AB174" s="29" t="str">
        <f aca="false">IF(AA174&lt;1,"a) &lt;1 min",IF(AA174&lt;10,"b) 1-10 min",IF(AA174&lt;60,"c) 10-60 min",IF(AA174&lt;240,"d) 1-4 h","e) 4 h+"))))</f>
        <v>b) 1-10 min</v>
      </c>
      <c r="AC174" s="29" t="str">
        <f aca="false">IF(P174&lt;10,"a) &lt;10",IF(P174&lt;20,"b) 10-20",IF(P174&lt;40,"c) 20-40",IF(P174&lt;80,"d) 40-80","e) 80+"))))</f>
        <v>a) &lt;10</v>
      </c>
      <c r="AD174" s="31" t="n">
        <f aca="false">Summary!$C$5+SUM(X$2:X174)</f>
        <v>12431.08</v>
      </c>
      <c r="AE174" s="31" t="n">
        <f aca="false">MAX(AE173,AD174)</f>
        <v>12431.83</v>
      </c>
      <c r="AF174" s="31" t="n">
        <f aca="false">AE174-AD174</f>
        <v>0.75</v>
      </c>
      <c r="AG174" s="30" t="n">
        <f aca="false">IFERROR(AF174/AE174,0)</f>
        <v>6.03290102905204E-005</v>
      </c>
    </row>
    <row r="175" customFormat="false" ht="15" hidden="false" customHeight="false" outlineLevel="0" collapsed="false">
      <c r="A175" s="29" t="n">
        <v>174</v>
      </c>
      <c r="B175" s="44" t="n">
        <v>44888.4097222222</v>
      </c>
      <c r="C175" s="44" t="n">
        <v>44888.4162847222</v>
      </c>
      <c r="D175" s="43" t="n">
        <f aca="false">INT(C175)</f>
        <v>44888</v>
      </c>
      <c r="E175" s="43" t="n">
        <f aca="false">D175-WEEKDAY(D175,3)</f>
        <v>44886</v>
      </c>
      <c r="F175" s="29" t="s">
        <v>151</v>
      </c>
      <c r="G175" s="29" t="n">
        <v>2022</v>
      </c>
      <c r="H175" s="29" t="s">
        <v>252</v>
      </c>
      <c r="I175" s="29" t="n">
        <v>9</v>
      </c>
      <c r="J175" s="29" t="s">
        <v>246</v>
      </c>
      <c r="K175" s="29" t="s">
        <v>247</v>
      </c>
      <c r="L175" s="29" t="n">
        <v>0.05</v>
      </c>
      <c r="M175" s="32" t="n">
        <v>11738.18</v>
      </c>
      <c r="N175" s="32" t="n">
        <v>11732.85</v>
      </c>
      <c r="O175" s="32" t="n">
        <v>11751.52</v>
      </c>
      <c r="P175" s="45" t="n">
        <f aca="false">ABS(M175-N175)</f>
        <v>5.32999999999993</v>
      </c>
      <c r="Q175" s="45" t="n">
        <f aca="false">IF(O175="","",ABS(O175-M175))</f>
        <v>13.3400000000001</v>
      </c>
      <c r="R175" s="31" t="n">
        <f aca="false">P175*L175*Summary!$C$6</f>
        <v>26.6499999999996</v>
      </c>
      <c r="S175" s="32" t="n">
        <v>11732.82</v>
      </c>
      <c r="T175" s="29" t="s">
        <v>249</v>
      </c>
      <c r="U175" s="45" t="n">
        <f aca="false">IF(J175="BUY",S175-M175,M175-S175)</f>
        <v>-5.36000000000058</v>
      </c>
      <c r="V175" s="46" t="n">
        <v>0</v>
      </c>
      <c r="W175" s="46" t="n">
        <v>0</v>
      </c>
      <c r="X175" s="46" t="n">
        <v>-26.8</v>
      </c>
      <c r="Y175" s="33" t="n">
        <f aca="false">IFERROR(X175/R175,0)</f>
        <v>-1.00562851782365</v>
      </c>
      <c r="Z175" s="29" t="str">
        <f aca="false">IF(X175&gt;0,"Win",IF(X175&lt;0,"Loss","Flat"))</f>
        <v>Loss</v>
      </c>
      <c r="AA175" s="29" t="n">
        <f aca="false">ROUND((C175-B175)*1440,1)</f>
        <v>9.5</v>
      </c>
      <c r="AB175" s="29" t="str">
        <f aca="false">IF(AA175&lt;1,"a) &lt;1 min",IF(AA175&lt;10,"b) 1-10 min",IF(AA175&lt;60,"c) 10-60 min",IF(AA175&lt;240,"d) 1-4 h","e) 4 h+"))))</f>
        <v>b) 1-10 min</v>
      </c>
      <c r="AC175" s="29" t="str">
        <f aca="false">IF(P175&lt;10,"a) &lt;10",IF(P175&lt;20,"b) 10-20",IF(P175&lt;40,"c) 20-40",IF(P175&lt;80,"d) 40-80","e) 80+"))))</f>
        <v>a) &lt;10</v>
      </c>
      <c r="AD175" s="31" t="n">
        <f aca="false">Summary!$C$5+SUM(X$2:X175)</f>
        <v>12404.28</v>
      </c>
      <c r="AE175" s="31" t="n">
        <f aca="false">MAX(AE174,AD175)</f>
        <v>12431.83</v>
      </c>
      <c r="AF175" s="31" t="n">
        <f aca="false">AE175-AD175</f>
        <v>27.5500000000011</v>
      </c>
      <c r="AG175" s="30" t="n">
        <f aca="false">IFERROR(AF175/AE175,0)</f>
        <v>0.00221608564467187</v>
      </c>
    </row>
    <row r="176" customFormat="false" ht="15" hidden="false" customHeight="false" outlineLevel="0" collapsed="false">
      <c r="A176" s="29" t="n">
        <v>175</v>
      </c>
      <c r="B176" s="44" t="n">
        <v>44889.0881944444</v>
      </c>
      <c r="C176" s="44" t="n">
        <v>44889.0889467593</v>
      </c>
      <c r="D176" s="43" t="n">
        <f aca="false">INT(C176)</f>
        <v>44889</v>
      </c>
      <c r="E176" s="43" t="n">
        <f aca="false">D176-WEEKDAY(D176,3)</f>
        <v>44886</v>
      </c>
      <c r="F176" s="29" t="s">
        <v>151</v>
      </c>
      <c r="G176" s="29" t="n">
        <v>2022</v>
      </c>
      <c r="H176" s="29" t="s">
        <v>253</v>
      </c>
      <c r="I176" s="29" t="n">
        <v>2</v>
      </c>
      <c r="J176" s="29" t="s">
        <v>246</v>
      </c>
      <c r="K176" s="29" t="s">
        <v>247</v>
      </c>
      <c r="L176" s="29" t="n">
        <v>0.05</v>
      </c>
      <c r="M176" s="32" t="n">
        <v>11868.78</v>
      </c>
      <c r="N176" s="32" t="n">
        <v>11865.15</v>
      </c>
      <c r="O176" s="32" t="n">
        <v>11878.6</v>
      </c>
      <c r="P176" s="45" t="n">
        <f aca="false">ABS(M176-N176)</f>
        <v>3.63000000000102</v>
      </c>
      <c r="Q176" s="45" t="n">
        <f aca="false">IF(O176="","",ABS(O176-M176))</f>
        <v>9.81999999999971</v>
      </c>
      <c r="R176" s="31" t="n">
        <f aca="false">P176*L176*Summary!$C$6</f>
        <v>18.1500000000051</v>
      </c>
      <c r="S176" s="32" t="n">
        <v>11863.73</v>
      </c>
      <c r="T176" s="29" t="s">
        <v>249</v>
      </c>
      <c r="U176" s="45" t="n">
        <f aca="false">IF(J176="BUY",S176-M176,M176-S176)</f>
        <v>-5.05000000000109</v>
      </c>
      <c r="V176" s="46" t="n">
        <v>0</v>
      </c>
      <c r="W176" s="46" t="n">
        <v>0</v>
      </c>
      <c r="X176" s="46" t="n">
        <v>-25.25</v>
      </c>
      <c r="Y176" s="33" t="n">
        <f aca="false">IFERROR(X176/R176,0)</f>
        <v>-1.39118457300236</v>
      </c>
      <c r="Z176" s="29" t="str">
        <f aca="false">IF(X176&gt;0,"Win",IF(X176&lt;0,"Loss","Flat"))</f>
        <v>Loss</v>
      </c>
      <c r="AA176" s="29" t="n">
        <f aca="false">ROUND((C176-B176)*1440,1)</f>
        <v>1.1</v>
      </c>
      <c r="AB176" s="29" t="str">
        <f aca="false">IF(AA176&lt;1,"a) &lt;1 min",IF(AA176&lt;10,"b) 1-10 min",IF(AA176&lt;60,"c) 10-60 min",IF(AA176&lt;240,"d) 1-4 h","e) 4 h+"))))</f>
        <v>b) 1-10 min</v>
      </c>
      <c r="AC176" s="29" t="str">
        <f aca="false">IF(P176&lt;10,"a) &lt;10",IF(P176&lt;20,"b) 10-20",IF(P176&lt;40,"c) 20-40",IF(P176&lt;80,"d) 40-80","e) 80+"))))</f>
        <v>a) &lt;10</v>
      </c>
      <c r="AD176" s="31" t="n">
        <f aca="false">Summary!$C$5+SUM(X$2:X176)</f>
        <v>12379.03</v>
      </c>
      <c r="AE176" s="31" t="n">
        <f aca="false">MAX(AE175,AD176)</f>
        <v>12431.83</v>
      </c>
      <c r="AF176" s="31" t="n">
        <f aca="false">AE176-AD176</f>
        <v>52.8000000000011</v>
      </c>
      <c r="AG176" s="30" t="n">
        <f aca="false">IFERROR(AF176/AE176,0)</f>
        <v>0.00424716232445272</v>
      </c>
    </row>
    <row r="177" customFormat="false" ht="15" hidden="false" customHeight="false" outlineLevel="0" collapsed="false">
      <c r="A177" s="29" t="n">
        <v>176</v>
      </c>
      <c r="B177" s="44" t="n">
        <v>44890.4881944444</v>
      </c>
      <c r="C177" s="44" t="n">
        <v>44890.4951736111</v>
      </c>
      <c r="D177" s="43" t="n">
        <f aca="false">INT(C177)</f>
        <v>44890</v>
      </c>
      <c r="E177" s="43" t="n">
        <f aca="false">D177-WEEKDAY(D177,3)</f>
        <v>44886</v>
      </c>
      <c r="F177" s="29" t="s">
        <v>151</v>
      </c>
      <c r="G177" s="29" t="n">
        <v>2022</v>
      </c>
      <c r="H177" s="29" t="s">
        <v>254</v>
      </c>
      <c r="I177" s="29" t="n">
        <v>11</v>
      </c>
      <c r="J177" s="29" t="s">
        <v>250</v>
      </c>
      <c r="K177" s="29" t="s">
        <v>251</v>
      </c>
      <c r="L177" s="29" t="n">
        <v>0.05</v>
      </c>
      <c r="M177" s="32" t="n">
        <v>11843.58</v>
      </c>
      <c r="N177" s="32" t="n">
        <v>11852.5</v>
      </c>
      <c r="O177" s="32" t="n">
        <v>11821.77</v>
      </c>
      <c r="P177" s="45" t="n">
        <f aca="false">ABS(M177-N177)</f>
        <v>8.92000000000007</v>
      </c>
      <c r="Q177" s="45" t="n">
        <f aca="false">IF(O177="","",ABS(O177-M177))</f>
        <v>21.8099999999995</v>
      </c>
      <c r="R177" s="31" t="n">
        <f aca="false">P177*L177*Summary!$C$6</f>
        <v>44.6000000000004</v>
      </c>
      <c r="S177" s="32" t="n">
        <v>11821.72</v>
      </c>
      <c r="T177" s="29" t="s">
        <v>227</v>
      </c>
      <c r="U177" s="45" t="n">
        <f aca="false">IF(J177="BUY",S177-M177,M177-S177)</f>
        <v>21.8600000000006</v>
      </c>
      <c r="V177" s="46" t="n">
        <v>0</v>
      </c>
      <c r="W177" s="46" t="n">
        <v>0</v>
      </c>
      <c r="X177" s="46" t="n">
        <v>109.3</v>
      </c>
      <c r="Y177" s="33" t="n">
        <f aca="false">IFERROR(X177/R177,0)</f>
        <v>2.45067264573989</v>
      </c>
      <c r="Z177" s="29" t="str">
        <f aca="false">IF(X177&gt;0,"Win",IF(X177&lt;0,"Loss","Flat"))</f>
        <v>Win</v>
      </c>
      <c r="AA177" s="29" t="n">
        <f aca="false">ROUND((C177-B177)*1440,1)</f>
        <v>10.1</v>
      </c>
      <c r="AB177" s="29" t="str">
        <f aca="false">IF(AA177&lt;1,"a) &lt;1 min",IF(AA177&lt;10,"b) 1-10 min",IF(AA177&lt;60,"c) 10-60 min",IF(AA177&lt;240,"d) 1-4 h","e) 4 h+"))))</f>
        <v>c) 10-60 min</v>
      </c>
      <c r="AC177" s="29" t="str">
        <f aca="false">IF(P177&lt;10,"a) &lt;10",IF(P177&lt;20,"b) 10-20",IF(P177&lt;40,"c) 20-40",IF(P177&lt;80,"d) 40-80","e) 80+"))))</f>
        <v>a) &lt;10</v>
      </c>
      <c r="AD177" s="31" t="n">
        <f aca="false">Summary!$C$5+SUM(X$2:X177)</f>
        <v>12488.33</v>
      </c>
      <c r="AE177" s="31" t="n">
        <f aca="false">MAX(AE176,AD177)</f>
        <v>12488.33</v>
      </c>
      <c r="AF177" s="31" t="n">
        <f aca="false">AE177-AD177</f>
        <v>0</v>
      </c>
      <c r="AG177" s="30" t="n">
        <f aca="false">IFERROR(AF177/AE177,0)</f>
        <v>0</v>
      </c>
    </row>
    <row r="178" customFormat="false" ht="15" hidden="false" customHeight="false" outlineLevel="0" collapsed="false">
      <c r="A178" s="29" t="n">
        <v>177</v>
      </c>
      <c r="B178" s="44" t="n">
        <v>44893.0423611111</v>
      </c>
      <c r="C178" s="44" t="n">
        <v>44893.0522222222</v>
      </c>
      <c r="D178" s="43" t="n">
        <f aca="false">INT(C178)</f>
        <v>44893</v>
      </c>
      <c r="E178" s="43" t="n">
        <f aca="false">D178-WEEKDAY(D178,3)</f>
        <v>44893</v>
      </c>
      <c r="F178" s="29" t="s">
        <v>151</v>
      </c>
      <c r="G178" s="29" t="n">
        <v>2022</v>
      </c>
      <c r="H178" s="29" t="s">
        <v>245</v>
      </c>
      <c r="I178" s="29" t="n">
        <v>1</v>
      </c>
      <c r="J178" s="29" t="s">
        <v>250</v>
      </c>
      <c r="K178" s="29" t="s">
        <v>251</v>
      </c>
      <c r="L178" s="29" t="n">
        <v>0.05</v>
      </c>
      <c r="M178" s="32" t="n">
        <v>11704.18</v>
      </c>
      <c r="N178" s="32" t="n">
        <v>11721.94</v>
      </c>
      <c r="O178" s="32" t="n">
        <v>11660.12</v>
      </c>
      <c r="P178" s="45" t="n">
        <f aca="false">ABS(M178-N178)</f>
        <v>17.7600000000002</v>
      </c>
      <c r="Q178" s="45" t="n">
        <f aca="false">IF(O178="","",ABS(O178-M178))</f>
        <v>44.0599999999995</v>
      </c>
      <c r="R178" s="31" t="n">
        <f aca="false">P178*L178*Summary!$C$6</f>
        <v>88.8000000000011</v>
      </c>
      <c r="S178" s="32" t="n">
        <v>11722.09</v>
      </c>
      <c r="T178" s="29" t="s">
        <v>249</v>
      </c>
      <c r="U178" s="45" t="n">
        <f aca="false">IF(J178="BUY",S178-M178,M178-S178)</f>
        <v>-17.9099999999999</v>
      </c>
      <c r="V178" s="46" t="n">
        <v>0</v>
      </c>
      <c r="W178" s="46" t="n">
        <v>0</v>
      </c>
      <c r="X178" s="46" t="n">
        <v>-89.55</v>
      </c>
      <c r="Y178" s="33" t="n">
        <f aca="false">IFERROR(X178/R178,0)</f>
        <v>-1.00844594594593</v>
      </c>
      <c r="Z178" s="29" t="str">
        <f aca="false">IF(X178&gt;0,"Win",IF(X178&lt;0,"Loss","Flat"))</f>
        <v>Loss</v>
      </c>
      <c r="AA178" s="29" t="n">
        <f aca="false">ROUND((C178-B178)*1440,1)</f>
        <v>14.2</v>
      </c>
      <c r="AB178" s="29" t="str">
        <f aca="false">IF(AA178&lt;1,"a) &lt;1 min",IF(AA178&lt;10,"b) 1-10 min",IF(AA178&lt;60,"c) 10-60 min",IF(AA178&lt;240,"d) 1-4 h","e) 4 h+"))))</f>
        <v>c) 10-60 min</v>
      </c>
      <c r="AC178" s="29" t="str">
        <f aca="false">IF(P178&lt;10,"a) &lt;10",IF(P178&lt;20,"b) 10-20",IF(P178&lt;40,"c) 20-40",IF(P178&lt;80,"d) 40-80","e) 80+"))))</f>
        <v>b) 10-20</v>
      </c>
      <c r="AD178" s="31" t="n">
        <f aca="false">Summary!$C$5+SUM(X$2:X178)</f>
        <v>12398.78</v>
      </c>
      <c r="AE178" s="31" t="n">
        <f aca="false">MAX(AE177,AD178)</f>
        <v>12488.33</v>
      </c>
      <c r="AF178" s="31" t="n">
        <f aca="false">AE178-AD178</f>
        <v>89.5500000000011</v>
      </c>
      <c r="AG178" s="30" t="n">
        <f aca="false">IFERROR(AF178/AE178,0)</f>
        <v>0.00717069456044172</v>
      </c>
    </row>
    <row r="179" customFormat="false" ht="15" hidden="false" customHeight="false" outlineLevel="0" collapsed="false">
      <c r="A179" s="29" t="n">
        <v>178</v>
      </c>
      <c r="B179" s="44" t="n">
        <v>44894.7</v>
      </c>
      <c r="C179" s="44" t="n">
        <v>44894.7009259259</v>
      </c>
      <c r="D179" s="43" t="n">
        <f aca="false">INT(C179)</f>
        <v>44894</v>
      </c>
      <c r="E179" s="43" t="n">
        <f aca="false">D179-WEEKDAY(D179,3)</f>
        <v>44893</v>
      </c>
      <c r="F179" s="29" t="s">
        <v>151</v>
      </c>
      <c r="G179" s="29" t="n">
        <v>2022</v>
      </c>
      <c r="H179" s="29" t="s">
        <v>248</v>
      </c>
      <c r="I179" s="29" t="n">
        <v>16</v>
      </c>
      <c r="J179" s="29" t="s">
        <v>250</v>
      </c>
      <c r="K179" s="29" t="s">
        <v>251</v>
      </c>
      <c r="L179" s="29" t="n">
        <v>0.05</v>
      </c>
      <c r="M179" s="32" t="n">
        <v>11553.45</v>
      </c>
      <c r="N179" s="32" t="n">
        <v>11566.83</v>
      </c>
      <c r="O179" s="32" t="n">
        <v>11520.6</v>
      </c>
      <c r="P179" s="45" t="n">
        <f aca="false">ABS(M179-N179)</f>
        <v>13.3799999999992</v>
      </c>
      <c r="Q179" s="45" t="n">
        <f aca="false">IF(O179="","",ABS(O179-M179))</f>
        <v>32.8500000000004</v>
      </c>
      <c r="R179" s="31" t="n">
        <f aca="false">P179*L179*Summary!$C$6</f>
        <v>66.899999999996</v>
      </c>
      <c r="S179" s="32" t="n">
        <v>11567.52</v>
      </c>
      <c r="T179" s="29" t="s">
        <v>249</v>
      </c>
      <c r="U179" s="45" t="n">
        <f aca="false">IF(J179="BUY",S179-M179,M179-S179)</f>
        <v>-14.0699999999997</v>
      </c>
      <c r="V179" s="46" t="n">
        <v>0</v>
      </c>
      <c r="W179" s="46" t="n">
        <v>0</v>
      </c>
      <c r="X179" s="46" t="n">
        <v>-70.35</v>
      </c>
      <c r="Y179" s="33" t="n">
        <f aca="false">IFERROR(X179/R179,0)</f>
        <v>-1.05156950672652</v>
      </c>
      <c r="Z179" s="29" t="str">
        <f aca="false">IF(X179&gt;0,"Win",IF(X179&lt;0,"Loss","Flat"))</f>
        <v>Loss</v>
      </c>
      <c r="AA179" s="29" t="n">
        <f aca="false">ROUND((C179-B179)*1440,1)</f>
        <v>1.3</v>
      </c>
      <c r="AB179" s="29" t="str">
        <f aca="false">IF(AA179&lt;1,"a) &lt;1 min",IF(AA179&lt;10,"b) 1-10 min",IF(AA179&lt;60,"c) 10-60 min",IF(AA179&lt;240,"d) 1-4 h","e) 4 h+"))))</f>
        <v>b) 1-10 min</v>
      </c>
      <c r="AC179" s="29" t="str">
        <f aca="false">IF(P179&lt;10,"a) &lt;10",IF(P179&lt;20,"b) 10-20",IF(P179&lt;40,"c) 20-40",IF(P179&lt;80,"d) 40-80","e) 80+"))))</f>
        <v>b) 10-20</v>
      </c>
      <c r="AD179" s="31" t="n">
        <f aca="false">Summary!$C$5+SUM(X$2:X179)</f>
        <v>12328.43</v>
      </c>
      <c r="AE179" s="31" t="n">
        <f aca="false">MAX(AE178,AD179)</f>
        <v>12488.33</v>
      </c>
      <c r="AF179" s="31" t="n">
        <f aca="false">AE179-AD179</f>
        <v>159.9</v>
      </c>
      <c r="AG179" s="30" t="n">
        <f aca="false">IFERROR(AF179/AE179,0)</f>
        <v>0.0128039537712408</v>
      </c>
    </row>
    <row r="180" customFormat="false" ht="15" hidden="false" customHeight="false" outlineLevel="0" collapsed="false">
      <c r="A180" s="29" t="n">
        <v>179</v>
      </c>
      <c r="B180" s="44" t="n">
        <v>44895.8722222222</v>
      </c>
      <c r="C180" s="44" t="n">
        <v>44895.8742361111</v>
      </c>
      <c r="D180" s="43" t="n">
        <f aca="false">INT(C180)</f>
        <v>44895</v>
      </c>
      <c r="E180" s="43" t="n">
        <f aca="false">D180-WEEKDAY(D180,3)</f>
        <v>44893</v>
      </c>
      <c r="F180" s="29" t="s">
        <v>151</v>
      </c>
      <c r="G180" s="29" t="n">
        <v>2022</v>
      </c>
      <c r="H180" s="29" t="s">
        <v>252</v>
      </c>
      <c r="I180" s="29" t="n">
        <v>20</v>
      </c>
      <c r="J180" s="29" t="s">
        <v>246</v>
      </c>
      <c r="K180" s="29" t="s">
        <v>247</v>
      </c>
      <c r="L180" s="29" t="n">
        <v>0.05</v>
      </c>
      <c r="M180" s="32" t="n">
        <v>11687.67</v>
      </c>
      <c r="N180" s="32" t="n">
        <v>11669.63</v>
      </c>
      <c r="O180" s="32" t="n">
        <v>11734.95</v>
      </c>
      <c r="P180" s="45" t="n">
        <f aca="false">ABS(M180-N180)</f>
        <v>18.0400000000009</v>
      </c>
      <c r="Q180" s="45" t="n">
        <f aca="false">IF(O180="","",ABS(O180-M180))</f>
        <v>47.2800000000007</v>
      </c>
      <c r="R180" s="31" t="n">
        <f aca="false">P180*L180*Summary!$C$6</f>
        <v>90.2000000000044</v>
      </c>
      <c r="S180" s="32" t="n">
        <v>11735.21</v>
      </c>
      <c r="T180" s="29" t="s">
        <v>227</v>
      </c>
      <c r="U180" s="45" t="n">
        <f aca="false">IF(J180="BUY",S180-M180,M180-S180)</f>
        <v>47.5399999999991</v>
      </c>
      <c r="V180" s="46" t="n">
        <v>0</v>
      </c>
      <c r="W180" s="46" t="n">
        <v>0</v>
      </c>
      <c r="X180" s="46" t="n">
        <v>237.7</v>
      </c>
      <c r="Y180" s="33" t="n">
        <f aca="false">IFERROR(X180/R180,0)</f>
        <v>2.6352549889134</v>
      </c>
      <c r="Z180" s="29" t="str">
        <f aca="false">IF(X180&gt;0,"Win",IF(X180&lt;0,"Loss","Flat"))</f>
        <v>Win</v>
      </c>
      <c r="AA180" s="29" t="n">
        <f aca="false">ROUND((C180-B180)*1440,1)</f>
        <v>2.9</v>
      </c>
      <c r="AB180" s="29" t="str">
        <f aca="false">IF(AA180&lt;1,"a) &lt;1 min",IF(AA180&lt;10,"b) 1-10 min",IF(AA180&lt;60,"c) 10-60 min",IF(AA180&lt;240,"d) 1-4 h","e) 4 h+"))))</f>
        <v>b) 1-10 min</v>
      </c>
      <c r="AC180" s="29" t="str">
        <f aca="false">IF(P180&lt;10,"a) &lt;10",IF(P180&lt;20,"b) 10-20",IF(P180&lt;40,"c) 20-40",IF(P180&lt;80,"d) 40-80","e) 80+"))))</f>
        <v>b) 10-20</v>
      </c>
      <c r="AD180" s="31" t="n">
        <f aca="false">Summary!$C$5+SUM(X$2:X180)</f>
        <v>12566.13</v>
      </c>
      <c r="AE180" s="31" t="n">
        <f aca="false">MAX(AE179,AD180)</f>
        <v>12566.13</v>
      </c>
      <c r="AF180" s="31" t="n">
        <f aca="false">AE180-AD180</f>
        <v>0</v>
      </c>
      <c r="AG180" s="30" t="n">
        <f aca="false">IFERROR(AF180/AE180,0)</f>
        <v>0</v>
      </c>
    </row>
    <row r="181" customFormat="false" ht="15" hidden="false" customHeight="false" outlineLevel="0" collapsed="false">
      <c r="A181" s="29" t="n">
        <v>180</v>
      </c>
      <c r="B181" s="44" t="n">
        <v>44896.0423611111</v>
      </c>
      <c r="C181" s="44" t="n">
        <v>44896.0549768519</v>
      </c>
      <c r="D181" s="43" t="n">
        <f aca="false">INT(C181)</f>
        <v>44896</v>
      </c>
      <c r="E181" s="43" t="n">
        <f aca="false">D181-WEEKDAY(D181,3)</f>
        <v>44893</v>
      </c>
      <c r="F181" s="29" t="s">
        <v>152</v>
      </c>
      <c r="G181" s="29" t="n">
        <v>2022</v>
      </c>
      <c r="H181" s="29" t="s">
        <v>253</v>
      </c>
      <c r="I181" s="29" t="n">
        <v>1</v>
      </c>
      <c r="J181" s="29" t="s">
        <v>246</v>
      </c>
      <c r="K181" s="29" t="s">
        <v>247</v>
      </c>
      <c r="L181" s="29" t="n">
        <v>0.05</v>
      </c>
      <c r="M181" s="32" t="n">
        <v>12047.62</v>
      </c>
      <c r="N181" s="32" t="n">
        <v>12037.92</v>
      </c>
      <c r="O181" s="32" t="n">
        <v>12071.73</v>
      </c>
      <c r="P181" s="45" t="n">
        <f aca="false">ABS(M181-N181)</f>
        <v>9.70000000000073</v>
      </c>
      <c r="Q181" s="45" t="n">
        <f aca="false">IF(O181="","",ABS(O181-M181))</f>
        <v>24.1099999999988</v>
      </c>
      <c r="R181" s="31" t="n">
        <f aca="false">P181*L181*Summary!$C$6</f>
        <v>48.5000000000036</v>
      </c>
      <c r="S181" s="32" t="n">
        <v>12037.89</v>
      </c>
      <c r="T181" s="29" t="s">
        <v>249</v>
      </c>
      <c r="U181" s="45" t="n">
        <f aca="false">IF(J181="BUY",S181-M181,M181-S181)</f>
        <v>-9.73000000000138</v>
      </c>
      <c r="V181" s="46" t="n">
        <v>0</v>
      </c>
      <c r="W181" s="46" t="n">
        <v>0</v>
      </c>
      <c r="X181" s="46" t="n">
        <v>-48.65</v>
      </c>
      <c r="Y181" s="33" t="n">
        <f aca="false">IFERROR(X181/R181,0)</f>
        <v>-1.00309278350508</v>
      </c>
      <c r="Z181" s="29" t="str">
        <f aca="false">IF(X181&gt;0,"Win",IF(X181&lt;0,"Loss","Flat"))</f>
        <v>Loss</v>
      </c>
      <c r="AA181" s="29" t="n">
        <f aca="false">ROUND((C181-B181)*1440,1)</f>
        <v>18.2</v>
      </c>
      <c r="AB181" s="29" t="str">
        <f aca="false">IF(AA181&lt;1,"a) &lt;1 min",IF(AA181&lt;10,"b) 1-10 min",IF(AA181&lt;60,"c) 10-60 min",IF(AA181&lt;240,"d) 1-4 h","e) 4 h+"))))</f>
        <v>c) 10-60 min</v>
      </c>
      <c r="AC181" s="29" t="str">
        <f aca="false">IF(P181&lt;10,"a) &lt;10",IF(P181&lt;20,"b) 10-20",IF(P181&lt;40,"c) 20-40",IF(P181&lt;80,"d) 40-80","e) 80+"))))</f>
        <v>a) &lt;10</v>
      </c>
      <c r="AD181" s="31" t="n">
        <f aca="false">Summary!$C$5+SUM(X$2:X181)</f>
        <v>12517.48</v>
      </c>
      <c r="AE181" s="31" t="n">
        <f aca="false">MAX(AE180,AD181)</f>
        <v>12566.13</v>
      </c>
      <c r="AF181" s="31" t="n">
        <f aca="false">AE181-AD181</f>
        <v>48.6500000000015</v>
      </c>
      <c r="AG181" s="30" t="n">
        <f aca="false">IFERROR(AF181/AE181,0)</f>
        <v>0.00387151812053524</v>
      </c>
    </row>
    <row r="182" customFormat="false" ht="15" hidden="false" customHeight="false" outlineLevel="0" collapsed="false">
      <c r="A182" s="29" t="n">
        <v>181</v>
      </c>
      <c r="B182" s="44" t="n">
        <v>44897.6465277778</v>
      </c>
      <c r="C182" s="44" t="n">
        <v>44897.6521296296</v>
      </c>
      <c r="D182" s="43" t="n">
        <f aca="false">INT(C182)</f>
        <v>44897</v>
      </c>
      <c r="E182" s="43" t="n">
        <f aca="false">D182-WEEKDAY(D182,3)</f>
        <v>44893</v>
      </c>
      <c r="F182" s="29" t="s">
        <v>152</v>
      </c>
      <c r="G182" s="29" t="n">
        <v>2022</v>
      </c>
      <c r="H182" s="29" t="s">
        <v>254</v>
      </c>
      <c r="I182" s="29" t="n">
        <v>15</v>
      </c>
      <c r="J182" s="29" t="s">
        <v>250</v>
      </c>
      <c r="K182" s="29" t="s">
        <v>251</v>
      </c>
      <c r="L182" s="29" t="n">
        <v>0.05</v>
      </c>
      <c r="M182" s="32" t="n">
        <v>11776.73</v>
      </c>
      <c r="N182" s="32" t="n">
        <v>11829.32</v>
      </c>
      <c r="O182" s="32" t="n">
        <v>11647.75</v>
      </c>
      <c r="P182" s="45" t="n">
        <f aca="false">ABS(M182-N182)</f>
        <v>52.5900000000001</v>
      </c>
      <c r="Q182" s="45" t="n">
        <f aca="false">IF(O182="","",ABS(O182-M182))</f>
        <v>128.98</v>
      </c>
      <c r="R182" s="31" t="n">
        <f aca="false">P182*L182*Summary!$C$6</f>
        <v>262.950000000001</v>
      </c>
      <c r="S182" s="32" t="n">
        <v>11778.89</v>
      </c>
      <c r="T182" s="29" t="s">
        <v>255</v>
      </c>
      <c r="U182" s="45" t="n">
        <f aca="false">IF(J182="BUY",S182-M182,M182-S182)</f>
        <v>-2.15999999999985</v>
      </c>
      <c r="V182" s="46" t="n">
        <v>0</v>
      </c>
      <c r="W182" s="46" t="n">
        <v>0</v>
      </c>
      <c r="X182" s="46" t="n">
        <v>-10.8</v>
      </c>
      <c r="Y182" s="33" t="n">
        <f aca="false">IFERROR(X182/R182,0)</f>
        <v>-0.0410724472333142</v>
      </c>
      <c r="Z182" s="29" t="str">
        <f aca="false">IF(X182&gt;0,"Win",IF(X182&lt;0,"Loss","Flat"))</f>
        <v>Loss</v>
      </c>
      <c r="AA182" s="29" t="n">
        <f aca="false">ROUND((C182-B182)*1440,1)</f>
        <v>8.1</v>
      </c>
      <c r="AB182" s="29" t="str">
        <f aca="false">IF(AA182&lt;1,"a) &lt;1 min",IF(AA182&lt;10,"b) 1-10 min",IF(AA182&lt;60,"c) 10-60 min",IF(AA182&lt;240,"d) 1-4 h","e) 4 h+"))))</f>
        <v>b) 1-10 min</v>
      </c>
      <c r="AC182" s="29" t="str">
        <f aca="false">IF(P182&lt;10,"a) &lt;10",IF(P182&lt;20,"b) 10-20",IF(P182&lt;40,"c) 20-40",IF(P182&lt;80,"d) 40-80","e) 80+"))))</f>
        <v>d) 40-80</v>
      </c>
      <c r="AD182" s="31" t="n">
        <f aca="false">Summary!$C$5+SUM(X$2:X182)</f>
        <v>12506.68</v>
      </c>
      <c r="AE182" s="31" t="n">
        <f aca="false">MAX(AE181,AD182)</f>
        <v>12566.13</v>
      </c>
      <c r="AF182" s="31" t="n">
        <f aca="false">AE182-AD182</f>
        <v>59.4500000000007</v>
      </c>
      <c r="AG182" s="30" t="n">
        <f aca="false">IFERROR(AF182/AE182,0)</f>
        <v>0.00473097126959539</v>
      </c>
    </row>
    <row r="183" customFormat="false" ht="15" hidden="false" customHeight="false" outlineLevel="0" collapsed="false">
      <c r="A183" s="29" t="n">
        <v>182</v>
      </c>
      <c r="B183" s="44" t="n">
        <v>44901.6972222222</v>
      </c>
      <c r="C183" s="44" t="n">
        <v>44901.6983101852</v>
      </c>
      <c r="D183" s="43" t="n">
        <f aca="false">INT(C183)</f>
        <v>44901</v>
      </c>
      <c r="E183" s="43" t="n">
        <f aca="false">D183-WEEKDAY(D183,3)</f>
        <v>44900</v>
      </c>
      <c r="F183" s="29" t="s">
        <v>152</v>
      </c>
      <c r="G183" s="29" t="n">
        <v>2022</v>
      </c>
      <c r="H183" s="29" t="s">
        <v>248</v>
      </c>
      <c r="I183" s="29" t="n">
        <v>16</v>
      </c>
      <c r="J183" s="29" t="s">
        <v>250</v>
      </c>
      <c r="K183" s="29" t="s">
        <v>251</v>
      </c>
      <c r="L183" s="29" t="n">
        <v>0.05</v>
      </c>
      <c r="M183" s="32" t="n">
        <v>11724.59</v>
      </c>
      <c r="N183" s="32" t="n">
        <v>11737.81</v>
      </c>
      <c r="O183" s="32" t="n">
        <v>11691.58</v>
      </c>
      <c r="P183" s="45" t="n">
        <f aca="false">ABS(M183-N183)</f>
        <v>13.2199999999993</v>
      </c>
      <c r="Q183" s="45" t="n">
        <f aca="false">IF(O183="","",ABS(O183-M183))</f>
        <v>33.0100000000002</v>
      </c>
      <c r="R183" s="31" t="n">
        <f aca="false">P183*L183*Summary!$C$6</f>
        <v>66.0999999999967</v>
      </c>
      <c r="S183" s="32" t="n">
        <v>11690.72</v>
      </c>
      <c r="T183" s="29" t="s">
        <v>227</v>
      </c>
      <c r="U183" s="45" t="n">
        <f aca="false">IF(J183="BUY",S183-M183,M183-S183)</f>
        <v>33.8700000000008</v>
      </c>
      <c r="V183" s="46" t="n">
        <v>0</v>
      </c>
      <c r="W183" s="46" t="n">
        <v>0</v>
      </c>
      <c r="X183" s="46" t="n">
        <v>169.35</v>
      </c>
      <c r="Y183" s="33" t="n">
        <f aca="false">IFERROR(X183/R183,0)</f>
        <v>2.5620272314676</v>
      </c>
      <c r="Z183" s="29" t="str">
        <f aca="false">IF(X183&gt;0,"Win",IF(X183&lt;0,"Loss","Flat"))</f>
        <v>Win</v>
      </c>
      <c r="AA183" s="29" t="n">
        <f aca="false">ROUND((C183-B183)*1440,1)</f>
        <v>1.6</v>
      </c>
      <c r="AB183" s="29" t="str">
        <f aca="false">IF(AA183&lt;1,"a) &lt;1 min",IF(AA183&lt;10,"b) 1-10 min",IF(AA183&lt;60,"c) 10-60 min",IF(AA183&lt;240,"d) 1-4 h","e) 4 h+"))))</f>
        <v>b) 1-10 min</v>
      </c>
      <c r="AC183" s="29" t="str">
        <f aca="false">IF(P183&lt;10,"a) &lt;10",IF(P183&lt;20,"b) 10-20",IF(P183&lt;40,"c) 20-40",IF(P183&lt;80,"d) 40-80","e) 80+"))))</f>
        <v>b) 10-20</v>
      </c>
      <c r="AD183" s="31" t="n">
        <f aca="false">Summary!$C$5+SUM(X$2:X183)</f>
        <v>12676.03</v>
      </c>
      <c r="AE183" s="31" t="n">
        <f aca="false">MAX(AE182,AD183)</f>
        <v>12676.03</v>
      </c>
      <c r="AF183" s="31" t="n">
        <f aca="false">AE183-AD183</f>
        <v>0</v>
      </c>
      <c r="AG183" s="30" t="n">
        <f aca="false">IFERROR(AF183/AE183,0)</f>
        <v>0</v>
      </c>
    </row>
    <row r="184" customFormat="false" ht="15" hidden="false" customHeight="false" outlineLevel="0" collapsed="false">
      <c r="A184" s="29" t="n">
        <v>183</v>
      </c>
      <c r="B184" s="44" t="n">
        <v>44902.5729166667</v>
      </c>
      <c r="C184" s="44" t="n">
        <v>44902.584837963</v>
      </c>
      <c r="D184" s="43" t="n">
        <f aca="false">INT(C184)</f>
        <v>44902</v>
      </c>
      <c r="E184" s="43" t="n">
        <f aca="false">D184-WEEKDAY(D184,3)</f>
        <v>44900</v>
      </c>
      <c r="F184" s="29" t="s">
        <v>152</v>
      </c>
      <c r="G184" s="29" t="n">
        <v>2022</v>
      </c>
      <c r="H184" s="29" t="s">
        <v>252</v>
      </c>
      <c r="I184" s="29" t="n">
        <v>13</v>
      </c>
      <c r="J184" s="29" t="s">
        <v>250</v>
      </c>
      <c r="K184" s="29" t="s">
        <v>251</v>
      </c>
      <c r="L184" s="29" t="n">
        <v>0.05</v>
      </c>
      <c r="M184" s="32" t="n">
        <v>11484.75</v>
      </c>
      <c r="N184" s="32" t="n">
        <v>11492.67</v>
      </c>
      <c r="O184" s="32" t="n">
        <v>11465.32</v>
      </c>
      <c r="P184" s="45" t="n">
        <f aca="false">ABS(M184-N184)</f>
        <v>7.92000000000007</v>
      </c>
      <c r="Q184" s="45" t="n">
        <f aca="false">IF(O184="","",ABS(O184-M184))</f>
        <v>19.4300000000003</v>
      </c>
      <c r="R184" s="31" t="n">
        <f aca="false">P184*L184*Summary!$C$6</f>
        <v>39.6000000000004</v>
      </c>
      <c r="S184" s="32" t="n">
        <v>11484.78</v>
      </c>
      <c r="T184" s="29" t="s">
        <v>255</v>
      </c>
      <c r="U184" s="45" t="n">
        <f aca="false">IF(J184="BUY",S184-M184,M184-S184)</f>
        <v>-0.0300000000006548</v>
      </c>
      <c r="V184" s="46" t="n">
        <v>0</v>
      </c>
      <c r="W184" s="46" t="n">
        <v>0</v>
      </c>
      <c r="X184" s="46" t="n">
        <v>-0.15</v>
      </c>
      <c r="Y184" s="33" t="n">
        <f aca="false">IFERROR(X184/R184,0)</f>
        <v>-0.00378787878787875</v>
      </c>
      <c r="Z184" s="29" t="str">
        <f aca="false">IF(X184&gt;0,"Win",IF(X184&lt;0,"Loss","Flat"))</f>
        <v>Loss</v>
      </c>
      <c r="AA184" s="29" t="n">
        <f aca="false">ROUND((C184-B184)*1440,1)</f>
        <v>17.2</v>
      </c>
      <c r="AB184" s="29" t="str">
        <f aca="false">IF(AA184&lt;1,"a) &lt;1 min",IF(AA184&lt;10,"b) 1-10 min",IF(AA184&lt;60,"c) 10-60 min",IF(AA184&lt;240,"d) 1-4 h","e) 4 h+"))))</f>
        <v>c) 10-60 min</v>
      </c>
      <c r="AC184" s="29" t="str">
        <f aca="false">IF(P184&lt;10,"a) &lt;10",IF(P184&lt;20,"b) 10-20",IF(P184&lt;40,"c) 20-40",IF(P184&lt;80,"d) 40-80","e) 80+"))))</f>
        <v>a) &lt;10</v>
      </c>
      <c r="AD184" s="31" t="n">
        <f aca="false">Summary!$C$5+SUM(X$2:X184)</f>
        <v>12675.88</v>
      </c>
      <c r="AE184" s="31" t="n">
        <f aca="false">MAX(AE183,AD184)</f>
        <v>12676.03</v>
      </c>
      <c r="AF184" s="31" t="n">
        <f aca="false">AE184-AD184</f>
        <v>0.149999999997817</v>
      </c>
      <c r="AG184" s="30" t="n">
        <f aca="false">IFERROR(AF184/AE184,0)</f>
        <v>1.18333579202493E-005</v>
      </c>
    </row>
    <row r="185" customFormat="false" ht="15" hidden="false" customHeight="false" outlineLevel="0" collapsed="false">
      <c r="A185" s="29" t="n">
        <v>184</v>
      </c>
      <c r="B185" s="44" t="n">
        <v>44903.7083333333</v>
      </c>
      <c r="C185" s="44" t="n">
        <v>44903.7092592593</v>
      </c>
      <c r="D185" s="43" t="n">
        <f aca="false">INT(C185)</f>
        <v>44903</v>
      </c>
      <c r="E185" s="43" t="n">
        <f aca="false">D185-WEEKDAY(D185,3)</f>
        <v>44900</v>
      </c>
      <c r="F185" s="29" t="s">
        <v>152</v>
      </c>
      <c r="G185" s="29" t="n">
        <v>2022</v>
      </c>
      <c r="H185" s="29" t="s">
        <v>253</v>
      </c>
      <c r="I185" s="29" t="n">
        <v>17</v>
      </c>
      <c r="J185" s="29" t="s">
        <v>246</v>
      </c>
      <c r="K185" s="29" t="s">
        <v>247</v>
      </c>
      <c r="L185" s="29" t="n">
        <v>0.05</v>
      </c>
      <c r="M185" s="32" t="n">
        <v>11587.12</v>
      </c>
      <c r="N185" s="32" t="n">
        <v>11572.63</v>
      </c>
      <c r="O185" s="32" t="n">
        <v>11620.17</v>
      </c>
      <c r="P185" s="45" t="n">
        <f aca="false">ABS(M185-N185)</f>
        <v>14.4900000000016</v>
      </c>
      <c r="Q185" s="45" t="n">
        <f aca="false">IF(O185="","",ABS(O185-M185))</f>
        <v>33.0499999999993</v>
      </c>
      <c r="R185" s="31" t="n">
        <f aca="false">P185*L185*Summary!$C$6</f>
        <v>72.450000000008</v>
      </c>
      <c r="S185" s="32" t="n">
        <v>11586.42</v>
      </c>
      <c r="T185" s="29" t="s">
        <v>255</v>
      </c>
      <c r="U185" s="45" t="n">
        <f aca="false">IF(J185="BUY",S185-M185,M185-S185)</f>
        <v>-0.700000000000728</v>
      </c>
      <c r="V185" s="46" t="n">
        <v>0</v>
      </c>
      <c r="W185" s="46" t="n">
        <v>0</v>
      </c>
      <c r="X185" s="46" t="n">
        <v>-3.5</v>
      </c>
      <c r="Y185" s="33" t="n">
        <f aca="false">IFERROR(X185/R185,0)</f>
        <v>-0.048309178743956</v>
      </c>
      <c r="Z185" s="29" t="str">
        <f aca="false">IF(X185&gt;0,"Win",IF(X185&lt;0,"Loss","Flat"))</f>
        <v>Loss</v>
      </c>
      <c r="AA185" s="29" t="n">
        <f aca="false">ROUND((C185-B185)*1440,1)</f>
        <v>1.3</v>
      </c>
      <c r="AB185" s="29" t="str">
        <f aca="false">IF(AA185&lt;1,"a) &lt;1 min",IF(AA185&lt;10,"b) 1-10 min",IF(AA185&lt;60,"c) 10-60 min",IF(AA185&lt;240,"d) 1-4 h","e) 4 h+"))))</f>
        <v>b) 1-10 min</v>
      </c>
      <c r="AC185" s="29" t="str">
        <f aca="false">IF(P185&lt;10,"a) &lt;10",IF(P185&lt;20,"b) 10-20",IF(P185&lt;40,"c) 20-40",IF(P185&lt;80,"d) 40-80","e) 80+"))))</f>
        <v>b) 10-20</v>
      </c>
      <c r="AD185" s="31" t="n">
        <f aca="false">Summary!$C$5+SUM(X$2:X185)</f>
        <v>12672.38</v>
      </c>
      <c r="AE185" s="31" t="n">
        <f aca="false">MAX(AE184,AD185)</f>
        <v>12676.03</v>
      </c>
      <c r="AF185" s="31" t="n">
        <f aca="false">AE185-AD185</f>
        <v>3.64999999999782</v>
      </c>
      <c r="AG185" s="30" t="n">
        <f aca="false">IFERROR(AF185/AE185,0)</f>
        <v>0.000287945042730083</v>
      </c>
    </row>
    <row r="186" customFormat="false" ht="15" hidden="false" customHeight="false" outlineLevel="0" collapsed="false">
      <c r="A186" s="29" t="n">
        <v>185</v>
      </c>
      <c r="B186" s="44" t="n">
        <v>44904.3487731482</v>
      </c>
      <c r="C186" s="44" t="n">
        <v>44904.3497106481</v>
      </c>
      <c r="D186" s="43" t="n">
        <f aca="false">INT(C186)</f>
        <v>44904</v>
      </c>
      <c r="E186" s="43" t="n">
        <f aca="false">D186-WEEKDAY(D186,3)</f>
        <v>44900</v>
      </c>
      <c r="F186" s="29" t="s">
        <v>152</v>
      </c>
      <c r="G186" s="29" t="n">
        <v>2022</v>
      </c>
      <c r="H186" s="29" t="s">
        <v>254</v>
      </c>
      <c r="I186" s="29" t="n">
        <v>8</v>
      </c>
      <c r="J186" s="29" t="s">
        <v>246</v>
      </c>
      <c r="K186" s="29" t="s">
        <v>247</v>
      </c>
      <c r="L186" s="29" t="n">
        <v>0.05</v>
      </c>
      <c r="M186" s="32" t="n">
        <v>11675.25</v>
      </c>
      <c r="N186" s="32" t="n">
        <v>11673.36</v>
      </c>
      <c r="O186" s="32" t="n">
        <v>11679.88</v>
      </c>
      <c r="P186" s="45" t="n">
        <f aca="false">ABS(M186-N186)</f>
        <v>1.88999999999942</v>
      </c>
      <c r="Q186" s="45" t="n">
        <f aca="false">IF(O186="","",ABS(O186-M186))</f>
        <v>4.6299999999992</v>
      </c>
      <c r="R186" s="31" t="n">
        <f aca="false">P186*L186*Summary!$C$6</f>
        <v>9.44999999999709</v>
      </c>
      <c r="S186" s="32" t="n">
        <v>11673.02</v>
      </c>
      <c r="T186" s="29" t="s">
        <v>249</v>
      </c>
      <c r="U186" s="45" t="n">
        <f aca="false">IF(J186="BUY",S186-M186,M186-S186)</f>
        <v>-2.22999999999956</v>
      </c>
      <c r="V186" s="46" t="n">
        <v>0</v>
      </c>
      <c r="W186" s="46" t="n">
        <v>0</v>
      </c>
      <c r="X186" s="46" t="n">
        <v>-11.15</v>
      </c>
      <c r="Y186" s="33" t="n">
        <f aca="false">IFERROR(X186/R186,0)</f>
        <v>-1.17989417989454</v>
      </c>
      <c r="Z186" s="29" t="str">
        <f aca="false">IF(X186&gt;0,"Win",IF(X186&lt;0,"Loss","Flat"))</f>
        <v>Loss</v>
      </c>
      <c r="AA186" s="29" t="n">
        <f aca="false">ROUND((C186-B186)*1440,1)</f>
        <v>1.3</v>
      </c>
      <c r="AB186" s="29" t="str">
        <f aca="false">IF(AA186&lt;1,"a) &lt;1 min",IF(AA186&lt;10,"b) 1-10 min",IF(AA186&lt;60,"c) 10-60 min",IF(AA186&lt;240,"d) 1-4 h","e) 4 h+"))))</f>
        <v>b) 1-10 min</v>
      </c>
      <c r="AC186" s="29" t="str">
        <f aca="false">IF(P186&lt;10,"a) &lt;10",IF(P186&lt;20,"b) 10-20",IF(P186&lt;40,"c) 20-40",IF(P186&lt;80,"d) 40-80","e) 80+"))))</f>
        <v>a) &lt;10</v>
      </c>
      <c r="AD186" s="31" t="n">
        <f aca="false">Summary!$C$5+SUM(X$2:X186)</f>
        <v>12661.23</v>
      </c>
      <c r="AE186" s="31" t="n">
        <f aca="false">MAX(AE185,AD186)</f>
        <v>12676.03</v>
      </c>
      <c r="AF186" s="31" t="n">
        <f aca="false">AE186-AD186</f>
        <v>14.7999999999993</v>
      </c>
      <c r="AG186" s="30" t="n">
        <f aca="false">IFERROR(AF186/AE186,0)</f>
        <v>0.00116755798148153</v>
      </c>
    </row>
    <row r="187" customFormat="false" ht="15" hidden="false" customHeight="false" outlineLevel="0" collapsed="false">
      <c r="A187" s="29" t="n">
        <v>186</v>
      </c>
      <c r="B187" s="44" t="n">
        <v>44908.0854166667</v>
      </c>
      <c r="C187" s="44" t="n">
        <v>44908.0884606482</v>
      </c>
      <c r="D187" s="43" t="n">
        <f aca="false">INT(C187)</f>
        <v>44908</v>
      </c>
      <c r="E187" s="43" t="n">
        <f aca="false">D187-WEEKDAY(D187,3)</f>
        <v>44907</v>
      </c>
      <c r="F187" s="29" t="s">
        <v>152</v>
      </c>
      <c r="G187" s="29" t="n">
        <v>2022</v>
      </c>
      <c r="H187" s="29" t="s">
        <v>248</v>
      </c>
      <c r="I187" s="29" t="n">
        <v>2</v>
      </c>
      <c r="J187" s="29" t="s">
        <v>246</v>
      </c>
      <c r="K187" s="29" t="s">
        <v>247</v>
      </c>
      <c r="L187" s="29" t="n">
        <v>0.05</v>
      </c>
      <c r="M187" s="32" t="n">
        <v>11709.51</v>
      </c>
      <c r="N187" s="32" t="n">
        <v>11705.22</v>
      </c>
      <c r="O187" s="32" t="n">
        <v>11720.12</v>
      </c>
      <c r="P187" s="45" t="n">
        <f aca="false">ABS(M187-N187)</f>
        <v>4.29000000000087</v>
      </c>
      <c r="Q187" s="45" t="n">
        <f aca="false">IF(O187="","",ABS(O187-M187))</f>
        <v>10.6100000000006</v>
      </c>
      <c r="R187" s="31" t="n">
        <f aca="false">P187*L187*Summary!$C$6</f>
        <v>21.4500000000044</v>
      </c>
      <c r="S187" s="32" t="n">
        <v>11704.51</v>
      </c>
      <c r="T187" s="29" t="s">
        <v>249</v>
      </c>
      <c r="U187" s="45" t="n">
        <f aca="false">IF(J187="BUY",S187-M187,M187-S187)</f>
        <v>-5</v>
      </c>
      <c r="V187" s="46" t="n">
        <v>0</v>
      </c>
      <c r="W187" s="46" t="n">
        <v>0</v>
      </c>
      <c r="X187" s="46" t="n">
        <v>-25</v>
      </c>
      <c r="Y187" s="33" t="n">
        <f aca="false">IFERROR(X187/R187,0)</f>
        <v>-1.16550116550093</v>
      </c>
      <c r="Z187" s="29" t="str">
        <f aca="false">IF(X187&gt;0,"Win",IF(X187&lt;0,"Loss","Flat"))</f>
        <v>Loss</v>
      </c>
      <c r="AA187" s="29" t="n">
        <f aca="false">ROUND((C187-B187)*1440,1)</f>
        <v>4.4</v>
      </c>
      <c r="AB187" s="29" t="str">
        <f aca="false">IF(AA187&lt;1,"a) &lt;1 min",IF(AA187&lt;10,"b) 1-10 min",IF(AA187&lt;60,"c) 10-60 min",IF(AA187&lt;240,"d) 1-4 h","e) 4 h+"))))</f>
        <v>b) 1-10 min</v>
      </c>
      <c r="AC187" s="29" t="str">
        <f aca="false">IF(P187&lt;10,"a) &lt;10",IF(P187&lt;20,"b) 10-20",IF(P187&lt;40,"c) 20-40",IF(P187&lt;80,"d) 40-80","e) 80+"))))</f>
        <v>a) &lt;10</v>
      </c>
      <c r="AD187" s="31" t="n">
        <f aca="false">Summary!$C$5+SUM(X$2:X187)</f>
        <v>12636.23</v>
      </c>
      <c r="AE187" s="31" t="n">
        <f aca="false">MAX(AE186,AD187)</f>
        <v>12676.03</v>
      </c>
      <c r="AF187" s="31" t="n">
        <f aca="false">AE187-AD187</f>
        <v>39.7999999999993</v>
      </c>
      <c r="AG187" s="30" t="n">
        <f aca="false">IFERROR(AF187/AE187,0)</f>
        <v>0.00313978430155177</v>
      </c>
    </row>
    <row r="188" customFormat="false" ht="15" hidden="false" customHeight="false" outlineLevel="0" collapsed="false">
      <c r="A188" s="29" t="n">
        <v>187</v>
      </c>
      <c r="B188" s="44" t="n">
        <v>44909.8993055556</v>
      </c>
      <c r="C188" s="44" t="n">
        <v>44909.901087963</v>
      </c>
      <c r="D188" s="43" t="n">
        <f aca="false">INT(C188)</f>
        <v>44909</v>
      </c>
      <c r="E188" s="43" t="n">
        <f aca="false">D188-WEEKDAY(D188,3)</f>
        <v>44907</v>
      </c>
      <c r="F188" s="29" t="s">
        <v>152</v>
      </c>
      <c r="G188" s="29" t="n">
        <v>2022</v>
      </c>
      <c r="H188" s="29" t="s">
        <v>252</v>
      </c>
      <c r="I188" s="29" t="n">
        <v>21</v>
      </c>
      <c r="J188" s="29" t="s">
        <v>250</v>
      </c>
      <c r="K188" s="29" t="s">
        <v>251</v>
      </c>
      <c r="L188" s="29" t="n">
        <v>0.05</v>
      </c>
      <c r="M188" s="32" t="n">
        <v>11610.77</v>
      </c>
      <c r="N188" s="32" t="n">
        <v>11657.32</v>
      </c>
      <c r="O188" s="32" t="n">
        <v>11490.23</v>
      </c>
      <c r="P188" s="45" t="n">
        <f aca="false">ABS(M188-N188)</f>
        <v>46.5499999999993</v>
      </c>
      <c r="Q188" s="45" t="n">
        <f aca="false">IF(O188="","",ABS(O188-M188))</f>
        <v>120.540000000001</v>
      </c>
      <c r="R188" s="31" t="n">
        <f aca="false">P188*L188*Summary!$C$6</f>
        <v>232.749999999996</v>
      </c>
      <c r="S188" s="32" t="n">
        <v>11657.32</v>
      </c>
      <c r="T188" s="29" t="s">
        <v>249</v>
      </c>
      <c r="U188" s="45" t="n">
        <f aca="false">IF(J188="BUY",S188-M188,M188-S188)</f>
        <v>-46.5499999999993</v>
      </c>
      <c r="V188" s="46" t="n">
        <v>0</v>
      </c>
      <c r="W188" s="46" t="n">
        <v>0</v>
      </c>
      <c r="X188" s="46" t="n">
        <v>-232.75</v>
      </c>
      <c r="Y188" s="33" t="n">
        <f aca="false">IFERROR(X188/R188,0)</f>
        <v>-1.00000000000002</v>
      </c>
      <c r="Z188" s="29" t="str">
        <f aca="false">IF(X188&gt;0,"Win",IF(X188&lt;0,"Loss","Flat"))</f>
        <v>Loss</v>
      </c>
      <c r="AA188" s="29" t="n">
        <f aca="false">ROUND((C188-B188)*1440,1)</f>
        <v>2.6</v>
      </c>
      <c r="AB188" s="29" t="str">
        <f aca="false">IF(AA188&lt;1,"a) &lt;1 min",IF(AA188&lt;10,"b) 1-10 min",IF(AA188&lt;60,"c) 10-60 min",IF(AA188&lt;240,"d) 1-4 h","e) 4 h+"))))</f>
        <v>b) 1-10 min</v>
      </c>
      <c r="AC188" s="29" t="str">
        <f aca="false">IF(P188&lt;10,"a) &lt;10",IF(P188&lt;20,"b) 10-20",IF(P188&lt;40,"c) 20-40",IF(P188&lt;80,"d) 40-80","e) 80+"))))</f>
        <v>d) 40-80</v>
      </c>
      <c r="AD188" s="31" t="n">
        <f aca="false">Summary!$C$5+SUM(X$2:X188)</f>
        <v>12403.48</v>
      </c>
      <c r="AE188" s="31" t="n">
        <f aca="false">MAX(AE187,AD188)</f>
        <v>12676.03</v>
      </c>
      <c r="AF188" s="31" t="n">
        <f aca="false">AE188-AD188</f>
        <v>272.549999999999</v>
      </c>
      <c r="AG188" s="30" t="n">
        <f aca="false">IFERROR(AF188/AE188,0)</f>
        <v>0.0215012113414057</v>
      </c>
    </row>
    <row r="189" customFormat="false" ht="15" hidden="false" customHeight="false" outlineLevel="0" collapsed="false">
      <c r="A189" s="29" t="n">
        <v>188</v>
      </c>
      <c r="B189" s="44" t="n">
        <v>44910.4326388889</v>
      </c>
      <c r="C189" s="44" t="n">
        <v>44910.4340740741</v>
      </c>
      <c r="D189" s="43" t="n">
        <f aca="false">INT(C189)</f>
        <v>44910</v>
      </c>
      <c r="E189" s="43" t="n">
        <f aca="false">D189-WEEKDAY(D189,3)</f>
        <v>44907</v>
      </c>
      <c r="F189" s="29" t="s">
        <v>152</v>
      </c>
      <c r="G189" s="29" t="n">
        <v>2022</v>
      </c>
      <c r="H189" s="29" t="s">
        <v>253</v>
      </c>
      <c r="I189" s="29" t="n">
        <v>10</v>
      </c>
      <c r="J189" s="29" t="s">
        <v>250</v>
      </c>
      <c r="K189" s="29" t="s">
        <v>251</v>
      </c>
      <c r="L189" s="29" t="n">
        <v>0.05</v>
      </c>
      <c r="M189" s="32" t="n">
        <v>11596.85</v>
      </c>
      <c r="N189" s="32" t="n">
        <v>11608.66</v>
      </c>
      <c r="O189" s="32" t="n">
        <v>11567.93</v>
      </c>
      <c r="P189" s="45" t="n">
        <f aca="false">ABS(M189-N189)</f>
        <v>11.8099999999995</v>
      </c>
      <c r="Q189" s="45" t="n">
        <f aca="false">IF(O189="","",ABS(O189-M189))</f>
        <v>28.9200000000001</v>
      </c>
      <c r="R189" s="31" t="n">
        <f aca="false">P189*L189*Summary!$C$6</f>
        <v>59.0499999999975</v>
      </c>
      <c r="S189" s="32" t="n">
        <v>11610.51</v>
      </c>
      <c r="T189" s="29" t="s">
        <v>249</v>
      </c>
      <c r="U189" s="45" t="n">
        <f aca="false">IF(J189="BUY",S189-M189,M189-S189)</f>
        <v>-13.6599999999999</v>
      </c>
      <c r="V189" s="46" t="n">
        <v>0</v>
      </c>
      <c r="W189" s="46" t="n">
        <v>0</v>
      </c>
      <c r="X189" s="46" t="n">
        <v>-68.3</v>
      </c>
      <c r="Y189" s="33" t="n">
        <f aca="false">IFERROR(X189/R189,0)</f>
        <v>-1.15664690939886</v>
      </c>
      <c r="Z189" s="29" t="str">
        <f aca="false">IF(X189&gt;0,"Win",IF(X189&lt;0,"Loss","Flat"))</f>
        <v>Loss</v>
      </c>
      <c r="AA189" s="29" t="n">
        <f aca="false">ROUND((C189-B189)*1440,1)</f>
        <v>2.1</v>
      </c>
      <c r="AB189" s="29" t="str">
        <f aca="false">IF(AA189&lt;1,"a) &lt;1 min",IF(AA189&lt;10,"b) 1-10 min",IF(AA189&lt;60,"c) 10-60 min",IF(AA189&lt;240,"d) 1-4 h","e) 4 h+"))))</f>
        <v>b) 1-10 min</v>
      </c>
      <c r="AC189" s="29" t="str">
        <f aca="false">IF(P189&lt;10,"a) &lt;10",IF(P189&lt;20,"b) 10-20",IF(P189&lt;40,"c) 20-40",IF(P189&lt;80,"d) 40-80","e) 80+"))))</f>
        <v>b) 10-20</v>
      </c>
      <c r="AD189" s="31" t="n">
        <f aca="false">Summary!$C$5+SUM(X$2:X189)</f>
        <v>12335.18</v>
      </c>
      <c r="AE189" s="31" t="n">
        <f aca="false">MAX(AE188,AD189)</f>
        <v>12676.03</v>
      </c>
      <c r="AF189" s="31" t="n">
        <f aca="false">AE189-AD189</f>
        <v>340.849999999999</v>
      </c>
      <c r="AG189" s="30" t="n">
        <f aca="false">IFERROR(AF189/AE189,0)</f>
        <v>0.0268893336478376</v>
      </c>
    </row>
    <row r="190" customFormat="false" ht="15" hidden="false" customHeight="false" outlineLevel="0" collapsed="false">
      <c r="A190" s="29" t="n">
        <v>189</v>
      </c>
      <c r="B190" s="44" t="n">
        <v>44911.4243055556</v>
      </c>
      <c r="C190" s="44" t="n">
        <v>44911.4284027778</v>
      </c>
      <c r="D190" s="43" t="n">
        <f aca="false">INT(C190)</f>
        <v>44911</v>
      </c>
      <c r="E190" s="43" t="n">
        <f aca="false">D190-WEEKDAY(D190,3)</f>
        <v>44907</v>
      </c>
      <c r="F190" s="29" t="s">
        <v>152</v>
      </c>
      <c r="G190" s="29" t="n">
        <v>2022</v>
      </c>
      <c r="H190" s="29" t="s">
        <v>254</v>
      </c>
      <c r="I190" s="29" t="n">
        <v>10</v>
      </c>
      <c r="J190" s="29" t="s">
        <v>250</v>
      </c>
      <c r="K190" s="29" t="s">
        <v>251</v>
      </c>
      <c r="L190" s="29" t="n">
        <v>0.05</v>
      </c>
      <c r="M190" s="32" t="n">
        <v>11298.64</v>
      </c>
      <c r="N190" s="32" t="n">
        <v>11309.51</v>
      </c>
      <c r="O190" s="32" t="n">
        <v>11272.86</v>
      </c>
      <c r="P190" s="45" t="n">
        <f aca="false">ABS(M190-N190)</f>
        <v>10.8700000000008</v>
      </c>
      <c r="Q190" s="45" t="n">
        <f aca="false">IF(O190="","",ABS(O190-M190))</f>
        <v>25.7799999999988</v>
      </c>
      <c r="R190" s="31" t="n">
        <f aca="false">P190*L190*Summary!$C$6</f>
        <v>54.350000000004</v>
      </c>
      <c r="S190" s="32" t="n">
        <v>11272.61</v>
      </c>
      <c r="T190" s="29" t="s">
        <v>227</v>
      </c>
      <c r="U190" s="45" t="n">
        <f aca="false">IF(J190="BUY",S190-M190,M190-S190)</f>
        <v>26.0299999999988</v>
      </c>
      <c r="V190" s="46" t="n">
        <v>0</v>
      </c>
      <c r="W190" s="46" t="n">
        <v>0</v>
      </c>
      <c r="X190" s="46" t="n">
        <v>130.15</v>
      </c>
      <c r="Y190" s="33" t="n">
        <f aca="false">IFERROR(X190/R190,0)</f>
        <v>2.39466421343129</v>
      </c>
      <c r="Z190" s="29" t="str">
        <f aca="false">IF(X190&gt;0,"Win",IF(X190&lt;0,"Loss","Flat"))</f>
        <v>Win</v>
      </c>
      <c r="AA190" s="29" t="n">
        <f aca="false">ROUND((C190-B190)*1440,1)</f>
        <v>5.9</v>
      </c>
      <c r="AB190" s="29" t="str">
        <f aca="false">IF(AA190&lt;1,"a) &lt;1 min",IF(AA190&lt;10,"b) 1-10 min",IF(AA190&lt;60,"c) 10-60 min",IF(AA190&lt;240,"d) 1-4 h","e) 4 h+"))))</f>
        <v>b) 1-10 min</v>
      </c>
      <c r="AC190" s="29" t="str">
        <f aca="false">IF(P190&lt;10,"a) &lt;10",IF(P190&lt;20,"b) 10-20",IF(P190&lt;40,"c) 20-40",IF(P190&lt;80,"d) 40-80","e) 80+"))))</f>
        <v>b) 10-20</v>
      </c>
      <c r="AD190" s="31" t="n">
        <f aca="false">Summary!$C$5+SUM(X$2:X190)</f>
        <v>12465.33</v>
      </c>
      <c r="AE190" s="31" t="n">
        <f aca="false">MAX(AE189,AD190)</f>
        <v>12676.03</v>
      </c>
      <c r="AF190" s="31" t="n">
        <f aca="false">AE190-AD190</f>
        <v>210.699999999999</v>
      </c>
      <c r="AG190" s="30" t="n">
        <f aca="false">IFERROR(AF190/AE190,0)</f>
        <v>0.0166219234255519</v>
      </c>
    </row>
    <row r="191" customFormat="false" ht="15" hidden="false" customHeight="false" outlineLevel="0" collapsed="false">
      <c r="A191" s="29" t="n">
        <v>190</v>
      </c>
      <c r="B191" s="44" t="n">
        <v>44914.7006944444</v>
      </c>
      <c r="C191" s="44" t="n">
        <v>44914.7132291667</v>
      </c>
      <c r="D191" s="43" t="n">
        <f aca="false">INT(C191)</f>
        <v>44914</v>
      </c>
      <c r="E191" s="43" t="n">
        <f aca="false">D191-WEEKDAY(D191,3)</f>
        <v>44914</v>
      </c>
      <c r="F191" s="29" t="s">
        <v>152</v>
      </c>
      <c r="G191" s="29" t="n">
        <v>2022</v>
      </c>
      <c r="H191" s="29" t="s">
        <v>245</v>
      </c>
      <c r="I191" s="29" t="n">
        <v>16</v>
      </c>
      <c r="J191" s="29" t="s">
        <v>250</v>
      </c>
      <c r="K191" s="29" t="s">
        <v>251</v>
      </c>
      <c r="L191" s="29" t="n">
        <v>0.05</v>
      </c>
      <c r="M191" s="32" t="n">
        <v>11161.21</v>
      </c>
      <c r="N191" s="32" t="n">
        <v>11178.04</v>
      </c>
      <c r="O191" s="32" t="n">
        <v>11123.43</v>
      </c>
      <c r="P191" s="45" t="n">
        <f aca="false">ABS(M191-N191)</f>
        <v>16.8300000000017</v>
      </c>
      <c r="Q191" s="45" t="n">
        <f aca="false">IF(O191="","",ABS(O191-M191))</f>
        <v>37.7799999999988</v>
      </c>
      <c r="R191" s="31" t="n">
        <f aca="false">P191*L191*Summary!$C$6</f>
        <v>84.1500000000088</v>
      </c>
      <c r="S191" s="32" t="n">
        <v>11123.37</v>
      </c>
      <c r="T191" s="29" t="s">
        <v>227</v>
      </c>
      <c r="U191" s="45" t="n">
        <f aca="false">IF(J191="BUY",S191-M191,M191-S191)</f>
        <v>37.8399999999983</v>
      </c>
      <c r="V191" s="46" t="n">
        <v>0</v>
      </c>
      <c r="W191" s="46" t="n">
        <v>0</v>
      </c>
      <c r="X191" s="46" t="n">
        <v>189.2</v>
      </c>
      <c r="Y191" s="33" t="n">
        <f aca="false">IFERROR(X191/R191,0)</f>
        <v>2.24836601307166</v>
      </c>
      <c r="Z191" s="29" t="str">
        <f aca="false">IF(X191&gt;0,"Win",IF(X191&lt;0,"Loss","Flat"))</f>
        <v>Win</v>
      </c>
      <c r="AA191" s="29" t="n">
        <f aca="false">ROUND((C191-B191)*1440,1)</f>
        <v>18.1</v>
      </c>
      <c r="AB191" s="29" t="str">
        <f aca="false">IF(AA191&lt;1,"a) &lt;1 min",IF(AA191&lt;10,"b) 1-10 min",IF(AA191&lt;60,"c) 10-60 min",IF(AA191&lt;240,"d) 1-4 h","e) 4 h+"))))</f>
        <v>c) 10-60 min</v>
      </c>
      <c r="AC191" s="29" t="str">
        <f aca="false">IF(P191&lt;10,"a) &lt;10",IF(P191&lt;20,"b) 10-20",IF(P191&lt;40,"c) 20-40",IF(P191&lt;80,"d) 40-80","e) 80+"))))</f>
        <v>b) 10-20</v>
      </c>
      <c r="AD191" s="31" t="n">
        <f aca="false">Summary!$C$5+SUM(X$2:X191)</f>
        <v>12654.53</v>
      </c>
      <c r="AE191" s="31" t="n">
        <f aca="false">MAX(AE190,AD191)</f>
        <v>12676.03</v>
      </c>
      <c r="AF191" s="31" t="n">
        <f aca="false">AE191-AD191</f>
        <v>21.5</v>
      </c>
      <c r="AG191" s="30" t="n">
        <f aca="false">IFERROR(AF191/AE191,0)</f>
        <v>0.00169611463526041</v>
      </c>
    </row>
    <row r="192" customFormat="false" ht="15" hidden="false" customHeight="false" outlineLevel="0" collapsed="false">
      <c r="A192" s="29" t="n">
        <v>191</v>
      </c>
      <c r="B192" s="44" t="n">
        <v>44915.2159722222</v>
      </c>
      <c r="C192" s="44" t="n">
        <v>44915.2395138889</v>
      </c>
      <c r="D192" s="43" t="n">
        <f aca="false">INT(C192)</f>
        <v>44915</v>
      </c>
      <c r="E192" s="43" t="n">
        <f aca="false">D192-WEEKDAY(D192,3)</f>
        <v>44914</v>
      </c>
      <c r="F192" s="29" t="s">
        <v>152</v>
      </c>
      <c r="G192" s="29" t="n">
        <v>2022</v>
      </c>
      <c r="H192" s="29" t="s">
        <v>248</v>
      </c>
      <c r="I192" s="29" t="n">
        <v>5</v>
      </c>
      <c r="J192" s="29" t="s">
        <v>250</v>
      </c>
      <c r="K192" s="29" t="s">
        <v>251</v>
      </c>
      <c r="L192" s="29" t="n">
        <v>0.05</v>
      </c>
      <c r="M192" s="32" t="n">
        <v>11026.21</v>
      </c>
      <c r="N192" s="32" t="n">
        <v>11043.13</v>
      </c>
      <c r="O192" s="32" t="n">
        <v>10984.58</v>
      </c>
      <c r="P192" s="45" t="n">
        <f aca="false">ABS(M192-N192)</f>
        <v>16.9200000000001</v>
      </c>
      <c r="Q192" s="45" t="n">
        <f aca="false">IF(O192="","",ABS(O192-M192))</f>
        <v>41.6299999999992</v>
      </c>
      <c r="R192" s="31" t="n">
        <f aca="false">P192*L192*Summary!$C$6</f>
        <v>84.6000000000004</v>
      </c>
      <c r="S192" s="32" t="n">
        <v>10983.39</v>
      </c>
      <c r="T192" s="29" t="s">
        <v>227</v>
      </c>
      <c r="U192" s="45" t="n">
        <f aca="false">IF(J192="BUY",S192-M192,M192-S192)</f>
        <v>42.8199999999997</v>
      </c>
      <c r="V192" s="46" t="n">
        <v>0</v>
      </c>
      <c r="W192" s="46" t="n">
        <v>0</v>
      </c>
      <c r="X192" s="46" t="n">
        <v>214.1</v>
      </c>
      <c r="Y192" s="33" t="n">
        <f aca="false">IFERROR(X192/R192,0)</f>
        <v>2.53073286052008</v>
      </c>
      <c r="Z192" s="29" t="str">
        <f aca="false">IF(X192&gt;0,"Win",IF(X192&lt;0,"Loss","Flat"))</f>
        <v>Win</v>
      </c>
      <c r="AA192" s="29" t="n">
        <f aca="false">ROUND((C192-B192)*1440,1)</f>
        <v>33.9</v>
      </c>
      <c r="AB192" s="29" t="str">
        <f aca="false">IF(AA192&lt;1,"a) &lt;1 min",IF(AA192&lt;10,"b) 1-10 min",IF(AA192&lt;60,"c) 10-60 min",IF(AA192&lt;240,"d) 1-4 h","e) 4 h+"))))</f>
        <v>c) 10-60 min</v>
      </c>
      <c r="AC192" s="29" t="str">
        <f aca="false">IF(P192&lt;10,"a) &lt;10",IF(P192&lt;20,"b) 10-20",IF(P192&lt;40,"c) 20-40",IF(P192&lt;80,"d) 40-80","e) 80+"))))</f>
        <v>b) 10-20</v>
      </c>
      <c r="AD192" s="31" t="n">
        <f aca="false">Summary!$C$5+SUM(X$2:X192)</f>
        <v>12868.63</v>
      </c>
      <c r="AE192" s="31" t="n">
        <f aca="false">MAX(AE191,AD192)</f>
        <v>12868.63</v>
      </c>
      <c r="AF192" s="31" t="n">
        <f aca="false">AE192-AD192</f>
        <v>0</v>
      </c>
      <c r="AG192" s="30" t="n">
        <f aca="false">IFERROR(AF192/AE192,0)</f>
        <v>0</v>
      </c>
    </row>
    <row r="193" customFormat="false" ht="15" hidden="false" customHeight="false" outlineLevel="0" collapsed="false">
      <c r="A193" s="29" t="n">
        <v>192</v>
      </c>
      <c r="B193" s="44" t="n">
        <v>44916.1340277778</v>
      </c>
      <c r="C193" s="44" t="n">
        <v>44916.1469560185</v>
      </c>
      <c r="D193" s="43" t="n">
        <f aca="false">INT(C193)</f>
        <v>44916</v>
      </c>
      <c r="E193" s="43" t="n">
        <f aca="false">D193-WEEKDAY(D193,3)</f>
        <v>44914</v>
      </c>
      <c r="F193" s="29" t="s">
        <v>152</v>
      </c>
      <c r="G193" s="29" t="n">
        <v>2022</v>
      </c>
      <c r="H193" s="29" t="s">
        <v>252</v>
      </c>
      <c r="I193" s="29" t="n">
        <v>3</v>
      </c>
      <c r="J193" s="29" t="s">
        <v>246</v>
      </c>
      <c r="K193" s="29" t="s">
        <v>247</v>
      </c>
      <c r="L193" s="29" t="n">
        <v>0.05</v>
      </c>
      <c r="M193" s="32" t="n">
        <v>11142.23</v>
      </c>
      <c r="N193" s="32" t="n">
        <v>11135.48</v>
      </c>
      <c r="O193" s="32" t="n">
        <v>11158.72</v>
      </c>
      <c r="P193" s="45" t="n">
        <f aca="false">ABS(M193-N193)</f>
        <v>6.75</v>
      </c>
      <c r="Q193" s="45" t="n">
        <f aca="false">IF(O193="","",ABS(O193-M193))</f>
        <v>16.4899999999998</v>
      </c>
      <c r="R193" s="31" t="n">
        <f aca="false">P193*L193*Summary!$C$6</f>
        <v>33.75</v>
      </c>
      <c r="S193" s="32" t="n">
        <v>11142.09</v>
      </c>
      <c r="T193" s="29" t="s">
        <v>255</v>
      </c>
      <c r="U193" s="45" t="n">
        <f aca="false">IF(J193="BUY",S193-M193,M193-S193)</f>
        <v>-0.139999999999418</v>
      </c>
      <c r="V193" s="46" t="n">
        <v>0</v>
      </c>
      <c r="W193" s="46" t="n">
        <v>0</v>
      </c>
      <c r="X193" s="46" t="n">
        <v>-0.7</v>
      </c>
      <c r="Y193" s="33" t="n">
        <f aca="false">IFERROR(X193/R193,0)</f>
        <v>-0.0207407407407407</v>
      </c>
      <c r="Z193" s="29" t="str">
        <f aca="false">IF(X193&gt;0,"Win",IF(X193&lt;0,"Loss","Flat"))</f>
        <v>Loss</v>
      </c>
      <c r="AA193" s="29" t="n">
        <f aca="false">ROUND((C193-B193)*1440,1)</f>
        <v>18.6</v>
      </c>
      <c r="AB193" s="29" t="str">
        <f aca="false">IF(AA193&lt;1,"a) &lt;1 min",IF(AA193&lt;10,"b) 1-10 min",IF(AA193&lt;60,"c) 10-60 min",IF(AA193&lt;240,"d) 1-4 h","e) 4 h+"))))</f>
        <v>c) 10-60 min</v>
      </c>
      <c r="AC193" s="29" t="str">
        <f aca="false">IF(P193&lt;10,"a) &lt;10",IF(P193&lt;20,"b) 10-20",IF(P193&lt;40,"c) 20-40",IF(P193&lt;80,"d) 40-80","e) 80+"))))</f>
        <v>a) &lt;10</v>
      </c>
      <c r="AD193" s="31" t="n">
        <f aca="false">Summary!$C$5+SUM(X$2:X193)</f>
        <v>12867.93</v>
      </c>
      <c r="AE193" s="31" t="n">
        <f aca="false">MAX(AE192,AD193)</f>
        <v>12868.63</v>
      </c>
      <c r="AF193" s="31" t="n">
        <f aca="false">AE193-AD193</f>
        <v>0.700000000000728</v>
      </c>
      <c r="AG193" s="30" t="n">
        <f aca="false">IFERROR(AF193/AE193,0)</f>
        <v>5.43958447791822E-005</v>
      </c>
    </row>
    <row r="194" customFormat="false" ht="15" hidden="false" customHeight="false" outlineLevel="0" collapsed="false">
      <c r="A194" s="29" t="n">
        <v>193</v>
      </c>
      <c r="B194" s="44" t="n">
        <v>44917.6888888889</v>
      </c>
      <c r="C194" s="44" t="n">
        <v>44917.6894675926</v>
      </c>
      <c r="D194" s="43" t="n">
        <f aca="false">INT(C194)</f>
        <v>44917</v>
      </c>
      <c r="E194" s="43" t="n">
        <f aca="false">D194-WEEKDAY(D194,3)</f>
        <v>44914</v>
      </c>
      <c r="F194" s="29" t="s">
        <v>152</v>
      </c>
      <c r="G194" s="29" t="n">
        <v>2022</v>
      </c>
      <c r="H194" s="29" t="s">
        <v>253</v>
      </c>
      <c r="I194" s="29" t="n">
        <v>16</v>
      </c>
      <c r="J194" s="29" t="s">
        <v>250</v>
      </c>
      <c r="K194" s="29" t="s">
        <v>251</v>
      </c>
      <c r="L194" s="29" t="n">
        <v>0.05</v>
      </c>
      <c r="M194" s="32" t="n">
        <v>11077.19</v>
      </c>
      <c r="N194" s="32" t="n">
        <v>11087.77</v>
      </c>
      <c r="O194" s="32" t="n">
        <v>11051.14</v>
      </c>
      <c r="P194" s="45" t="n">
        <f aca="false">ABS(M194-N194)</f>
        <v>10.5799999999999</v>
      </c>
      <c r="Q194" s="45" t="n">
        <f aca="false">IF(O194="","",ABS(O194-M194))</f>
        <v>26.0500000000011</v>
      </c>
      <c r="R194" s="31" t="n">
        <f aca="false">P194*L194*Summary!$C$6</f>
        <v>52.8999999999996</v>
      </c>
      <c r="S194" s="32" t="n">
        <v>11050.26</v>
      </c>
      <c r="T194" s="29" t="s">
        <v>227</v>
      </c>
      <c r="U194" s="45" t="n">
        <f aca="false">IF(J194="BUY",S194-M194,M194-S194)</f>
        <v>26.9300000000003</v>
      </c>
      <c r="V194" s="46" t="n">
        <v>0</v>
      </c>
      <c r="W194" s="46" t="n">
        <v>0</v>
      </c>
      <c r="X194" s="46" t="n">
        <v>134.65</v>
      </c>
      <c r="Y194" s="33" t="n">
        <f aca="false">IFERROR(X194/R194,0)</f>
        <v>2.54536862003783</v>
      </c>
      <c r="Z194" s="29" t="str">
        <f aca="false">IF(X194&gt;0,"Win",IF(X194&lt;0,"Loss","Flat"))</f>
        <v>Win</v>
      </c>
      <c r="AA194" s="29" t="n">
        <f aca="false">ROUND((C194-B194)*1440,1)</f>
        <v>0.8</v>
      </c>
      <c r="AB194" s="29" t="str">
        <f aca="false">IF(AA194&lt;1,"a) &lt;1 min",IF(AA194&lt;10,"b) 1-10 min",IF(AA194&lt;60,"c) 10-60 min",IF(AA194&lt;240,"d) 1-4 h","e) 4 h+"))))</f>
        <v>a) &lt;1 min</v>
      </c>
      <c r="AC194" s="29" t="str">
        <f aca="false">IF(P194&lt;10,"a) &lt;10",IF(P194&lt;20,"b) 10-20",IF(P194&lt;40,"c) 20-40",IF(P194&lt;80,"d) 40-80","e) 80+"))))</f>
        <v>b) 10-20</v>
      </c>
      <c r="AD194" s="31" t="n">
        <f aca="false">Summary!$C$5+SUM(X$2:X194)</f>
        <v>13002.58</v>
      </c>
      <c r="AE194" s="31" t="n">
        <f aca="false">MAX(AE193,AD194)</f>
        <v>13002.58</v>
      </c>
      <c r="AF194" s="31" t="n">
        <f aca="false">AE194-AD194</f>
        <v>0</v>
      </c>
      <c r="AG194" s="30" t="n">
        <f aca="false">IFERROR(AF194/AE194,0)</f>
        <v>0</v>
      </c>
    </row>
    <row r="195" customFormat="false" ht="15" hidden="false" customHeight="false" outlineLevel="0" collapsed="false">
      <c r="A195" s="29" t="n">
        <v>194</v>
      </c>
      <c r="B195" s="44" t="n">
        <v>44922.0583333333</v>
      </c>
      <c r="C195" s="44" t="n">
        <v>44922.0633912037</v>
      </c>
      <c r="D195" s="43" t="n">
        <f aca="false">INT(C195)</f>
        <v>44922</v>
      </c>
      <c r="E195" s="43" t="n">
        <f aca="false">D195-WEEKDAY(D195,3)</f>
        <v>44921</v>
      </c>
      <c r="F195" s="29" t="s">
        <v>152</v>
      </c>
      <c r="G195" s="29" t="n">
        <v>2022</v>
      </c>
      <c r="H195" s="29" t="s">
        <v>248</v>
      </c>
      <c r="I195" s="29" t="n">
        <v>1</v>
      </c>
      <c r="J195" s="29" t="s">
        <v>246</v>
      </c>
      <c r="K195" s="29" t="s">
        <v>247</v>
      </c>
      <c r="L195" s="29" t="n">
        <v>0.05</v>
      </c>
      <c r="M195" s="32" t="n">
        <v>11050.12</v>
      </c>
      <c r="N195" s="32" t="n">
        <v>11045.2</v>
      </c>
      <c r="O195" s="32" t="n">
        <v>11062.23</v>
      </c>
      <c r="P195" s="45" t="n">
        <f aca="false">ABS(M195-N195)</f>
        <v>4.92000000000007</v>
      </c>
      <c r="Q195" s="45" t="n">
        <f aca="false">IF(O195="","",ABS(O195-M195))</f>
        <v>12.1099999999988</v>
      </c>
      <c r="R195" s="31" t="n">
        <f aca="false">P195*L195*Summary!$C$6</f>
        <v>24.6000000000004</v>
      </c>
      <c r="S195" s="32" t="n">
        <v>11062.8</v>
      </c>
      <c r="T195" s="29" t="s">
        <v>227</v>
      </c>
      <c r="U195" s="45" t="n">
        <f aca="false">IF(J195="BUY",S195-M195,M195-S195)</f>
        <v>12.6799999999985</v>
      </c>
      <c r="V195" s="46" t="n">
        <v>0</v>
      </c>
      <c r="W195" s="46" t="n">
        <v>0</v>
      </c>
      <c r="X195" s="46" t="n">
        <v>63.4</v>
      </c>
      <c r="Y195" s="33" t="n">
        <f aca="false">IFERROR(X195/R195,0)</f>
        <v>2.57723577235769</v>
      </c>
      <c r="Z195" s="29" t="str">
        <f aca="false">IF(X195&gt;0,"Win",IF(X195&lt;0,"Loss","Flat"))</f>
        <v>Win</v>
      </c>
      <c r="AA195" s="29" t="n">
        <f aca="false">ROUND((C195-B195)*1440,1)</f>
        <v>7.3</v>
      </c>
      <c r="AB195" s="29" t="str">
        <f aca="false">IF(AA195&lt;1,"a) &lt;1 min",IF(AA195&lt;10,"b) 1-10 min",IF(AA195&lt;60,"c) 10-60 min",IF(AA195&lt;240,"d) 1-4 h","e) 4 h+"))))</f>
        <v>b) 1-10 min</v>
      </c>
      <c r="AC195" s="29" t="str">
        <f aca="false">IF(P195&lt;10,"a) &lt;10",IF(P195&lt;20,"b) 10-20",IF(P195&lt;40,"c) 20-40",IF(P195&lt;80,"d) 40-80","e) 80+"))))</f>
        <v>a) &lt;10</v>
      </c>
      <c r="AD195" s="31" t="n">
        <f aca="false">Summary!$C$5+SUM(X$2:X195)</f>
        <v>13065.98</v>
      </c>
      <c r="AE195" s="31" t="n">
        <f aca="false">MAX(AE194,AD195)</f>
        <v>13065.98</v>
      </c>
      <c r="AF195" s="31" t="n">
        <f aca="false">AE195-AD195</f>
        <v>0</v>
      </c>
      <c r="AG195" s="30" t="n">
        <f aca="false">IFERROR(AF195/AE195,0)</f>
        <v>0</v>
      </c>
    </row>
    <row r="196" customFormat="false" ht="15" hidden="false" customHeight="false" outlineLevel="0" collapsed="false">
      <c r="A196" s="29" t="n">
        <v>195</v>
      </c>
      <c r="B196" s="44" t="n">
        <v>44922.6986111111</v>
      </c>
      <c r="C196" s="44" t="n">
        <v>44922.7033912037</v>
      </c>
      <c r="D196" s="43" t="n">
        <f aca="false">INT(C196)</f>
        <v>44922</v>
      </c>
      <c r="E196" s="43" t="n">
        <f aca="false">D196-WEEKDAY(D196,3)</f>
        <v>44921</v>
      </c>
      <c r="F196" s="29" t="s">
        <v>152</v>
      </c>
      <c r="G196" s="29" t="n">
        <v>2022</v>
      </c>
      <c r="H196" s="29" t="s">
        <v>248</v>
      </c>
      <c r="I196" s="29" t="n">
        <v>16</v>
      </c>
      <c r="J196" s="29" t="s">
        <v>250</v>
      </c>
      <c r="K196" s="29" t="s">
        <v>251</v>
      </c>
      <c r="L196" s="29" t="n">
        <v>0.06</v>
      </c>
      <c r="M196" s="32" t="n">
        <v>10823.66</v>
      </c>
      <c r="N196" s="32" t="n">
        <v>10845.72</v>
      </c>
      <c r="O196" s="32" t="n">
        <v>10772.31</v>
      </c>
      <c r="P196" s="45" t="n">
        <f aca="false">ABS(M196-N196)</f>
        <v>22.0599999999995</v>
      </c>
      <c r="Q196" s="45" t="n">
        <f aca="false">IF(O196="","",ABS(O196-M196))</f>
        <v>51.3500000000004</v>
      </c>
      <c r="R196" s="31" t="n">
        <f aca="false">P196*L196*Summary!$C$6</f>
        <v>132.359999999997</v>
      </c>
      <c r="S196" s="32" t="n">
        <v>10845.89</v>
      </c>
      <c r="T196" s="29" t="s">
        <v>249</v>
      </c>
      <c r="U196" s="45" t="n">
        <f aca="false">IF(J196="BUY",S196-M196,M196-S196)</f>
        <v>-22.2299999999996</v>
      </c>
      <c r="V196" s="46" t="n">
        <v>0</v>
      </c>
      <c r="W196" s="46" t="n">
        <v>0</v>
      </c>
      <c r="X196" s="46" t="n">
        <v>-133.38</v>
      </c>
      <c r="Y196" s="33" t="n">
        <f aca="false">IFERROR(X196/R196,0)</f>
        <v>-1.00770625566639</v>
      </c>
      <c r="Z196" s="29" t="str">
        <f aca="false">IF(X196&gt;0,"Win",IF(X196&lt;0,"Loss","Flat"))</f>
        <v>Loss</v>
      </c>
      <c r="AA196" s="29" t="n">
        <f aca="false">ROUND((C196-B196)*1440,1)</f>
        <v>6.9</v>
      </c>
      <c r="AB196" s="29" t="str">
        <f aca="false">IF(AA196&lt;1,"a) &lt;1 min",IF(AA196&lt;10,"b) 1-10 min",IF(AA196&lt;60,"c) 10-60 min",IF(AA196&lt;240,"d) 1-4 h","e) 4 h+"))))</f>
        <v>b) 1-10 min</v>
      </c>
      <c r="AC196" s="29" t="str">
        <f aca="false">IF(P196&lt;10,"a) &lt;10",IF(P196&lt;20,"b) 10-20",IF(P196&lt;40,"c) 20-40",IF(P196&lt;80,"d) 40-80","e) 80+"))))</f>
        <v>c) 20-40</v>
      </c>
      <c r="AD196" s="31" t="n">
        <f aca="false">Summary!$C$5+SUM(X$2:X196)</f>
        <v>12932.6</v>
      </c>
      <c r="AE196" s="31" t="n">
        <f aca="false">MAX(AE195,AD196)</f>
        <v>13065.98</v>
      </c>
      <c r="AF196" s="31" t="n">
        <f aca="false">AE196-AD196</f>
        <v>133.379999999999</v>
      </c>
      <c r="AG196" s="30" t="n">
        <f aca="false">IFERROR(AF196/AE196,0)</f>
        <v>0.0102081895119998</v>
      </c>
    </row>
    <row r="197" customFormat="false" ht="15" hidden="false" customHeight="false" outlineLevel="0" collapsed="false">
      <c r="A197" s="29" t="n">
        <v>196</v>
      </c>
      <c r="B197" s="44" t="n">
        <v>44923.46875</v>
      </c>
      <c r="C197" s="44" t="n">
        <v>44923.4695717593</v>
      </c>
      <c r="D197" s="43" t="n">
        <f aca="false">INT(C197)</f>
        <v>44923</v>
      </c>
      <c r="E197" s="43" t="n">
        <f aca="false">D197-WEEKDAY(D197,3)</f>
        <v>44921</v>
      </c>
      <c r="F197" s="29" t="s">
        <v>152</v>
      </c>
      <c r="G197" s="29" t="n">
        <v>2022</v>
      </c>
      <c r="H197" s="29" t="s">
        <v>252</v>
      </c>
      <c r="I197" s="29" t="n">
        <v>11</v>
      </c>
      <c r="J197" s="29" t="s">
        <v>250</v>
      </c>
      <c r="K197" s="29" t="s">
        <v>251</v>
      </c>
      <c r="L197" s="29" t="n">
        <v>0.05</v>
      </c>
      <c r="M197" s="32" t="n">
        <v>10799.83</v>
      </c>
      <c r="N197" s="32" t="n">
        <v>10806.65</v>
      </c>
      <c r="O197" s="32" t="n">
        <v>10784.7</v>
      </c>
      <c r="P197" s="45" t="n">
        <f aca="false">ABS(M197-N197)</f>
        <v>6.81999999999971</v>
      </c>
      <c r="Q197" s="45" t="n">
        <f aca="false">IF(O197="","",ABS(O197-M197))</f>
        <v>15.1299999999992</v>
      </c>
      <c r="R197" s="31" t="n">
        <f aca="false">P197*L197*Summary!$C$6</f>
        <v>34.0999999999985</v>
      </c>
      <c r="S197" s="32" t="n">
        <v>10806.9</v>
      </c>
      <c r="T197" s="29" t="s">
        <v>249</v>
      </c>
      <c r="U197" s="45" t="n">
        <f aca="false">IF(J197="BUY",S197-M197,M197-S197)</f>
        <v>-7.06999999999971</v>
      </c>
      <c r="V197" s="46" t="n">
        <v>0</v>
      </c>
      <c r="W197" s="46" t="n">
        <v>0</v>
      </c>
      <c r="X197" s="46" t="n">
        <v>-35.35</v>
      </c>
      <c r="Y197" s="33" t="n">
        <f aca="false">IFERROR(X197/R197,0)</f>
        <v>-1.03665689149565</v>
      </c>
      <c r="Z197" s="29" t="str">
        <f aca="false">IF(X197&gt;0,"Win",IF(X197&lt;0,"Loss","Flat"))</f>
        <v>Loss</v>
      </c>
      <c r="AA197" s="29" t="n">
        <f aca="false">ROUND((C197-B197)*1440,1)</f>
        <v>1.2</v>
      </c>
      <c r="AB197" s="29" t="str">
        <f aca="false">IF(AA197&lt;1,"a) &lt;1 min",IF(AA197&lt;10,"b) 1-10 min",IF(AA197&lt;60,"c) 10-60 min",IF(AA197&lt;240,"d) 1-4 h","e) 4 h+"))))</f>
        <v>b) 1-10 min</v>
      </c>
      <c r="AC197" s="29" t="str">
        <f aca="false">IF(P197&lt;10,"a) &lt;10",IF(P197&lt;20,"b) 10-20",IF(P197&lt;40,"c) 20-40",IF(P197&lt;80,"d) 40-80","e) 80+"))))</f>
        <v>a) &lt;10</v>
      </c>
      <c r="AD197" s="31" t="n">
        <f aca="false">Summary!$C$5+SUM(X$2:X197)</f>
        <v>12897.25</v>
      </c>
      <c r="AE197" s="31" t="n">
        <f aca="false">MAX(AE196,AD197)</f>
        <v>13065.98</v>
      </c>
      <c r="AF197" s="31" t="n">
        <f aca="false">AE197-AD197</f>
        <v>168.73</v>
      </c>
      <c r="AG197" s="30" t="n">
        <f aca="false">IFERROR(AF197/AE197,0)</f>
        <v>0.0129136888316069</v>
      </c>
    </row>
    <row r="198" customFormat="false" ht="15" hidden="false" customHeight="false" outlineLevel="0" collapsed="false">
      <c r="A198" s="29" t="n">
        <v>197</v>
      </c>
      <c r="B198" s="44" t="n">
        <v>44924.7194444445</v>
      </c>
      <c r="C198" s="44" t="n">
        <v>44924.7206944445</v>
      </c>
      <c r="D198" s="43" t="n">
        <f aca="false">INT(C198)</f>
        <v>44924</v>
      </c>
      <c r="E198" s="43" t="n">
        <f aca="false">D198-WEEKDAY(D198,3)</f>
        <v>44921</v>
      </c>
      <c r="F198" s="29" t="s">
        <v>152</v>
      </c>
      <c r="G198" s="29" t="n">
        <v>2022</v>
      </c>
      <c r="H198" s="29" t="s">
        <v>253</v>
      </c>
      <c r="I198" s="29" t="n">
        <v>17</v>
      </c>
      <c r="J198" s="29" t="s">
        <v>246</v>
      </c>
      <c r="K198" s="29" t="s">
        <v>247</v>
      </c>
      <c r="L198" s="29" t="n">
        <v>0.05</v>
      </c>
      <c r="M198" s="32" t="n">
        <v>10911.6</v>
      </c>
      <c r="N198" s="32" t="n">
        <v>10900.67</v>
      </c>
      <c r="O198" s="32" t="n">
        <v>10938.18</v>
      </c>
      <c r="P198" s="45" t="n">
        <f aca="false">ABS(M198-N198)</f>
        <v>10.9300000000003</v>
      </c>
      <c r="Q198" s="45" t="n">
        <f aca="false">IF(O198="","",ABS(O198-M198))</f>
        <v>26.5799999999999</v>
      </c>
      <c r="R198" s="31" t="n">
        <f aca="false">P198*L198*Summary!$C$6</f>
        <v>54.6500000000015</v>
      </c>
      <c r="S198" s="32" t="n">
        <v>10899.9</v>
      </c>
      <c r="T198" s="29" t="s">
        <v>249</v>
      </c>
      <c r="U198" s="45" t="n">
        <f aca="false">IF(J198="BUY",S198-M198,M198-S198)</f>
        <v>-11.7000000000007</v>
      </c>
      <c r="V198" s="46" t="n">
        <v>0</v>
      </c>
      <c r="W198" s="46" t="n">
        <v>0</v>
      </c>
      <c r="X198" s="46" t="n">
        <v>-58.5</v>
      </c>
      <c r="Y198" s="33" t="n">
        <f aca="false">IFERROR(X198/R198,0)</f>
        <v>-1.07044830741077</v>
      </c>
      <c r="Z198" s="29" t="str">
        <f aca="false">IF(X198&gt;0,"Win",IF(X198&lt;0,"Loss","Flat"))</f>
        <v>Loss</v>
      </c>
      <c r="AA198" s="29" t="n">
        <f aca="false">ROUND((C198-B198)*1440,1)</f>
        <v>1.8</v>
      </c>
      <c r="AB198" s="29" t="str">
        <f aca="false">IF(AA198&lt;1,"a) &lt;1 min",IF(AA198&lt;10,"b) 1-10 min",IF(AA198&lt;60,"c) 10-60 min",IF(AA198&lt;240,"d) 1-4 h","e) 4 h+"))))</f>
        <v>b) 1-10 min</v>
      </c>
      <c r="AC198" s="29" t="str">
        <f aca="false">IF(P198&lt;10,"a) &lt;10",IF(P198&lt;20,"b) 10-20",IF(P198&lt;40,"c) 20-40",IF(P198&lt;80,"d) 40-80","e) 80+"))))</f>
        <v>b) 10-20</v>
      </c>
      <c r="AD198" s="31" t="n">
        <f aca="false">Summary!$C$5+SUM(X$2:X198)</f>
        <v>12838.75</v>
      </c>
      <c r="AE198" s="31" t="n">
        <f aca="false">MAX(AE197,AD198)</f>
        <v>13065.98</v>
      </c>
      <c r="AF198" s="31" t="n">
        <f aca="false">AE198-AD198</f>
        <v>227.23</v>
      </c>
      <c r="AG198" s="30" t="n">
        <f aca="false">IFERROR(AF198/AE198,0)</f>
        <v>0.0173909649333613</v>
      </c>
    </row>
    <row r="199" customFormat="false" ht="15" hidden="false" customHeight="false" outlineLevel="0" collapsed="false">
      <c r="A199" s="29" t="n">
        <v>198</v>
      </c>
      <c r="B199" s="44" t="n">
        <v>44929.0423611111</v>
      </c>
      <c r="C199" s="44" t="n">
        <v>44929.0485185185</v>
      </c>
      <c r="D199" s="43" t="n">
        <f aca="false">INT(C199)</f>
        <v>44929</v>
      </c>
      <c r="E199" s="43" t="n">
        <f aca="false">D199-WEEKDAY(D199,3)</f>
        <v>44928</v>
      </c>
      <c r="F199" s="29" t="s">
        <v>153</v>
      </c>
      <c r="G199" s="29" t="n">
        <v>2023</v>
      </c>
      <c r="H199" s="29" t="s">
        <v>248</v>
      </c>
      <c r="I199" s="29" t="n">
        <v>1</v>
      </c>
      <c r="J199" s="29" t="s">
        <v>246</v>
      </c>
      <c r="K199" s="29" t="s">
        <v>247</v>
      </c>
      <c r="L199" s="29" t="n">
        <v>0.05</v>
      </c>
      <c r="M199" s="32" t="n">
        <v>11022.42</v>
      </c>
      <c r="N199" s="32" t="n">
        <v>10997.33</v>
      </c>
      <c r="O199" s="32" t="n">
        <v>11083.76</v>
      </c>
      <c r="P199" s="45" t="n">
        <f aca="false">ABS(M199-N199)</f>
        <v>25.0900000000001</v>
      </c>
      <c r="Q199" s="45" t="n">
        <f aca="false">IF(O199="","",ABS(O199-M199))</f>
        <v>61.3400000000001</v>
      </c>
      <c r="R199" s="31" t="n">
        <f aca="false">P199*L199*Summary!$C$6</f>
        <v>125.450000000001</v>
      </c>
      <c r="S199" s="32" t="n">
        <v>10997.04</v>
      </c>
      <c r="T199" s="29" t="s">
        <v>249</v>
      </c>
      <c r="U199" s="45" t="n">
        <f aca="false">IF(J199="BUY",S199-M199,M199-S199)</f>
        <v>-25.3799999999992</v>
      </c>
      <c r="V199" s="46" t="n">
        <v>0</v>
      </c>
      <c r="W199" s="46" t="n">
        <v>0</v>
      </c>
      <c r="X199" s="46" t="n">
        <v>-126.9</v>
      </c>
      <c r="Y199" s="33" t="n">
        <f aca="false">IFERROR(X199/R199,0)</f>
        <v>-1.01155838979673</v>
      </c>
      <c r="Z199" s="29" t="str">
        <f aca="false">IF(X199&gt;0,"Win",IF(X199&lt;0,"Loss","Flat"))</f>
        <v>Loss</v>
      </c>
      <c r="AA199" s="29" t="n">
        <f aca="false">ROUND((C199-B199)*1440,1)</f>
        <v>8.9</v>
      </c>
      <c r="AB199" s="29" t="str">
        <f aca="false">IF(AA199&lt;1,"a) &lt;1 min",IF(AA199&lt;10,"b) 1-10 min",IF(AA199&lt;60,"c) 10-60 min",IF(AA199&lt;240,"d) 1-4 h","e) 4 h+"))))</f>
        <v>b) 1-10 min</v>
      </c>
      <c r="AC199" s="29" t="str">
        <f aca="false">IF(P199&lt;10,"a) &lt;10",IF(P199&lt;20,"b) 10-20",IF(P199&lt;40,"c) 20-40",IF(P199&lt;80,"d) 40-80","e) 80+"))))</f>
        <v>c) 20-40</v>
      </c>
      <c r="AD199" s="31" t="n">
        <f aca="false">Summary!$C$5+SUM(X$2:X199)</f>
        <v>12711.85</v>
      </c>
      <c r="AE199" s="31" t="n">
        <f aca="false">MAX(AE198,AD199)</f>
        <v>13065.98</v>
      </c>
      <c r="AF199" s="31" t="n">
        <f aca="false">AE199-AD199</f>
        <v>354.129999999999</v>
      </c>
      <c r="AG199" s="30" t="n">
        <f aca="false">IFERROR(AF199/AE199,0)</f>
        <v>0.0271032100156283</v>
      </c>
    </row>
    <row r="200" customFormat="false" ht="15" hidden="false" customHeight="false" outlineLevel="0" collapsed="false">
      <c r="A200" s="29" t="n">
        <v>199</v>
      </c>
      <c r="B200" s="44" t="n">
        <v>44931.6902777778</v>
      </c>
      <c r="C200" s="44" t="n">
        <v>44931.7049652778</v>
      </c>
      <c r="D200" s="43" t="n">
        <f aca="false">INT(C200)</f>
        <v>44931</v>
      </c>
      <c r="E200" s="43" t="n">
        <f aca="false">D200-WEEKDAY(D200,3)</f>
        <v>44928</v>
      </c>
      <c r="F200" s="29" t="s">
        <v>153</v>
      </c>
      <c r="G200" s="29" t="n">
        <v>2023</v>
      </c>
      <c r="H200" s="29" t="s">
        <v>253</v>
      </c>
      <c r="I200" s="29" t="n">
        <v>16</v>
      </c>
      <c r="J200" s="29" t="s">
        <v>250</v>
      </c>
      <c r="K200" s="29" t="s">
        <v>251</v>
      </c>
      <c r="L200" s="29" t="n">
        <v>0.05</v>
      </c>
      <c r="M200" s="32" t="n">
        <v>10777.23</v>
      </c>
      <c r="N200" s="32" t="n">
        <v>10798.27</v>
      </c>
      <c r="O200" s="32" t="n">
        <v>10725.85</v>
      </c>
      <c r="P200" s="45" t="n">
        <f aca="false">ABS(M200-N200)</f>
        <v>21.0400000000009</v>
      </c>
      <c r="Q200" s="45" t="n">
        <f aca="false">IF(O200="","",ABS(O200-M200))</f>
        <v>51.3799999999992</v>
      </c>
      <c r="R200" s="31" t="n">
        <f aca="false">P200*L200*Summary!$C$6</f>
        <v>105.200000000004</v>
      </c>
      <c r="S200" s="32" t="n">
        <v>10779.34</v>
      </c>
      <c r="T200" s="29" t="s">
        <v>255</v>
      </c>
      <c r="U200" s="45" t="n">
        <f aca="false">IF(J200="BUY",S200-M200,M200-S200)</f>
        <v>-2.11000000000058</v>
      </c>
      <c r="V200" s="46" t="n">
        <v>0</v>
      </c>
      <c r="W200" s="46" t="n">
        <v>0</v>
      </c>
      <c r="X200" s="46" t="n">
        <v>-10.55</v>
      </c>
      <c r="Y200" s="33" t="n">
        <f aca="false">IFERROR(X200/R200,0)</f>
        <v>-0.100285171102657</v>
      </c>
      <c r="Z200" s="29" t="str">
        <f aca="false">IF(X200&gt;0,"Win",IF(X200&lt;0,"Loss","Flat"))</f>
        <v>Loss</v>
      </c>
      <c r="AA200" s="29" t="n">
        <f aca="false">ROUND((C200-B200)*1440,1)</f>
        <v>21.2</v>
      </c>
      <c r="AB200" s="29" t="str">
        <f aca="false">IF(AA200&lt;1,"a) &lt;1 min",IF(AA200&lt;10,"b) 1-10 min",IF(AA200&lt;60,"c) 10-60 min",IF(AA200&lt;240,"d) 1-4 h","e) 4 h+"))))</f>
        <v>c) 10-60 min</v>
      </c>
      <c r="AC200" s="29" t="str">
        <f aca="false">IF(P200&lt;10,"a) &lt;10",IF(P200&lt;20,"b) 10-20",IF(P200&lt;40,"c) 20-40",IF(P200&lt;80,"d) 40-80","e) 80+"))))</f>
        <v>c) 20-40</v>
      </c>
      <c r="AD200" s="31" t="n">
        <f aca="false">Summary!$C$5+SUM(X$2:X200)</f>
        <v>12701.3</v>
      </c>
      <c r="AE200" s="31" t="n">
        <f aca="false">MAX(AE199,AD200)</f>
        <v>13065.98</v>
      </c>
      <c r="AF200" s="31" t="n">
        <f aca="false">AE200-AD200</f>
        <v>364.68</v>
      </c>
      <c r="AG200" s="30" t="n">
        <f aca="false">IFERROR(AF200/AE200,0)</f>
        <v>0.0279106504066285</v>
      </c>
    </row>
    <row r="201" customFormat="false" ht="15" hidden="false" customHeight="false" outlineLevel="0" collapsed="false">
      <c r="A201" s="29" t="n">
        <v>200</v>
      </c>
      <c r="B201" s="44" t="n">
        <v>44932.4659722222</v>
      </c>
      <c r="C201" s="44" t="n">
        <v>44932.4731944444</v>
      </c>
      <c r="D201" s="43" t="n">
        <f aca="false">INT(C201)</f>
        <v>44932</v>
      </c>
      <c r="E201" s="43" t="n">
        <f aca="false">D201-WEEKDAY(D201,3)</f>
        <v>44928</v>
      </c>
      <c r="F201" s="29" t="s">
        <v>153</v>
      </c>
      <c r="G201" s="29" t="n">
        <v>2023</v>
      </c>
      <c r="H201" s="29" t="s">
        <v>254</v>
      </c>
      <c r="I201" s="29" t="n">
        <v>11</v>
      </c>
      <c r="J201" s="29" t="s">
        <v>250</v>
      </c>
      <c r="K201" s="29" t="s">
        <v>251</v>
      </c>
      <c r="L201" s="29" t="n">
        <v>0.05</v>
      </c>
      <c r="M201" s="32" t="n">
        <v>10729.14</v>
      </c>
      <c r="N201" s="32" t="n">
        <v>10735.26</v>
      </c>
      <c r="O201" s="32" t="n">
        <v>10714.45</v>
      </c>
      <c r="P201" s="45" t="n">
        <f aca="false">ABS(M201-N201)</f>
        <v>6.1200000000008</v>
      </c>
      <c r="Q201" s="45" t="n">
        <f aca="false">IF(O201="","",ABS(O201-M201))</f>
        <v>14.6899999999987</v>
      </c>
      <c r="R201" s="31" t="n">
        <f aca="false">P201*L201*Summary!$C$6</f>
        <v>30.600000000004</v>
      </c>
      <c r="S201" s="32" t="n">
        <v>10709.87</v>
      </c>
      <c r="T201" s="29" t="s">
        <v>227</v>
      </c>
      <c r="U201" s="45" t="n">
        <f aca="false">IF(J201="BUY",S201-M201,M201-S201)</f>
        <v>19.2699999999986</v>
      </c>
      <c r="V201" s="46" t="n">
        <v>0</v>
      </c>
      <c r="W201" s="46" t="n">
        <v>0</v>
      </c>
      <c r="X201" s="46" t="n">
        <v>96.35</v>
      </c>
      <c r="Y201" s="33" t="n">
        <f aca="false">IFERROR(X201/R201,0)</f>
        <v>3.1486928104571</v>
      </c>
      <c r="Z201" s="29" t="str">
        <f aca="false">IF(X201&gt;0,"Win",IF(X201&lt;0,"Loss","Flat"))</f>
        <v>Win</v>
      </c>
      <c r="AA201" s="29" t="n">
        <f aca="false">ROUND((C201-B201)*1440,1)</f>
        <v>10.4</v>
      </c>
      <c r="AB201" s="29" t="str">
        <f aca="false">IF(AA201&lt;1,"a) &lt;1 min",IF(AA201&lt;10,"b) 1-10 min",IF(AA201&lt;60,"c) 10-60 min",IF(AA201&lt;240,"d) 1-4 h","e) 4 h+"))))</f>
        <v>c) 10-60 min</v>
      </c>
      <c r="AC201" s="29" t="str">
        <f aca="false">IF(P201&lt;10,"a) &lt;10",IF(P201&lt;20,"b) 10-20",IF(P201&lt;40,"c) 20-40",IF(P201&lt;80,"d) 40-80","e) 80+"))))</f>
        <v>a) &lt;10</v>
      </c>
      <c r="AD201" s="31" t="n">
        <f aca="false">Summary!$C$5+SUM(X$2:X201)</f>
        <v>12797.65</v>
      </c>
      <c r="AE201" s="31" t="n">
        <f aca="false">MAX(AE200,AD201)</f>
        <v>13065.98</v>
      </c>
      <c r="AF201" s="31" t="n">
        <f aca="false">AE201-AD201</f>
        <v>268.33</v>
      </c>
      <c r="AG201" s="30" t="n">
        <f aca="false">IFERROR(AF201/AE201,0)</f>
        <v>0.020536538399722</v>
      </c>
    </row>
    <row r="202" customFormat="false" ht="15" hidden="false" customHeight="false" outlineLevel="0" collapsed="false">
      <c r="A202" s="29" t="n">
        <v>201</v>
      </c>
      <c r="B202" s="44" t="n">
        <v>44932.7875</v>
      </c>
      <c r="C202" s="44" t="n">
        <v>44932.7908912037</v>
      </c>
      <c r="D202" s="43" t="n">
        <f aca="false">INT(C202)</f>
        <v>44932</v>
      </c>
      <c r="E202" s="43" t="n">
        <f aca="false">D202-WEEKDAY(D202,3)</f>
        <v>44928</v>
      </c>
      <c r="F202" s="29" t="s">
        <v>153</v>
      </c>
      <c r="G202" s="29" t="n">
        <v>2023</v>
      </c>
      <c r="H202" s="29" t="s">
        <v>254</v>
      </c>
      <c r="I202" s="29" t="n">
        <v>18</v>
      </c>
      <c r="J202" s="29" t="s">
        <v>246</v>
      </c>
      <c r="K202" s="29" t="s">
        <v>247</v>
      </c>
      <c r="L202" s="29" t="n">
        <v>0.05</v>
      </c>
      <c r="M202" s="32" t="n">
        <v>10964.09</v>
      </c>
      <c r="N202" s="32" t="n">
        <v>10952.35</v>
      </c>
      <c r="O202" s="32" t="n">
        <v>10992.6</v>
      </c>
      <c r="P202" s="45" t="n">
        <f aca="false">ABS(M202-N202)</f>
        <v>11.7399999999998</v>
      </c>
      <c r="Q202" s="45" t="n">
        <f aca="false">IF(O202="","",ABS(O202-M202))</f>
        <v>28.5100000000002</v>
      </c>
      <c r="R202" s="31" t="n">
        <f aca="false">P202*L202*Summary!$C$6</f>
        <v>58.6999999999989</v>
      </c>
      <c r="S202" s="32" t="n">
        <v>10951.79</v>
      </c>
      <c r="T202" s="29" t="s">
        <v>249</v>
      </c>
      <c r="U202" s="45" t="n">
        <f aca="false">IF(J202="BUY",S202-M202,M202-S202)</f>
        <v>-12.2999999999993</v>
      </c>
      <c r="V202" s="46" t="n">
        <v>0</v>
      </c>
      <c r="W202" s="46" t="n">
        <v>0</v>
      </c>
      <c r="X202" s="46" t="n">
        <v>-61.5</v>
      </c>
      <c r="Y202" s="33" t="n">
        <f aca="false">IFERROR(X202/R202,0)</f>
        <v>-1.04770017035777</v>
      </c>
      <c r="Z202" s="29" t="str">
        <f aca="false">IF(X202&gt;0,"Win",IF(X202&lt;0,"Loss","Flat"))</f>
        <v>Loss</v>
      </c>
      <c r="AA202" s="29" t="n">
        <f aca="false">ROUND((C202-B202)*1440,1)</f>
        <v>4.9</v>
      </c>
      <c r="AB202" s="29" t="str">
        <f aca="false">IF(AA202&lt;1,"a) &lt;1 min",IF(AA202&lt;10,"b) 1-10 min",IF(AA202&lt;60,"c) 10-60 min",IF(AA202&lt;240,"d) 1-4 h","e) 4 h+"))))</f>
        <v>b) 1-10 min</v>
      </c>
      <c r="AC202" s="29" t="str">
        <f aca="false">IF(P202&lt;10,"a) &lt;10",IF(P202&lt;20,"b) 10-20",IF(P202&lt;40,"c) 20-40",IF(P202&lt;80,"d) 40-80","e) 80+"))))</f>
        <v>b) 10-20</v>
      </c>
      <c r="AD202" s="31" t="n">
        <f aca="false">Summary!$C$5+SUM(X$2:X202)</f>
        <v>12736.15</v>
      </c>
      <c r="AE202" s="31" t="n">
        <f aca="false">MAX(AE201,AD202)</f>
        <v>13065.98</v>
      </c>
      <c r="AF202" s="31" t="n">
        <f aca="false">AE202-AD202</f>
        <v>329.83</v>
      </c>
      <c r="AG202" s="30" t="n">
        <f aca="false">IFERROR(AF202/AE202,0)</f>
        <v>0.0252434184041304</v>
      </c>
    </row>
    <row r="203" customFormat="false" ht="15" hidden="false" customHeight="false" outlineLevel="0" collapsed="false">
      <c r="A203" s="29" t="n">
        <v>202</v>
      </c>
      <c r="B203" s="44" t="n">
        <v>44935.2791666667</v>
      </c>
      <c r="C203" s="44" t="n">
        <v>44935.2809027778</v>
      </c>
      <c r="D203" s="43" t="n">
        <f aca="false">INT(C203)</f>
        <v>44935</v>
      </c>
      <c r="E203" s="43" t="n">
        <f aca="false">D203-WEEKDAY(D203,3)</f>
        <v>44935</v>
      </c>
      <c r="F203" s="29" t="s">
        <v>153</v>
      </c>
      <c r="G203" s="29" t="n">
        <v>2023</v>
      </c>
      <c r="H203" s="29" t="s">
        <v>245</v>
      </c>
      <c r="I203" s="29" t="n">
        <v>6</v>
      </c>
      <c r="J203" s="29" t="s">
        <v>246</v>
      </c>
      <c r="K203" s="29" t="s">
        <v>247</v>
      </c>
      <c r="L203" s="29" t="n">
        <v>0.05</v>
      </c>
      <c r="M203" s="32" t="n">
        <v>11086.19</v>
      </c>
      <c r="N203" s="32" t="n">
        <v>11083.58</v>
      </c>
      <c r="O203" s="32" t="n">
        <v>11092.82</v>
      </c>
      <c r="P203" s="45" t="n">
        <f aca="false">ABS(M203-N203)</f>
        <v>2.61000000000058</v>
      </c>
      <c r="Q203" s="45" t="n">
        <f aca="false">IF(O203="","",ABS(O203-M203))</f>
        <v>6.6299999999992</v>
      </c>
      <c r="R203" s="31" t="n">
        <f aca="false">P203*L203*Summary!$C$6</f>
        <v>13.0500000000029</v>
      </c>
      <c r="S203" s="32" t="n">
        <v>11093.49</v>
      </c>
      <c r="T203" s="29" t="s">
        <v>227</v>
      </c>
      <c r="U203" s="45" t="n">
        <f aca="false">IF(J203="BUY",S203-M203,M203-S203)</f>
        <v>7.29999999999927</v>
      </c>
      <c r="V203" s="46" t="n">
        <v>0</v>
      </c>
      <c r="W203" s="46" t="n">
        <v>0</v>
      </c>
      <c r="X203" s="46" t="n">
        <v>36.5</v>
      </c>
      <c r="Y203" s="33" t="n">
        <f aca="false">IFERROR(X203/R203,0)</f>
        <v>2.79693486589976</v>
      </c>
      <c r="Z203" s="29" t="str">
        <f aca="false">IF(X203&gt;0,"Win",IF(X203&lt;0,"Loss","Flat"))</f>
        <v>Win</v>
      </c>
      <c r="AA203" s="29" t="n">
        <f aca="false">ROUND((C203-B203)*1440,1)</f>
        <v>2.5</v>
      </c>
      <c r="AB203" s="29" t="str">
        <f aca="false">IF(AA203&lt;1,"a) &lt;1 min",IF(AA203&lt;10,"b) 1-10 min",IF(AA203&lt;60,"c) 10-60 min",IF(AA203&lt;240,"d) 1-4 h","e) 4 h+"))))</f>
        <v>b) 1-10 min</v>
      </c>
      <c r="AC203" s="29" t="str">
        <f aca="false">IF(P203&lt;10,"a) &lt;10",IF(P203&lt;20,"b) 10-20",IF(P203&lt;40,"c) 20-40",IF(P203&lt;80,"d) 40-80","e) 80+"))))</f>
        <v>a) &lt;10</v>
      </c>
      <c r="AD203" s="31" t="n">
        <f aca="false">Summary!$C$5+SUM(X$2:X203)</f>
        <v>12772.65</v>
      </c>
      <c r="AE203" s="31" t="n">
        <f aca="false">MAX(AE202,AD203)</f>
        <v>13065.98</v>
      </c>
      <c r="AF203" s="31" t="n">
        <f aca="false">AE203-AD203</f>
        <v>293.33</v>
      </c>
      <c r="AG203" s="30" t="n">
        <f aca="false">IFERROR(AF203/AE203,0)</f>
        <v>0.0224499042551726</v>
      </c>
    </row>
    <row r="204" customFormat="false" ht="15" hidden="false" customHeight="false" outlineLevel="0" collapsed="false">
      <c r="A204" s="29" t="n">
        <v>203</v>
      </c>
      <c r="B204" s="44" t="n">
        <v>44936.5958333333</v>
      </c>
      <c r="C204" s="44" t="n">
        <v>44936.5967824074</v>
      </c>
      <c r="D204" s="43" t="n">
        <f aca="false">INT(C204)</f>
        <v>44936</v>
      </c>
      <c r="E204" s="43" t="n">
        <f aca="false">D204-WEEKDAY(D204,3)</f>
        <v>44935</v>
      </c>
      <c r="F204" s="29" t="s">
        <v>153</v>
      </c>
      <c r="G204" s="29" t="n">
        <v>2023</v>
      </c>
      <c r="H204" s="29" t="s">
        <v>248</v>
      </c>
      <c r="I204" s="29" t="n">
        <v>14</v>
      </c>
      <c r="J204" s="29" t="s">
        <v>250</v>
      </c>
      <c r="K204" s="29" t="s">
        <v>251</v>
      </c>
      <c r="L204" s="29" t="n">
        <v>0.05</v>
      </c>
      <c r="M204" s="32" t="n">
        <v>11033.29</v>
      </c>
      <c r="N204" s="32" t="n">
        <v>11042.42</v>
      </c>
      <c r="O204" s="32" t="n">
        <v>11010.77</v>
      </c>
      <c r="P204" s="45" t="n">
        <f aca="false">ABS(M204-N204)</f>
        <v>9.1299999999992</v>
      </c>
      <c r="Q204" s="45" t="n">
        <f aca="false">IF(O204="","",ABS(O204-M204))</f>
        <v>22.5200000000004</v>
      </c>
      <c r="R204" s="31" t="n">
        <f aca="false">P204*L204*Summary!$C$6</f>
        <v>45.649999999996</v>
      </c>
      <c r="S204" s="32" t="n">
        <v>11033.71</v>
      </c>
      <c r="T204" s="29" t="s">
        <v>255</v>
      </c>
      <c r="U204" s="45" t="n">
        <f aca="false">IF(J204="BUY",S204-M204,M204-S204)</f>
        <v>-0.419999999998254</v>
      </c>
      <c r="V204" s="46" t="n">
        <v>0</v>
      </c>
      <c r="W204" s="46" t="n">
        <v>0</v>
      </c>
      <c r="X204" s="46" t="n">
        <v>-2.1</v>
      </c>
      <c r="Y204" s="33" t="n">
        <f aca="false">IFERROR(X204/R204,0)</f>
        <v>-0.0460021905805079</v>
      </c>
      <c r="Z204" s="29" t="str">
        <f aca="false">IF(X204&gt;0,"Win",IF(X204&lt;0,"Loss","Flat"))</f>
        <v>Loss</v>
      </c>
      <c r="AA204" s="29" t="n">
        <f aca="false">ROUND((C204-B204)*1440,1)</f>
        <v>1.4</v>
      </c>
      <c r="AB204" s="29" t="str">
        <f aca="false">IF(AA204&lt;1,"a) &lt;1 min",IF(AA204&lt;10,"b) 1-10 min",IF(AA204&lt;60,"c) 10-60 min",IF(AA204&lt;240,"d) 1-4 h","e) 4 h+"))))</f>
        <v>b) 1-10 min</v>
      </c>
      <c r="AC204" s="29" t="str">
        <f aca="false">IF(P204&lt;10,"a) &lt;10",IF(P204&lt;20,"b) 10-20",IF(P204&lt;40,"c) 20-40",IF(P204&lt;80,"d) 40-80","e) 80+"))))</f>
        <v>a) &lt;10</v>
      </c>
      <c r="AD204" s="31" t="n">
        <f aca="false">Summary!$C$5+SUM(X$2:X204)</f>
        <v>12770.55</v>
      </c>
      <c r="AE204" s="31" t="n">
        <f aca="false">MAX(AE203,AD204)</f>
        <v>13065.98</v>
      </c>
      <c r="AF204" s="31" t="n">
        <f aca="false">AE204-AD204</f>
        <v>295.43</v>
      </c>
      <c r="AG204" s="30" t="n">
        <f aca="false">IFERROR(AF204/AE204,0)</f>
        <v>0.0226106269870305</v>
      </c>
    </row>
    <row r="205" customFormat="false" ht="15" hidden="false" customHeight="false" outlineLevel="0" collapsed="false">
      <c r="A205" s="29" t="n">
        <v>204</v>
      </c>
      <c r="B205" s="44" t="n">
        <v>44937.0868055556</v>
      </c>
      <c r="C205" s="44" t="n">
        <v>44937.0935300926</v>
      </c>
      <c r="D205" s="43" t="n">
        <f aca="false">INT(C205)</f>
        <v>44937</v>
      </c>
      <c r="E205" s="43" t="n">
        <f aca="false">D205-WEEKDAY(D205,3)</f>
        <v>44935</v>
      </c>
      <c r="F205" s="29" t="s">
        <v>153</v>
      </c>
      <c r="G205" s="29" t="n">
        <v>2023</v>
      </c>
      <c r="H205" s="29" t="s">
        <v>252</v>
      </c>
      <c r="I205" s="29" t="n">
        <v>2</v>
      </c>
      <c r="J205" s="29" t="s">
        <v>246</v>
      </c>
      <c r="K205" s="29" t="s">
        <v>247</v>
      </c>
      <c r="L205" s="29" t="n">
        <v>0.05</v>
      </c>
      <c r="M205" s="32" t="n">
        <v>11212.87</v>
      </c>
      <c r="N205" s="32" t="n">
        <v>11210.31</v>
      </c>
      <c r="O205" s="32" t="n">
        <v>11220</v>
      </c>
      <c r="P205" s="45" t="n">
        <f aca="false">ABS(M205-N205)</f>
        <v>2.56000000000131</v>
      </c>
      <c r="Q205" s="45" t="n">
        <f aca="false">IF(O205="","",ABS(O205-M205))</f>
        <v>7.1299999999992</v>
      </c>
      <c r="R205" s="31" t="n">
        <f aca="false">P205*L205*Summary!$C$6</f>
        <v>12.8000000000065</v>
      </c>
      <c r="S205" s="32" t="n">
        <v>11220.12</v>
      </c>
      <c r="T205" s="29" t="s">
        <v>227</v>
      </c>
      <c r="U205" s="45" t="n">
        <f aca="false">IF(J205="BUY",S205-M205,M205-S205)</f>
        <v>7.25</v>
      </c>
      <c r="V205" s="46" t="n">
        <v>0</v>
      </c>
      <c r="W205" s="46" t="n">
        <v>0</v>
      </c>
      <c r="X205" s="46" t="n">
        <v>36.25</v>
      </c>
      <c r="Y205" s="33" t="n">
        <f aca="false">IFERROR(X205/R205,0)</f>
        <v>2.83203124999855</v>
      </c>
      <c r="Z205" s="29" t="str">
        <f aca="false">IF(X205&gt;0,"Win",IF(X205&lt;0,"Loss","Flat"))</f>
        <v>Win</v>
      </c>
      <c r="AA205" s="29" t="n">
        <f aca="false">ROUND((C205-B205)*1440,1)</f>
        <v>9.7</v>
      </c>
      <c r="AB205" s="29" t="str">
        <f aca="false">IF(AA205&lt;1,"a) &lt;1 min",IF(AA205&lt;10,"b) 1-10 min",IF(AA205&lt;60,"c) 10-60 min",IF(AA205&lt;240,"d) 1-4 h","e) 4 h+"))))</f>
        <v>b) 1-10 min</v>
      </c>
      <c r="AC205" s="29" t="str">
        <f aca="false">IF(P205&lt;10,"a) &lt;10",IF(P205&lt;20,"b) 10-20",IF(P205&lt;40,"c) 20-40",IF(P205&lt;80,"d) 40-80","e) 80+"))))</f>
        <v>a) &lt;10</v>
      </c>
      <c r="AD205" s="31" t="n">
        <f aca="false">Summary!$C$5+SUM(X$2:X205)</f>
        <v>12806.8</v>
      </c>
      <c r="AE205" s="31" t="n">
        <f aca="false">MAX(AE204,AD205)</f>
        <v>13065.98</v>
      </c>
      <c r="AF205" s="31" t="n">
        <f aca="false">AE205-AD205</f>
        <v>259.18</v>
      </c>
      <c r="AG205" s="30" t="n">
        <f aca="false">IFERROR(AF205/AE205,0)</f>
        <v>0.0198362464966271</v>
      </c>
    </row>
    <row r="206" customFormat="false" ht="15" hidden="false" customHeight="false" outlineLevel="0" collapsed="false">
      <c r="A206" s="29" t="n">
        <v>205</v>
      </c>
      <c r="B206" s="44" t="n">
        <v>44938.2881944445</v>
      </c>
      <c r="C206" s="44" t="n">
        <v>44938.2924884259</v>
      </c>
      <c r="D206" s="43" t="n">
        <f aca="false">INT(C206)</f>
        <v>44938</v>
      </c>
      <c r="E206" s="43" t="n">
        <f aca="false">D206-WEEKDAY(D206,3)</f>
        <v>44935</v>
      </c>
      <c r="F206" s="29" t="s">
        <v>153</v>
      </c>
      <c r="G206" s="29" t="n">
        <v>2023</v>
      </c>
      <c r="H206" s="29" t="s">
        <v>253</v>
      </c>
      <c r="I206" s="29" t="n">
        <v>6</v>
      </c>
      <c r="J206" s="29" t="s">
        <v>246</v>
      </c>
      <c r="K206" s="29" t="s">
        <v>247</v>
      </c>
      <c r="L206" s="29" t="n">
        <v>0.05</v>
      </c>
      <c r="M206" s="32" t="n">
        <v>11407.55</v>
      </c>
      <c r="N206" s="32" t="n">
        <v>11403.68</v>
      </c>
      <c r="O206" s="32" t="n">
        <v>11417.8</v>
      </c>
      <c r="P206" s="45" t="n">
        <f aca="false">ABS(M206-N206)</f>
        <v>3.86999999999898</v>
      </c>
      <c r="Q206" s="45" t="n">
        <f aca="false">IF(O206="","",ABS(O206-M206))</f>
        <v>10.25</v>
      </c>
      <c r="R206" s="31" t="n">
        <f aca="false">P206*L206*Summary!$C$6</f>
        <v>19.3499999999949</v>
      </c>
      <c r="S206" s="32" t="n">
        <v>11403.66</v>
      </c>
      <c r="T206" s="29" t="s">
        <v>249</v>
      </c>
      <c r="U206" s="45" t="n">
        <f aca="false">IF(J206="BUY",S206-M206,M206-S206)</f>
        <v>-3.88999999999942</v>
      </c>
      <c r="V206" s="46" t="n">
        <v>0</v>
      </c>
      <c r="W206" s="46" t="n">
        <v>0</v>
      </c>
      <c r="X206" s="46" t="n">
        <v>-19.45</v>
      </c>
      <c r="Y206" s="33" t="n">
        <f aca="false">IFERROR(X206/R206,0)</f>
        <v>-1.0051679586566</v>
      </c>
      <c r="Z206" s="29" t="str">
        <f aca="false">IF(X206&gt;0,"Win",IF(X206&lt;0,"Loss","Flat"))</f>
        <v>Loss</v>
      </c>
      <c r="AA206" s="29" t="n">
        <f aca="false">ROUND((C206-B206)*1440,1)</f>
        <v>6.2</v>
      </c>
      <c r="AB206" s="29" t="str">
        <f aca="false">IF(AA206&lt;1,"a) &lt;1 min",IF(AA206&lt;10,"b) 1-10 min",IF(AA206&lt;60,"c) 10-60 min",IF(AA206&lt;240,"d) 1-4 h","e) 4 h+"))))</f>
        <v>b) 1-10 min</v>
      </c>
      <c r="AC206" s="29" t="str">
        <f aca="false">IF(P206&lt;10,"a) &lt;10",IF(P206&lt;20,"b) 10-20",IF(P206&lt;40,"c) 20-40",IF(P206&lt;80,"d) 40-80","e) 80+"))))</f>
        <v>a) &lt;10</v>
      </c>
      <c r="AD206" s="31" t="n">
        <f aca="false">Summary!$C$5+SUM(X$2:X206)</f>
        <v>12787.35</v>
      </c>
      <c r="AE206" s="31" t="n">
        <f aca="false">MAX(AE205,AD206)</f>
        <v>13065.98</v>
      </c>
      <c r="AF206" s="31" t="n">
        <f aca="false">AE206-AD206</f>
        <v>278.629999999999</v>
      </c>
      <c r="AG206" s="30" t="n">
        <f aca="false">IFERROR(AF206/AE206,0)</f>
        <v>0.0213248451321676</v>
      </c>
    </row>
    <row r="207" customFormat="false" ht="15" hidden="false" customHeight="false" outlineLevel="0" collapsed="false">
      <c r="A207" s="29" t="n">
        <v>206</v>
      </c>
      <c r="B207" s="44" t="n">
        <v>44939.8951388889</v>
      </c>
      <c r="C207" s="44" t="n">
        <v>44939.897974537</v>
      </c>
      <c r="D207" s="43" t="n">
        <f aca="false">INT(C207)</f>
        <v>44939</v>
      </c>
      <c r="E207" s="43" t="n">
        <f aca="false">D207-WEEKDAY(D207,3)</f>
        <v>44935</v>
      </c>
      <c r="F207" s="29" t="s">
        <v>153</v>
      </c>
      <c r="G207" s="29" t="n">
        <v>2023</v>
      </c>
      <c r="H207" s="29" t="s">
        <v>254</v>
      </c>
      <c r="I207" s="29" t="n">
        <v>21</v>
      </c>
      <c r="J207" s="29" t="s">
        <v>246</v>
      </c>
      <c r="K207" s="29" t="s">
        <v>247</v>
      </c>
      <c r="L207" s="29" t="n">
        <v>0.05</v>
      </c>
      <c r="M207" s="32" t="n">
        <v>11503.01</v>
      </c>
      <c r="N207" s="32" t="n">
        <v>11497.52</v>
      </c>
      <c r="O207" s="32" t="n">
        <v>11516.81</v>
      </c>
      <c r="P207" s="45" t="n">
        <f aca="false">ABS(M207-N207)</f>
        <v>5.48999999999978</v>
      </c>
      <c r="Q207" s="45" t="n">
        <f aca="false">IF(O207="","",ABS(O207-M207))</f>
        <v>13.7999999999993</v>
      </c>
      <c r="R207" s="31" t="n">
        <f aca="false">P207*L207*Summary!$C$6</f>
        <v>27.4499999999989</v>
      </c>
      <c r="S207" s="32" t="n">
        <v>11502.4</v>
      </c>
      <c r="T207" s="29" t="s">
        <v>255</v>
      </c>
      <c r="U207" s="45" t="n">
        <f aca="false">IF(J207="BUY",S207-M207,M207-S207)</f>
        <v>-0.610000000000582</v>
      </c>
      <c r="V207" s="46" t="n">
        <v>0</v>
      </c>
      <c r="W207" s="46" t="n">
        <v>0</v>
      </c>
      <c r="X207" s="46" t="n">
        <v>-3.05</v>
      </c>
      <c r="Y207" s="33" t="n">
        <f aca="false">IFERROR(X207/R207,0)</f>
        <v>-0.111111111111116</v>
      </c>
      <c r="Z207" s="29" t="str">
        <f aca="false">IF(X207&gt;0,"Win",IF(X207&lt;0,"Loss","Flat"))</f>
        <v>Loss</v>
      </c>
      <c r="AA207" s="29" t="n">
        <f aca="false">ROUND((C207-B207)*1440,1)</f>
        <v>4.1</v>
      </c>
      <c r="AB207" s="29" t="str">
        <f aca="false">IF(AA207&lt;1,"a) &lt;1 min",IF(AA207&lt;10,"b) 1-10 min",IF(AA207&lt;60,"c) 10-60 min",IF(AA207&lt;240,"d) 1-4 h","e) 4 h+"))))</f>
        <v>b) 1-10 min</v>
      </c>
      <c r="AC207" s="29" t="str">
        <f aca="false">IF(P207&lt;10,"a) &lt;10",IF(P207&lt;20,"b) 10-20",IF(P207&lt;40,"c) 20-40",IF(P207&lt;80,"d) 40-80","e) 80+"))))</f>
        <v>a) &lt;10</v>
      </c>
      <c r="AD207" s="31" t="n">
        <f aca="false">Summary!$C$5+SUM(X$2:X207)</f>
        <v>12784.3</v>
      </c>
      <c r="AE207" s="31" t="n">
        <f aca="false">MAX(AE206,AD207)</f>
        <v>13065.98</v>
      </c>
      <c r="AF207" s="31" t="n">
        <f aca="false">AE207-AD207</f>
        <v>281.68</v>
      </c>
      <c r="AG207" s="30" t="n">
        <f aca="false">IFERROR(AF207/AE207,0)</f>
        <v>0.0215582757665327</v>
      </c>
    </row>
    <row r="208" customFormat="false" ht="15" hidden="false" customHeight="false" outlineLevel="0" collapsed="false">
      <c r="A208" s="29" t="n">
        <v>207</v>
      </c>
      <c r="B208" s="44" t="n">
        <v>44942.1659722222</v>
      </c>
      <c r="C208" s="44" t="n">
        <v>44942.1709606482</v>
      </c>
      <c r="D208" s="43" t="n">
        <f aca="false">INT(C208)</f>
        <v>44942</v>
      </c>
      <c r="E208" s="43" t="n">
        <f aca="false">D208-WEEKDAY(D208,3)</f>
        <v>44942</v>
      </c>
      <c r="F208" s="29" t="s">
        <v>153</v>
      </c>
      <c r="G208" s="29" t="n">
        <v>2023</v>
      </c>
      <c r="H208" s="29" t="s">
        <v>245</v>
      </c>
      <c r="I208" s="29" t="n">
        <v>3</v>
      </c>
      <c r="J208" s="29" t="s">
        <v>246</v>
      </c>
      <c r="K208" s="29" t="s">
        <v>247</v>
      </c>
      <c r="L208" s="29" t="n">
        <v>0.05</v>
      </c>
      <c r="M208" s="32" t="n">
        <v>11566.35</v>
      </c>
      <c r="N208" s="32" t="n">
        <v>11560.36</v>
      </c>
      <c r="O208" s="32" t="n">
        <v>11581.19</v>
      </c>
      <c r="P208" s="45" t="n">
        <f aca="false">ABS(M208-N208)</f>
        <v>5.98999999999978</v>
      </c>
      <c r="Q208" s="45" t="n">
        <f aca="false">IF(O208="","",ABS(O208-M208))</f>
        <v>14.8400000000001</v>
      </c>
      <c r="R208" s="31" t="n">
        <f aca="false">P208*L208*Summary!$C$6</f>
        <v>29.9499999999989</v>
      </c>
      <c r="S208" s="32" t="n">
        <v>11560.05</v>
      </c>
      <c r="T208" s="29" t="s">
        <v>249</v>
      </c>
      <c r="U208" s="45" t="n">
        <f aca="false">IF(J208="BUY",S208-M208,M208-S208)</f>
        <v>-6.30000000000109</v>
      </c>
      <c r="V208" s="46" t="n">
        <v>0</v>
      </c>
      <c r="W208" s="46" t="n">
        <v>0</v>
      </c>
      <c r="X208" s="46" t="n">
        <v>-31.5</v>
      </c>
      <c r="Y208" s="33" t="n">
        <f aca="false">IFERROR(X208/R208,0)</f>
        <v>-1.05175292153593</v>
      </c>
      <c r="Z208" s="29" t="str">
        <f aca="false">IF(X208&gt;0,"Win",IF(X208&lt;0,"Loss","Flat"))</f>
        <v>Loss</v>
      </c>
      <c r="AA208" s="29" t="n">
        <f aca="false">ROUND((C208-B208)*1440,1)</f>
        <v>7.2</v>
      </c>
      <c r="AB208" s="29" t="str">
        <f aca="false">IF(AA208&lt;1,"a) &lt;1 min",IF(AA208&lt;10,"b) 1-10 min",IF(AA208&lt;60,"c) 10-60 min",IF(AA208&lt;240,"d) 1-4 h","e) 4 h+"))))</f>
        <v>b) 1-10 min</v>
      </c>
      <c r="AC208" s="29" t="str">
        <f aca="false">IF(P208&lt;10,"a) &lt;10",IF(P208&lt;20,"b) 10-20",IF(P208&lt;40,"c) 20-40",IF(P208&lt;80,"d) 40-80","e) 80+"))))</f>
        <v>a) &lt;10</v>
      </c>
      <c r="AD208" s="31" t="n">
        <f aca="false">Summary!$C$5+SUM(X$2:X208)</f>
        <v>12752.8</v>
      </c>
      <c r="AE208" s="31" t="n">
        <f aca="false">MAX(AE207,AD208)</f>
        <v>13065.98</v>
      </c>
      <c r="AF208" s="31" t="n">
        <f aca="false">AE208-AD208</f>
        <v>313.18</v>
      </c>
      <c r="AG208" s="30" t="n">
        <f aca="false">IFERROR(AF208/AE208,0)</f>
        <v>0.0239691167444004</v>
      </c>
    </row>
    <row r="209" customFormat="false" ht="15" hidden="false" customHeight="false" outlineLevel="0" collapsed="false">
      <c r="A209" s="29" t="n">
        <v>208</v>
      </c>
      <c r="B209" s="44" t="n">
        <v>44943.7097222222</v>
      </c>
      <c r="C209" s="44" t="n">
        <v>44943.7171759259</v>
      </c>
      <c r="D209" s="43" t="n">
        <f aca="false">INT(C209)</f>
        <v>44943</v>
      </c>
      <c r="E209" s="43" t="n">
        <f aca="false">D209-WEEKDAY(D209,3)</f>
        <v>44942</v>
      </c>
      <c r="F209" s="29" t="s">
        <v>153</v>
      </c>
      <c r="G209" s="29" t="n">
        <v>2023</v>
      </c>
      <c r="H209" s="29" t="s">
        <v>248</v>
      </c>
      <c r="I209" s="29" t="n">
        <v>17</v>
      </c>
      <c r="J209" s="29" t="s">
        <v>246</v>
      </c>
      <c r="K209" s="29" t="s">
        <v>247</v>
      </c>
      <c r="L209" s="29" t="n">
        <v>0.05</v>
      </c>
      <c r="M209" s="32" t="n">
        <v>11579.03</v>
      </c>
      <c r="N209" s="32" t="n">
        <v>11564.31</v>
      </c>
      <c r="O209" s="32" t="n">
        <v>11614.2</v>
      </c>
      <c r="P209" s="45" t="n">
        <f aca="false">ABS(M209-N209)</f>
        <v>14.7200000000012</v>
      </c>
      <c r="Q209" s="45" t="n">
        <f aca="false">IF(O209="","",ABS(O209-M209))</f>
        <v>35.1700000000001</v>
      </c>
      <c r="R209" s="31" t="n">
        <f aca="false">P209*L209*Summary!$C$6</f>
        <v>73.6000000000058</v>
      </c>
      <c r="S209" s="32" t="n">
        <v>11614.2</v>
      </c>
      <c r="T209" s="29" t="s">
        <v>227</v>
      </c>
      <c r="U209" s="45" t="n">
        <f aca="false">IF(J209="BUY",S209-M209,M209-S209)</f>
        <v>35.1700000000001</v>
      </c>
      <c r="V209" s="46" t="n">
        <v>0</v>
      </c>
      <c r="W209" s="46" t="n">
        <v>0</v>
      </c>
      <c r="X209" s="46" t="n">
        <v>175.85</v>
      </c>
      <c r="Y209" s="33" t="n">
        <f aca="false">IFERROR(X209/R209,0)</f>
        <v>2.38926630434764</v>
      </c>
      <c r="Z209" s="29" t="str">
        <f aca="false">IF(X209&gt;0,"Win",IF(X209&lt;0,"Loss","Flat"))</f>
        <v>Win</v>
      </c>
      <c r="AA209" s="29" t="n">
        <f aca="false">ROUND((C209-B209)*1440,1)</f>
        <v>10.7</v>
      </c>
      <c r="AB209" s="29" t="str">
        <f aca="false">IF(AA209&lt;1,"a) &lt;1 min",IF(AA209&lt;10,"b) 1-10 min",IF(AA209&lt;60,"c) 10-60 min",IF(AA209&lt;240,"d) 1-4 h","e) 4 h+"))))</f>
        <v>c) 10-60 min</v>
      </c>
      <c r="AC209" s="29" t="str">
        <f aca="false">IF(P209&lt;10,"a) &lt;10",IF(P209&lt;20,"b) 10-20",IF(P209&lt;40,"c) 20-40",IF(P209&lt;80,"d) 40-80","e) 80+"))))</f>
        <v>b) 10-20</v>
      </c>
      <c r="AD209" s="31" t="n">
        <f aca="false">Summary!$C$5+SUM(X$2:X209)</f>
        <v>12928.65</v>
      </c>
      <c r="AE209" s="31" t="n">
        <f aca="false">MAX(AE208,AD209)</f>
        <v>13065.98</v>
      </c>
      <c r="AF209" s="31" t="n">
        <f aca="false">AE209-AD209</f>
        <v>137.33</v>
      </c>
      <c r="AG209" s="30" t="n">
        <f aca="false">IFERROR(AF209/AE209,0)</f>
        <v>0.0105105013171611</v>
      </c>
    </row>
    <row r="210" customFormat="false" ht="15" hidden="false" customHeight="false" outlineLevel="0" collapsed="false">
      <c r="A210" s="29" t="n">
        <v>209</v>
      </c>
      <c r="B210" s="44" t="n">
        <v>44944.6465277778</v>
      </c>
      <c r="C210" s="44" t="n">
        <v>44944.6471180556</v>
      </c>
      <c r="D210" s="43" t="n">
        <f aca="false">INT(C210)</f>
        <v>44944</v>
      </c>
      <c r="E210" s="43" t="n">
        <f aca="false">D210-WEEKDAY(D210,3)</f>
        <v>44942</v>
      </c>
      <c r="F210" s="29" t="s">
        <v>153</v>
      </c>
      <c r="G210" s="29" t="n">
        <v>2023</v>
      </c>
      <c r="H210" s="29" t="s">
        <v>252</v>
      </c>
      <c r="I210" s="29" t="n">
        <v>15</v>
      </c>
      <c r="J210" s="29" t="s">
        <v>246</v>
      </c>
      <c r="K210" s="29" t="s">
        <v>247</v>
      </c>
      <c r="L210" s="29" t="n">
        <v>0.05</v>
      </c>
      <c r="M210" s="32" t="n">
        <v>11642.41</v>
      </c>
      <c r="N210" s="32" t="n">
        <v>11627.16</v>
      </c>
      <c r="O210" s="32" t="n">
        <v>11678.71</v>
      </c>
      <c r="P210" s="45" t="n">
        <f aca="false">ABS(M210-N210)</f>
        <v>15.25</v>
      </c>
      <c r="Q210" s="45" t="n">
        <f aca="false">IF(O210="","",ABS(O210-M210))</f>
        <v>36.2999999999993</v>
      </c>
      <c r="R210" s="31" t="n">
        <f aca="false">P210*L210*Summary!$C$6</f>
        <v>76.25</v>
      </c>
      <c r="S210" s="32" t="n">
        <v>11627.04</v>
      </c>
      <c r="T210" s="29" t="s">
        <v>249</v>
      </c>
      <c r="U210" s="45" t="n">
        <f aca="false">IF(J210="BUY",S210-M210,M210-S210)</f>
        <v>-15.369999999999</v>
      </c>
      <c r="V210" s="46" t="n">
        <v>0</v>
      </c>
      <c r="W210" s="46" t="n">
        <v>0</v>
      </c>
      <c r="X210" s="46" t="n">
        <v>-76.85</v>
      </c>
      <c r="Y210" s="33" t="n">
        <f aca="false">IFERROR(X210/R210,0)</f>
        <v>-1.00786885245902</v>
      </c>
      <c r="Z210" s="29" t="str">
        <f aca="false">IF(X210&gt;0,"Win",IF(X210&lt;0,"Loss","Flat"))</f>
        <v>Loss</v>
      </c>
      <c r="AA210" s="29" t="n">
        <f aca="false">ROUND((C210-B210)*1440,1)</f>
        <v>0.9</v>
      </c>
      <c r="AB210" s="29" t="str">
        <f aca="false">IF(AA210&lt;1,"a) &lt;1 min",IF(AA210&lt;10,"b) 1-10 min",IF(AA210&lt;60,"c) 10-60 min",IF(AA210&lt;240,"d) 1-4 h","e) 4 h+"))))</f>
        <v>a) &lt;1 min</v>
      </c>
      <c r="AC210" s="29" t="str">
        <f aca="false">IF(P210&lt;10,"a) &lt;10",IF(P210&lt;20,"b) 10-20",IF(P210&lt;40,"c) 20-40",IF(P210&lt;80,"d) 40-80","e) 80+"))))</f>
        <v>b) 10-20</v>
      </c>
      <c r="AD210" s="31" t="n">
        <f aca="false">Summary!$C$5+SUM(X$2:X210)</f>
        <v>12851.8</v>
      </c>
      <c r="AE210" s="31" t="n">
        <f aca="false">MAX(AE209,AD210)</f>
        <v>13065.98</v>
      </c>
      <c r="AF210" s="31" t="n">
        <f aca="false">AE210-AD210</f>
        <v>214.18</v>
      </c>
      <c r="AG210" s="30" t="n">
        <f aca="false">IFERROR(AF210/AE210,0)</f>
        <v>0.0163921879568161</v>
      </c>
    </row>
    <row r="211" customFormat="false" ht="15" hidden="false" customHeight="false" outlineLevel="0" collapsed="false">
      <c r="A211" s="29" t="n">
        <v>210</v>
      </c>
      <c r="B211" s="44" t="n">
        <v>44944.7770833333</v>
      </c>
      <c r="C211" s="44" t="n">
        <v>44944.7786111111</v>
      </c>
      <c r="D211" s="43" t="n">
        <f aca="false">INT(C211)</f>
        <v>44944</v>
      </c>
      <c r="E211" s="43" t="n">
        <f aca="false">D211-WEEKDAY(D211,3)</f>
        <v>44942</v>
      </c>
      <c r="F211" s="29" t="s">
        <v>153</v>
      </c>
      <c r="G211" s="29" t="n">
        <v>2023</v>
      </c>
      <c r="H211" s="29" t="s">
        <v>252</v>
      </c>
      <c r="I211" s="29" t="n">
        <v>18</v>
      </c>
      <c r="J211" s="29" t="s">
        <v>250</v>
      </c>
      <c r="K211" s="29" t="s">
        <v>251</v>
      </c>
      <c r="L211" s="29" t="n">
        <v>0.05</v>
      </c>
      <c r="M211" s="32" t="n">
        <v>11458.07</v>
      </c>
      <c r="N211" s="32" t="n">
        <v>11468.52</v>
      </c>
      <c r="O211" s="32" t="n">
        <v>11433.68</v>
      </c>
      <c r="P211" s="45" t="n">
        <f aca="false">ABS(M211-N211)</f>
        <v>10.4500000000007</v>
      </c>
      <c r="Q211" s="45" t="n">
        <f aca="false">IF(O211="","",ABS(O211-M211))</f>
        <v>24.3899999999994</v>
      </c>
      <c r="R211" s="31" t="n">
        <f aca="false">P211*L211*Summary!$C$6</f>
        <v>52.2500000000036</v>
      </c>
      <c r="S211" s="32" t="n">
        <v>11468.66</v>
      </c>
      <c r="T211" s="29" t="s">
        <v>249</v>
      </c>
      <c r="U211" s="45" t="n">
        <f aca="false">IF(J211="BUY",S211-M211,M211-S211)</f>
        <v>-10.5900000000001</v>
      </c>
      <c r="V211" s="46" t="n">
        <v>0</v>
      </c>
      <c r="W211" s="46" t="n">
        <v>0</v>
      </c>
      <c r="X211" s="46" t="n">
        <v>-52.95</v>
      </c>
      <c r="Y211" s="33" t="n">
        <f aca="false">IFERROR(X211/R211,0)</f>
        <v>-1.01339712918653</v>
      </c>
      <c r="Z211" s="29" t="str">
        <f aca="false">IF(X211&gt;0,"Win",IF(X211&lt;0,"Loss","Flat"))</f>
        <v>Loss</v>
      </c>
      <c r="AA211" s="29" t="n">
        <f aca="false">ROUND((C211-B211)*1440,1)</f>
        <v>2.2</v>
      </c>
      <c r="AB211" s="29" t="str">
        <f aca="false">IF(AA211&lt;1,"a) &lt;1 min",IF(AA211&lt;10,"b) 1-10 min",IF(AA211&lt;60,"c) 10-60 min",IF(AA211&lt;240,"d) 1-4 h","e) 4 h+"))))</f>
        <v>b) 1-10 min</v>
      </c>
      <c r="AC211" s="29" t="str">
        <f aca="false">IF(P211&lt;10,"a) &lt;10",IF(P211&lt;20,"b) 10-20",IF(P211&lt;40,"c) 20-40",IF(P211&lt;80,"d) 40-80","e) 80+"))))</f>
        <v>b) 10-20</v>
      </c>
      <c r="AD211" s="31" t="n">
        <f aca="false">Summary!$C$5+SUM(X$2:X211)</f>
        <v>12798.85</v>
      </c>
      <c r="AE211" s="31" t="n">
        <f aca="false">MAX(AE210,AD211)</f>
        <v>13065.98</v>
      </c>
      <c r="AF211" s="31" t="n">
        <f aca="false">AE211-AD211</f>
        <v>267.129999999999</v>
      </c>
      <c r="AG211" s="30" t="n">
        <f aca="false">IFERROR(AF211/AE211,0)</f>
        <v>0.0204446968386603</v>
      </c>
    </row>
    <row r="212" customFormat="false" ht="15" hidden="false" customHeight="false" outlineLevel="0" collapsed="false">
      <c r="A212" s="29" t="n">
        <v>211</v>
      </c>
      <c r="B212" s="44" t="n">
        <v>44945.0881944444</v>
      </c>
      <c r="C212" s="44" t="n">
        <v>44945.0885532407</v>
      </c>
      <c r="D212" s="43" t="n">
        <f aca="false">INT(C212)</f>
        <v>44945</v>
      </c>
      <c r="E212" s="43" t="n">
        <f aca="false">D212-WEEKDAY(D212,3)</f>
        <v>44942</v>
      </c>
      <c r="F212" s="29" t="s">
        <v>153</v>
      </c>
      <c r="G212" s="29" t="n">
        <v>2023</v>
      </c>
      <c r="H212" s="29" t="s">
        <v>253</v>
      </c>
      <c r="I212" s="29" t="n">
        <v>2</v>
      </c>
      <c r="J212" s="29" t="s">
        <v>250</v>
      </c>
      <c r="K212" s="29" t="s">
        <v>251</v>
      </c>
      <c r="L212" s="29" t="n">
        <v>0.05</v>
      </c>
      <c r="M212" s="32" t="n">
        <v>11397.1</v>
      </c>
      <c r="N212" s="32" t="n">
        <v>11401.46</v>
      </c>
      <c r="O212" s="32" t="n">
        <v>11385.67</v>
      </c>
      <c r="P212" s="45" t="n">
        <f aca="false">ABS(M212-N212)</f>
        <v>4.35999999999876</v>
      </c>
      <c r="Q212" s="45" t="n">
        <f aca="false">IF(O212="","",ABS(O212-M212))</f>
        <v>11.4300000000003</v>
      </c>
      <c r="R212" s="31" t="n">
        <f aca="false">P212*L212*Summary!$C$6</f>
        <v>21.7999999999938</v>
      </c>
      <c r="S212" s="32" t="n">
        <v>11401.79</v>
      </c>
      <c r="T212" s="29" t="s">
        <v>249</v>
      </c>
      <c r="U212" s="45" t="n">
        <f aca="false">IF(J212="BUY",S212-M212,M212-S212)</f>
        <v>-4.69000000000051</v>
      </c>
      <c r="V212" s="46" t="n">
        <v>0</v>
      </c>
      <c r="W212" s="46" t="n">
        <v>0</v>
      </c>
      <c r="X212" s="46" t="n">
        <v>-23.45</v>
      </c>
      <c r="Y212" s="33" t="n">
        <f aca="false">IFERROR(X212/R212,0)</f>
        <v>-1.0756880733948</v>
      </c>
      <c r="Z212" s="29" t="str">
        <f aca="false">IF(X212&gt;0,"Win",IF(X212&lt;0,"Loss","Flat"))</f>
        <v>Loss</v>
      </c>
      <c r="AA212" s="29" t="n">
        <f aca="false">ROUND((C212-B212)*1440,1)</f>
        <v>0.5</v>
      </c>
      <c r="AB212" s="29" t="str">
        <f aca="false">IF(AA212&lt;1,"a) &lt;1 min",IF(AA212&lt;10,"b) 1-10 min",IF(AA212&lt;60,"c) 10-60 min",IF(AA212&lt;240,"d) 1-4 h","e) 4 h+"))))</f>
        <v>a) &lt;1 min</v>
      </c>
      <c r="AC212" s="29" t="str">
        <f aca="false">IF(P212&lt;10,"a) &lt;10",IF(P212&lt;20,"b) 10-20",IF(P212&lt;40,"c) 20-40",IF(P212&lt;80,"d) 40-80","e) 80+"))))</f>
        <v>a) &lt;10</v>
      </c>
      <c r="AD212" s="31" t="n">
        <f aca="false">Summary!$C$5+SUM(X$2:X212)</f>
        <v>12775.4</v>
      </c>
      <c r="AE212" s="31" t="n">
        <f aca="false">MAX(AE211,AD212)</f>
        <v>13065.98</v>
      </c>
      <c r="AF212" s="31" t="n">
        <f aca="false">AE212-AD212</f>
        <v>290.58</v>
      </c>
      <c r="AG212" s="30" t="n">
        <f aca="false">IFERROR(AF212/AE212,0)</f>
        <v>0.022239434011073</v>
      </c>
    </row>
    <row r="213" customFormat="false" ht="15" hidden="false" customHeight="false" outlineLevel="0" collapsed="false">
      <c r="A213" s="29" t="n">
        <v>212</v>
      </c>
      <c r="B213" s="44" t="n">
        <v>44946.7291666667</v>
      </c>
      <c r="C213" s="44" t="n">
        <v>44946.7357175926</v>
      </c>
      <c r="D213" s="43" t="n">
        <f aca="false">INT(C213)</f>
        <v>44946</v>
      </c>
      <c r="E213" s="43" t="n">
        <f aca="false">D213-WEEKDAY(D213,3)</f>
        <v>44942</v>
      </c>
      <c r="F213" s="29" t="s">
        <v>153</v>
      </c>
      <c r="G213" s="29" t="n">
        <v>2023</v>
      </c>
      <c r="H213" s="29" t="s">
        <v>254</v>
      </c>
      <c r="I213" s="29" t="n">
        <v>17</v>
      </c>
      <c r="J213" s="29" t="s">
        <v>246</v>
      </c>
      <c r="K213" s="29" t="s">
        <v>247</v>
      </c>
      <c r="L213" s="29" t="n">
        <v>0.05</v>
      </c>
      <c r="M213" s="32" t="n">
        <v>11428.1</v>
      </c>
      <c r="N213" s="32" t="n">
        <v>11413.59</v>
      </c>
      <c r="O213" s="32" t="n">
        <v>11463.42</v>
      </c>
      <c r="P213" s="45" t="n">
        <f aca="false">ABS(M213-N213)</f>
        <v>14.5100000000002</v>
      </c>
      <c r="Q213" s="45" t="n">
        <f aca="false">IF(O213="","",ABS(O213-M213))</f>
        <v>35.3199999999997</v>
      </c>
      <c r="R213" s="31" t="n">
        <f aca="false">P213*L213*Summary!$C$6</f>
        <v>72.5500000000011</v>
      </c>
      <c r="S213" s="32" t="n">
        <v>11413.59</v>
      </c>
      <c r="T213" s="29" t="s">
        <v>249</v>
      </c>
      <c r="U213" s="45" t="n">
        <f aca="false">IF(J213="BUY",S213-M213,M213-S213)</f>
        <v>-14.5100000000002</v>
      </c>
      <c r="V213" s="46" t="n">
        <v>0</v>
      </c>
      <c r="W213" s="46" t="n">
        <v>0</v>
      </c>
      <c r="X213" s="46" t="n">
        <v>-72.55</v>
      </c>
      <c r="Y213" s="33" t="n">
        <f aca="false">IFERROR(X213/R213,0)</f>
        <v>-0.999999999999985</v>
      </c>
      <c r="Z213" s="29" t="str">
        <f aca="false">IF(X213&gt;0,"Win",IF(X213&lt;0,"Loss","Flat"))</f>
        <v>Loss</v>
      </c>
      <c r="AA213" s="29" t="n">
        <f aca="false">ROUND((C213-B213)*1440,1)</f>
        <v>9.4</v>
      </c>
      <c r="AB213" s="29" t="str">
        <f aca="false">IF(AA213&lt;1,"a) &lt;1 min",IF(AA213&lt;10,"b) 1-10 min",IF(AA213&lt;60,"c) 10-60 min",IF(AA213&lt;240,"d) 1-4 h","e) 4 h+"))))</f>
        <v>b) 1-10 min</v>
      </c>
      <c r="AC213" s="29" t="str">
        <f aca="false">IF(P213&lt;10,"a) &lt;10",IF(P213&lt;20,"b) 10-20",IF(P213&lt;40,"c) 20-40",IF(P213&lt;80,"d) 40-80","e) 80+"))))</f>
        <v>b) 10-20</v>
      </c>
      <c r="AD213" s="31" t="n">
        <f aca="false">Summary!$C$5+SUM(X$2:X213)</f>
        <v>12702.85</v>
      </c>
      <c r="AE213" s="31" t="n">
        <f aca="false">MAX(AE212,AD213)</f>
        <v>13065.98</v>
      </c>
      <c r="AF213" s="31" t="n">
        <f aca="false">AE213-AD213</f>
        <v>363.129999999999</v>
      </c>
      <c r="AG213" s="30" t="n">
        <f aca="false">IFERROR(AF213/AE213,0)</f>
        <v>0.0277920217235905</v>
      </c>
    </row>
    <row r="214" customFormat="false" ht="15" hidden="false" customHeight="false" outlineLevel="0" collapsed="false">
      <c r="A214" s="29" t="n">
        <v>213</v>
      </c>
      <c r="B214" s="44" t="n">
        <v>44949.3777777778</v>
      </c>
      <c r="C214" s="44" t="n">
        <v>44949.3814930556</v>
      </c>
      <c r="D214" s="43" t="n">
        <f aca="false">INT(C214)</f>
        <v>44949</v>
      </c>
      <c r="E214" s="43" t="n">
        <f aca="false">D214-WEEKDAY(D214,3)</f>
        <v>44949</v>
      </c>
      <c r="F214" s="29" t="s">
        <v>153</v>
      </c>
      <c r="G214" s="29" t="n">
        <v>2023</v>
      </c>
      <c r="H214" s="29" t="s">
        <v>245</v>
      </c>
      <c r="I214" s="29" t="n">
        <v>9</v>
      </c>
      <c r="J214" s="29" t="s">
        <v>246</v>
      </c>
      <c r="K214" s="29" t="s">
        <v>247</v>
      </c>
      <c r="L214" s="29" t="n">
        <v>0.05</v>
      </c>
      <c r="M214" s="32" t="n">
        <v>11626.26</v>
      </c>
      <c r="N214" s="32" t="n">
        <v>11619.99</v>
      </c>
      <c r="O214" s="32" t="n">
        <v>11642.08</v>
      </c>
      <c r="P214" s="45" t="n">
        <f aca="false">ABS(M214-N214)</f>
        <v>6.27000000000044</v>
      </c>
      <c r="Q214" s="45" t="n">
        <f aca="false">IF(O214="","",ABS(O214-M214))</f>
        <v>15.8199999999997</v>
      </c>
      <c r="R214" s="31" t="n">
        <f aca="false">P214*L214*Summary!$C$6</f>
        <v>31.3500000000022</v>
      </c>
      <c r="S214" s="32" t="n">
        <v>11618.17</v>
      </c>
      <c r="T214" s="29" t="s">
        <v>249</v>
      </c>
      <c r="U214" s="45" t="n">
        <f aca="false">IF(J214="BUY",S214-M214,M214-S214)</f>
        <v>-8.09000000000015</v>
      </c>
      <c r="V214" s="46" t="n">
        <v>0</v>
      </c>
      <c r="W214" s="46" t="n">
        <v>0</v>
      </c>
      <c r="X214" s="46" t="n">
        <v>-40.45</v>
      </c>
      <c r="Y214" s="33" t="n">
        <f aca="false">IFERROR(X214/R214,0)</f>
        <v>-1.29027113237631</v>
      </c>
      <c r="Z214" s="29" t="str">
        <f aca="false">IF(X214&gt;0,"Win",IF(X214&lt;0,"Loss","Flat"))</f>
        <v>Loss</v>
      </c>
      <c r="AA214" s="29" t="n">
        <f aca="false">ROUND((C214-B214)*1440,1)</f>
        <v>5.4</v>
      </c>
      <c r="AB214" s="29" t="str">
        <f aca="false">IF(AA214&lt;1,"a) &lt;1 min",IF(AA214&lt;10,"b) 1-10 min",IF(AA214&lt;60,"c) 10-60 min",IF(AA214&lt;240,"d) 1-4 h","e) 4 h+"))))</f>
        <v>b) 1-10 min</v>
      </c>
      <c r="AC214" s="29" t="str">
        <f aca="false">IF(P214&lt;10,"a) &lt;10",IF(P214&lt;20,"b) 10-20",IF(P214&lt;40,"c) 20-40",IF(P214&lt;80,"d) 40-80","e) 80+"))))</f>
        <v>a) &lt;10</v>
      </c>
      <c r="AD214" s="31" t="n">
        <f aca="false">Summary!$C$5+SUM(X$2:X214)</f>
        <v>12662.4</v>
      </c>
      <c r="AE214" s="31" t="n">
        <f aca="false">MAX(AE213,AD214)</f>
        <v>13065.98</v>
      </c>
      <c r="AF214" s="31" t="n">
        <f aca="false">AE214-AD214</f>
        <v>403.58</v>
      </c>
      <c r="AG214" s="30" t="n">
        <f aca="false">IFERROR(AF214/AE214,0)</f>
        <v>0.0308878476777096</v>
      </c>
    </row>
    <row r="215" customFormat="false" ht="15" hidden="false" customHeight="false" outlineLevel="0" collapsed="false">
      <c r="A215" s="29" t="n">
        <v>214</v>
      </c>
      <c r="B215" s="44" t="n">
        <v>44950.9597222222</v>
      </c>
      <c r="C215" s="44" t="n">
        <v>44951.0429861111</v>
      </c>
      <c r="D215" s="43" t="n">
        <f aca="false">INT(C215)</f>
        <v>44951</v>
      </c>
      <c r="E215" s="43" t="n">
        <f aca="false">D215-WEEKDAY(D215,3)</f>
        <v>44949</v>
      </c>
      <c r="F215" s="29" t="s">
        <v>153</v>
      </c>
      <c r="G215" s="29" t="n">
        <v>2023</v>
      </c>
      <c r="H215" s="29" t="s">
        <v>248</v>
      </c>
      <c r="I215" s="29" t="n">
        <v>23</v>
      </c>
      <c r="J215" s="29" t="s">
        <v>246</v>
      </c>
      <c r="K215" s="29" t="s">
        <v>247</v>
      </c>
      <c r="L215" s="29" t="n">
        <v>0.05</v>
      </c>
      <c r="M215" s="32" t="n">
        <v>11931.57</v>
      </c>
      <c r="N215" s="32" t="n">
        <v>11898.4</v>
      </c>
      <c r="O215" s="32" t="n">
        <v>12009.29</v>
      </c>
      <c r="P215" s="45" t="n">
        <f aca="false">ABS(M215-N215)</f>
        <v>33.1700000000001</v>
      </c>
      <c r="Q215" s="45" t="n">
        <f aca="false">IF(O215="","",ABS(O215-M215))</f>
        <v>77.7200000000012</v>
      </c>
      <c r="R215" s="31" t="n">
        <f aca="false">P215*L215*Summary!$C$6</f>
        <v>165.85</v>
      </c>
      <c r="S215" s="32" t="n">
        <v>11898.3</v>
      </c>
      <c r="T215" s="29" t="s">
        <v>249</v>
      </c>
      <c r="U215" s="45" t="n">
        <f aca="false">IF(J215="BUY",S215-M215,M215-S215)</f>
        <v>-33.2700000000004</v>
      </c>
      <c r="V215" s="46" t="n">
        <v>0</v>
      </c>
      <c r="W215" s="46" t="n">
        <v>0</v>
      </c>
      <c r="X215" s="46" t="n">
        <v>-166.35</v>
      </c>
      <c r="Y215" s="33" t="n">
        <f aca="false">IFERROR(X215/R215,0)</f>
        <v>-1.00301477238468</v>
      </c>
      <c r="Z215" s="29" t="str">
        <f aca="false">IF(X215&gt;0,"Win",IF(X215&lt;0,"Loss","Flat"))</f>
        <v>Loss</v>
      </c>
      <c r="AA215" s="29" t="n">
        <f aca="false">ROUND((C215-B215)*1440,1)</f>
        <v>119.9</v>
      </c>
      <c r="AB215" s="29" t="str">
        <f aca="false">IF(AA215&lt;1,"a) &lt;1 min",IF(AA215&lt;10,"b) 1-10 min",IF(AA215&lt;60,"c) 10-60 min",IF(AA215&lt;240,"d) 1-4 h","e) 4 h+"))))</f>
        <v>d) 1-4 h</v>
      </c>
      <c r="AC215" s="29" t="str">
        <f aca="false">IF(P215&lt;10,"a) &lt;10",IF(P215&lt;20,"b) 10-20",IF(P215&lt;40,"c) 20-40",IF(P215&lt;80,"d) 40-80","e) 80+"))))</f>
        <v>c) 20-40</v>
      </c>
      <c r="AD215" s="31" t="n">
        <f aca="false">Summary!$C$5+SUM(X$2:X215)</f>
        <v>12496.05</v>
      </c>
      <c r="AE215" s="31" t="n">
        <f aca="false">MAX(AE214,AD215)</f>
        <v>13065.98</v>
      </c>
      <c r="AF215" s="31" t="n">
        <f aca="false">AE215-AD215</f>
        <v>569.93</v>
      </c>
      <c r="AG215" s="30" t="n">
        <f aca="false">IFERROR(AF215/AE215,0)</f>
        <v>0.0436193840798777</v>
      </c>
    </row>
    <row r="216" customFormat="false" ht="15" hidden="false" customHeight="false" outlineLevel="0" collapsed="false">
      <c r="A216" s="29" t="n">
        <v>215</v>
      </c>
      <c r="B216" s="44" t="n">
        <v>44951.0638888889</v>
      </c>
      <c r="C216" s="44" t="n">
        <v>44951.0649421296</v>
      </c>
      <c r="D216" s="43" t="n">
        <f aca="false">INT(C216)</f>
        <v>44951</v>
      </c>
      <c r="E216" s="43" t="n">
        <f aca="false">D216-WEEKDAY(D216,3)</f>
        <v>44949</v>
      </c>
      <c r="F216" s="29" t="s">
        <v>153</v>
      </c>
      <c r="G216" s="29" t="n">
        <v>2023</v>
      </c>
      <c r="H216" s="29" t="s">
        <v>252</v>
      </c>
      <c r="I216" s="29" t="n">
        <v>1</v>
      </c>
      <c r="J216" s="29" t="s">
        <v>250</v>
      </c>
      <c r="K216" s="29" t="s">
        <v>251</v>
      </c>
      <c r="L216" s="29" t="n">
        <v>0.05</v>
      </c>
      <c r="M216" s="32" t="n">
        <v>11763.11</v>
      </c>
      <c r="N216" s="32" t="n">
        <v>11773.83</v>
      </c>
      <c r="O216" s="32" t="n">
        <v>11737.15</v>
      </c>
      <c r="P216" s="45" t="n">
        <f aca="false">ABS(M216-N216)</f>
        <v>10.7199999999993</v>
      </c>
      <c r="Q216" s="45" t="n">
        <f aca="false">IF(O216="","",ABS(O216-M216))</f>
        <v>25.9600000000009</v>
      </c>
      <c r="R216" s="31" t="n">
        <f aca="false">P216*L216*Summary!$C$6</f>
        <v>53.5999999999967</v>
      </c>
      <c r="S216" s="32" t="n">
        <v>11773.88</v>
      </c>
      <c r="T216" s="29" t="s">
        <v>249</v>
      </c>
      <c r="U216" s="45" t="n">
        <f aca="false">IF(J216="BUY",S216-M216,M216-S216)</f>
        <v>-10.7699999999986</v>
      </c>
      <c r="V216" s="46" t="n">
        <v>0</v>
      </c>
      <c r="W216" s="46" t="n">
        <v>0</v>
      </c>
      <c r="X216" s="46" t="n">
        <v>-53.85</v>
      </c>
      <c r="Y216" s="33" t="n">
        <f aca="false">IFERROR(X216/R216,0)</f>
        <v>-1.00466417910454</v>
      </c>
      <c r="Z216" s="29" t="str">
        <f aca="false">IF(X216&gt;0,"Win",IF(X216&lt;0,"Loss","Flat"))</f>
        <v>Loss</v>
      </c>
      <c r="AA216" s="29" t="n">
        <f aca="false">ROUND((C216-B216)*1440,1)</f>
        <v>1.5</v>
      </c>
      <c r="AB216" s="29" t="str">
        <f aca="false">IF(AA216&lt;1,"a) &lt;1 min",IF(AA216&lt;10,"b) 1-10 min",IF(AA216&lt;60,"c) 10-60 min",IF(AA216&lt;240,"d) 1-4 h","e) 4 h+"))))</f>
        <v>b) 1-10 min</v>
      </c>
      <c r="AC216" s="29" t="str">
        <f aca="false">IF(P216&lt;10,"a) &lt;10",IF(P216&lt;20,"b) 10-20",IF(P216&lt;40,"c) 20-40",IF(P216&lt;80,"d) 40-80","e) 80+"))))</f>
        <v>b) 10-20</v>
      </c>
      <c r="AD216" s="31" t="n">
        <f aca="false">Summary!$C$5+SUM(X$2:X216)</f>
        <v>12442.2</v>
      </c>
      <c r="AE216" s="31" t="n">
        <f aca="false">MAX(AE215,AD216)</f>
        <v>13065.98</v>
      </c>
      <c r="AF216" s="31" t="n">
        <f aca="false">AE216-AD216</f>
        <v>623.779999999999</v>
      </c>
      <c r="AG216" s="30" t="n">
        <f aca="false">IFERROR(AF216/AE216,0)</f>
        <v>0.0477407741325181</v>
      </c>
    </row>
    <row r="217" customFormat="false" ht="15" hidden="false" customHeight="false" outlineLevel="0" collapsed="false">
      <c r="A217" s="29" t="n">
        <v>216</v>
      </c>
      <c r="B217" s="44" t="n">
        <v>44952.6166666667</v>
      </c>
      <c r="C217" s="44" t="n">
        <v>44952.6182986111</v>
      </c>
      <c r="D217" s="43" t="n">
        <f aca="false">INT(C217)</f>
        <v>44952</v>
      </c>
      <c r="E217" s="43" t="n">
        <f aca="false">D217-WEEKDAY(D217,3)</f>
        <v>44949</v>
      </c>
      <c r="F217" s="29" t="s">
        <v>153</v>
      </c>
      <c r="G217" s="29" t="n">
        <v>2023</v>
      </c>
      <c r="H217" s="29" t="s">
        <v>253</v>
      </c>
      <c r="I217" s="29" t="n">
        <v>14</v>
      </c>
      <c r="J217" s="29" t="s">
        <v>246</v>
      </c>
      <c r="K217" s="29" t="s">
        <v>247</v>
      </c>
      <c r="L217" s="29" t="n">
        <v>0.05</v>
      </c>
      <c r="M217" s="32" t="n">
        <v>11919.71</v>
      </c>
      <c r="N217" s="32" t="n">
        <v>11914.88</v>
      </c>
      <c r="O217" s="32" t="n">
        <v>11931.69</v>
      </c>
      <c r="P217" s="45" t="n">
        <f aca="false">ABS(M217-N217)</f>
        <v>4.82999999999993</v>
      </c>
      <c r="Q217" s="45" t="n">
        <f aca="false">IF(O217="","",ABS(O217-M217))</f>
        <v>11.9800000000014</v>
      </c>
      <c r="R217" s="31" t="n">
        <f aca="false">P217*L217*Summary!$C$6</f>
        <v>24.1499999999996</v>
      </c>
      <c r="S217" s="32" t="n">
        <v>11931.81</v>
      </c>
      <c r="T217" s="29" t="s">
        <v>227</v>
      </c>
      <c r="U217" s="45" t="n">
        <f aca="false">IF(J217="BUY",S217-M217,M217-S217)</f>
        <v>12.1000000000004</v>
      </c>
      <c r="V217" s="46" t="n">
        <v>0</v>
      </c>
      <c r="W217" s="46" t="n">
        <v>0</v>
      </c>
      <c r="X217" s="46" t="n">
        <v>60.5</v>
      </c>
      <c r="Y217" s="33" t="n">
        <f aca="false">IFERROR(X217/R217,0)</f>
        <v>2.50517598343689</v>
      </c>
      <c r="Z217" s="29" t="str">
        <f aca="false">IF(X217&gt;0,"Win",IF(X217&lt;0,"Loss","Flat"))</f>
        <v>Win</v>
      </c>
      <c r="AA217" s="29" t="n">
        <f aca="false">ROUND((C217-B217)*1440,1)</f>
        <v>2.4</v>
      </c>
      <c r="AB217" s="29" t="str">
        <f aca="false">IF(AA217&lt;1,"a) &lt;1 min",IF(AA217&lt;10,"b) 1-10 min",IF(AA217&lt;60,"c) 10-60 min",IF(AA217&lt;240,"d) 1-4 h","e) 4 h+"))))</f>
        <v>b) 1-10 min</v>
      </c>
      <c r="AC217" s="29" t="str">
        <f aca="false">IF(P217&lt;10,"a) &lt;10",IF(P217&lt;20,"b) 10-20",IF(P217&lt;40,"c) 20-40",IF(P217&lt;80,"d) 40-80","e) 80+"))))</f>
        <v>a) &lt;10</v>
      </c>
      <c r="AD217" s="31" t="n">
        <f aca="false">Summary!$C$5+SUM(X$2:X217)</f>
        <v>12502.7</v>
      </c>
      <c r="AE217" s="31" t="n">
        <f aca="false">MAX(AE216,AD217)</f>
        <v>13065.98</v>
      </c>
      <c r="AF217" s="31" t="n">
        <f aca="false">AE217-AD217</f>
        <v>563.279999999999</v>
      </c>
      <c r="AG217" s="30" t="n">
        <f aca="false">IFERROR(AF217/AE217,0)</f>
        <v>0.0431104287623277</v>
      </c>
    </row>
    <row r="218" customFormat="false" ht="15" hidden="false" customHeight="false" outlineLevel="0" collapsed="false">
      <c r="A218" s="29" t="n">
        <v>217</v>
      </c>
      <c r="B218" s="44" t="n">
        <v>44953.7</v>
      </c>
      <c r="C218" s="44" t="n">
        <v>44953.707974537</v>
      </c>
      <c r="D218" s="43" t="n">
        <f aca="false">INT(C218)</f>
        <v>44953</v>
      </c>
      <c r="E218" s="43" t="n">
        <f aca="false">D218-WEEKDAY(D218,3)</f>
        <v>44949</v>
      </c>
      <c r="F218" s="29" t="s">
        <v>153</v>
      </c>
      <c r="G218" s="29" t="n">
        <v>2023</v>
      </c>
      <c r="H218" s="29" t="s">
        <v>254</v>
      </c>
      <c r="I218" s="29" t="n">
        <v>16</v>
      </c>
      <c r="J218" s="29" t="s">
        <v>246</v>
      </c>
      <c r="K218" s="29" t="s">
        <v>247</v>
      </c>
      <c r="L218" s="29" t="n">
        <v>0.05</v>
      </c>
      <c r="M218" s="32" t="n">
        <v>12062.05</v>
      </c>
      <c r="N218" s="32" t="n">
        <v>12045.82</v>
      </c>
      <c r="O218" s="32" t="n">
        <v>12100.79</v>
      </c>
      <c r="P218" s="45" t="n">
        <f aca="false">ABS(M218-N218)</f>
        <v>16.2299999999996</v>
      </c>
      <c r="Q218" s="45" t="n">
        <f aca="false">IF(O218="","",ABS(O218-M218))</f>
        <v>38.7400000000016</v>
      </c>
      <c r="R218" s="31" t="n">
        <f aca="false">P218*L218*Summary!$C$6</f>
        <v>81.1499999999978</v>
      </c>
      <c r="S218" s="32" t="n">
        <v>12062.05</v>
      </c>
      <c r="T218" s="29" t="s">
        <v>255</v>
      </c>
      <c r="U218" s="45" t="n">
        <f aca="false">IF(J218="BUY",S218-M218,M218-S218)</f>
        <v>0</v>
      </c>
      <c r="V218" s="46" t="n">
        <v>0</v>
      </c>
      <c r="W218" s="46" t="n">
        <v>0</v>
      </c>
      <c r="X218" s="46" t="n">
        <v>0</v>
      </c>
      <c r="Y218" s="33" t="n">
        <f aca="false">IFERROR(X218/R218,0)</f>
        <v>0</v>
      </c>
      <c r="Z218" s="29" t="str">
        <f aca="false">IF(X218&gt;0,"Win",IF(X218&lt;0,"Loss","Flat"))</f>
        <v>Flat</v>
      </c>
      <c r="AA218" s="29" t="n">
        <f aca="false">ROUND((C218-B218)*1440,1)</f>
        <v>11.5</v>
      </c>
      <c r="AB218" s="29" t="str">
        <f aca="false">IF(AA218&lt;1,"a) &lt;1 min",IF(AA218&lt;10,"b) 1-10 min",IF(AA218&lt;60,"c) 10-60 min",IF(AA218&lt;240,"d) 1-4 h","e) 4 h+"))))</f>
        <v>c) 10-60 min</v>
      </c>
      <c r="AC218" s="29" t="str">
        <f aca="false">IF(P218&lt;10,"a) &lt;10",IF(P218&lt;20,"b) 10-20",IF(P218&lt;40,"c) 20-40",IF(P218&lt;80,"d) 40-80","e) 80+"))))</f>
        <v>b) 10-20</v>
      </c>
      <c r="AD218" s="31" t="n">
        <f aca="false">Summary!$C$5+SUM(X$2:X218)</f>
        <v>12502.7</v>
      </c>
      <c r="AE218" s="31" t="n">
        <f aca="false">MAX(AE217,AD218)</f>
        <v>13065.98</v>
      </c>
      <c r="AF218" s="31" t="n">
        <f aca="false">AE218-AD218</f>
        <v>563.279999999999</v>
      </c>
      <c r="AG218" s="30" t="n">
        <f aca="false">IFERROR(AF218/AE218,0)</f>
        <v>0.0431104287623277</v>
      </c>
    </row>
    <row r="219" customFormat="false" ht="15" hidden="false" customHeight="false" outlineLevel="0" collapsed="false">
      <c r="A219" s="29" t="n">
        <v>218</v>
      </c>
      <c r="B219" s="44" t="n">
        <v>44956.7347222222</v>
      </c>
      <c r="C219" s="44" t="n">
        <v>44956.7432986111</v>
      </c>
      <c r="D219" s="43" t="n">
        <f aca="false">INT(C219)</f>
        <v>44956</v>
      </c>
      <c r="E219" s="43" t="n">
        <f aca="false">D219-WEEKDAY(D219,3)</f>
        <v>44956</v>
      </c>
      <c r="F219" s="29" t="s">
        <v>153</v>
      </c>
      <c r="G219" s="29" t="n">
        <v>2023</v>
      </c>
      <c r="H219" s="29" t="s">
        <v>245</v>
      </c>
      <c r="I219" s="29" t="n">
        <v>17</v>
      </c>
      <c r="J219" s="29" t="s">
        <v>250</v>
      </c>
      <c r="K219" s="29" t="s">
        <v>251</v>
      </c>
      <c r="L219" s="29" t="n">
        <v>0.05</v>
      </c>
      <c r="M219" s="32" t="n">
        <v>11953.28</v>
      </c>
      <c r="N219" s="32" t="n">
        <v>11966.75</v>
      </c>
      <c r="O219" s="32" t="n">
        <v>11918.17</v>
      </c>
      <c r="P219" s="45" t="n">
        <f aca="false">ABS(M219-N219)</f>
        <v>13.4699999999993</v>
      </c>
      <c r="Q219" s="45" t="n">
        <f aca="false">IF(O219="","",ABS(O219-M219))</f>
        <v>35.1100000000006</v>
      </c>
      <c r="R219" s="31" t="n">
        <f aca="false">P219*L219*Summary!$C$6</f>
        <v>67.3499999999967</v>
      </c>
      <c r="S219" s="32" t="n">
        <v>11953.3</v>
      </c>
      <c r="T219" s="29" t="s">
        <v>255</v>
      </c>
      <c r="U219" s="45" t="n">
        <f aca="false">IF(J219="BUY",S219-M219,M219-S219)</f>
        <v>-0.0199999999986176</v>
      </c>
      <c r="V219" s="46" t="n">
        <v>0</v>
      </c>
      <c r="W219" s="46" t="n">
        <v>0</v>
      </c>
      <c r="X219" s="46" t="n">
        <v>-0.1</v>
      </c>
      <c r="Y219" s="33" t="n">
        <f aca="false">IFERROR(X219/R219,0)</f>
        <v>-0.00148478099480334</v>
      </c>
      <c r="Z219" s="29" t="str">
        <f aca="false">IF(X219&gt;0,"Win",IF(X219&lt;0,"Loss","Flat"))</f>
        <v>Loss</v>
      </c>
      <c r="AA219" s="29" t="n">
        <f aca="false">ROUND((C219-B219)*1440,1)</f>
        <v>12.4</v>
      </c>
      <c r="AB219" s="29" t="str">
        <f aca="false">IF(AA219&lt;1,"a) &lt;1 min",IF(AA219&lt;10,"b) 1-10 min",IF(AA219&lt;60,"c) 10-60 min",IF(AA219&lt;240,"d) 1-4 h","e) 4 h+"))))</f>
        <v>c) 10-60 min</v>
      </c>
      <c r="AC219" s="29" t="str">
        <f aca="false">IF(P219&lt;10,"a) &lt;10",IF(P219&lt;20,"b) 10-20",IF(P219&lt;40,"c) 20-40",IF(P219&lt;80,"d) 40-80","e) 80+"))))</f>
        <v>b) 10-20</v>
      </c>
      <c r="AD219" s="31" t="n">
        <f aca="false">Summary!$C$5+SUM(X$2:X219)</f>
        <v>12502.6</v>
      </c>
      <c r="AE219" s="31" t="n">
        <f aca="false">MAX(AE218,AD219)</f>
        <v>13065.98</v>
      </c>
      <c r="AF219" s="31" t="n">
        <f aca="false">AE219-AD219</f>
        <v>563.379999999999</v>
      </c>
      <c r="AG219" s="30" t="n">
        <f aca="false">IFERROR(AF219/AE219,0)</f>
        <v>0.0431180822257496</v>
      </c>
    </row>
    <row r="220" customFormat="false" ht="15" hidden="false" customHeight="false" outlineLevel="0" collapsed="false">
      <c r="A220" s="29" t="n">
        <v>219</v>
      </c>
      <c r="B220" s="44" t="n">
        <v>44957.2270833333</v>
      </c>
      <c r="C220" s="44" t="n">
        <v>44957.2294675926</v>
      </c>
      <c r="D220" s="43" t="n">
        <f aca="false">INT(C220)</f>
        <v>44957</v>
      </c>
      <c r="E220" s="43" t="n">
        <f aca="false">D220-WEEKDAY(D220,3)</f>
        <v>44956</v>
      </c>
      <c r="F220" s="29" t="s">
        <v>153</v>
      </c>
      <c r="G220" s="29" t="n">
        <v>2023</v>
      </c>
      <c r="H220" s="29" t="s">
        <v>248</v>
      </c>
      <c r="I220" s="29" t="n">
        <v>5</v>
      </c>
      <c r="J220" s="29" t="s">
        <v>250</v>
      </c>
      <c r="K220" s="29" t="s">
        <v>251</v>
      </c>
      <c r="L220" s="29" t="n">
        <v>0.05</v>
      </c>
      <c r="M220" s="32" t="n">
        <v>11901.08</v>
      </c>
      <c r="N220" s="32" t="n">
        <v>11905.7</v>
      </c>
      <c r="O220" s="32" t="n">
        <v>11889.56</v>
      </c>
      <c r="P220" s="45" t="n">
        <f aca="false">ABS(M220-N220)</f>
        <v>4.6200000000008</v>
      </c>
      <c r="Q220" s="45" t="n">
        <f aca="false">IF(O220="","",ABS(O220-M220))</f>
        <v>11.5200000000004</v>
      </c>
      <c r="R220" s="31" t="n">
        <f aca="false">P220*L220*Summary!$C$6</f>
        <v>23.100000000004</v>
      </c>
      <c r="S220" s="32" t="n">
        <v>11901.08</v>
      </c>
      <c r="T220" s="29" t="s">
        <v>255</v>
      </c>
      <c r="U220" s="45" t="n">
        <f aca="false">IF(J220="BUY",S220-M220,M220-S220)</f>
        <v>0</v>
      </c>
      <c r="V220" s="46" t="n">
        <v>0</v>
      </c>
      <c r="W220" s="46" t="n">
        <v>0</v>
      </c>
      <c r="X220" s="46" t="n">
        <v>0</v>
      </c>
      <c r="Y220" s="33" t="n">
        <f aca="false">IFERROR(X220/R220,0)</f>
        <v>0</v>
      </c>
      <c r="Z220" s="29" t="str">
        <f aca="false">IF(X220&gt;0,"Win",IF(X220&lt;0,"Loss","Flat"))</f>
        <v>Flat</v>
      </c>
      <c r="AA220" s="29" t="n">
        <f aca="false">ROUND((C220-B220)*1440,1)</f>
        <v>3.4</v>
      </c>
      <c r="AB220" s="29" t="str">
        <f aca="false">IF(AA220&lt;1,"a) &lt;1 min",IF(AA220&lt;10,"b) 1-10 min",IF(AA220&lt;60,"c) 10-60 min",IF(AA220&lt;240,"d) 1-4 h","e) 4 h+"))))</f>
        <v>b) 1-10 min</v>
      </c>
      <c r="AC220" s="29" t="str">
        <f aca="false">IF(P220&lt;10,"a) &lt;10",IF(P220&lt;20,"b) 10-20",IF(P220&lt;40,"c) 20-40",IF(P220&lt;80,"d) 40-80","e) 80+"))))</f>
        <v>a) &lt;10</v>
      </c>
      <c r="AD220" s="31" t="n">
        <f aca="false">Summary!$C$5+SUM(X$2:X220)</f>
        <v>12502.6</v>
      </c>
      <c r="AE220" s="31" t="n">
        <f aca="false">MAX(AE219,AD220)</f>
        <v>13065.98</v>
      </c>
      <c r="AF220" s="31" t="n">
        <f aca="false">AE220-AD220</f>
        <v>563.379999999999</v>
      </c>
      <c r="AG220" s="30" t="n">
        <f aca="false">IFERROR(AF220/AE220,0)</f>
        <v>0.0431180822257496</v>
      </c>
    </row>
    <row r="221" customFormat="false" ht="15" hidden="false" customHeight="false" outlineLevel="0" collapsed="false">
      <c r="A221" s="29" t="n">
        <v>220</v>
      </c>
      <c r="B221" s="44" t="n">
        <v>44958.5986111111</v>
      </c>
      <c r="C221" s="44" t="n">
        <v>44958.5993055556</v>
      </c>
      <c r="D221" s="43" t="n">
        <f aca="false">INT(C221)</f>
        <v>44958</v>
      </c>
      <c r="E221" s="43" t="n">
        <f aca="false">D221-WEEKDAY(D221,3)</f>
        <v>44956</v>
      </c>
      <c r="F221" s="29" t="s">
        <v>154</v>
      </c>
      <c r="G221" s="29" t="n">
        <v>2023</v>
      </c>
      <c r="H221" s="29" t="s">
        <v>252</v>
      </c>
      <c r="I221" s="29" t="n">
        <v>14</v>
      </c>
      <c r="J221" s="29" t="s">
        <v>246</v>
      </c>
      <c r="K221" s="29" t="s">
        <v>247</v>
      </c>
      <c r="L221" s="29" t="n">
        <v>0.05</v>
      </c>
      <c r="M221" s="32" t="n">
        <v>12108.51</v>
      </c>
      <c r="N221" s="32" t="n">
        <v>12103.94</v>
      </c>
      <c r="O221" s="32" t="n">
        <v>12120.44</v>
      </c>
      <c r="P221" s="45" t="n">
        <f aca="false">ABS(M221-N221)</f>
        <v>4.56999999999971</v>
      </c>
      <c r="Q221" s="45" t="n">
        <f aca="false">IF(O221="","",ABS(O221-M221))</f>
        <v>11.9300000000003</v>
      </c>
      <c r="R221" s="31" t="n">
        <f aca="false">P221*L221*Summary!$C$6</f>
        <v>22.8499999999985</v>
      </c>
      <c r="S221" s="32" t="n">
        <v>12103.85</v>
      </c>
      <c r="T221" s="29" t="s">
        <v>249</v>
      </c>
      <c r="U221" s="45" t="n">
        <f aca="false">IF(J221="BUY",S221-M221,M221-S221)</f>
        <v>-4.65999999999985</v>
      </c>
      <c r="V221" s="46" t="n">
        <v>0</v>
      </c>
      <c r="W221" s="46" t="n">
        <v>0</v>
      </c>
      <c r="X221" s="46" t="n">
        <v>-23.3</v>
      </c>
      <c r="Y221" s="33" t="n">
        <f aca="false">IFERROR(X221/R221,0)</f>
        <v>-1.01969365426702</v>
      </c>
      <c r="Z221" s="29" t="str">
        <f aca="false">IF(X221&gt;0,"Win",IF(X221&lt;0,"Loss","Flat"))</f>
        <v>Loss</v>
      </c>
      <c r="AA221" s="29" t="n">
        <f aca="false">ROUND((C221-B221)*1440,1)</f>
        <v>1</v>
      </c>
      <c r="AB221" s="29" t="str">
        <f aca="false">IF(AA221&lt;1,"a) &lt;1 min",IF(AA221&lt;10,"b) 1-10 min",IF(AA221&lt;60,"c) 10-60 min",IF(AA221&lt;240,"d) 1-4 h","e) 4 h+"))))</f>
        <v>b) 1-10 min</v>
      </c>
      <c r="AC221" s="29" t="str">
        <f aca="false">IF(P221&lt;10,"a) &lt;10",IF(P221&lt;20,"b) 10-20",IF(P221&lt;40,"c) 20-40",IF(P221&lt;80,"d) 40-80","e) 80+"))))</f>
        <v>a) &lt;10</v>
      </c>
      <c r="AD221" s="31" t="n">
        <f aca="false">Summary!$C$5+SUM(X$2:X221)</f>
        <v>12479.3</v>
      </c>
      <c r="AE221" s="31" t="n">
        <f aca="false">MAX(AE220,AD221)</f>
        <v>13065.98</v>
      </c>
      <c r="AF221" s="31" t="n">
        <f aca="false">AE221-AD221</f>
        <v>586.68</v>
      </c>
      <c r="AG221" s="30" t="n">
        <f aca="false">IFERROR(AF221/AE221,0)</f>
        <v>0.0449013392030296</v>
      </c>
    </row>
    <row r="222" customFormat="false" ht="15" hidden="false" customHeight="false" outlineLevel="0" collapsed="false">
      <c r="A222" s="29" t="n">
        <v>221</v>
      </c>
      <c r="B222" s="44" t="n">
        <v>44959.0423611111</v>
      </c>
      <c r="C222" s="44" t="n">
        <v>44959.0572685185</v>
      </c>
      <c r="D222" s="43" t="n">
        <f aca="false">INT(C222)</f>
        <v>44959</v>
      </c>
      <c r="E222" s="43" t="n">
        <f aca="false">D222-WEEKDAY(D222,3)</f>
        <v>44956</v>
      </c>
      <c r="F222" s="29" t="s">
        <v>154</v>
      </c>
      <c r="G222" s="29" t="n">
        <v>2023</v>
      </c>
      <c r="H222" s="29" t="s">
        <v>253</v>
      </c>
      <c r="I222" s="29" t="n">
        <v>1</v>
      </c>
      <c r="J222" s="29" t="s">
        <v>246</v>
      </c>
      <c r="K222" s="29" t="s">
        <v>247</v>
      </c>
      <c r="L222" s="29" t="n">
        <v>0.05</v>
      </c>
      <c r="M222" s="32" t="n">
        <v>12474.22</v>
      </c>
      <c r="N222" s="32" t="n">
        <v>12461.16</v>
      </c>
      <c r="O222" s="32" t="n">
        <v>12506.22</v>
      </c>
      <c r="P222" s="45" t="n">
        <f aca="false">ABS(M222-N222)</f>
        <v>13.0599999999995</v>
      </c>
      <c r="Q222" s="45" t="n">
        <f aca="false">IF(O222="","",ABS(O222-M222))</f>
        <v>32</v>
      </c>
      <c r="R222" s="31" t="n">
        <f aca="false">P222*L222*Summary!$C$6</f>
        <v>65.2999999999975</v>
      </c>
      <c r="S222" s="32" t="n">
        <v>12506.69</v>
      </c>
      <c r="T222" s="29" t="s">
        <v>227</v>
      </c>
      <c r="U222" s="45" t="n">
        <f aca="false">IF(J222="BUY",S222-M222,M222-S222)</f>
        <v>32.4700000000012</v>
      </c>
      <c r="V222" s="46" t="n">
        <v>0</v>
      </c>
      <c r="W222" s="46" t="n">
        <v>0</v>
      </c>
      <c r="X222" s="46" t="n">
        <v>162.35</v>
      </c>
      <c r="Y222" s="33" t="n">
        <f aca="false">IFERROR(X222/R222,0)</f>
        <v>2.48621745788677</v>
      </c>
      <c r="Z222" s="29" t="str">
        <f aca="false">IF(X222&gt;0,"Win",IF(X222&lt;0,"Loss","Flat"))</f>
        <v>Win</v>
      </c>
      <c r="AA222" s="29" t="n">
        <f aca="false">ROUND((C222-B222)*1440,1)</f>
        <v>21.5</v>
      </c>
      <c r="AB222" s="29" t="str">
        <f aca="false">IF(AA222&lt;1,"a) &lt;1 min",IF(AA222&lt;10,"b) 1-10 min",IF(AA222&lt;60,"c) 10-60 min",IF(AA222&lt;240,"d) 1-4 h","e) 4 h+"))))</f>
        <v>c) 10-60 min</v>
      </c>
      <c r="AC222" s="29" t="str">
        <f aca="false">IF(P222&lt;10,"a) &lt;10",IF(P222&lt;20,"b) 10-20",IF(P222&lt;40,"c) 20-40",IF(P222&lt;80,"d) 40-80","e) 80+"))))</f>
        <v>b) 10-20</v>
      </c>
      <c r="AD222" s="31" t="n">
        <f aca="false">Summary!$C$5+SUM(X$2:X222)</f>
        <v>12641.65</v>
      </c>
      <c r="AE222" s="31" t="n">
        <f aca="false">MAX(AE221,AD222)</f>
        <v>13065.98</v>
      </c>
      <c r="AF222" s="31" t="n">
        <f aca="false">AE222-AD222</f>
        <v>424.33</v>
      </c>
      <c r="AG222" s="30" t="n">
        <f aca="false">IFERROR(AF222/AE222,0)</f>
        <v>0.0324759413377336</v>
      </c>
    </row>
    <row r="223" customFormat="false" ht="15" hidden="false" customHeight="false" outlineLevel="0" collapsed="false">
      <c r="A223" s="29" t="n">
        <v>222</v>
      </c>
      <c r="B223" s="44" t="n">
        <v>44963.3097222222</v>
      </c>
      <c r="C223" s="44" t="n">
        <v>44963.3201041667</v>
      </c>
      <c r="D223" s="43" t="n">
        <f aca="false">INT(C223)</f>
        <v>44963</v>
      </c>
      <c r="E223" s="43" t="n">
        <f aca="false">D223-WEEKDAY(D223,3)</f>
        <v>44963</v>
      </c>
      <c r="F223" s="29" t="s">
        <v>154</v>
      </c>
      <c r="G223" s="29" t="n">
        <v>2023</v>
      </c>
      <c r="H223" s="29" t="s">
        <v>245</v>
      </c>
      <c r="I223" s="29" t="n">
        <v>7</v>
      </c>
      <c r="J223" s="29" t="s">
        <v>250</v>
      </c>
      <c r="K223" s="29" t="s">
        <v>251</v>
      </c>
      <c r="L223" s="29" t="n">
        <v>0.05</v>
      </c>
      <c r="M223" s="32" t="n">
        <v>12495.13</v>
      </c>
      <c r="N223" s="32" t="n">
        <v>12500.54</v>
      </c>
      <c r="O223" s="32" t="n">
        <v>12482.11</v>
      </c>
      <c r="P223" s="45" t="n">
        <f aca="false">ABS(M223-N223)</f>
        <v>5.41000000000167</v>
      </c>
      <c r="Q223" s="45" t="n">
        <f aca="false">IF(O223="","",ABS(O223-M223))</f>
        <v>13.0199999999986</v>
      </c>
      <c r="R223" s="31" t="n">
        <f aca="false">P223*L223*Summary!$C$6</f>
        <v>27.0500000000084</v>
      </c>
      <c r="S223" s="32" t="n">
        <v>12500.9</v>
      </c>
      <c r="T223" s="29" t="s">
        <v>249</v>
      </c>
      <c r="U223" s="45" t="n">
        <f aca="false">IF(J223="BUY",S223-M223,M223-S223)</f>
        <v>-5.77000000000044</v>
      </c>
      <c r="V223" s="46" t="n">
        <v>0</v>
      </c>
      <c r="W223" s="46" t="n">
        <v>0</v>
      </c>
      <c r="X223" s="46" t="n">
        <v>-28.85</v>
      </c>
      <c r="Y223" s="33" t="n">
        <f aca="false">IFERROR(X223/R223,0)</f>
        <v>-1.0665434380773</v>
      </c>
      <c r="Z223" s="29" t="str">
        <f aca="false">IF(X223&gt;0,"Win",IF(X223&lt;0,"Loss","Flat"))</f>
        <v>Loss</v>
      </c>
      <c r="AA223" s="29" t="n">
        <f aca="false">ROUND((C223-B223)*1440,1)</f>
        <v>15</v>
      </c>
      <c r="AB223" s="29" t="str">
        <f aca="false">IF(AA223&lt;1,"a) &lt;1 min",IF(AA223&lt;10,"b) 1-10 min",IF(AA223&lt;60,"c) 10-60 min",IF(AA223&lt;240,"d) 1-4 h","e) 4 h+"))))</f>
        <v>c) 10-60 min</v>
      </c>
      <c r="AC223" s="29" t="str">
        <f aca="false">IF(P223&lt;10,"a) &lt;10",IF(P223&lt;20,"b) 10-20",IF(P223&lt;40,"c) 20-40",IF(P223&lt;80,"d) 40-80","e) 80+"))))</f>
        <v>a) &lt;10</v>
      </c>
      <c r="AD223" s="31" t="n">
        <f aca="false">Summary!$C$5+SUM(X$2:X223)</f>
        <v>12612.8</v>
      </c>
      <c r="AE223" s="31" t="n">
        <f aca="false">MAX(AE222,AD223)</f>
        <v>13065.98</v>
      </c>
      <c r="AF223" s="31" t="n">
        <f aca="false">AE223-AD223</f>
        <v>453.18</v>
      </c>
      <c r="AG223" s="30" t="n">
        <f aca="false">IFERROR(AF223/AE223,0)</f>
        <v>0.0346839655349235</v>
      </c>
    </row>
    <row r="224" customFormat="false" ht="15" hidden="false" customHeight="false" outlineLevel="0" collapsed="false">
      <c r="A224" s="29" t="n">
        <v>223</v>
      </c>
      <c r="B224" s="44" t="n">
        <v>44964.8208333333</v>
      </c>
      <c r="C224" s="44" t="n">
        <v>44964.8210648148</v>
      </c>
      <c r="D224" s="43" t="n">
        <f aca="false">INT(C224)</f>
        <v>44964</v>
      </c>
      <c r="E224" s="43" t="n">
        <f aca="false">D224-WEEKDAY(D224,3)</f>
        <v>44963</v>
      </c>
      <c r="F224" s="29" t="s">
        <v>154</v>
      </c>
      <c r="G224" s="29" t="n">
        <v>2023</v>
      </c>
      <c r="H224" s="29" t="s">
        <v>248</v>
      </c>
      <c r="I224" s="29" t="n">
        <v>19</v>
      </c>
      <c r="J224" s="29" t="s">
        <v>246</v>
      </c>
      <c r="K224" s="29" t="s">
        <v>247</v>
      </c>
      <c r="L224" s="29" t="n">
        <v>0.05</v>
      </c>
      <c r="M224" s="32" t="n">
        <v>12573.13</v>
      </c>
      <c r="N224" s="32" t="n">
        <v>12555.39</v>
      </c>
      <c r="O224" s="32" t="n">
        <v>12616.6</v>
      </c>
      <c r="P224" s="45" t="n">
        <f aca="false">ABS(M224-N224)</f>
        <v>17.7399999999998</v>
      </c>
      <c r="Q224" s="45" t="n">
        <f aca="false">IF(O224="","",ABS(O224-M224))</f>
        <v>43.4700000000012</v>
      </c>
      <c r="R224" s="31" t="n">
        <f aca="false">P224*L224*Summary!$C$6</f>
        <v>88.6999999999989</v>
      </c>
      <c r="S224" s="32" t="n">
        <v>12555.37</v>
      </c>
      <c r="T224" s="29" t="s">
        <v>249</v>
      </c>
      <c r="U224" s="45" t="n">
        <f aca="false">IF(J224="BUY",S224-M224,M224-S224)</f>
        <v>-17.7599999999984</v>
      </c>
      <c r="V224" s="46" t="n">
        <v>0</v>
      </c>
      <c r="W224" s="46" t="n">
        <v>0</v>
      </c>
      <c r="X224" s="46" t="n">
        <v>-88.8</v>
      </c>
      <c r="Y224" s="33" t="n">
        <f aca="false">IFERROR(X224/R224,0)</f>
        <v>-1.00112739571591</v>
      </c>
      <c r="Z224" s="29" t="str">
        <f aca="false">IF(X224&gt;0,"Win",IF(X224&lt;0,"Loss","Flat"))</f>
        <v>Loss</v>
      </c>
      <c r="AA224" s="29" t="n">
        <f aca="false">ROUND((C224-B224)*1440,1)</f>
        <v>0.3</v>
      </c>
      <c r="AB224" s="29" t="str">
        <f aca="false">IF(AA224&lt;1,"a) &lt;1 min",IF(AA224&lt;10,"b) 1-10 min",IF(AA224&lt;60,"c) 10-60 min",IF(AA224&lt;240,"d) 1-4 h","e) 4 h+"))))</f>
        <v>a) &lt;1 min</v>
      </c>
      <c r="AC224" s="29" t="str">
        <f aca="false">IF(P224&lt;10,"a) &lt;10",IF(P224&lt;20,"b) 10-20",IF(P224&lt;40,"c) 20-40",IF(P224&lt;80,"d) 40-80","e) 80+"))))</f>
        <v>b) 10-20</v>
      </c>
      <c r="AD224" s="31" t="n">
        <f aca="false">Summary!$C$5+SUM(X$2:X224)</f>
        <v>12524</v>
      </c>
      <c r="AE224" s="31" t="n">
        <f aca="false">MAX(AE223,AD224)</f>
        <v>13065.98</v>
      </c>
      <c r="AF224" s="31" t="n">
        <f aca="false">AE224-AD224</f>
        <v>541.98</v>
      </c>
      <c r="AG224" s="30" t="n">
        <f aca="false">IFERROR(AF224/AE224,0)</f>
        <v>0.0414802410534839</v>
      </c>
    </row>
    <row r="225" customFormat="false" ht="15" hidden="false" customHeight="false" outlineLevel="0" collapsed="false">
      <c r="A225" s="29" t="n">
        <v>224</v>
      </c>
      <c r="B225" s="44" t="n">
        <v>44966.8256944444</v>
      </c>
      <c r="C225" s="44" t="n">
        <v>44966.8286921296</v>
      </c>
      <c r="D225" s="43" t="n">
        <f aca="false">INT(C225)</f>
        <v>44966</v>
      </c>
      <c r="E225" s="43" t="n">
        <f aca="false">D225-WEEKDAY(D225,3)</f>
        <v>44963</v>
      </c>
      <c r="F225" s="29" t="s">
        <v>154</v>
      </c>
      <c r="G225" s="29" t="n">
        <v>2023</v>
      </c>
      <c r="H225" s="29" t="s">
        <v>253</v>
      </c>
      <c r="I225" s="29" t="n">
        <v>19</v>
      </c>
      <c r="J225" s="29" t="s">
        <v>250</v>
      </c>
      <c r="K225" s="29" t="s">
        <v>251</v>
      </c>
      <c r="L225" s="29" t="n">
        <v>0.05</v>
      </c>
      <c r="M225" s="32" t="n">
        <v>12466.41</v>
      </c>
      <c r="N225" s="32" t="n">
        <v>12476.67</v>
      </c>
      <c r="O225" s="32" t="n">
        <v>12442.37</v>
      </c>
      <c r="P225" s="45" t="n">
        <f aca="false">ABS(M225-N225)</f>
        <v>10.2600000000002</v>
      </c>
      <c r="Q225" s="45" t="n">
        <f aca="false">IF(O225="","",ABS(O225-M225))</f>
        <v>24.0399999999991</v>
      </c>
      <c r="R225" s="31" t="n">
        <f aca="false">P225*L225*Summary!$C$6</f>
        <v>51.3000000000011</v>
      </c>
      <c r="S225" s="32" t="n">
        <v>12476.69</v>
      </c>
      <c r="T225" s="29" t="s">
        <v>249</v>
      </c>
      <c r="U225" s="45" t="n">
        <f aca="false">IF(J225="BUY",S225-M225,M225-S225)</f>
        <v>-10.2800000000007</v>
      </c>
      <c r="V225" s="46" t="n">
        <v>0</v>
      </c>
      <c r="W225" s="46" t="n">
        <v>0</v>
      </c>
      <c r="X225" s="46" t="n">
        <v>-51.4</v>
      </c>
      <c r="Y225" s="33" t="n">
        <f aca="false">IFERROR(X225/R225,0)</f>
        <v>-1.00194931773877</v>
      </c>
      <c r="Z225" s="29" t="str">
        <f aca="false">IF(X225&gt;0,"Win",IF(X225&lt;0,"Loss","Flat"))</f>
        <v>Loss</v>
      </c>
      <c r="AA225" s="29" t="n">
        <f aca="false">ROUND((C225-B225)*1440,1)</f>
        <v>4.3</v>
      </c>
      <c r="AB225" s="29" t="str">
        <f aca="false">IF(AA225&lt;1,"a) &lt;1 min",IF(AA225&lt;10,"b) 1-10 min",IF(AA225&lt;60,"c) 10-60 min",IF(AA225&lt;240,"d) 1-4 h","e) 4 h+"))))</f>
        <v>b) 1-10 min</v>
      </c>
      <c r="AC225" s="29" t="str">
        <f aca="false">IF(P225&lt;10,"a) &lt;10",IF(P225&lt;20,"b) 10-20",IF(P225&lt;40,"c) 20-40",IF(P225&lt;80,"d) 40-80","e) 80+"))))</f>
        <v>b) 10-20</v>
      </c>
      <c r="AD225" s="31" t="n">
        <f aca="false">Summary!$C$5+SUM(X$2:X225)</f>
        <v>12472.6</v>
      </c>
      <c r="AE225" s="31" t="n">
        <f aca="false">MAX(AE224,AD225)</f>
        <v>13065.98</v>
      </c>
      <c r="AF225" s="31" t="n">
        <f aca="false">AE225-AD225</f>
        <v>593.379999999999</v>
      </c>
      <c r="AG225" s="30" t="n">
        <f aca="false">IFERROR(AF225/AE225,0)</f>
        <v>0.0454141212522902</v>
      </c>
    </row>
    <row r="226" customFormat="false" ht="15" hidden="false" customHeight="false" outlineLevel="0" collapsed="false">
      <c r="A226" s="29" t="n">
        <v>225</v>
      </c>
      <c r="B226" s="44" t="n">
        <v>44967.4923611111</v>
      </c>
      <c r="C226" s="44" t="n">
        <v>44967.4974884259</v>
      </c>
      <c r="D226" s="43" t="n">
        <f aca="false">INT(C226)</f>
        <v>44967</v>
      </c>
      <c r="E226" s="43" t="n">
        <f aca="false">D226-WEEKDAY(D226,3)</f>
        <v>44963</v>
      </c>
      <c r="F226" s="29" t="s">
        <v>154</v>
      </c>
      <c r="G226" s="29" t="n">
        <v>2023</v>
      </c>
      <c r="H226" s="29" t="s">
        <v>254</v>
      </c>
      <c r="I226" s="29" t="n">
        <v>11</v>
      </c>
      <c r="J226" s="29" t="s">
        <v>250</v>
      </c>
      <c r="K226" s="29" t="s">
        <v>251</v>
      </c>
      <c r="L226" s="29" t="n">
        <v>0.05</v>
      </c>
      <c r="M226" s="32" t="n">
        <v>12318.36</v>
      </c>
      <c r="N226" s="32" t="n">
        <v>12327.88</v>
      </c>
      <c r="O226" s="32" t="n">
        <v>12292.75</v>
      </c>
      <c r="P226" s="45" t="n">
        <f aca="false">ABS(M226-N226)</f>
        <v>9.51999999999862</v>
      </c>
      <c r="Q226" s="45" t="n">
        <f aca="false">IF(O226="","",ABS(O226-M226))</f>
        <v>25.6100000000006</v>
      </c>
      <c r="R226" s="31" t="n">
        <f aca="false">P226*L226*Summary!$C$6</f>
        <v>47.5999999999931</v>
      </c>
      <c r="S226" s="32" t="n">
        <v>12292.32</v>
      </c>
      <c r="T226" s="29" t="s">
        <v>227</v>
      </c>
      <c r="U226" s="45" t="n">
        <f aca="false">IF(J226="BUY",S226-M226,M226-S226)</f>
        <v>26.0400000000009</v>
      </c>
      <c r="V226" s="46" t="n">
        <v>0</v>
      </c>
      <c r="W226" s="46" t="n">
        <v>0</v>
      </c>
      <c r="X226" s="46" t="n">
        <v>130.2</v>
      </c>
      <c r="Y226" s="33" t="n">
        <f aca="false">IFERROR(X226/R226,0)</f>
        <v>2.73529411764746</v>
      </c>
      <c r="Z226" s="29" t="str">
        <f aca="false">IF(X226&gt;0,"Win",IF(X226&lt;0,"Loss","Flat"))</f>
        <v>Win</v>
      </c>
      <c r="AA226" s="29" t="n">
        <f aca="false">ROUND((C226-B226)*1440,1)</f>
        <v>7.4</v>
      </c>
      <c r="AB226" s="29" t="str">
        <f aca="false">IF(AA226&lt;1,"a) &lt;1 min",IF(AA226&lt;10,"b) 1-10 min",IF(AA226&lt;60,"c) 10-60 min",IF(AA226&lt;240,"d) 1-4 h","e) 4 h+"))))</f>
        <v>b) 1-10 min</v>
      </c>
      <c r="AC226" s="29" t="str">
        <f aca="false">IF(P226&lt;10,"a) &lt;10",IF(P226&lt;20,"b) 10-20",IF(P226&lt;40,"c) 20-40",IF(P226&lt;80,"d) 40-80","e) 80+"))))</f>
        <v>a) &lt;10</v>
      </c>
      <c r="AD226" s="31" t="n">
        <f aca="false">Summary!$C$5+SUM(X$2:X226)</f>
        <v>12602.8</v>
      </c>
      <c r="AE226" s="31" t="n">
        <f aca="false">MAX(AE225,AD226)</f>
        <v>13065.98</v>
      </c>
      <c r="AF226" s="31" t="n">
        <f aca="false">AE226-AD226</f>
        <v>463.18</v>
      </c>
      <c r="AG226" s="30" t="n">
        <f aca="false">IFERROR(AF226/AE226,0)</f>
        <v>0.0354493118771038</v>
      </c>
    </row>
    <row r="227" customFormat="false" ht="15" hidden="false" customHeight="false" outlineLevel="0" collapsed="false">
      <c r="A227" s="29" t="n">
        <v>226</v>
      </c>
      <c r="B227" s="44" t="n">
        <v>44970.7076388889</v>
      </c>
      <c r="C227" s="44" t="n">
        <v>44970.7116898148</v>
      </c>
      <c r="D227" s="43" t="n">
        <f aca="false">INT(C227)</f>
        <v>44970</v>
      </c>
      <c r="E227" s="43" t="n">
        <f aca="false">D227-WEEKDAY(D227,3)</f>
        <v>44970</v>
      </c>
      <c r="F227" s="29" t="s">
        <v>154</v>
      </c>
      <c r="G227" s="29" t="n">
        <v>2023</v>
      </c>
      <c r="H227" s="29" t="s">
        <v>245</v>
      </c>
      <c r="I227" s="29" t="n">
        <v>16</v>
      </c>
      <c r="J227" s="29" t="s">
        <v>246</v>
      </c>
      <c r="K227" s="29" t="s">
        <v>247</v>
      </c>
      <c r="L227" s="29" t="n">
        <v>0.05</v>
      </c>
      <c r="M227" s="32" t="n">
        <v>12418.67</v>
      </c>
      <c r="N227" s="32" t="n">
        <v>12405.23</v>
      </c>
      <c r="O227" s="32" t="n">
        <v>12453.66</v>
      </c>
      <c r="P227" s="45" t="n">
        <f aca="false">ABS(M227-N227)</f>
        <v>13.4400000000005</v>
      </c>
      <c r="Q227" s="45" t="n">
        <f aca="false">IF(O227="","",ABS(O227-M227))</f>
        <v>34.9899999999998</v>
      </c>
      <c r="R227" s="31" t="n">
        <f aca="false">P227*L227*Summary!$C$6</f>
        <v>67.2000000000026</v>
      </c>
      <c r="S227" s="32" t="n">
        <v>12405.22</v>
      </c>
      <c r="T227" s="29" t="s">
        <v>249</v>
      </c>
      <c r="U227" s="45" t="n">
        <f aca="false">IF(J227="BUY",S227-M227,M227-S227)</f>
        <v>-13.4500000000007</v>
      </c>
      <c r="V227" s="46" t="n">
        <v>0</v>
      </c>
      <c r="W227" s="46" t="n">
        <v>0</v>
      </c>
      <c r="X227" s="46" t="n">
        <v>-67.25</v>
      </c>
      <c r="Y227" s="33" t="n">
        <f aca="false">IFERROR(X227/R227,0)</f>
        <v>-1.00074404761901</v>
      </c>
      <c r="Z227" s="29" t="str">
        <f aca="false">IF(X227&gt;0,"Win",IF(X227&lt;0,"Loss","Flat"))</f>
        <v>Loss</v>
      </c>
      <c r="AA227" s="29" t="n">
        <f aca="false">ROUND((C227-B227)*1440,1)</f>
        <v>5.8</v>
      </c>
      <c r="AB227" s="29" t="str">
        <f aca="false">IF(AA227&lt;1,"a) &lt;1 min",IF(AA227&lt;10,"b) 1-10 min",IF(AA227&lt;60,"c) 10-60 min",IF(AA227&lt;240,"d) 1-4 h","e) 4 h+"))))</f>
        <v>b) 1-10 min</v>
      </c>
      <c r="AC227" s="29" t="str">
        <f aca="false">IF(P227&lt;10,"a) &lt;10",IF(P227&lt;20,"b) 10-20",IF(P227&lt;40,"c) 20-40",IF(P227&lt;80,"d) 40-80","e) 80+"))))</f>
        <v>b) 10-20</v>
      </c>
      <c r="AD227" s="31" t="n">
        <f aca="false">Summary!$C$5+SUM(X$2:X227)</f>
        <v>12535.55</v>
      </c>
      <c r="AE227" s="31" t="n">
        <f aca="false">MAX(AE226,AD227)</f>
        <v>13065.98</v>
      </c>
      <c r="AF227" s="31" t="n">
        <f aca="false">AE227-AD227</f>
        <v>530.43</v>
      </c>
      <c r="AG227" s="30" t="n">
        <f aca="false">IFERROR(AF227/AE227,0)</f>
        <v>0.0405962660282658</v>
      </c>
    </row>
    <row r="228" customFormat="false" ht="15" hidden="false" customHeight="false" outlineLevel="0" collapsed="false">
      <c r="A228" s="29" t="n">
        <v>227</v>
      </c>
      <c r="B228" s="44" t="n">
        <v>44971.520150463</v>
      </c>
      <c r="C228" s="44" t="n">
        <v>44971.520462963</v>
      </c>
      <c r="D228" s="43" t="n">
        <f aca="false">INT(C228)</f>
        <v>44971</v>
      </c>
      <c r="E228" s="43" t="n">
        <f aca="false">D228-WEEKDAY(D228,3)</f>
        <v>44970</v>
      </c>
      <c r="F228" s="29" t="s">
        <v>154</v>
      </c>
      <c r="G228" s="29" t="n">
        <v>2023</v>
      </c>
      <c r="H228" s="29" t="s">
        <v>248</v>
      </c>
      <c r="I228" s="29" t="n">
        <v>12</v>
      </c>
      <c r="J228" s="29" t="s">
        <v>246</v>
      </c>
      <c r="K228" s="29" t="s">
        <v>247</v>
      </c>
      <c r="L228" s="29" t="n">
        <v>0.05</v>
      </c>
      <c r="M228" s="32" t="n">
        <v>12527.02</v>
      </c>
      <c r="N228" s="32" t="n">
        <v>12524</v>
      </c>
      <c r="O228" s="32" t="n">
        <v>12534.74</v>
      </c>
      <c r="P228" s="45" t="n">
        <f aca="false">ABS(M228-N228)</f>
        <v>3.02000000000044</v>
      </c>
      <c r="Q228" s="45" t="n">
        <f aca="false">IF(O228="","",ABS(O228-M228))</f>
        <v>7.71999999999935</v>
      </c>
      <c r="R228" s="31" t="n">
        <f aca="false">P228*L228*Summary!$C$6</f>
        <v>15.1000000000022</v>
      </c>
      <c r="S228" s="32" t="n">
        <v>12534.89</v>
      </c>
      <c r="T228" s="29" t="s">
        <v>227</v>
      </c>
      <c r="U228" s="45" t="n">
        <f aca="false">IF(J228="BUY",S228-M228,M228-S228)</f>
        <v>7.86999999999898</v>
      </c>
      <c r="V228" s="46" t="n">
        <v>0</v>
      </c>
      <c r="W228" s="46" t="n">
        <v>0</v>
      </c>
      <c r="X228" s="46" t="n">
        <v>39.35</v>
      </c>
      <c r="Y228" s="33" t="n">
        <f aca="false">IFERROR(X228/R228,0)</f>
        <v>2.60596026490029</v>
      </c>
      <c r="Z228" s="29" t="str">
        <f aca="false">IF(X228&gt;0,"Win",IF(X228&lt;0,"Loss","Flat"))</f>
        <v>Win</v>
      </c>
      <c r="AA228" s="29" t="n">
        <f aca="false">ROUND((C228-B228)*1440,1)</f>
        <v>0.5</v>
      </c>
      <c r="AB228" s="29" t="str">
        <f aca="false">IF(AA228&lt;1,"a) &lt;1 min",IF(AA228&lt;10,"b) 1-10 min",IF(AA228&lt;60,"c) 10-60 min",IF(AA228&lt;240,"d) 1-4 h","e) 4 h+"))))</f>
        <v>a) &lt;1 min</v>
      </c>
      <c r="AC228" s="29" t="str">
        <f aca="false">IF(P228&lt;10,"a) &lt;10",IF(P228&lt;20,"b) 10-20",IF(P228&lt;40,"c) 20-40",IF(P228&lt;80,"d) 40-80","e) 80+"))))</f>
        <v>a) &lt;10</v>
      </c>
      <c r="AD228" s="31" t="n">
        <f aca="false">Summary!$C$5+SUM(X$2:X228)</f>
        <v>12574.9</v>
      </c>
      <c r="AE228" s="31" t="n">
        <f aca="false">MAX(AE227,AD228)</f>
        <v>13065.98</v>
      </c>
      <c r="AF228" s="31" t="n">
        <f aca="false">AE228-AD228</f>
        <v>491.08</v>
      </c>
      <c r="AG228" s="30" t="n">
        <f aca="false">IFERROR(AF228/AE228,0)</f>
        <v>0.0375846281717866</v>
      </c>
    </row>
    <row r="229" customFormat="false" ht="15" hidden="false" customHeight="false" outlineLevel="0" collapsed="false">
      <c r="A229" s="29" t="n">
        <v>228</v>
      </c>
      <c r="B229" s="44" t="n">
        <v>44972.8756944445</v>
      </c>
      <c r="C229" s="44" t="n">
        <v>44972.8757175926</v>
      </c>
      <c r="D229" s="43" t="n">
        <f aca="false">INT(C229)</f>
        <v>44972</v>
      </c>
      <c r="E229" s="43" t="n">
        <f aca="false">D229-WEEKDAY(D229,3)</f>
        <v>44970</v>
      </c>
      <c r="F229" s="29" t="s">
        <v>154</v>
      </c>
      <c r="G229" s="29" t="n">
        <v>2023</v>
      </c>
      <c r="H229" s="29" t="s">
        <v>252</v>
      </c>
      <c r="I229" s="29" t="n">
        <v>21</v>
      </c>
      <c r="J229" s="29" t="s">
        <v>246</v>
      </c>
      <c r="K229" s="29" t="s">
        <v>247</v>
      </c>
      <c r="L229" s="29" t="n">
        <v>0.04</v>
      </c>
      <c r="M229" s="32" t="n">
        <v>12643.26</v>
      </c>
      <c r="N229" s="32" t="n">
        <v>12638.34</v>
      </c>
      <c r="O229" s="32" t="n">
        <v>12655.32</v>
      </c>
      <c r="P229" s="45" t="n">
        <f aca="false">ABS(M229-N229)</f>
        <v>4.92000000000007</v>
      </c>
      <c r="Q229" s="45" t="n">
        <f aca="false">IF(O229="","",ABS(O229-M229))</f>
        <v>12.0599999999995</v>
      </c>
      <c r="R229" s="31" t="n">
        <f aca="false">P229*L229*Summary!$C$6</f>
        <v>19.6800000000003</v>
      </c>
      <c r="S229" s="32" t="n">
        <v>12638.23</v>
      </c>
      <c r="T229" s="29" t="s">
        <v>249</v>
      </c>
      <c r="U229" s="45" t="n">
        <f aca="false">IF(J229="BUY",S229-M229,M229-S229)</f>
        <v>-5.03000000000066</v>
      </c>
      <c r="V229" s="46" t="n">
        <v>0</v>
      </c>
      <c r="W229" s="46" t="n">
        <v>0</v>
      </c>
      <c r="X229" s="46" t="n">
        <v>-20.12</v>
      </c>
      <c r="Y229" s="33" t="n">
        <f aca="false">IFERROR(X229/R229,0)</f>
        <v>-1.02235772357722</v>
      </c>
      <c r="Z229" s="29" t="str">
        <f aca="false">IF(X229&gt;0,"Win",IF(X229&lt;0,"Loss","Flat"))</f>
        <v>Loss</v>
      </c>
      <c r="AA229" s="29" t="n">
        <f aca="false">ROUND((C229-B229)*1440,1)</f>
        <v>0</v>
      </c>
      <c r="AB229" s="29" t="str">
        <f aca="false">IF(AA229&lt;1,"a) &lt;1 min",IF(AA229&lt;10,"b) 1-10 min",IF(AA229&lt;60,"c) 10-60 min",IF(AA229&lt;240,"d) 1-4 h","e) 4 h+"))))</f>
        <v>a) &lt;1 min</v>
      </c>
      <c r="AC229" s="29" t="str">
        <f aca="false">IF(P229&lt;10,"a) &lt;10",IF(P229&lt;20,"b) 10-20",IF(P229&lt;40,"c) 20-40",IF(P229&lt;80,"d) 40-80","e) 80+"))))</f>
        <v>a) &lt;10</v>
      </c>
      <c r="AD229" s="31" t="n">
        <f aca="false">Summary!$C$5+SUM(X$2:X229)</f>
        <v>12554.78</v>
      </c>
      <c r="AE229" s="31" t="n">
        <f aca="false">MAX(AE228,AD229)</f>
        <v>13065.98</v>
      </c>
      <c r="AF229" s="31" t="n">
        <f aca="false">AE229-AD229</f>
        <v>511.200000000001</v>
      </c>
      <c r="AG229" s="30" t="n">
        <f aca="false">IFERROR(AF229/AE229,0)</f>
        <v>0.0391245050122533</v>
      </c>
    </row>
    <row r="230" customFormat="false" ht="15" hidden="false" customHeight="false" outlineLevel="0" collapsed="false">
      <c r="A230" s="29" t="n">
        <v>229</v>
      </c>
      <c r="B230" s="44" t="n">
        <v>44973.0875</v>
      </c>
      <c r="C230" s="44" t="n">
        <v>44973.0896643519</v>
      </c>
      <c r="D230" s="43" t="n">
        <f aca="false">INT(C230)</f>
        <v>44973</v>
      </c>
      <c r="E230" s="43" t="n">
        <f aca="false">D230-WEEKDAY(D230,3)</f>
        <v>44970</v>
      </c>
      <c r="F230" s="29" t="s">
        <v>154</v>
      </c>
      <c r="G230" s="29" t="n">
        <v>2023</v>
      </c>
      <c r="H230" s="29" t="s">
        <v>253</v>
      </c>
      <c r="I230" s="29" t="n">
        <v>2</v>
      </c>
      <c r="J230" s="29" t="s">
        <v>246</v>
      </c>
      <c r="K230" s="29" t="s">
        <v>247</v>
      </c>
      <c r="L230" s="29" t="n">
        <v>0.04</v>
      </c>
      <c r="M230" s="32" t="n">
        <v>12719.4</v>
      </c>
      <c r="N230" s="32" t="n">
        <v>12714.09</v>
      </c>
      <c r="O230" s="32" t="n">
        <v>12732.4</v>
      </c>
      <c r="P230" s="45" t="n">
        <f aca="false">ABS(M230-N230)</f>
        <v>5.30999999999949</v>
      </c>
      <c r="Q230" s="45" t="n">
        <f aca="false">IF(O230="","",ABS(O230-M230))</f>
        <v>13</v>
      </c>
      <c r="R230" s="31" t="n">
        <f aca="false">P230*L230*Summary!$C$6</f>
        <v>21.239999999998</v>
      </c>
      <c r="S230" s="32" t="n">
        <v>12719.13</v>
      </c>
      <c r="T230" s="29" t="s">
        <v>255</v>
      </c>
      <c r="U230" s="45" t="n">
        <f aca="false">IF(J230="BUY",S230-M230,M230-S230)</f>
        <v>-0.270000000000437</v>
      </c>
      <c r="V230" s="46" t="n">
        <v>0</v>
      </c>
      <c r="W230" s="46" t="n">
        <v>0</v>
      </c>
      <c r="X230" s="46" t="n">
        <v>-1.08</v>
      </c>
      <c r="Y230" s="33" t="n">
        <f aca="false">IFERROR(X230/R230,0)</f>
        <v>-0.0508474576271235</v>
      </c>
      <c r="Z230" s="29" t="str">
        <f aca="false">IF(X230&gt;0,"Win",IF(X230&lt;0,"Loss","Flat"))</f>
        <v>Loss</v>
      </c>
      <c r="AA230" s="29" t="n">
        <f aca="false">ROUND((C230-B230)*1440,1)</f>
        <v>3.1</v>
      </c>
      <c r="AB230" s="29" t="str">
        <f aca="false">IF(AA230&lt;1,"a) &lt;1 min",IF(AA230&lt;10,"b) 1-10 min",IF(AA230&lt;60,"c) 10-60 min",IF(AA230&lt;240,"d) 1-4 h","e) 4 h+"))))</f>
        <v>b) 1-10 min</v>
      </c>
      <c r="AC230" s="29" t="str">
        <f aca="false">IF(P230&lt;10,"a) &lt;10",IF(P230&lt;20,"b) 10-20",IF(P230&lt;40,"c) 20-40",IF(P230&lt;80,"d) 40-80","e) 80+"))))</f>
        <v>a) &lt;10</v>
      </c>
      <c r="AD230" s="31" t="n">
        <f aca="false">Summary!$C$5+SUM(X$2:X230)</f>
        <v>12553.7</v>
      </c>
      <c r="AE230" s="31" t="n">
        <f aca="false">MAX(AE229,AD230)</f>
        <v>13065.98</v>
      </c>
      <c r="AF230" s="31" t="n">
        <f aca="false">AE230-AD230</f>
        <v>512.279999999999</v>
      </c>
      <c r="AG230" s="30" t="n">
        <f aca="false">IFERROR(AF230/AE230,0)</f>
        <v>0.0392071624172086</v>
      </c>
    </row>
    <row r="231" customFormat="false" ht="15" hidden="false" customHeight="false" outlineLevel="0" collapsed="false">
      <c r="A231" s="29" t="n">
        <v>230</v>
      </c>
      <c r="B231" s="44" t="n">
        <v>44973.6798611111</v>
      </c>
      <c r="C231" s="44" t="n">
        <v>44973.6820486111</v>
      </c>
      <c r="D231" s="43" t="n">
        <f aca="false">INT(C231)</f>
        <v>44973</v>
      </c>
      <c r="E231" s="43" t="n">
        <f aca="false">D231-WEEKDAY(D231,3)</f>
        <v>44970</v>
      </c>
      <c r="F231" s="29" t="s">
        <v>154</v>
      </c>
      <c r="G231" s="29" t="n">
        <v>2023</v>
      </c>
      <c r="H231" s="29" t="s">
        <v>253</v>
      </c>
      <c r="I231" s="29" t="n">
        <v>16</v>
      </c>
      <c r="J231" s="29" t="s">
        <v>250</v>
      </c>
      <c r="K231" s="29" t="s">
        <v>251</v>
      </c>
      <c r="L231" s="29" t="n">
        <v>0.05</v>
      </c>
      <c r="M231" s="32" t="n">
        <v>12477.31</v>
      </c>
      <c r="N231" s="32" t="n">
        <v>12485.54</v>
      </c>
      <c r="O231" s="32" t="n">
        <v>12457.47</v>
      </c>
      <c r="P231" s="45" t="n">
        <f aca="false">ABS(M231-N231)</f>
        <v>8.23000000000138</v>
      </c>
      <c r="Q231" s="45" t="n">
        <f aca="false">IF(O231="","",ABS(O231-M231))</f>
        <v>19.8400000000001</v>
      </c>
      <c r="R231" s="31" t="n">
        <f aca="false">P231*L231*Summary!$C$6</f>
        <v>41.1500000000069</v>
      </c>
      <c r="S231" s="32" t="n">
        <v>12485.71</v>
      </c>
      <c r="T231" s="29" t="s">
        <v>249</v>
      </c>
      <c r="U231" s="45" t="n">
        <f aca="false">IF(J231="BUY",S231-M231,M231-S231)</f>
        <v>-8.39999999999964</v>
      </c>
      <c r="V231" s="46" t="n">
        <v>0</v>
      </c>
      <c r="W231" s="46" t="n">
        <v>0</v>
      </c>
      <c r="X231" s="46" t="n">
        <v>-42</v>
      </c>
      <c r="Y231" s="33" t="n">
        <f aca="false">IFERROR(X231/R231,0)</f>
        <v>-1.02065613608731</v>
      </c>
      <c r="Z231" s="29" t="str">
        <f aca="false">IF(X231&gt;0,"Win",IF(X231&lt;0,"Loss","Flat"))</f>
        <v>Loss</v>
      </c>
      <c r="AA231" s="29" t="n">
        <f aca="false">ROUND((C231-B231)*1440,1)</f>
        <v>3.2</v>
      </c>
      <c r="AB231" s="29" t="str">
        <f aca="false">IF(AA231&lt;1,"a) &lt;1 min",IF(AA231&lt;10,"b) 1-10 min",IF(AA231&lt;60,"c) 10-60 min",IF(AA231&lt;240,"d) 1-4 h","e) 4 h+"))))</f>
        <v>b) 1-10 min</v>
      </c>
      <c r="AC231" s="29" t="str">
        <f aca="false">IF(P231&lt;10,"a) &lt;10",IF(P231&lt;20,"b) 10-20",IF(P231&lt;40,"c) 20-40",IF(P231&lt;80,"d) 40-80","e) 80+"))))</f>
        <v>a) &lt;10</v>
      </c>
      <c r="AD231" s="31" t="n">
        <f aca="false">Summary!$C$5+SUM(X$2:X231)</f>
        <v>12511.7</v>
      </c>
      <c r="AE231" s="31" t="n">
        <f aca="false">MAX(AE230,AD231)</f>
        <v>13065.98</v>
      </c>
      <c r="AF231" s="31" t="n">
        <f aca="false">AE231-AD231</f>
        <v>554.279999999999</v>
      </c>
      <c r="AG231" s="30" t="n">
        <f aca="false">IFERROR(AF231/AE231,0)</f>
        <v>0.0424216170543655</v>
      </c>
    </row>
    <row r="232" customFormat="false" ht="15" hidden="false" customHeight="false" outlineLevel="0" collapsed="false">
      <c r="A232" s="29" t="n">
        <v>231</v>
      </c>
      <c r="B232" s="44" t="n">
        <v>44974.0423611111</v>
      </c>
      <c r="C232" s="44" t="n">
        <v>44974.0542476852</v>
      </c>
      <c r="D232" s="43" t="n">
        <f aca="false">INT(C232)</f>
        <v>44974</v>
      </c>
      <c r="E232" s="43" t="n">
        <f aca="false">D232-WEEKDAY(D232,3)</f>
        <v>44970</v>
      </c>
      <c r="F232" s="29" t="s">
        <v>154</v>
      </c>
      <c r="G232" s="29" t="n">
        <v>2023</v>
      </c>
      <c r="H232" s="29" t="s">
        <v>254</v>
      </c>
      <c r="I232" s="29" t="n">
        <v>1</v>
      </c>
      <c r="J232" s="29" t="s">
        <v>250</v>
      </c>
      <c r="K232" s="29" t="s">
        <v>251</v>
      </c>
      <c r="L232" s="29" t="n">
        <v>0.05</v>
      </c>
      <c r="M232" s="32" t="n">
        <v>12408.16</v>
      </c>
      <c r="N232" s="32" t="n">
        <v>12419.43</v>
      </c>
      <c r="O232" s="32" t="n">
        <v>12382.24</v>
      </c>
      <c r="P232" s="45" t="n">
        <f aca="false">ABS(M232-N232)</f>
        <v>11.2700000000004</v>
      </c>
      <c r="Q232" s="45" t="n">
        <f aca="false">IF(O232="","",ABS(O232-M232))</f>
        <v>25.9200000000001</v>
      </c>
      <c r="R232" s="31" t="n">
        <f aca="false">P232*L232*Summary!$C$6</f>
        <v>56.3500000000022</v>
      </c>
      <c r="S232" s="32" t="n">
        <v>12382.23</v>
      </c>
      <c r="T232" s="29" t="s">
        <v>227</v>
      </c>
      <c r="U232" s="45" t="n">
        <f aca="false">IF(J232="BUY",S232-M232,M232-S232)</f>
        <v>25.9300000000003</v>
      </c>
      <c r="V232" s="46" t="n">
        <v>0</v>
      </c>
      <c r="W232" s="46" t="n">
        <v>0</v>
      </c>
      <c r="X232" s="46" t="n">
        <v>129.65</v>
      </c>
      <c r="Y232" s="33" t="n">
        <f aca="false">IFERROR(X232/R232,0)</f>
        <v>2.3007985803016</v>
      </c>
      <c r="Z232" s="29" t="str">
        <f aca="false">IF(X232&gt;0,"Win",IF(X232&lt;0,"Loss","Flat"))</f>
        <v>Win</v>
      </c>
      <c r="AA232" s="29" t="n">
        <f aca="false">ROUND((C232-B232)*1440,1)</f>
        <v>17.1</v>
      </c>
      <c r="AB232" s="29" t="str">
        <f aca="false">IF(AA232&lt;1,"a) &lt;1 min",IF(AA232&lt;10,"b) 1-10 min",IF(AA232&lt;60,"c) 10-60 min",IF(AA232&lt;240,"d) 1-4 h","e) 4 h+"))))</f>
        <v>c) 10-60 min</v>
      </c>
      <c r="AC232" s="29" t="str">
        <f aca="false">IF(P232&lt;10,"a) &lt;10",IF(P232&lt;20,"b) 10-20",IF(P232&lt;40,"c) 20-40",IF(P232&lt;80,"d) 40-80","e) 80+"))))</f>
        <v>b) 10-20</v>
      </c>
      <c r="AD232" s="31" t="n">
        <f aca="false">Summary!$C$5+SUM(X$2:X232)</f>
        <v>12641.35</v>
      </c>
      <c r="AE232" s="31" t="n">
        <f aca="false">MAX(AE231,AD232)</f>
        <v>13065.98</v>
      </c>
      <c r="AF232" s="31" t="n">
        <f aca="false">AE232-AD232</f>
        <v>424.629999999999</v>
      </c>
      <c r="AG232" s="30" t="n">
        <f aca="false">IFERROR(AF232/AE232,0)</f>
        <v>0.0324989017279989</v>
      </c>
    </row>
    <row r="233" customFormat="false" ht="15" hidden="false" customHeight="false" outlineLevel="0" collapsed="false">
      <c r="A233" s="29" t="n">
        <v>232</v>
      </c>
      <c r="B233" s="44" t="n">
        <v>44978.1243055556</v>
      </c>
      <c r="C233" s="44" t="n">
        <v>44978.1345138889</v>
      </c>
      <c r="D233" s="43" t="n">
        <f aca="false">INT(C233)</f>
        <v>44978</v>
      </c>
      <c r="E233" s="43" t="n">
        <f aca="false">D233-WEEKDAY(D233,3)</f>
        <v>44977</v>
      </c>
      <c r="F233" s="29" t="s">
        <v>154</v>
      </c>
      <c r="G233" s="29" t="n">
        <v>2023</v>
      </c>
      <c r="H233" s="29" t="s">
        <v>248</v>
      </c>
      <c r="I233" s="29" t="n">
        <v>2</v>
      </c>
      <c r="J233" s="29" t="s">
        <v>250</v>
      </c>
      <c r="K233" s="29" t="s">
        <v>251</v>
      </c>
      <c r="L233" s="29" t="n">
        <v>0.05</v>
      </c>
      <c r="M233" s="32" t="n">
        <v>12310.9</v>
      </c>
      <c r="N233" s="32" t="n">
        <v>12315.33</v>
      </c>
      <c r="O233" s="32" t="n">
        <v>12299.36</v>
      </c>
      <c r="P233" s="45" t="n">
        <f aca="false">ABS(M233-N233)</f>
        <v>4.43000000000029</v>
      </c>
      <c r="Q233" s="45" t="n">
        <f aca="false">IF(O233="","",ABS(O233-M233))</f>
        <v>11.5399999999991</v>
      </c>
      <c r="R233" s="31" t="n">
        <f aca="false">P233*L233*Summary!$C$6</f>
        <v>22.1500000000015</v>
      </c>
      <c r="S233" s="32" t="n">
        <v>12298.9</v>
      </c>
      <c r="T233" s="29" t="s">
        <v>227</v>
      </c>
      <c r="U233" s="45" t="n">
        <f aca="false">IF(J233="BUY",S233-M233,M233-S233)</f>
        <v>12</v>
      </c>
      <c r="V233" s="46" t="n">
        <v>0</v>
      </c>
      <c r="W233" s="46" t="n">
        <v>0</v>
      </c>
      <c r="X233" s="46" t="n">
        <v>60</v>
      </c>
      <c r="Y233" s="33" t="n">
        <f aca="false">IFERROR(X233/R233,0)</f>
        <v>2.70880361173797</v>
      </c>
      <c r="Z233" s="29" t="str">
        <f aca="false">IF(X233&gt;0,"Win",IF(X233&lt;0,"Loss","Flat"))</f>
        <v>Win</v>
      </c>
      <c r="AA233" s="29" t="n">
        <f aca="false">ROUND((C233-B233)*1440,1)</f>
        <v>14.7</v>
      </c>
      <c r="AB233" s="29" t="str">
        <f aca="false">IF(AA233&lt;1,"a) &lt;1 min",IF(AA233&lt;10,"b) 1-10 min",IF(AA233&lt;60,"c) 10-60 min",IF(AA233&lt;240,"d) 1-4 h","e) 4 h+"))))</f>
        <v>c) 10-60 min</v>
      </c>
      <c r="AC233" s="29" t="str">
        <f aca="false">IF(P233&lt;10,"a) &lt;10",IF(P233&lt;20,"b) 10-20",IF(P233&lt;40,"c) 20-40",IF(P233&lt;80,"d) 40-80","e) 80+"))))</f>
        <v>a) &lt;10</v>
      </c>
      <c r="AD233" s="31" t="n">
        <f aca="false">Summary!$C$5+SUM(X$2:X233)</f>
        <v>12701.35</v>
      </c>
      <c r="AE233" s="31" t="n">
        <f aca="false">MAX(AE232,AD233)</f>
        <v>13065.98</v>
      </c>
      <c r="AF233" s="31" t="n">
        <f aca="false">AE233-AD233</f>
        <v>364.629999999999</v>
      </c>
      <c r="AG233" s="30" t="n">
        <f aca="false">IFERROR(AF233/AE233,0)</f>
        <v>0.0279068236749176</v>
      </c>
    </row>
    <row r="234" customFormat="false" ht="15" hidden="false" customHeight="false" outlineLevel="0" collapsed="false">
      <c r="A234" s="29" t="n">
        <v>233</v>
      </c>
      <c r="B234" s="44" t="n">
        <v>44979.4451388889</v>
      </c>
      <c r="C234" s="44" t="n">
        <v>44979.4474074074</v>
      </c>
      <c r="D234" s="43" t="n">
        <f aca="false">INT(C234)</f>
        <v>44979</v>
      </c>
      <c r="E234" s="43" t="n">
        <f aca="false">D234-WEEKDAY(D234,3)</f>
        <v>44977</v>
      </c>
      <c r="F234" s="29" t="s">
        <v>154</v>
      </c>
      <c r="G234" s="29" t="n">
        <v>2023</v>
      </c>
      <c r="H234" s="29" t="s">
        <v>252</v>
      </c>
      <c r="I234" s="29" t="n">
        <v>10</v>
      </c>
      <c r="J234" s="29" t="s">
        <v>250</v>
      </c>
      <c r="K234" s="29" t="s">
        <v>251</v>
      </c>
      <c r="L234" s="29" t="n">
        <v>0.05</v>
      </c>
      <c r="M234" s="32" t="n">
        <v>12054.19</v>
      </c>
      <c r="N234" s="32" t="n">
        <v>12060.72</v>
      </c>
      <c r="O234" s="32" t="n">
        <v>12038.88</v>
      </c>
      <c r="P234" s="45" t="n">
        <f aca="false">ABS(M234-N234)</f>
        <v>6.52999999999884</v>
      </c>
      <c r="Q234" s="45" t="n">
        <f aca="false">IF(O234="","",ABS(O234-M234))</f>
        <v>15.3100000000013</v>
      </c>
      <c r="R234" s="31" t="n">
        <f aca="false">P234*L234*Summary!$C$6</f>
        <v>32.6499999999942</v>
      </c>
      <c r="S234" s="32" t="n">
        <v>12038.84</v>
      </c>
      <c r="T234" s="29" t="s">
        <v>227</v>
      </c>
      <c r="U234" s="45" t="n">
        <f aca="false">IF(J234="BUY",S234-M234,M234-S234)</f>
        <v>15.3500000000004</v>
      </c>
      <c r="V234" s="46" t="n">
        <v>0</v>
      </c>
      <c r="W234" s="46" t="n">
        <v>0</v>
      </c>
      <c r="X234" s="46" t="n">
        <v>76.75</v>
      </c>
      <c r="Y234" s="33" t="n">
        <f aca="false">IFERROR(X234/R234,0)</f>
        <v>2.35068912710609</v>
      </c>
      <c r="Z234" s="29" t="str">
        <f aca="false">IF(X234&gt;0,"Win",IF(X234&lt;0,"Loss","Flat"))</f>
        <v>Win</v>
      </c>
      <c r="AA234" s="29" t="n">
        <f aca="false">ROUND((C234-B234)*1440,1)</f>
        <v>3.3</v>
      </c>
      <c r="AB234" s="29" t="str">
        <f aca="false">IF(AA234&lt;1,"a) &lt;1 min",IF(AA234&lt;10,"b) 1-10 min",IF(AA234&lt;60,"c) 10-60 min",IF(AA234&lt;240,"d) 1-4 h","e) 4 h+"))))</f>
        <v>b) 1-10 min</v>
      </c>
      <c r="AC234" s="29" t="str">
        <f aca="false">IF(P234&lt;10,"a) &lt;10",IF(P234&lt;20,"b) 10-20",IF(P234&lt;40,"c) 20-40",IF(P234&lt;80,"d) 40-80","e) 80+"))))</f>
        <v>a) &lt;10</v>
      </c>
      <c r="AD234" s="31" t="n">
        <f aca="false">Summary!$C$5+SUM(X$2:X234)</f>
        <v>12778.1</v>
      </c>
      <c r="AE234" s="31" t="n">
        <f aca="false">MAX(AE233,AD234)</f>
        <v>13065.98</v>
      </c>
      <c r="AF234" s="31" t="n">
        <f aca="false">AE234-AD234</f>
        <v>287.879999999999</v>
      </c>
      <c r="AG234" s="30" t="n">
        <f aca="false">IFERROR(AF234/AE234,0)</f>
        <v>0.0220327904986843</v>
      </c>
    </row>
    <row r="235" customFormat="false" ht="15" hidden="false" customHeight="false" outlineLevel="0" collapsed="false">
      <c r="A235" s="29" t="n">
        <v>234</v>
      </c>
      <c r="B235" s="44" t="n">
        <v>44980.1555555556</v>
      </c>
      <c r="C235" s="44" t="n">
        <v>44980.1675462963</v>
      </c>
      <c r="D235" s="43" t="n">
        <f aca="false">INT(C235)</f>
        <v>44980</v>
      </c>
      <c r="E235" s="43" t="n">
        <f aca="false">D235-WEEKDAY(D235,3)</f>
        <v>44977</v>
      </c>
      <c r="F235" s="29" t="s">
        <v>154</v>
      </c>
      <c r="G235" s="29" t="n">
        <v>2023</v>
      </c>
      <c r="H235" s="29" t="s">
        <v>253</v>
      </c>
      <c r="I235" s="29" t="n">
        <v>3</v>
      </c>
      <c r="J235" s="29" t="s">
        <v>246</v>
      </c>
      <c r="K235" s="29" t="s">
        <v>247</v>
      </c>
      <c r="L235" s="29" t="n">
        <v>0.05</v>
      </c>
      <c r="M235" s="32" t="n">
        <v>12159.95</v>
      </c>
      <c r="N235" s="32" t="n">
        <v>12156.26</v>
      </c>
      <c r="O235" s="32" t="n">
        <v>12168.6</v>
      </c>
      <c r="P235" s="45" t="n">
        <f aca="false">ABS(M235-N235)</f>
        <v>3.69000000000051</v>
      </c>
      <c r="Q235" s="45" t="n">
        <f aca="false">IF(O235="","",ABS(O235-M235))</f>
        <v>8.64999999999964</v>
      </c>
      <c r="R235" s="31" t="n">
        <f aca="false">P235*L235*Summary!$C$6</f>
        <v>18.4500000000025</v>
      </c>
      <c r="S235" s="32" t="n">
        <v>12168.78</v>
      </c>
      <c r="T235" s="29" t="s">
        <v>227</v>
      </c>
      <c r="U235" s="45" t="n">
        <f aca="false">IF(J235="BUY",S235-M235,M235-S235)</f>
        <v>8.82999999999993</v>
      </c>
      <c r="V235" s="46" t="n">
        <v>0</v>
      </c>
      <c r="W235" s="46" t="n">
        <v>0</v>
      </c>
      <c r="X235" s="46" t="n">
        <v>44.15</v>
      </c>
      <c r="Y235" s="33" t="n">
        <f aca="false">IFERROR(X235/R235,0)</f>
        <v>2.39295392953897</v>
      </c>
      <c r="Z235" s="29" t="str">
        <f aca="false">IF(X235&gt;0,"Win",IF(X235&lt;0,"Loss","Flat"))</f>
        <v>Win</v>
      </c>
      <c r="AA235" s="29" t="n">
        <f aca="false">ROUND((C235-B235)*1440,1)</f>
        <v>17.3</v>
      </c>
      <c r="AB235" s="29" t="str">
        <f aca="false">IF(AA235&lt;1,"a) &lt;1 min",IF(AA235&lt;10,"b) 1-10 min",IF(AA235&lt;60,"c) 10-60 min",IF(AA235&lt;240,"d) 1-4 h","e) 4 h+"))))</f>
        <v>c) 10-60 min</v>
      </c>
      <c r="AC235" s="29" t="str">
        <f aca="false">IF(P235&lt;10,"a) &lt;10",IF(P235&lt;20,"b) 10-20",IF(P235&lt;40,"c) 20-40",IF(P235&lt;80,"d) 40-80","e) 80+"))))</f>
        <v>a) &lt;10</v>
      </c>
      <c r="AD235" s="31" t="n">
        <f aca="false">Summary!$C$5+SUM(X$2:X235)</f>
        <v>12822.25</v>
      </c>
      <c r="AE235" s="31" t="n">
        <f aca="false">MAX(AE234,AD235)</f>
        <v>13065.98</v>
      </c>
      <c r="AF235" s="31" t="n">
        <f aca="false">AE235-AD235</f>
        <v>243.73</v>
      </c>
      <c r="AG235" s="30" t="n">
        <f aca="false">IFERROR(AF235/AE235,0)</f>
        <v>0.0186537863979586</v>
      </c>
    </row>
    <row r="236" customFormat="false" ht="15" hidden="false" customHeight="false" outlineLevel="0" collapsed="false">
      <c r="A236" s="29" t="n">
        <v>235</v>
      </c>
      <c r="B236" s="44" t="n">
        <v>44980.7930555556</v>
      </c>
      <c r="C236" s="44" t="n">
        <v>44980.7933333333</v>
      </c>
      <c r="D236" s="43" t="n">
        <f aca="false">INT(C236)</f>
        <v>44980</v>
      </c>
      <c r="E236" s="43" t="n">
        <f aca="false">D236-WEEKDAY(D236,3)</f>
        <v>44977</v>
      </c>
      <c r="F236" s="29" t="s">
        <v>154</v>
      </c>
      <c r="G236" s="29" t="n">
        <v>2023</v>
      </c>
      <c r="H236" s="29" t="s">
        <v>253</v>
      </c>
      <c r="I236" s="29" t="n">
        <v>19</v>
      </c>
      <c r="J236" s="29" t="s">
        <v>250</v>
      </c>
      <c r="K236" s="29" t="s">
        <v>251</v>
      </c>
      <c r="L236" s="29" t="n">
        <v>0.05</v>
      </c>
      <c r="M236" s="32" t="n">
        <v>12001.82</v>
      </c>
      <c r="N236" s="32" t="n">
        <v>12010.69</v>
      </c>
      <c r="O236" s="32" t="n">
        <v>11980.89</v>
      </c>
      <c r="P236" s="45" t="n">
        <f aca="false">ABS(M236-N236)</f>
        <v>8.8700000000008</v>
      </c>
      <c r="Q236" s="45" t="n">
        <f aca="false">IF(O236="","",ABS(O236-M236))</f>
        <v>20.9300000000003</v>
      </c>
      <c r="R236" s="31" t="n">
        <f aca="false">P236*L236*Summary!$C$6</f>
        <v>44.350000000004</v>
      </c>
      <c r="S236" s="32" t="n">
        <v>12011.09</v>
      </c>
      <c r="T236" s="29" t="s">
        <v>249</v>
      </c>
      <c r="U236" s="45" t="n">
        <f aca="false">IF(J236="BUY",S236-M236,M236-S236)</f>
        <v>-9.27000000000044</v>
      </c>
      <c r="V236" s="46" t="n">
        <v>0</v>
      </c>
      <c r="W236" s="46" t="n">
        <v>0</v>
      </c>
      <c r="X236" s="46" t="n">
        <v>-46.35</v>
      </c>
      <c r="Y236" s="33" t="n">
        <f aca="false">IFERROR(X236/R236,0)</f>
        <v>-1.04509582863576</v>
      </c>
      <c r="Z236" s="29" t="str">
        <f aca="false">IF(X236&gt;0,"Win",IF(X236&lt;0,"Loss","Flat"))</f>
        <v>Loss</v>
      </c>
      <c r="AA236" s="29" t="n">
        <f aca="false">ROUND((C236-B236)*1440,1)</f>
        <v>0.4</v>
      </c>
      <c r="AB236" s="29" t="str">
        <f aca="false">IF(AA236&lt;1,"a) &lt;1 min",IF(AA236&lt;10,"b) 1-10 min",IF(AA236&lt;60,"c) 10-60 min",IF(AA236&lt;240,"d) 1-4 h","e) 4 h+"))))</f>
        <v>a) &lt;1 min</v>
      </c>
      <c r="AC236" s="29" t="str">
        <f aca="false">IF(P236&lt;10,"a) &lt;10",IF(P236&lt;20,"b) 10-20",IF(P236&lt;40,"c) 20-40",IF(P236&lt;80,"d) 40-80","e) 80+"))))</f>
        <v>a) &lt;10</v>
      </c>
      <c r="AD236" s="31" t="n">
        <f aca="false">Summary!$C$5+SUM(X$2:X236)</f>
        <v>12775.9</v>
      </c>
      <c r="AE236" s="31" t="n">
        <f aca="false">MAX(AE235,AD236)</f>
        <v>13065.98</v>
      </c>
      <c r="AF236" s="31" t="n">
        <f aca="false">AE236-AD236</f>
        <v>290.08</v>
      </c>
      <c r="AG236" s="30" t="n">
        <f aca="false">IFERROR(AF236/AE236,0)</f>
        <v>0.022201166693964</v>
      </c>
    </row>
    <row r="237" customFormat="false" ht="15" hidden="false" customHeight="false" outlineLevel="0" collapsed="false">
      <c r="A237" s="29" t="n">
        <v>236</v>
      </c>
      <c r="B237" s="44" t="n">
        <v>44981.65</v>
      </c>
      <c r="C237" s="44" t="n">
        <v>44981.6554976852</v>
      </c>
      <c r="D237" s="43" t="n">
        <f aca="false">INT(C237)</f>
        <v>44981</v>
      </c>
      <c r="E237" s="43" t="n">
        <f aca="false">D237-WEEKDAY(D237,3)</f>
        <v>44977</v>
      </c>
      <c r="F237" s="29" t="s">
        <v>154</v>
      </c>
      <c r="G237" s="29" t="n">
        <v>2023</v>
      </c>
      <c r="H237" s="29" t="s">
        <v>254</v>
      </c>
      <c r="I237" s="29" t="n">
        <v>15</v>
      </c>
      <c r="J237" s="29" t="s">
        <v>250</v>
      </c>
      <c r="K237" s="29" t="s">
        <v>251</v>
      </c>
      <c r="L237" s="29" t="n">
        <v>0.05</v>
      </c>
      <c r="M237" s="32" t="n">
        <v>11997.58</v>
      </c>
      <c r="N237" s="32" t="n">
        <v>12014.94</v>
      </c>
      <c r="O237" s="32" t="n">
        <v>11954.93</v>
      </c>
      <c r="P237" s="45" t="n">
        <f aca="false">ABS(M237-N237)</f>
        <v>17.3600000000006</v>
      </c>
      <c r="Q237" s="45" t="n">
        <f aca="false">IF(O237="","",ABS(O237-M237))</f>
        <v>42.6499999999996</v>
      </c>
      <c r="R237" s="31" t="n">
        <f aca="false">P237*L237*Summary!$C$6</f>
        <v>86.8000000000029</v>
      </c>
      <c r="S237" s="32" t="n">
        <v>11954.42</v>
      </c>
      <c r="T237" s="29" t="s">
        <v>227</v>
      </c>
      <c r="U237" s="45" t="n">
        <f aca="false">IF(J237="BUY",S237-M237,M237-S237)</f>
        <v>43.1599999999999</v>
      </c>
      <c r="V237" s="46" t="n">
        <v>0</v>
      </c>
      <c r="W237" s="46" t="n">
        <v>0</v>
      </c>
      <c r="X237" s="46" t="n">
        <v>215.8</v>
      </c>
      <c r="Y237" s="33" t="n">
        <f aca="false">IFERROR(X237/R237,0)</f>
        <v>2.48617511520729</v>
      </c>
      <c r="Z237" s="29" t="str">
        <f aca="false">IF(X237&gt;0,"Win",IF(X237&lt;0,"Loss","Flat"))</f>
        <v>Win</v>
      </c>
      <c r="AA237" s="29" t="n">
        <f aca="false">ROUND((C237-B237)*1440,1)</f>
        <v>7.9</v>
      </c>
      <c r="AB237" s="29" t="str">
        <f aca="false">IF(AA237&lt;1,"a) &lt;1 min",IF(AA237&lt;10,"b) 1-10 min",IF(AA237&lt;60,"c) 10-60 min",IF(AA237&lt;240,"d) 1-4 h","e) 4 h+"))))</f>
        <v>b) 1-10 min</v>
      </c>
      <c r="AC237" s="29" t="str">
        <f aca="false">IF(P237&lt;10,"a) &lt;10",IF(P237&lt;20,"b) 10-20",IF(P237&lt;40,"c) 20-40",IF(P237&lt;80,"d) 40-80","e) 80+"))))</f>
        <v>b) 10-20</v>
      </c>
      <c r="AD237" s="31" t="n">
        <f aca="false">Summary!$C$5+SUM(X$2:X237)</f>
        <v>12991.7</v>
      </c>
      <c r="AE237" s="31" t="n">
        <f aca="false">MAX(AE236,AD237)</f>
        <v>13065.98</v>
      </c>
      <c r="AF237" s="31" t="n">
        <f aca="false">AE237-AD237</f>
        <v>74.2799999999988</v>
      </c>
      <c r="AG237" s="30" t="n">
        <f aca="false">IFERROR(AF237/AE237,0)</f>
        <v>0.00568499262971464</v>
      </c>
    </row>
    <row r="238" customFormat="false" ht="15" hidden="false" customHeight="false" outlineLevel="0" collapsed="false">
      <c r="A238" s="29" t="n">
        <v>237</v>
      </c>
      <c r="B238" s="44" t="n">
        <v>44986.0597222222</v>
      </c>
      <c r="C238" s="44" t="n">
        <v>44986.0628587963</v>
      </c>
      <c r="D238" s="43" t="n">
        <f aca="false">INT(C238)</f>
        <v>44986</v>
      </c>
      <c r="E238" s="43" t="n">
        <f aca="false">D238-WEEKDAY(D238,3)</f>
        <v>44984</v>
      </c>
      <c r="F238" s="29" t="s">
        <v>155</v>
      </c>
      <c r="G238" s="29" t="n">
        <v>2023</v>
      </c>
      <c r="H238" s="29" t="s">
        <v>252</v>
      </c>
      <c r="I238" s="29" t="n">
        <v>1</v>
      </c>
      <c r="J238" s="29" t="s">
        <v>250</v>
      </c>
      <c r="K238" s="29" t="s">
        <v>251</v>
      </c>
      <c r="L238" s="29" t="n">
        <v>0.05</v>
      </c>
      <c r="M238" s="32" t="n">
        <v>11999.11</v>
      </c>
      <c r="N238" s="32" t="n">
        <v>12001.53</v>
      </c>
      <c r="O238" s="32" t="n">
        <v>11992.88</v>
      </c>
      <c r="P238" s="45" t="n">
        <f aca="false">ABS(M238-N238)</f>
        <v>2.42000000000007</v>
      </c>
      <c r="Q238" s="45" t="n">
        <f aca="false">IF(O238="","",ABS(O238-M238))</f>
        <v>6.23000000000138</v>
      </c>
      <c r="R238" s="31" t="n">
        <f aca="false">P238*L238*Summary!$C$6</f>
        <v>12.1000000000004</v>
      </c>
      <c r="S238" s="32" t="n">
        <v>11999.69</v>
      </c>
      <c r="T238" s="29" t="s">
        <v>255</v>
      </c>
      <c r="U238" s="45" t="n">
        <f aca="false">IF(J238="BUY",S238-M238,M238-S238)</f>
        <v>-0.579999999999927</v>
      </c>
      <c r="V238" s="46" t="n">
        <v>0</v>
      </c>
      <c r="W238" s="46" t="n">
        <v>0</v>
      </c>
      <c r="X238" s="46" t="n">
        <v>-2.9</v>
      </c>
      <c r="Y238" s="33" t="n">
        <f aca="false">IFERROR(X238/R238,0)</f>
        <v>-0.239669421487596</v>
      </c>
      <c r="Z238" s="29" t="str">
        <f aca="false">IF(X238&gt;0,"Win",IF(X238&lt;0,"Loss","Flat"))</f>
        <v>Loss</v>
      </c>
      <c r="AA238" s="29" t="n">
        <f aca="false">ROUND((C238-B238)*1440,1)</f>
        <v>4.5</v>
      </c>
      <c r="AB238" s="29" t="str">
        <f aca="false">IF(AA238&lt;1,"a) &lt;1 min",IF(AA238&lt;10,"b) 1-10 min",IF(AA238&lt;60,"c) 10-60 min",IF(AA238&lt;240,"d) 1-4 h","e) 4 h+"))))</f>
        <v>b) 1-10 min</v>
      </c>
      <c r="AC238" s="29" t="str">
        <f aca="false">IF(P238&lt;10,"a) &lt;10",IF(P238&lt;20,"b) 10-20",IF(P238&lt;40,"c) 20-40",IF(P238&lt;80,"d) 40-80","e) 80+"))))</f>
        <v>a) &lt;10</v>
      </c>
      <c r="AD238" s="31" t="n">
        <f aca="false">Summary!$C$5+SUM(X$2:X238)</f>
        <v>12988.8</v>
      </c>
      <c r="AE238" s="31" t="n">
        <f aca="false">MAX(AE237,AD238)</f>
        <v>13065.98</v>
      </c>
      <c r="AF238" s="31" t="n">
        <f aca="false">AE238-AD238</f>
        <v>77.1800000000003</v>
      </c>
      <c r="AG238" s="30" t="n">
        <f aca="false">IFERROR(AF238/AE238,0)</f>
        <v>0.00590694306894701</v>
      </c>
    </row>
    <row r="239" customFormat="false" ht="15" hidden="false" customHeight="false" outlineLevel="0" collapsed="false">
      <c r="A239" s="29" t="n">
        <v>238</v>
      </c>
      <c r="B239" s="44" t="n">
        <v>44987.1319444445</v>
      </c>
      <c r="C239" s="44" t="n">
        <v>44987.1337731482</v>
      </c>
      <c r="D239" s="43" t="n">
        <f aca="false">INT(C239)</f>
        <v>44987</v>
      </c>
      <c r="E239" s="43" t="n">
        <f aca="false">D239-WEEKDAY(D239,3)</f>
        <v>44984</v>
      </c>
      <c r="F239" s="29" t="s">
        <v>155</v>
      </c>
      <c r="G239" s="29" t="n">
        <v>2023</v>
      </c>
      <c r="H239" s="29" t="s">
        <v>253</v>
      </c>
      <c r="I239" s="29" t="n">
        <v>3</v>
      </c>
      <c r="J239" s="29" t="s">
        <v>250</v>
      </c>
      <c r="K239" s="29" t="s">
        <v>251</v>
      </c>
      <c r="L239" s="29" t="n">
        <v>0.05</v>
      </c>
      <c r="M239" s="32" t="n">
        <v>11902.84</v>
      </c>
      <c r="N239" s="32" t="n">
        <v>11908.36</v>
      </c>
      <c r="O239" s="32" t="n">
        <v>11889.32</v>
      </c>
      <c r="P239" s="45" t="n">
        <f aca="false">ABS(M239-N239)</f>
        <v>5.52000000000044</v>
      </c>
      <c r="Q239" s="45" t="n">
        <f aca="false">IF(O239="","",ABS(O239-M239))</f>
        <v>13.5200000000004</v>
      </c>
      <c r="R239" s="31" t="n">
        <f aca="false">P239*L239*Summary!$C$6</f>
        <v>27.6000000000022</v>
      </c>
      <c r="S239" s="32" t="n">
        <v>11902.9</v>
      </c>
      <c r="T239" s="29" t="s">
        <v>255</v>
      </c>
      <c r="U239" s="45" t="n">
        <f aca="false">IF(J239="BUY",S239-M239,M239-S239)</f>
        <v>-0.0599999999994907</v>
      </c>
      <c r="V239" s="46" t="n">
        <v>0</v>
      </c>
      <c r="W239" s="46" t="n">
        <v>0</v>
      </c>
      <c r="X239" s="46" t="n">
        <v>-0.3</v>
      </c>
      <c r="Y239" s="33" t="n">
        <f aca="false">IFERROR(X239/R239,0)</f>
        <v>-0.0108695652173904</v>
      </c>
      <c r="Z239" s="29" t="str">
        <f aca="false">IF(X239&gt;0,"Win",IF(X239&lt;0,"Loss","Flat"))</f>
        <v>Loss</v>
      </c>
      <c r="AA239" s="29" t="n">
        <f aca="false">ROUND((C239-B239)*1440,1)</f>
        <v>2.6</v>
      </c>
      <c r="AB239" s="29" t="str">
        <f aca="false">IF(AA239&lt;1,"a) &lt;1 min",IF(AA239&lt;10,"b) 1-10 min",IF(AA239&lt;60,"c) 10-60 min",IF(AA239&lt;240,"d) 1-4 h","e) 4 h+"))))</f>
        <v>b) 1-10 min</v>
      </c>
      <c r="AC239" s="29" t="str">
        <f aca="false">IF(P239&lt;10,"a) &lt;10",IF(P239&lt;20,"b) 10-20",IF(P239&lt;40,"c) 20-40",IF(P239&lt;80,"d) 40-80","e) 80+"))))</f>
        <v>a) &lt;10</v>
      </c>
      <c r="AD239" s="31" t="n">
        <f aca="false">Summary!$C$5+SUM(X$2:X239)</f>
        <v>12988.5</v>
      </c>
      <c r="AE239" s="31" t="n">
        <f aca="false">MAX(AE238,AD239)</f>
        <v>13065.98</v>
      </c>
      <c r="AF239" s="31" t="n">
        <f aca="false">AE239-AD239</f>
        <v>77.4799999999996</v>
      </c>
      <c r="AG239" s="30" t="n">
        <f aca="false">IFERROR(AF239/AE239,0)</f>
        <v>0.00592990345921237</v>
      </c>
    </row>
    <row r="240" customFormat="false" ht="15" hidden="false" customHeight="false" outlineLevel="0" collapsed="false">
      <c r="A240" s="29" t="n">
        <v>239</v>
      </c>
      <c r="B240" s="44" t="n">
        <v>44988.5131944444</v>
      </c>
      <c r="C240" s="44" t="n">
        <v>44988.5259143519</v>
      </c>
      <c r="D240" s="43" t="n">
        <f aca="false">INT(C240)</f>
        <v>44988</v>
      </c>
      <c r="E240" s="43" t="n">
        <f aca="false">D240-WEEKDAY(D240,3)</f>
        <v>44984</v>
      </c>
      <c r="F240" s="29" t="s">
        <v>155</v>
      </c>
      <c r="G240" s="29" t="n">
        <v>2023</v>
      </c>
      <c r="H240" s="29" t="s">
        <v>254</v>
      </c>
      <c r="I240" s="29" t="n">
        <v>12</v>
      </c>
      <c r="J240" s="29" t="s">
        <v>246</v>
      </c>
      <c r="K240" s="29" t="s">
        <v>247</v>
      </c>
      <c r="L240" s="29" t="n">
        <v>0.05</v>
      </c>
      <c r="M240" s="32" t="n">
        <v>12076.12</v>
      </c>
      <c r="N240" s="32" t="n">
        <v>12070.97</v>
      </c>
      <c r="O240" s="32" t="n">
        <v>12088.43</v>
      </c>
      <c r="P240" s="45" t="n">
        <f aca="false">ABS(M240-N240)</f>
        <v>5.15000000000146</v>
      </c>
      <c r="Q240" s="45" t="n">
        <f aca="false">IF(O240="","",ABS(O240-M240))</f>
        <v>12.3099999999995</v>
      </c>
      <c r="R240" s="31" t="n">
        <f aca="false">P240*L240*Summary!$C$6</f>
        <v>25.7500000000073</v>
      </c>
      <c r="S240" s="32" t="n">
        <v>12076.09</v>
      </c>
      <c r="T240" s="29" t="s">
        <v>255</v>
      </c>
      <c r="U240" s="45" t="n">
        <f aca="false">IF(J240="BUY",S240-M240,M240-S240)</f>
        <v>-0.0300000000006548</v>
      </c>
      <c r="V240" s="46" t="n">
        <v>0</v>
      </c>
      <c r="W240" s="46" t="n">
        <v>0</v>
      </c>
      <c r="X240" s="46" t="n">
        <v>-0.15</v>
      </c>
      <c r="Y240" s="33" t="n">
        <f aca="false">IFERROR(X240/R240,0)</f>
        <v>-0.00582524271844496</v>
      </c>
      <c r="Z240" s="29" t="str">
        <f aca="false">IF(X240&gt;0,"Win",IF(X240&lt;0,"Loss","Flat"))</f>
        <v>Loss</v>
      </c>
      <c r="AA240" s="29" t="n">
        <f aca="false">ROUND((C240-B240)*1440,1)</f>
        <v>18.3</v>
      </c>
      <c r="AB240" s="29" t="str">
        <f aca="false">IF(AA240&lt;1,"a) &lt;1 min",IF(AA240&lt;10,"b) 1-10 min",IF(AA240&lt;60,"c) 10-60 min",IF(AA240&lt;240,"d) 1-4 h","e) 4 h+"))))</f>
        <v>c) 10-60 min</v>
      </c>
      <c r="AC240" s="29" t="str">
        <f aca="false">IF(P240&lt;10,"a) &lt;10",IF(P240&lt;20,"b) 10-20",IF(P240&lt;40,"c) 20-40",IF(P240&lt;80,"d) 40-80","e) 80+"))))</f>
        <v>a) &lt;10</v>
      </c>
      <c r="AD240" s="31" t="n">
        <f aca="false">Summary!$C$5+SUM(X$2:X240)</f>
        <v>12988.35</v>
      </c>
      <c r="AE240" s="31" t="n">
        <f aca="false">MAX(AE239,AD240)</f>
        <v>13065.98</v>
      </c>
      <c r="AF240" s="31" t="n">
        <f aca="false">AE240-AD240</f>
        <v>77.6299999999992</v>
      </c>
      <c r="AG240" s="30" t="n">
        <f aca="false">IFERROR(AF240/AE240,0)</f>
        <v>0.00594138365434504</v>
      </c>
    </row>
    <row r="241" customFormat="false" ht="15" hidden="false" customHeight="false" outlineLevel="0" collapsed="false">
      <c r="A241" s="29" t="n">
        <v>240</v>
      </c>
      <c r="B241" s="44" t="n">
        <v>44991.1930555556</v>
      </c>
      <c r="C241" s="44" t="n">
        <v>44991.1946064815</v>
      </c>
      <c r="D241" s="43" t="n">
        <f aca="false">INT(C241)</f>
        <v>44991</v>
      </c>
      <c r="E241" s="43" t="n">
        <f aca="false">D241-WEEKDAY(D241,3)</f>
        <v>44991</v>
      </c>
      <c r="F241" s="29" t="s">
        <v>155</v>
      </c>
      <c r="G241" s="29" t="n">
        <v>2023</v>
      </c>
      <c r="H241" s="29" t="s">
        <v>245</v>
      </c>
      <c r="I241" s="29" t="n">
        <v>4</v>
      </c>
      <c r="J241" s="29" t="s">
        <v>246</v>
      </c>
      <c r="K241" s="29" t="s">
        <v>247</v>
      </c>
      <c r="L241" s="29" t="n">
        <v>0.05</v>
      </c>
      <c r="M241" s="32" t="n">
        <v>12313.23</v>
      </c>
      <c r="N241" s="32" t="n">
        <v>12306.27</v>
      </c>
      <c r="O241" s="32" t="n">
        <v>12330.29</v>
      </c>
      <c r="P241" s="45" t="n">
        <f aca="false">ABS(M241-N241)</f>
        <v>6.95999999999913</v>
      </c>
      <c r="Q241" s="45" t="n">
        <f aca="false">IF(O241="","",ABS(O241-M241))</f>
        <v>17.0600000000013</v>
      </c>
      <c r="R241" s="31" t="n">
        <f aca="false">P241*L241*Summary!$C$6</f>
        <v>34.7999999999956</v>
      </c>
      <c r="S241" s="32" t="n">
        <v>12331.31</v>
      </c>
      <c r="T241" s="29" t="s">
        <v>227</v>
      </c>
      <c r="U241" s="45" t="n">
        <f aca="false">IF(J241="BUY",S241-M241,M241-S241)</f>
        <v>18.0799999999999</v>
      </c>
      <c r="V241" s="46" t="n">
        <v>0</v>
      </c>
      <c r="W241" s="46" t="n">
        <v>0</v>
      </c>
      <c r="X241" s="46" t="n">
        <v>90.4</v>
      </c>
      <c r="Y241" s="33" t="n">
        <f aca="false">IFERROR(X241/R241,0)</f>
        <v>2.59770114942561</v>
      </c>
      <c r="Z241" s="29" t="str">
        <f aca="false">IF(X241&gt;0,"Win",IF(X241&lt;0,"Loss","Flat"))</f>
        <v>Win</v>
      </c>
      <c r="AA241" s="29" t="n">
        <f aca="false">ROUND((C241-B241)*1440,1)</f>
        <v>2.2</v>
      </c>
      <c r="AB241" s="29" t="str">
        <f aca="false">IF(AA241&lt;1,"a) &lt;1 min",IF(AA241&lt;10,"b) 1-10 min",IF(AA241&lt;60,"c) 10-60 min",IF(AA241&lt;240,"d) 1-4 h","e) 4 h+"))))</f>
        <v>b) 1-10 min</v>
      </c>
      <c r="AC241" s="29" t="str">
        <f aca="false">IF(P241&lt;10,"a) &lt;10",IF(P241&lt;20,"b) 10-20",IF(P241&lt;40,"c) 20-40",IF(P241&lt;80,"d) 40-80","e) 80+"))))</f>
        <v>a) &lt;10</v>
      </c>
      <c r="AD241" s="31" t="n">
        <f aca="false">Summary!$C$5+SUM(X$2:X241)</f>
        <v>13078.75</v>
      </c>
      <c r="AE241" s="31" t="n">
        <f aca="false">MAX(AE240,AD241)</f>
        <v>13078.75</v>
      </c>
      <c r="AF241" s="31" t="n">
        <f aca="false">AE241-AD241</f>
        <v>0</v>
      </c>
      <c r="AG241" s="30" t="n">
        <f aca="false">IFERROR(AF241/AE241,0)</f>
        <v>0</v>
      </c>
    </row>
    <row r="242" customFormat="false" ht="15" hidden="false" customHeight="false" outlineLevel="0" collapsed="false">
      <c r="A242" s="29" t="n">
        <v>241</v>
      </c>
      <c r="B242" s="44" t="n">
        <v>44992.7097222222</v>
      </c>
      <c r="C242" s="44" t="n">
        <v>44992.713912037</v>
      </c>
      <c r="D242" s="43" t="n">
        <f aca="false">INT(C242)</f>
        <v>44992</v>
      </c>
      <c r="E242" s="43" t="n">
        <f aca="false">D242-WEEKDAY(D242,3)</f>
        <v>44991</v>
      </c>
      <c r="F242" s="29" t="s">
        <v>155</v>
      </c>
      <c r="G242" s="29" t="n">
        <v>2023</v>
      </c>
      <c r="H242" s="29" t="s">
        <v>248</v>
      </c>
      <c r="I242" s="29" t="n">
        <v>17</v>
      </c>
      <c r="J242" s="29" t="s">
        <v>250</v>
      </c>
      <c r="K242" s="29" t="s">
        <v>251</v>
      </c>
      <c r="L242" s="29" t="n">
        <v>0.05</v>
      </c>
      <c r="M242" s="32" t="n">
        <v>12240.34</v>
      </c>
      <c r="N242" s="32" t="n">
        <v>12263.6</v>
      </c>
      <c r="O242" s="32" t="n">
        <v>12186.03</v>
      </c>
      <c r="P242" s="45" t="n">
        <f aca="false">ABS(M242-N242)</f>
        <v>23.2600000000002</v>
      </c>
      <c r="Q242" s="45" t="n">
        <f aca="false">IF(O242="","",ABS(O242-M242))</f>
        <v>54.3099999999995</v>
      </c>
      <c r="R242" s="31" t="n">
        <f aca="false">P242*L242*Summary!$C$6</f>
        <v>116.300000000001</v>
      </c>
      <c r="S242" s="32" t="n">
        <v>12185.29</v>
      </c>
      <c r="T242" s="29" t="s">
        <v>227</v>
      </c>
      <c r="U242" s="45" t="n">
        <f aca="false">IF(J242="BUY",S242-M242,M242-S242)</f>
        <v>55.0499999999993</v>
      </c>
      <c r="V242" s="46" t="n">
        <v>0</v>
      </c>
      <c r="W242" s="46" t="n">
        <v>0</v>
      </c>
      <c r="X242" s="46" t="n">
        <v>275.25</v>
      </c>
      <c r="Y242" s="33" t="n">
        <f aca="false">IFERROR(X242/R242,0)</f>
        <v>2.36672398968184</v>
      </c>
      <c r="Z242" s="29" t="str">
        <f aca="false">IF(X242&gt;0,"Win",IF(X242&lt;0,"Loss","Flat"))</f>
        <v>Win</v>
      </c>
      <c r="AA242" s="29" t="n">
        <f aca="false">ROUND((C242-B242)*1440,1)</f>
        <v>6</v>
      </c>
      <c r="AB242" s="29" t="str">
        <f aca="false">IF(AA242&lt;1,"a) &lt;1 min",IF(AA242&lt;10,"b) 1-10 min",IF(AA242&lt;60,"c) 10-60 min",IF(AA242&lt;240,"d) 1-4 h","e) 4 h+"))))</f>
        <v>b) 1-10 min</v>
      </c>
      <c r="AC242" s="29" t="str">
        <f aca="false">IF(P242&lt;10,"a) &lt;10",IF(P242&lt;20,"b) 10-20",IF(P242&lt;40,"c) 20-40",IF(P242&lt;80,"d) 40-80","e) 80+"))))</f>
        <v>c) 20-40</v>
      </c>
      <c r="AD242" s="31" t="n">
        <f aca="false">Summary!$C$5+SUM(X$2:X242)</f>
        <v>13354</v>
      </c>
      <c r="AE242" s="31" t="n">
        <f aca="false">MAX(AE241,AD242)</f>
        <v>13354</v>
      </c>
      <c r="AF242" s="31" t="n">
        <f aca="false">AE242-AD242</f>
        <v>0</v>
      </c>
      <c r="AG242" s="30" t="n">
        <f aca="false">IFERROR(AF242/AE242,0)</f>
        <v>0</v>
      </c>
    </row>
    <row r="243" customFormat="false" ht="15" hidden="false" customHeight="false" outlineLevel="0" collapsed="false">
      <c r="A243" s="29" t="n">
        <v>242</v>
      </c>
      <c r="B243" s="44" t="n">
        <v>44993.20625</v>
      </c>
      <c r="C243" s="44" t="n">
        <v>44993.2067939815</v>
      </c>
      <c r="D243" s="43" t="n">
        <f aca="false">INT(C243)</f>
        <v>44993</v>
      </c>
      <c r="E243" s="43" t="n">
        <f aca="false">D243-WEEKDAY(D243,3)</f>
        <v>44991</v>
      </c>
      <c r="F243" s="29" t="s">
        <v>155</v>
      </c>
      <c r="G243" s="29" t="n">
        <v>2023</v>
      </c>
      <c r="H243" s="29" t="s">
        <v>252</v>
      </c>
      <c r="I243" s="29" t="n">
        <v>4</v>
      </c>
      <c r="J243" s="29" t="s">
        <v>250</v>
      </c>
      <c r="K243" s="29" t="s">
        <v>251</v>
      </c>
      <c r="L243" s="29" t="n">
        <v>0.05</v>
      </c>
      <c r="M243" s="32" t="n">
        <v>12125.42</v>
      </c>
      <c r="N243" s="32" t="n">
        <v>12129.64</v>
      </c>
      <c r="O243" s="32" t="n">
        <v>12115.95</v>
      </c>
      <c r="P243" s="45" t="n">
        <f aca="false">ABS(M243-N243)</f>
        <v>4.21999999999935</v>
      </c>
      <c r="Q243" s="45" t="n">
        <f aca="false">IF(O243="","",ABS(O243-M243))</f>
        <v>9.46999999999935</v>
      </c>
      <c r="R243" s="31" t="n">
        <f aca="false">P243*L243*Summary!$C$6</f>
        <v>21.0999999999967</v>
      </c>
      <c r="S243" s="32" t="n">
        <v>12129.83</v>
      </c>
      <c r="T243" s="29" t="s">
        <v>249</v>
      </c>
      <c r="U243" s="45" t="n">
        <f aca="false">IF(J243="BUY",S243-M243,M243-S243)</f>
        <v>-4.40999999999985</v>
      </c>
      <c r="V243" s="46" t="n">
        <v>0</v>
      </c>
      <c r="W243" s="46" t="n">
        <v>0</v>
      </c>
      <c r="X243" s="46" t="n">
        <v>-22.05</v>
      </c>
      <c r="Y243" s="33" t="n">
        <f aca="false">IFERROR(X243/R243,0)</f>
        <v>-1.04502369668263</v>
      </c>
      <c r="Z243" s="29" t="str">
        <f aca="false">IF(X243&gt;0,"Win",IF(X243&lt;0,"Loss","Flat"))</f>
        <v>Loss</v>
      </c>
      <c r="AA243" s="29" t="n">
        <f aca="false">ROUND((C243-B243)*1440,1)</f>
        <v>0.8</v>
      </c>
      <c r="AB243" s="29" t="str">
        <f aca="false">IF(AA243&lt;1,"a) &lt;1 min",IF(AA243&lt;10,"b) 1-10 min",IF(AA243&lt;60,"c) 10-60 min",IF(AA243&lt;240,"d) 1-4 h","e) 4 h+"))))</f>
        <v>a) &lt;1 min</v>
      </c>
      <c r="AC243" s="29" t="str">
        <f aca="false">IF(P243&lt;10,"a) &lt;10",IF(P243&lt;20,"b) 10-20",IF(P243&lt;40,"c) 20-40",IF(P243&lt;80,"d) 40-80","e) 80+"))))</f>
        <v>a) &lt;10</v>
      </c>
      <c r="AD243" s="31" t="n">
        <f aca="false">Summary!$C$5+SUM(X$2:X243)</f>
        <v>13331.95</v>
      </c>
      <c r="AE243" s="31" t="n">
        <f aca="false">MAX(AE242,AD243)</f>
        <v>13354</v>
      </c>
      <c r="AF243" s="31" t="n">
        <f aca="false">AE243-AD243</f>
        <v>22.0499999999993</v>
      </c>
      <c r="AG243" s="30" t="n">
        <f aca="false">IFERROR(AF243/AE243,0)</f>
        <v>0.00165119065448549</v>
      </c>
    </row>
    <row r="244" customFormat="false" ht="15" hidden="false" customHeight="false" outlineLevel="0" collapsed="false">
      <c r="A244" s="29" t="n">
        <v>243</v>
      </c>
      <c r="B244" s="44" t="n">
        <v>44994.6673611111</v>
      </c>
      <c r="C244" s="44" t="n">
        <v>44994.6726851852</v>
      </c>
      <c r="D244" s="43" t="n">
        <f aca="false">INT(C244)</f>
        <v>44994</v>
      </c>
      <c r="E244" s="43" t="n">
        <f aca="false">D244-WEEKDAY(D244,3)</f>
        <v>44991</v>
      </c>
      <c r="F244" s="29" t="s">
        <v>155</v>
      </c>
      <c r="G244" s="29" t="n">
        <v>2023</v>
      </c>
      <c r="H244" s="29" t="s">
        <v>253</v>
      </c>
      <c r="I244" s="29" t="n">
        <v>16</v>
      </c>
      <c r="J244" s="29" t="s">
        <v>246</v>
      </c>
      <c r="K244" s="29" t="s">
        <v>247</v>
      </c>
      <c r="L244" s="29" t="n">
        <v>0.05</v>
      </c>
      <c r="M244" s="32" t="n">
        <v>12256.82</v>
      </c>
      <c r="N244" s="32" t="n">
        <v>12242.4</v>
      </c>
      <c r="O244" s="32" t="n">
        <v>12292.21</v>
      </c>
      <c r="P244" s="45" t="n">
        <f aca="false">ABS(M244-N244)</f>
        <v>14.4200000000001</v>
      </c>
      <c r="Q244" s="45" t="n">
        <f aca="false">IF(O244="","",ABS(O244-M244))</f>
        <v>35.3899999999994</v>
      </c>
      <c r="R244" s="31" t="n">
        <f aca="false">P244*L244*Summary!$C$6</f>
        <v>72.1000000000004</v>
      </c>
      <c r="S244" s="32" t="n">
        <v>12241.87</v>
      </c>
      <c r="T244" s="29" t="s">
        <v>249</v>
      </c>
      <c r="U244" s="45" t="n">
        <f aca="false">IF(J244="BUY",S244-M244,M244-S244)</f>
        <v>-14.9499999999989</v>
      </c>
      <c r="V244" s="46" t="n">
        <v>0</v>
      </c>
      <c r="W244" s="46" t="n">
        <v>0</v>
      </c>
      <c r="X244" s="46" t="n">
        <v>-74.75</v>
      </c>
      <c r="Y244" s="33" t="n">
        <f aca="false">IFERROR(X244/R244,0)</f>
        <v>-1.03675450762829</v>
      </c>
      <c r="Z244" s="29" t="str">
        <f aca="false">IF(X244&gt;0,"Win",IF(X244&lt;0,"Loss","Flat"))</f>
        <v>Loss</v>
      </c>
      <c r="AA244" s="29" t="n">
        <f aca="false">ROUND((C244-B244)*1440,1)</f>
        <v>7.7</v>
      </c>
      <c r="AB244" s="29" t="str">
        <f aca="false">IF(AA244&lt;1,"a) &lt;1 min",IF(AA244&lt;10,"b) 1-10 min",IF(AA244&lt;60,"c) 10-60 min",IF(AA244&lt;240,"d) 1-4 h","e) 4 h+"))))</f>
        <v>b) 1-10 min</v>
      </c>
      <c r="AC244" s="29" t="str">
        <f aca="false">IF(P244&lt;10,"a) &lt;10",IF(P244&lt;20,"b) 10-20",IF(P244&lt;40,"c) 20-40",IF(P244&lt;80,"d) 40-80","e) 80+"))))</f>
        <v>b) 10-20</v>
      </c>
      <c r="AD244" s="31" t="n">
        <f aca="false">Summary!$C$5+SUM(X$2:X244)</f>
        <v>13257.2</v>
      </c>
      <c r="AE244" s="31" t="n">
        <f aca="false">MAX(AE243,AD244)</f>
        <v>13354</v>
      </c>
      <c r="AF244" s="31" t="n">
        <f aca="false">AE244-AD244</f>
        <v>96.7999999999993</v>
      </c>
      <c r="AG244" s="30" t="n">
        <f aca="false">IFERROR(AF244/AE244,0)</f>
        <v>0.00724876441515645</v>
      </c>
    </row>
    <row r="245" customFormat="false" ht="15" hidden="false" customHeight="false" outlineLevel="0" collapsed="false">
      <c r="A245" s="29" t="n">
        <v>244</v>
      </c>
      <c r="B245" s="44" t="n">
        <v>44994.8763888889</v>
      </c>
      <c r="C245" s="44" t="n">
        <v>44994.8766319445</v>
      </c>
      <c r="D245" s="43" t="n">
        <f aca="false">INT(C245)</f>
        <v>44994</v>
      </c>
      <c r="E245" s="43" t="n">
        <f aca="false">D245-WEEKDAY(D245,3)</f>
        <v>44991</v>
      </c>
      <c r="F245" s="29" t="s">
        <v>155</v>
      </c>
      <c r="G245" s="29" t="n">
        <v>2023</v>
      </c>
      <c r="H245" s="29" t="s">
        <v>253</v>
      </c>
      <c r="I245" s="29" t="n">
        <v>21</v>
      </c>
      <c r="J245" s="29" t="s">
        <v>250</v>
      </c>
      <c r="K245" s="29" t="s">
        <v>251</v>
      </c>
      <c r="L245" s="29" t="n">
        <v>0.05</v>
      </c>
      <c r="M245" s="32" t="n">
        <v>12090.41</v>
      </c>
      <c r="N245" s="32" t="n">
        <v>12097.59</v>
      </c>
      <c r="O245" s="32" t="n">
        <v>12073.47</v>
      </c>
      <c r="P245" s="45" t="n">
        <f aca="false">ABS(M245-N245)</f>
        <v>7.18000000000029</v>
      </c>
      <c r="Q245" s="45" t="n">
        <f aca="false">IF(O245="","",ABS(O245-M245))</f>
        <v>16.9400000000005</v>
      </c>
      <c r="R245" s="31" t="n">
        <f aca="false">P245*L245*Summary!$C$6</f>
        <v>35.9000000000015</v>
      </c>
      <c r="S245" s="32" t="n">
        <v>12097.71</v>
      </c>
      <c r="T245" s="29" t="s">
        <v>249</v>
      </c>
      <c r="U245" s="45" t="n">
        <f aca="false">IF(J245="BUY",S245-M245,M245-S245)</f>
        <v>-7.29999999999927</v>
      </c>
      <c r="V245" s="46" t="n">
        <v>0</v>
      </c>
      <c r="W245" s="46" t="n">
        <v>0</v>
      </c>
      <c r="X245" s="46" t="n">
        <v>-36.5</v>
      </c>
      <c r="Y245" s="33" t="n">
        <f aca="false">IFERROR(X245/R245,0)</f>
        <v>-1.01671309192196</v>
      </c>
      <c r="Z245" s="29" t="str">
        <f aca="false">IF(X245&gt;0,"Win",IF(X245&lt;0,"Loss","Flat"))</f>
        <v>Loss</v>
      </c>
      <c r="AA245" s="29" t="n">
        <f aca="false">ROUND((C245-B245)*1440,1)</f>
        <v>0.4</v>
      </c>
      <c r="AB245" s="29" t="str">
        <f aca="false">IF(AA245&lt;1,"a) &lt;1 min",IF(AA245&lt;10,"b) 1-10 min",IF(AA245&lt;60,"c) 10-60 min",IF(AA245&lt;240,"d) 1-4 h","e) 4 h+"))))</f>
        <v>a) &lt;1 min</v>
      </c>
      <c r="AC245" s="29" t="str">
        <f aca="false">IF(P245&lt;10,"a) &lt;10",IF(P245&lt;20,"b) 10-20",IF(P245&lt;40,"c) 20-40",IF(P245&lt;80,"d) 40-80","e) 80+"))))</f>
        <v>a) &lt;10</v>
      </c>
      <c r="AD245" s="31" t="n">
        <f aca="false">Summary!$C$5+SUM(X$2:X245)</f>
        <v>13220.7</v>
      </c>
      <c r="AE245" s="31" t="n">
        <f aca="false">MAX(AE244,AD245)</f>
        <v>13354</v>
      </c>
      <c r="AF245" s="31" t="n">
        <f aca="false">AE245-AD245</f>
        <v>133.299999999999</v>
      </c>
      <c r="AG245" s="30" t="n">
        <f aca="false">IFERROR(AF245/AE245,0)</f>
        <v>0.00998202785682187</v>
      </c>
    </row>
    <row r="246" customFormat="false" ht="15" hidden="false" customHeight="false" outlineLevel="0" collapsed="false">
      <c r="A246" s="29" t="n">
        <v>245</v>
      </c>
      <c r="B246" s="44" t="n">
        <v>44995.0430555556</v>
      </c>
      <c r="C246" s="44" t="n">
        <v>44995.0501273148</v>
      </c>
      <c r="D246" s="43" t="n">
        <f aca="false">INT(C246)</f>
        <v>44995</v>
      </c>
      <c r="E246" s="43" t="n">
        <f aca="false">D246-WEEKDAY(D246,3)</f>
        <v>44991</v>
      </c>
      <c r="F246" s="29" t="s">
        <v>155</v>
      </c>
      <c r="G246" s="29" t="n">
        <v>2023</v>
      </c>
      <c r="H246" s="29" t="s">
        <v>254</v>
      </c>
      <c r="I246" s="29" t="n">
        <v>1</v>
      </c>
      <c r="J246" s="29" t="s">
        <v>250</v>
      </c>
      <c r="K246" s="29" t="s">
        <v>251</v>
      </c>
      <c r="L246" s="29" t="n">
        <v>0.05</v>
      </c>
      <c r="M246" s="32" t="n">
        <v>11960.31</v>
      </c>
      <c r="N246" s="32" t="n">
        <v>11969.58</v>
      </c>
      <c r="O246" s="32" t="n">
        <v>11938.21</v>
      </c>
      <c r="P246" s="45" t="n">
        <f aca="false">ABS(M246-N246)</f>
        <v>9.27000000000044</v>
      </c>
      <c r="Q246" s="45" t="n">
        <f aca="false">IF(O246="","",ABS(O246-M246))</f>
        <v>22.1000000000004</v>
      </c>
      <c r="R246" s="31" t="n">
        <f aca="false">P246*L246*Summary!$C$6</f>
        <v>46.3500000000022</v>
      </c>
      <c r="S246" s="32" t="n">
        <v>11960.31</v>
      </c>
      <c r="T246" s="29" t="s">
        <v>255</v>
      </c>
      <c r="U246" s="45" t="n">
        <f aca="false">IF(J246="BUY",S246-M246,M246-S246)</f>
        <v>0</v>
      </c>
      <c r="V246" s="46" t="n">
        <v>0</v>
      </c>
      <c r="W246" s="46" t="n">
        <v>0</v>
      </c>
      <c r="X246" s="46" t="n">
        <v>0</v>
      </c>
      <c r="Y246" s="33" t="n">
        <f aca="false">IFERROR(X246/R246,0)</f>
        <v>0</v>
      </c>
      <c r="Z246" s="29" t="str">
        <f aca="false">IF(X246&gt;0,"Win",IF(X246&lt;0,"Loss","Flat"))</f>
        <v>Flat</v>
      </c>
      <c r="AA246" s="29" t="n">
        <f aca="false">ROUND((C246-B246)*1440,1)</f>
        <v>10.2</v>
      </c>
      <c r="AB246" s="29" t="str">
        <f aca="false">IF(AA246&lt;1,"a) &lt;1 min",IF(AA246&lt;10,"b) 1-10 min",IF(AA246&lt;60,"c) 10-60 min",IF(AA246&lt;240,"d) 1-4 h","e) 4 h+"))))</f>
        <v>c) 10-60 min</v>
      </c>
      <c r="AC246" s="29" t="str">
        <f aca="false">IF(P246&lt;10,"a) &lt;10",IF(P246&lt;20,"b) 10-20",IF(P246&lt;40,"c) 20-40",IF(P246&lt;80,"d) 40-80","e) 80+"))))</f>
        <v>a) &lt;10</v>
      </c>
      <c r="AD246" s="31" t="n">
        <f aca="false">Summary!$C$5+SUM(X$2:X246)</f>
        <v>13220.7</v>
      </c>
      <c r="AE246" s="31" t="n">
        <f aca="false">MAX(AE245,AD246)</f>
        <v>13354</v>
      </c>
      <c r="AF246" s="31" t="n">
        <f aca="false">AE246-AD246</f>
        <v>133.299999999999</v>
      </c>
      <c r="AG246" s="30" t="n">
        <f aca="false">IFERROR(AF246/AE246,0)</f>
        <v>0.00998202785682187</v>
      </c>
    </row>
    <row r="247" customFormat="false" ht="15" hidden="false" customHeight="false" outlineLevel="0" collapsed="false">
      <c r="A247" s="29" t="n">
        <v>246</v>
      </c>
      <c r="B247" s="44" t="n">
        <v>44998.6520833333</v>
      </c>
      <c r="C247" s="44" t="n">
        <v>44998.6523032407</v>
      </c>
      <c r="D247" s="43" t="n">
        <f aca="false">INT(C247)</f>
        <v>44998</v>
      </c>
      <c r="E247" s="43" t="n">
        <f aca="false">D247-WEEKDAY(D247,3)</f>
        <v>44998</v>
      </c>
      <c r="F247" s="29" t="s">
        <v>155</v>
      </c>
      <c r="G247" s="29" t="n">
        <v>2023</v>
      </c>
      <c r="H247" s="29" t="s">
        <v>245</v>
      </c>
      <c r="I247" s="29" t="n">
        <v>15</v>
      </c>
      <c r="J247" s="29" t="s">
        <v>250</v>
      </c>
      <c r="K247" s="29" t="s">
        <v>251</v>
      </c>
      <c r="L247" s="29" t="n">
        <v>0.05</v>
      </c>
      <c r="M247" s="32" t="n">
        <v>11783.77</v>
      </c>
      <c r="N247" s="32" t="n">
        <v>11801.31</v>
      </c>
      <c r="O247" s="32" t="n">
        <v>11740.69</v>
      </c>
      <c r="P247" s="45" t="n">
        <f aca="false">ABS(M247-N247)</f>
        <v>17.5399999999991</v>
      </c>
      <c r="Q247" s="45" t="n">
        <f aca="false">IF(O247="","",ABS(O247-M247))</f>
        <v>43.0799999999999</v>
      </c>
      <c r="R247" s="31" t="n">
        <f aca="false">P247*L247*Summary!$C$6</f>
        <v>87.6999999999953</v>
      </c>
      <c r="S247" s="32" t="n">
        <v>11801.51</v>
      </c>
      <c r="T247" s="29" t="s">
        <v>249</v>
      </c>
      <c r="U247" s="45" t="n">
        <f aca="false">IF(J247="BUY",S247-M247,M247-S247)</f>
        <v>-17.7399999999998</v>
      </c>
      <c r="V247" s="46" t="n">
        <v>0</v>
      </c>
      <c r="W247" s="46" t="n">
        <v>0</v>
      </c>
      <c r="X247" s="46" t="n">
        <v>-88.7</v>
      </c>
      <c r="Y247" s="33" t="n">
        <f aca="false">IFERROR(X247/R247,0)</f>
        <v>-1.01140250855194</v>
      </c>
      <c r="Z247" s="29" t="str">
        <f aca="false">IF(X247&gt;0,"Win",IF(X247&lt;0,"Loss","Flat"))</f>
        <v>Loss</v>
      </c>
      <c r="AA247" s="29" t="n">
        <f aca="false">ROUND((C247-B247)*1440,1)</f>
        <v>0.3</v>
      </c>
      <c r="AB247" s="29" t="str">
        <f aca="false">IF(AA247&lt;1,"a) &lt;1 min",IF(AA247&lt;10,"b) 1-10 min",IF(AA247&lt;60,"c) 10-60 min",IF(AA247&lt;240,"d) 1-4 h","e) 4 h+"))))</f>
        <v>a) &lt;1 min</v>
      </c>
      <c r="AC247" s="29" t="str">
        <f aca="false">IF(P247&lt;10,"a) &lt;10",IF(P247&lt;20,"b) 10-20",IF(P247&lt;40,"c) 20-40",IF(P247&lt;80,"d) 40-80","e) 80+"))))</f>
        <v>b) 10-20</v>
      </c>
      <c r="AD247" s="31" t="n">
        <f aca="false">Summary!$C$5+SUM(X$2:X247)</f>
        <v>13132</v>
      </c>
      <c r="AE247" s="31" t="n">
        <f aca="false">MAX(AE246,AD247)</f>
        <v>13354</v>
      </c>
      <c r="AF247" s="31" t="n">
        <f aca="false">AE247-AD247</f>
        <v>222</v>
      </c>
      <c r="AG247" s="30" t="n">
        <f aca="false">IFERROR(AF247/AE247,0)</f>
        <v>0.0166242324397184</v>
      </c>
    </row>
    <row r="248" customFormat="false" ht="15" hidden="false" customHeight="false" outlineLevel="0" collapsed="false">
      <c r="A248" s="29" t="n">
        <v>247</v>
      </c>
      <c r="B248" s="44" t="n">
        <v>44999.6881944445</v>
      </c>
      <c r="C248" s="44" t="n">
        <v>44999.6886689815</v>
      </c>
      <c r="D248" s="43" t="n">
        <f aca="false">INT(C248)</f>
        <v>44999</v>
      </c>
      <c r="E248" s="43" t="n">
        <f aca="false">D248-WEEKDAY(D248,3)</f>
        <v>44998</v>
      </c>
      <c r="F248" s="29" t="s">
        <v>155</v>
      </c>
      <c r="G248" s="29" t="n">
        <v>2023</v>
      </c>
      <c r="H248" s="29" t="s">
        <v>248</v>
      </c>
      <c r="I248" s="29" t="n">
        <v>16</v>
      </c>
      <c r="J248" s="29" t="s">
        <v>246</v>
      </c>
      <c r="K248" s="29" t="s">
        <v>247</v>
      </c>
      <c r="L248" s="29" t="n">
        <v>0.05</v>
      </c>
      <c r="M248" s="32" t="n">
        <v>12085.88</v>
      </c>
      <c r="N248" s="32" t="n">
        <v>12072.92</v>
      </c>
      <c r="O248" s="32" t="n">
        <v>12120.57</v>
      </c>
      <c r="P248" s="45" t="n">
        <f aca="false">ABS(M248-N248)</f>
        <v>12.9599999999991</v>
      </c>
      <c r="Q248" s="45" t="n">
        <f aca="false">IF(O248="","",ABS(O248-M248))</f>
        <v>34.6900000000005</v>
      </c>
      <c r="R248" s="31" t="n">
        <f aca="false">P248*L248*Summary!$C$6</f>
        <v>64.7999999999956</v>
      </c>
      <c r="S248" s="32" t="n">
        <v>12072.36</v>
      </c>
      <c r="T248" s="29" t="s">
        <v>249</v>
      </c>
      <c r="U248" s="45" t="n">
        <f aca="false">IF(J248="BUY",S248-M248,M248-S248)</f>
        <v>-13.5199999999986</v>
      </c>
      <c r="V248" s="46" t="n">
        <v>0</v>
      </c>
      <c r="W248" s="46" t="n">
        <v>0</v>
      </c>
      <c r="X248" s="46" t="n">
        <v>-67.6</v>
      </c>
      <c r="Y248" s="33" t="n">
        <f aca="false">IFERROR(X248/R248,0)</f>
        <v>-1.04320987654328</v>
      </c>
      <c r="Z248" s="29" t="str">
        <f aca="false">IF(X248&gt;0,"Win",IF(X248&lt;0,"Loss","Flat"))</f>
        <v>Loss</v>
      </c>
      <c r="AA248" s="29" t="n">
        <f aca="false">ROUND((C248-B248)*1440,1)</f>
        <v>0.7</v>
      </c>
      <c r="AB248" s="29" t="str">
        <f aca="false">IF(AA248&lt;1,"a) &lt;1 min",IF(AA248&lt;10,"b) 1-10 min",IF(AA248&lt;60,"c) 10-60 min",IF(AA248&lt;240,"d) 1-4 h","e) 4 h+"))))</f>
        <v>a) &lt;1 min</v>
      </c>
      <c r="AC248" s="29" t="str">
        <f aca="false">IF(P248&lt;10,"a) &lt;10",IF(P248&lt;20,"b) 10-20",IF(P248&lt;40,"c) 20-40",IF(P248&lt;80,"d) 40-80","e) 80+"))))</f>
        <v>b) 10-20</v>
      </c>
      <c r="AD248" s="31" t="n">
        <f aca="false">Summary!$C$5+SUM(X$2:X248)</f>
        <v>13064.4</v>
      </c>
      <c r="AE248" s="31" t="n">
        <f aca="false">MAX(AE247,AD248)</f>
        <v>13354</v>
      </c>
      <c r="AF248" s="31" t="n">
        <f aca="false">AE248-AD248</f>
        <v>289.6</v>
      </c>
      <c r="AG248" s="30" t="n">
        <f aca="false">IFERROR(AF248/AE248,0)</f>
        <v>0.0216863861015426</v>
      </c>
    </row>
    <row r="249" customFormat="false" ht="15" hidden="false" customHeight="false" outlineLevel="0" collapsed="false">
      <c r="A249" s="29" t="n">
        <v>248</v>
      </c>
      <c r="B249" s="44" t="n">
        <v>45000.2145833333</v>
      </c>
      <c r="C249" s="44" t="n">
        <v>45000.2151041667</v>
      </c>
      <c r="D249" s="43" t="n">
        <f aca="false">INT(C249)</f>
        <v>45000</v>
      </c>
      <c r="E249" s="43" t="n">
        <f aca="false">D249-WEEKDAY(D249,3)</f>
        <v>44998</v>
      </c>
      <c r="F249" s="29" t="s">
        <v>155</v>
      </c>
      <c r="G249" s="29" t="n">
        <v>2023</v>
      </c>
      <c r="H249" s="29" t="s">
        <v>252</v>
      </c>
      <c r="I249" s="29" t="n">
        <v>5</v>
      </c>
      <c r="J249" s="29" t="s">
        <v>246</v>
      </c>
      <c r="K249" s="29" t="s">
        <v>247</v>
      </c>
      <c r="L249" s="29" t="n">
        <v>0.05</v>
      </c>
      <c r="M249" s="32" t="n">
        <v>12219.87</v>
      </c>
      <c r="N249" s="32" t="n">
        <v>12213.17</v>
      </c>
      <c r="O249" s="32" t="n">
        <v>12235.81</v>
      </c>
      <c r="P249" s="45" t="n">
        <f aca="false">ABS(M249-N249)</f>
        <v>6.70000000000073</v>
      </c>
      <c r="Q249" s="45" t="n">
        <f aca="false">IF(O249="","",ABS(O249-M249))</f>
        <v>15.9399999999987</v>
      </c>
      <c r="R249" s="31" t="n">
        <f aca="false">P249*L249*Summary!$C$6</f>
        <v>33.5000000000036</v>
      </c>
      <c r="S249" s="32" t="n">
        <v>12213.17</v>
      </c>
      <c r="T249" s="29" t="s">
        <v>249</v>
      </c>
      <c r="U249" s="45" t="n">
        <f aca="false">IF(J249="BUY",S249-M249,M249-S249)</f>
        <v>-6.70000000000073</v>
      </c>
      <c r="V249" s="46" t="n">
        <v>0</v>
      </c>
      <c r="W249" s="46" t="n">
        <v>0</v>
      </c>
      <c r="X249" s="46" t="n">
        <v>-33.5</v>
      </c>
      <c r="Y249" s="33" t="n">
        <f aca="false">IFERROR(X249/R249,0)</f>
        <v>-0.999999999999891</v>
      </c>
      <c r="Z249" s="29" t="str">
        <f aca="false">IF(X249&gt;0,"Win",IF(X249&lt;0,"Loss","Flat"))</f>
        <v>Loss</v>
      </c>
      <c r="AA249" s="29" t="n">
        <f aca="false">ROUND((C249-B249)*1440,1)</f>
        <v>0.8</v>
      </c>
      <c r="AB249" s="29" t="str">
        <f aca="false">IF(AA249&lt;1,"a) &lt;1 min",IF(AA249&lt;10,"b) 1-10 min",IF(AA249&lt;60,"c) 10-60 min",IF(AA249&lt;240,"d) 1-4 h","e) 4 h+"))))</f>
        <v>a) &lt;1 min</v>
      </c>
      <c r="AC249" s="29" t="str">
        <f aca="false">IF(P249&lt;10,"a) &lt;10",IF(P249&lt;20,"b) 10-20",IF(P249&lt;40,"c) 20-40",IF(P249&lt;80,"d) 40-80","e) 80+"))))</f>
        <v>a) &lt;10</v>
      </c>
      <c r="AD249" s="31" t="n">
        <f aca="false">Summary!$C$5+SUM(X$2:X249)</f>
        <v>13030.9</v>
      </c>
      <c r="AE249" s="31" t="n">
        <f aca="false">MAX(AE248,AD249)</f>
        <v>13354</v>
      </c>
      <c r="AF249" s="31" t="n">
        <f aca="false">AE249-AD249</f>
        <v>323.1</v>
      </c>
      <c r="AG249" s="30" t="n">
        <f aca="false">IFERROR(AF249/AE249,0)</f>
        <v>0.0241949977534821</v>
      </c>
    </row>
    <row r="250" customFormat="false" ht="15" hidden="false" customHeight="false" outlineLevel="0" collapsed="false">
      <c r="A250" s="29" t="n">
        <v>249</v>
      </c>
      <c r="B250" s="44" t="n">
        <v>45001.0652777778</v>
      </c>
      <c r="C250" s="44" t="n">
        <v>45001.0811458333</v>
      </c>
      <c r="D250" s="43" t="n">
        <f aca="false">INT(C250)</f>
        <v>45001</v>
      </c>
      <c r="E250" s="43" t="n">
        <f aca="false">D250-WEEKDAY(D250,3)</f>
        <v>44998</v>
      </c>
      <c r="F250" s="29" t="s">
        <v>155</v>
      </c>
      <c r="G250" s="29" t="n">
        <v>2023</v>
      </c>
      <c r="H250" s="29" t="s">
        <v>253</v>
      </c>
      <c r="I250" s="29" t="n">
        <v>1</v>
      </c>
      <c r="J250" s="29" t="s">
        <v>246</v>
      </c>
      <c r="K250" s="29" t="s">
        <v>247</v>
      </c>
      <c r="L250" s="29" t="n">
        <v>0.05</v>
      </c>
      <c r="M250" s="32" t="n">
        <v>12280.78</v>
      </c>
      <c r="N250" s="32" t="n">
        <v>12276.15</v>
      </c>
      <c r="O250" s="32" t="n">
        <v>12292.11</v>
      </c>
      <c r="P250" s="45" t="n">
        <f aca="false">ABS(M250-N250)</f>
        <v>4.63000000000102</v>
      </c>
      <c r="Q250" s="45" t="n">
        <f aca="false">IF(O250="","",ABS(O250-M250))</f>
        <v>11.3299999999999</v>
      </c>
      <c r="R250" s="31" t="n">
        <f aca="false">P250*L250*Summary!$C$6</f>
        <v>23.1500000000051</v>
      </c>
      <c r="S250" s="32" t="n">
        <v>12280.36</v>
      </c>
      <c r="T250" s="29" t="s">
        <v>255</v>
      </c>
      <c r="U250" s="45" t="n">
        <f aca="false">IF(J250="BUY",S250-M250,M250-S250)</f>
        <v>-0.420000000000073</v>
      </c>
      <c r="V250" s="46" t="n">
        <v>0</v>
      </c>
      <c r="W250" s="46" t="n">
        <v>0</v>
      </c>
      <c r="X250" s="46" t="n">
        <v>-2.1</v>
      </c>
      <c r="Y250" s="33" t="n">
        <f aca="false">IFERROR(X250/R250,0)</f>
        <v>-0.0907127429805416</v>
      </c>
      <c r="Z250" s="29" t="str">
        <f aca="false">IF(X250&gt;0,"Win",IF(X250&lt;0,"Loss","Flat"))</f>
        <v>Loss</v>
      </c>
      <c r="AA250" s="29" t="n">
        <f aca="false">ROUND((C250-B250)*1440,1)</f>
        <v>22.9</v>
      </c>
      <c r="AB250" s="29" t="str">
        <f aca="false">IF(AA250&lt;1,"a) &lt;1 min",IF(AA250&lt;10,"b) 1-10 min",IF(AA250&lt;60,"c) 10-60 min",IF(AA250&lt;240,"d) 1-4 h","e) 4 h+"))))</f>
        <v>c) 10-60 min</v>
      </c>
      <c r="AC250" s="29" t="str">
        <f aca="false">IF(P250&lt;10,"a) &lt;10",IF(P250&lt;20,"b) 10-20",IF(P250&lt;40,"c) 20-40",IF(P250&lt;80,"d) 40-80","e) 80+"))))</f>
        <v>a) &lt;10</v>
      </c>
      <c r="AD250" s="31" t="n">
        <f aca="false">Summary!$C$5+SUM(X$2:X250)</f>
        <v>13028.8</v>
      </c>
      <c r="AE250" s="31" t="n">
        <f aca="false">MAX(AE249,AD250)</f>
        <v>13354</v>
      </c>
      <c r="AF250" s="31" t="n">
        <f aca="false">AE250-AD250</f>
        <v>325.200000000001</v>
      </c>
      <c r="AG250" s="30" t="n">
        <f aca="false">IFERROR(AF250/AE250,0)</f>
        <v>0.0243522540062903</v>
      </c>
    </row>
    <row r="251" customFormat="false" ht="15" hidden="false" customHeight="false" outlineLevel="0" collapsed="false">
      <c r="A251" s="29" t="n">
        <v>250</v>
      </c>
      <c r="B251" s="44" t="n">
        <v>45002.3430555556</v>
      </c>
      <c r="C251" s="44" t="n">
        <v>45002.3449652778</v>
      </c>
      <c r="D251" s="43" t="n">
        <f aca="false">INT(C251)</f>
        <v>45002</v>
      </c>
      <c r="E251" s="43" t="n">
        <f aca="false">D251-WEEKDAY(D251,3)</f>
        <v>44998</v>
      </c>
      <c r="F251" s="29" t="s">
        <v>155</v>
      </c>
      <c r="G251" s="29" t="n">
        <v>2023</v>
      </c>
      <c r="H251" s="29" t="s">
        <v>254</v>
      </c>
      <c r="I251" s="29" t="n">
        <v>8</v>
      </c>
      <c r="J251" s="29" t="s">
        <v>246</v>
      </c>
      <c r="K251" s="29" t="s">
        <v>247</v>
      </c>
      <c r="L251" s="29" t="n">
        <v>0.05</v>
      </c>
      <c r="M251" s="32" t="n">
        <v>12603.67</v>
      </c>
      <c r="N251" s="32" t="n">
        <v>12600.44</v>
      </c>
      <c r="O251" s="32" t="n">
        <v>12611.87</v>
      </c>
      <c r="P251" s="45" t="n">
        <f aca="false">ABS(M251-N251)</f>
        <v>3.22999999999956</v>
      </c>
      <c r="Q251" s="45" t="n">
        <f aca="false">IF(O251="","",ABS(O251-M251))</f>
        <v>8.20000000000073</v>
      </c>
      <c r="R251" s="31" t="n">
        <f aca="false">P251*L251*Summary!$C$6</f>
        <v>16.1499999999978</v>
      </c>
      <c r="S251" s="32" t="n">
        <v>12600.32</v>
      </c>
      <c r="T251" s="29" t="s">
        <v>249</v>
      </c>
      <c r="U251" s="45" t="n">
        <f aca="false">IF(J251="BUY",S251-M251,M251-S251)</f>
        <v>-3.35000000000036</v>
      </c>
      <c r="V251" s="46" t="n">
        <v>0</v>
      </c>
      <c r="W251" s="46" t="n">
        <v>0</v>
      </c>
      <c r="X251" s="46" t="n">
        <v>-16.75</v>
      </c>
      <c r="Y251" s="33" t="n">
        <f aca="false">IFERROR(X251/R251,0)</f>
        <v>-1.03715170278652</v>
      </c>
      <c r="Z251" s="29" t="str">
        <f aca="false">IF(X251&gt;0,"Win",IF(X251&lt;0,"Loss","Flat"))</f>
        <v>Loss</v>
      </c>
      <c r="AA251" s="29" t="n">
        <f aca="false">ROUND((C251-B251)*1440,1)</f>
        <v>2.8</v>
      </c>
      <c r="AB251" s="29" t="str">
        <f aca="false">IF(AA251&lt;1,"a) &lt;1 min",IF(AA251&lt;10,"b) 1-10 min",IF(AA251&lt;60,"c) 10-60 min",IF(AA251&lt;240,"d) 1-4 h","e) 4 h+"))))</f>
        <v>b) 1-10 min</v>
      </c>
      <c r="AC251" s="29" t="str">
        <f aca="false">IF(P251&lt;10,"a) &lt;10",IF(P251&lt;20,"b) 10-20",IF(P251&lt;40,"c) 20-40",IF(P251&lt;80,"d) 40-80","e) 80+"))))</f>
        <v>a) &lt;10</v>
      </c>
      <c r="AD251" s="31" t="n">
        <f aca="false">Summary!$C$5+SUM(X$2:X251)</f>
        <v>13012.05</v>
      </c>
      <c r="AE251" s="31" t="n">
        <f aca="false">MAX(AE250,AD251)</f>
        <v>13354</v>
      </c>
      <c r="AF251" s="31" t="n">
        <f aca="false">AE251-AD251</f>
        <v>341.950000000001</v>
      </c>
      <c r="AG251" s="30" t="n">
        <f aca="false">IFERROR(AF251/AE251,0)</f>
        <v>0.0256065598322601</v>
      </c>
    </row>
    <row r="252" customFormat="false" ht="15" hidden="false" customHeight="false" outlineLevel="0" collapsed="false">
      <c r="A252" s="29" t="n">
        <v>251</v>
      </c>
      <c r="B252" s="44" t="n">
        <v>45005.4041666667</v>
      </c>
      <c r="C252" s="44" t="n">
        <v>45005.4100462963</v>
      </c>
      <c r="D252" s="43" t="n">
        <f aca="false">INT(C252)</f>
        <v>45005</v>
      </c>
      <c r="E252" s="43" t="n">
        <f aca="false">D252-WEEKDAY(D252,3)</f>
        <v>45005</v>
      </c>
      <c r="F252" s="29" t="s">
        <v>155</v>
      </c>
      <c r="G252" s="29" t="n">
        <v>2023</v>
      </c>
      <c r="H252" s="29" t="s">
        <v>245</v>
      </c>
      <c r="I252" s="29" t="n">
        <v>9</v>
      </c>
      <c r="J252" s="29" t="s">
        <v>250</v>
      </c>
      <c r="K252" s="29" t="s">
        <v>251</v>
      </c>
      <c r="L252" s="29" t="n">
        <v>0.05</v>
      </c>
      <c r="M252" s="32" t="n">
        <v>12435.76</v>
      </c>
      <c r="N252" s="32" t="n">
        <v>12448.75</v>
      </c>
      <c r="O252" s="32" t="n">
        <v>12404.04</v>
      </c>
      <c r="P252" s="45" t="n">
        <f aca="false">ABS(M252-N252)</f>
        <v>12.9899999999998</v>
      </c>
      <c r="Q252" s="45" t="n">
        <f aca="false">IF(O252="","",ABS(O252-M252))</f>
        <v>31.7199999999993</v>
      </c>
      <c r="R252" s="31" t="n">
        <f aca="false">P252*L252*Summary!$C$6</f>
        <v>64.9499999999989</v>
      </c>
      <c r="S252" s="32" t="n">
        <v>12404.04</v>
      </c>
      <c r="T252" s="29" t="s">
        <v>227</v>
      </c>
      <c r="U252" s="45" t="n">
        <f aca="false">IF(J252="BUY",S252-M252,M252-S252)</f>
        <v>31.7199999999993</v>
      </c>
      <c r="V252" s="46" t="n">
        <v>0</v>
      </c>
      <c r="W252" s="46" t="n">
        <v>0</v>
      </c>
      <c r="X252" s="46" t="n">
        <v>158.6</v>
      </c>
      <c r="Y252" s="33" t="n">
        <f aca="false">IFERROR(X252/R252,0)</f>
        <v>2.44187836797541</v>
      </c>
      <c r="Z252" s="29" t="str">
        <f aca="false">IF(X252&gt;0,"Win",IF(X252&lt;0,"Loss","Flat"))</f>
        <v>Win</v>
      </c>
      <c r="AA252" s="29" t="n">
        <f aca="false">ROUND((C252-B252)*1440,1)</f>
        <v>8.5</v>
      </c>
      <c r="AB252" s="29" t="str">
        <f aca="false">IF(AA252&lt;1,"a) &lt;1 min",IF(AA252&lt;10,"b) 1-10 min",IF(AA252&lt;60,"c) 10-60 min",IF(AA252&lt;240,"d) 1-4 h","e) 4 h+"))))</f>
        <v>b) 1-10 min</v>
      </c>
      <c r="AC252" s="29" t="str">
        <f aca="false">IF(P252&lt;10,"a) &lt;10",IF(P252&lt;20,"b) 10-20",IF(P252&lt;40,"c) 20-40",IF(P252&lt;80,"d) 40-80","e) 80+"))))</f>
        <v>b) 10-20</v>
      </c>
      <c r="AD252" s="31" t="n">
        <f aca="false">Summary!$C$5+SUM(X$2:X252)</f>
        <v>13170.65</v>
      </c>
      <c r="AE252" s="31" t="n">
        <f aca="false">MAX(AE251,AD252)</f>
        <v>13354</v>
      </c>
      <c r="AF252" s="31" t="n">
        <f aca="false">AE252-AD252</f>
        <v>183.35</v>
      </c>
      <c r="AG252" s="30" t="n">
        <f aca="false">IFERROR(AF252/AE252,0)</f>
        <v>0.0137299685487495</v>
      </c>
    </row>
    <row r="253" customFormat="false" ht="15" hidden="false" customHeight="false" outlineLevel="0" collapsed="false">
      <c r="A253" s="29" t="n">
        <v>252</v>
      </c>
      <c r="B253" s="44" t="n">
        <v>45006.4458333333</v>
      </c>
      <c r="C253" s="44" t="n">
        <v>45006.4474537037</v>
      </c>
      <c r="D253" s="43" t="n">
        <f aca="false">INT(C253)</f>
        <v>45006</v>
      </c>
      <c r="E253" s="43" t="n">
        <f aca="false">D253-WEEKDAY(D253,3)</f>
        <v>45005</v>
      </c>
      <c r="F253" s="29" t="s">
        <v>155</v>
      </c>
      <c r="G253" s="29" t="n">
        <v>2023</v>
      </c>
      <c r="H253" s="29" t="s">
        <v>248</v>
      </c>
      <c r="I253" s="29" t="n">
        <v>10</v>
      </c>
      <c r="J253" s="29" t="s">
        <v>246</v>
      </c>
      <c r="K253" s="29" t="s">
        <v>247</v>
      </c>
      <c r="L253" s="29" t="n">
        <v>0.05</v>
      </c>
      <c r="M253" s="32" t="n">
        <v>12610.74</v>
      </c>
      <c r="N253" s="32" t="n">
        <v>12605.68</v>
      </c>
      <c r="O253" s="32" t="n">
        <v>12622.9</v>
      </c>
      <c r="P253" s="45" t="n">
        <f aca="false">ABS(M253-N253)</f>
        <v>5.05999999999949</v>
      </c>
      <c r="Q253" s="45" t="n">
        <f aca="false">IF(O253="","",ABS(O253-M253))</f>
        <v>12.1599999999999</v>
      </c>
      <c r="R253" s="31" t="n">
        <f aca="false">P253*L253*Summary!$C$6</f>
        <v>25.2999999999975</v>
      </c>
      <c r="S253" s="32" t="n">
        <v>12605.46</v>
      </c>
      <c r="T253" s="29" t="s">
        <v>249</v>
      </c>
      <c r="U253" s="45" t="n">
        <f aca="false">IF(J253="BUY",S253-M253,M253-S253)</f>
        <v>-5.28000000000066</v>
      </c>
      <c r="V253" s="46" t="n">
        <v>0</v>
      </c>
      <c r="W253" s="46" t="n">
        <v>0</v>
      </c>
      <c r="X253" s="46" t="n">
        <v>-26.4</v>
      </c>
      <c r="Y253" s="33" t="n">
        <f aca="false">IFERROR(X253/R253,0)</f>
        <v>-1.04347826086967</v>
      </c>
      <c r="Z253" s="29" t="str">
        <f aca="false">IF(X253&gt;0,"Win",IF(X253&lt;0,"Loss","Flat"))</f>
        <v>Loss</v>
      </c>
      <c r="AA253" s="29" t="n">
        <f aca="false">ROUND((C253-B253)*1440,1)</f>
        <v>2.3</v>
      </c>
      <c r="AB253" s="29" t="str">
        <f aca="false">IF(AA253&lt;1,"a) &lt;1 min",IF(AA253&lt;10,"b) 1-10 min",IF(AA253&lt;60,"c) 10-60 min",IF(AA253&lt;240,"d) 1-4 h","e) 4 h+"))))</f>
        <v>b) 1-10 min</v>
      </c>
      <c r="AC253" s="29" t="str">
        <f aca="false">IF(P253&lt;10,"a) &lt;10",IF(P253&lt;20,"b) 10-20",IF(P253&lt;40,"c) 20-40",IF(P253&lt;80,"d) 40-80","e) 80+"))))</f>
        <v>a) &lt;10</v>
      </c>
      <c r="AD253" s="31" t="n">
        <f aca="false">Summary!$C$5+SUM(X$2:X253)</f>
        <v>13144.25</v>
      </c>
      <c r="AE253" s="31" t="n">
        <f aca="false">MAX(AE252,AD253)</f>
        <v>13354</v>
      </c>
      <c r="AF253" s="31" t="n">
        <f aca="false">AE253-AD253</f>
        <v>209.75</v>
      </c>
      <c r="AG253" s="30" t="n">
        <f aca="false">IFERROR(AF253/AE253,0)</f>
        <v>0.0157069042983376</v>
      </c>
    </row>
    <row r="254" customFormat="false" ht="15" hidden="false" customHeight="false" outlineLevel="0" collapsed="false">
      <c r="A254" s="29" t="n">
        <v>253</v>
      </c>
      <c r="B254" s="44" t="n">
        <v>45007.7243055556</v>
      </c>
      <c r="C254" s="44" t="n">
        <v>45007.7282407407</v>
      </c>
      <c r="D254" s="43" t="n">
        <f aca="false">INT(C254)</f>
        <v>45007</v>
      </c>
      <c r="E254" s="43" t="n">
        <f aca="false">D254-WEEKDAY(D254,3)</f>
        <v>45005</v>
      </c>
      <c r="F254" s="29" t="s">
        <v>155</v>
      </c>
      <c r="G254" s="29" t="n">
        <v>2023</v>
      </c>
      <c r="H254" s="29" t="s">
        <v>252</v>
      </c>
      <c r="I254" s="29" t="n">
        <v>17</v>
      </c>
      <c r="J254" s="29" t="s">
        <v>246</v>
      </c>
      <c r="K254" s="29" t="s">
        <v>247</v>
      </c>
      <c r="L254" s="29" t="n">
        <v>0.05</v>
      </c>
      <c r="M254" s="32" t="n">
        <v>12768.06</v>
      </c>
      <c r="N254" s="32" t="n">
        <v>12759.08</v>
      </c>
      <c r="O254" s="32" t="n">
        <v>12790.07</v>
      </c>
      <c r="P254" s="45" t="n">
        <f aca="false">ABS(M254-N254)</f>
        <v>8.97999999999956</v>
      </c>
      <c r="Q254" s="45" t="n">
        <f aca="false">IF(O254="","",ABS(O254-M254))</f>
        <v>22.0100000000002</v>
      </c>
      <c r="R254" s="31" t="n">
        <f aca="false">P254*L254*Summary!$C$6</f>
        <v>44.8999999999978</v>
      </c>
      <c r="S254" s="32" t="n">
        <v>12790.07</v>
      </c>
      <c r="T254" s="29" t="s">
        <v>227</v>
      </c>
      <c r="U254" s="45" t="n">
        <f aca="false">IF(J254="BUY",S254-M254,M254-S254)</f>
        <v>22.0100000000002</v>
      </c>
      <c r="V254" s="46" t="n">
        <v>0</v>
      </c>
      <c r="W254" s="46" t="n">
        <v>0</v>
      </c>
      <c r="X254" s="46" t="n">
        <v>110.05</v>
      </c>
      <c r="Y254" s="33" t="n">
        <f aca="false">IFERROR(X254/R254,0)</f>
        <v>2.45100222717161</v>
      </c>
      <c r="Z254" s="29" t="str">
        <f aca="false">IF(X254&gt;0,"Win",IF(X254&lt;0,"Loss","Flat"))</f>
        <v>Win</v>
      </c>
      <c r="AA254" s="29" t="n">
        <f aca="false">ROUND((C254-B254)*1440,1)</f>
        <v>5.7</v>
      </c>
      <c r="AB254" s="29" t="str">
        <f aca="false">IF(AA254&lt;1,"a) &lt;1 min",IF(AA254&lt;10,"b) 1-10 min",IF(AA254&lt;60,"c) 10-60 min",IF(AA254&lt;240,"d) 1-4 h","e) 4 h+"))))</f>
        <v>b) 1-10 min</v>
      </c>
      <c r="AC254" s="29" t="str">
        <f aca="false">IF(P254&lt;10,"a) &lt;10",IF(P254&lt;20,"b) 10-20",IF(P254&lt;40,"c) 20-40",IF(P254&lt;80,"d) 40-80","e) 80+"))))</f>
        <v>a) &lt;10</v>
      </c>
      <c r="AD254" s="31" t="n">
        <f aca="false">Summary!$C$5+SUM(X$2:X254)</f>
        <v>13254.3</v>
      </c>
      <c r="AE254" s="31" t="n">
        <f aca="false">MAX(AE253,AD254)</f>
        <v>13354</v>
      </c>
      <c r="AF254" s="31" t="n">
        <f aca="false">AE254-AD254</f>
        <v>99.7000000000007</v>
      </c>
      <c r="AG254" s="30" t="n">
        <f aca="false">IFERROR(AF254/AE254,0)</f>
        <v>0.00746592781189162</v>
      </c>
    </row>
    <row r="255" customFormat="false" ht="15" hidden="false" customHeight="false" outlineLevel="0" collapsed="false">
      <c r="A255" s="29" t="n">
        <v>254</v>
      </c>
      <c r="B255" s="44" t="n">
        <v>45012.0423611111</v>
      </c>
      <c r="C255" s="44" t="n">
        <v>45012.0425462963</v>
      </c>
      <c r="D255" s="43" t="n">
        <f aca="false">INT(C255)</f>
        <v>45012</v>
      </c>
      <c r="E255" s="43" t="n">
        <f aca="false">D255-WEEKDAY(D255,3)</f>
        <v>45012</v>
      </c>
      <c r="F255" s="29" t="s">
        <v>155</v>
      </c>
      <c r="G255" s="29" t="n">
        <v>2023</v>
      </c>
      <c r="H255" s="29" t="s">
        <v>245</v>
      </c>
      <c r="I255" s="29" t="n">
        <v>1</v>
      </c>
      <c r="J255" s="29" t="s">
        <v>246</v>
      </c>
      <c r="K255" s="29" t="s">
        <v>247</v>
      </c>
      <c r="L255" s="29" t="n">
        <v>0.05</v>
      </c>
      <c r="M255" s="32" t="n">
        <v>12793.11</v>
      </c>
      <c r="N255" s="32" t="n">
        <v>12787.23</v>
      </c>
      <c r="O255" s="32" t="n">
        <v>12807.51</v>
      </c>
      <c r="P255" s="45" t="n">
        <f aca="false">ABS(M255-N255)</f>
        <v>5.88000000000102</v>
      </c>
      <c r="Q255" s="45" t="n">
        <f aca="false">IF(O255="","",ABS(O255-M255))</f>
        <v>14.3999999999996</v>
      </c>
      <c r="R255" s="31" t="n">
        <f aca="false">P255*L255*Summary!$C$6</f>
        <v>29.4000000000051</v>
      </c>
      <c r="S255" s="32" t="n">
        <v>12786.63</v>
      </c>
      <c r="T255" s="29" t="s">
        <v>249</v>
      </c>
      <c r="U255" s="45" t="n">
        <f aca="false">IF(J255="BUY",S255-M255,M255-S255)</f>
        <v>-6.48000000000138</v>
      </c>
      <c r="V255" s="46" t="n">
        <v>0</v>
      </c>
      <c r="W255" s="46" t="n">
        <v>0</v>
      </c>
      <c r="X255" s="46" t="n">
        <v>-32.4</v>
      </c>
      <c r="Y255" s="33" t="n">
        <f aca="false">IFERROR(X255/R255,0)</f>
        <v>-1.10204081632634</v>
      </c>
      <c r="Z255" s="29" t="str">
        <f aca="false">IF(X255&gt;0,"Win",IF(X255&lt;0,"Loss","Flat"))</f>
        <v>Loss</v>
      </c>
      <c r="AA255" s="29" t="n">
        <f aca="false">ROUND((C255-B255)*1440,1)</f>
        <v>0.3</v>
      </c>
      <c r="AB255" s="29" t="str">
        <f aca="false">IF(AA255&lt;1,"a) &lt;1 min",IF(AA255&lt;10,"b) 1-10 min",IF(AA255&lt;60,"c) 10-60 min",IF(AA255&lt;240,"d) 1-4 h","e) 4 h+"))))</f>
        <v>a) &lt;1 min</v>
      </c>
      <c r="AC255" s="29" t="str">
        <f aca="false">IF(P255&lt;10,"a) &lt;10",IF(P255&lt;20,"b) 10-20",IF(P255&lt;40,"c) 20-40",IF(P255&lt;80,"d) 40-80","e) 80+"))))</f>
        <v>a) &lt;10</v>
      </c>
      <c r="AD255" s="31" t="n">
        <f aca="false">Summary!$C$5+SUM(X$2:X255)</f>
        <v>13221.9</v>
      </c>
      <c r="AE255" s="31" t="n">
        <f aca="false">MAX(AE254,AD255)</f>
        <v>13354</v>
      </c>
      <c r="AF255" s="31" t="n">
        <f aca="false">AE255-AD255</f>
        <v>132.1</v>
      </c>
      <c r="AG255" s="30" t="n">
        <f aca="false">IFERROR(AF255/AE255,0)</f>
        <v>0.00989216714093158</v>
      </c>
    </row>
    <row r="256" customFormat="false" ht="15" hidden="false" customHeight="false" outlineLevel="0" collapsed="false">
      <c r="A256" s="29" t="n">
        <v>255</v>
      </c>
      <c r="B256" s="44" t="n">
        <v>45013.45625</v>
      </c>
      <c r="C256" s="44" t="n">
        <v>45013.464837963</v>
      </c>
      <c r="D256" s="43" t="n">
        <f aca="false">INT(C256)</f>
        <v>45013</v>
      </c>
      <c r="E256" s="43" t="n">
        <f aca="false">D256-WEEKDAY(D256,3)</f>
        <v>45012</v>
      </c>
      <c r="F256" s="29" t="s">
        <v>155</v>
      </c>
      <c r="G256" s="29" t="n">
        <v>2023</v>
      </c>
      <c r="H256" s="29" t="s">
        <v>248</v>
      </c>
      <c r="I256" s="29" t="n">
        <v>10</v>
      </c>
      <c r="J256" s="29" t="s">
        <v>250</v>
      </c>
      <c r="K256" s="29" t="s">
        <v>251</v>
      </c>
      <c r="L256" s="29" t="n">
        <v>0.05</v>
      </c>
      <c r="M256" s="32" t="n">
        <v>12641.53</v>
      </c>
      <c r="N256" s="32" t="n">
        <v>12648.31</v>
      </c>
      <c r="O256" s="32" t="n">
        <v>12625.15</v>
      </c>
      <c r="P256" s="45" t="n">
        <f aca="false">ABS(M256-N256)</f>
        <v>6.77999999999884</v>
      </c>
      <c r="Q256" s="45" t="n">
        <f aca="false">IF(O256="","",ABS(O256-M256))</f>
        <v>16.380000000001</v>
      </c>
      <c r="R256" s="31" t="n">
        <f aca="false">P256*L256*Summary!$C$6</f>
        <v>33.8999999999942</v>
      </c>
      <c r="S256" s="32" t="n">
        <v>12641.57</v>
      </c>
      <c r="T256" s="29" t="s">
        <v>255</v>
      </c>
      <c r="U256" s="45" t="n">
        <f aca="false">IF(J256="BUY",S256-M256,M256-S256)</f>
        <v>-0.0399999999990541</v>
      </c>
      <c r="V256" s="46" t="n">
        <v>0</v>
      </c>
      <c r="W256" s="46" t="n">
        <v>0</v>
      </c>
      <c r="X256" s="46" t="n">
        <v>-0.2</v>
      </c>
      <c r="Y256" s="33" t="n">
        <f aca="false">IFERROR(X256/R256,0)</f>
        <v>-0.00589970501475028</v>
      </c>
      <c r="Z256" s="29" t="str">
        <f aca="false">IF(X256&gt;0,"Win",IF(X256&lt;0,"Loss","Flat"))</f>
        <v>Loss</v>
      </c>
      <c r="AA256" s="29" t="n">
        <f aca="false">ROUND((C256-B256)*1440,1)</f>
        <v>12.4</v>
      </c>
      <c r="AB256" s="29" t="str">
        <f aca="false">IF(AA256&lt;1,"a) &lt;1 min",IF(AA256&lt;10,"b) 1-10 min",IF(AA256&lt;60,"c) 10-60 min",IF(AA256&lt;240,"d) 1-4 h","e) 4 h+"))))</f>
        <v>c) 10-60 min</v>
      </c>
      <c r="AC256" s="29" t="str">
        <f aca="false">IF(P256&lt;10,"a) &lt;10",IF(P256&lt;20,"b) 10-20",IF(P256&lt;40,"c) 20-40",IF(P256&lt;80,"d) 40-80","e) 80+"))))</f>
        <v>a) &lt;10</v>
      </c>
      <c r="AD256" s="31" t="n">
        <f aca="false">Summary!$C$5+SUM(X$2:X256)</f>
        <v>13221.7</v>
      </c>
      <c r="AE256" s="31" t="n">
        <f aca="false">MAX(AE255,AD256)</f>
        <v>13354</v>
      </c>
      <c r="AF256" s="31" t="n">
        <f aca="false">AE256-AD256</f>
        <v>132.299999999999</v>
      </c>
      <c r="AG256" s="30" t="n">
        <f aca="false">IFERROR(AF256/AE256,0)</f>
        <v>0.00990714392691323</v>
      </c>
    </row>
    <row r="257" customFormat="false" ht="15" hidden="false" customHeight="false" outlineLevel="0" collapsed="false">
      <c r="A257" s="29" t="n">
        <v>256</v>
      </c>
      <c r="B257" s="44" t="n">
        <v>45014.41875</v>
      </c>
      <c r="C257" s="44" t="n">
        <v>45014.4230555556</v>
      </c>
      <c r="D257" s="43" t="n">
        <f aca="false">INT(C257)</f>
        <v>45014</v>
      </c>
      <c r="E257" s="43" t="n">
        <f aca="false">D257-WEEKDAY(D257,3)</f>
        <v>45012</v>
      </c>
      <c r="F257" s="29" t="s">
        <v>155</v>
      </c>
      <c r="G257" s="29" t="n">
        <v>2023</v>
      </c>
      <c r="H257" s="29" t="s">
        <v>252</v>
      </c>
      <c r="I257" s="29" t="n">
        <v>10</v>
      </c>
      <c r="J257" s="29" t="s">
        <v>246</v>
      </c>
      <c r="K257" s="29" t="s">
        <v>247</v>
      </c>
      <c r="L257" s="29" t="n">
        <v>0.05</v>
      </c>
      <c r="M257" s="32" t="n">
        <v>12718</v>
      </c>
      <c r="N257" s="32" t="n">
        <v>12710.26</v>
      </c>
      <c r="O257" s="32" t="n">
        <v>12734.69</v>
      </c>
      <c r="P257" s="45" t="n">
        <f aca="false">ABS(M257-N257)</f>
        <v>7.73999999999978</v>
      </c>
      <c r="Q257" s="45" t="n">
        <f aca="false">IF(O257="","",ABS(O257-M257))</f>
        <v>16.6900000000005</v>
      </c>
      <c r="R257" s="31" t="n">
        <f aca="false">P257*L257*Summary!$C$6</f>
        <v>38.6999999999989</v>
      </c>
      <c r="S257" s="32" t="n">
        <v>12709.76</v>
      </c>
      <c r="T257" s="29" t="s">
        <v>249</v>
      </c>
      <c r="U257" s="45" t="n">
        <f aca="false">IF(J257="BUY",S257-M257,M257-S257)</f>
        <v>-8.23999999999978</v>
      </c>
      <c r="V257" s="46" t="n">
        <v>0</v>
      </c>
      <c r="W257" s="46" t="n">
        <v>0</v>
      </c>
      <c r="X257" s="46" t="n">
        <v>-41.2</v>
      </c>
      <c r="Y257" s="33" t="n">
        <f aca="false">IFERROR(X257/R257,0)</f>
        <v>-1.06459948320416</v>
      </c>
      <c r="Z257" s="29" t="str">
        <f aca="false">IF(X257&gt;0,"Win",IF(X257&lt;0,"Loss","Flat"))</f>
        <v>Loss</v>
      </c>
      <c r="AA257" s="29" t="n">
        <f aca="false">ROUND((C257-B257)*1440,1)</f>
        <v>6.2</v>
      </c>
      <c r="AB257" s="29" t="str">
        <f aca="false">IF(AA257&lt;1,"a) &lt;1 min",IF(AA257&lt;10,"b) 1-10 min",IF(AA257&lt;60,"c) 10-60 min",IF(AA257&lt;240,"d) 1-4 h","e) 4 h+"))))</f>
        <v>b) 1-10 min</v>
      </c>
      <c r="AC257" s="29" t="str">
        <f aca="false">IF(P257&lt;10,"a) &lt;10",IF(P257&lt;20,"b) 10-20",IF(P257&lt;40,"c) 20-40",IF(P257&lt;80,"d) 40-80","e) 80+"))))</f>
        <v>a) &lt;10</v>
      </c>
      <c r="AD257" s="31" t="n">
        <f aca="false">Summary!$C$5+SUM(X$2:X257)</f>
        <v>13180.5</v>
      </c>
      <c r="AE257" s="31" t="n">
        <f aca="false">MAX(AE256,AD257)</f>
        <v>13354</v>
      </c>
      <c r="AF257" s="31" t="n">
        <f aca="false">AE257-AD257</f>
        <v>173.5</v>
      </c>
      <c r="AG257" s="30" t="n">
        <f aca="false">IFERROR(AF257/AE257,0)</f>
        <v>0.0129923618391493</v>
      </c>
    </row>
    <row r="258" customFormat="false" ht="15" hidden="false" customHeight="false" outlineLevel="0" collapsed="false">
      <c r="A258" s="29" t="n">
        <v>257</v>
      </c>
      <c r="B258" s="44" t="n">
        <v>45015.4159722222</v>
      </c>
      <c r="C258" s="44" t="n">
        <v>45015.4166898148</v>
      </c>
      <c r="D258" s="43" t="n">
        <f aca="false">INT(C258)</f>
        <v>45015</v>
      </c>
      <c r="E258" s="43" t="n">
        <f aca="false">D258-WEEKDAY(D258,3)</f>
        <v>45012</v>
      </c>
      <c r="F258" s="29" t="s">
        <v>155</v>
      </c>
      <c r="G258" s="29" t="n">
        <v>2023</v>
      </c>
      <c r="H258" s="29" t="s">
        <v>253</v>
      </c>
      <c r="I258" s="29" t="n">
        <v>9</v>
      </c>
      <c r="J258" s="29" t="s">
        <v>246</v>
      </c>
      <c r="K258" s="29" t="s">
        <v>247</v>
      </c>
      <c r="L258" s="29" t="n">
        <v>0.05</v>
      </c>
      <c r="M258" s="32" t="n">
        <v>12869.71</v>
      </c>
      <c r="N258" s="32" t="n">
        <v>12866.84</v>
      </c>
      <c r="O258" s="32" t="n">
        <v>12877.08</v>
      </c>
      <c r="P258" s="45" t="n">
        <f aca="false">ABS(M258-N258)</f>
        <v>2.86999999999898</v>
      </c>
      <c r="Q258" s="45" t="n">
        <f aca="false">IF(O258="","",ABS(O258-M258))</f>
        <v>7.3700000000008</v>
      </c>
      <c r="R258" s="31" t="n">
        <f aca="false">P258*L258*Summary!$C$6</f>
        <v>14.3499999999949</v>
      </c>
      <c r="S258" s="32" t="n">
        <v>12869.21</v>
      </c>
      <c r="T258" s="29" t="s">
        <v>255</v>
      </c>
      <c r="U258" s="45" t="n">
        <f aca="false">IF(J258="BUY",S258-M258,M258-S258)</f>
        <v>-0.5</v>
      </c>
      <c r="V258" s="46" t="n">
        <v>0</v>
      </c>
      <c r="W258" s="46" t="n">
        <v>0</v>
      </c>
      <c r="X258" s="46" t="n">
        <v>-2.5</v>
      </c>
      <c r="Y258" s="33" t="n">
        <f aca="false">IFERROR(X258/R258,0)</f>
        <v>-0.174216027874626</v>
      </c>
      <c r="Z258" s="29" t="str">
        <f aca="false">IF(X258&gt;0,"Win",IF(X258&lt;0,"Loss","Flat"))</f>
        <v>Loss</v>
      </c>
      <c r="AA258" s="29" t="n">
        <f aca="false">ROUND((C258-B258)*1440,1)</f>
        <v>1</v>
      </c>
      <c r="AB258" s="29" t="str">
        <f aca="false">IF(AA258&lt;1,"a) &lt;1 min",IF(AA258&lt;10,"b) 1-10 min",IF(AA258&lt;60,"c) 10-60 min",IF(AA258&lt;240,"d) 1-4 h","e) 4 h+"))))</f>
        <v>b) 1-10 min</v>
      </c>
      <c r="AC258" s="29" t="str">
        <f aca="false">IF(P258&lt;10,"a) &lt;10",IF(P258&lt;20,"b) 10-20",IF(P258&lt;40,"c) 20-40",IF(P258&lt;80,"d) 40-80","e) 80+"))))</f>
        <v>a) &lt;10</v>
      </c>
      <c r="AD258" s="31" t="n">
        <f aca="false">Summary!$C$5+SUM(X$2:X258)</f>
        <v>13178</v>
      </c>
      <c r="AE258" s="31" t="n">
        <f aca="false">MAX(AE257,AD258)</f>
        <v>13354</v>
      </c>
      <c r="AF258" s="31" t="n">
        <f aca="false">AE258-AD258</f>
        <v>176</v>
      </c>
      <c r="AG258" s="30" t="n">
        <f aca="false">IFERROR(AF258/AE258,0)</f>
        <v>0.0131795716639209</v>
      </c>
    </row>
    <row r="259" customFormat="false" ht="15" hidden="false" customHeight="false" outlineLevel="0" collapsed="false">
      <c r="A259" s="29" t="n">
        <v>258</v>
      </c>
      <c r="B259" s="44" t="n">
        <v>45016.1319444445</v>
      </c>
      <c r="C259" s="44" t="n">
        <v>45016.1455671296</v>
      </c>
      <c r="D259" s="43" t="n">
        <f aca="false">INT(C259)</f>
        <v>45016</v>
      </c>
      <c r="E259" s="43" t="n">
        <f aca="false">D259-WEEKDAY(D259,3)</f>
        <v>45012</v>
      </c>
      <c r="F259" s="29" t="s">
        <v>155</v>
      </c>
      <c r="G259" s="29" t="n">
        <v>2023</v>
      </c>
      <c r="H259" s="29" t="s">
        <v>254</v>
      </c>
      <c r="I259" s="29" t="n">
        <v>3</v>
      </c>
      <c r="J259" s="29" t="s">
        <v>246</v>
      </c>
      <c r="K259" s="29" t="s">
        <v>247</v>
      </c>
      <c r="L259" s="29" t="n">
        <v>0.05</v>
      </c>
      <c r="M259" s="32" t="n">
        <v>12990.61</v>
      </c>
      <c r="N259" s="32" t="n">
        <v>12986.51</v>
      </c>
      <c r="O259" s="32" t="n">
        <v>13001</v>
      </c>
      <c r="P259" s="45" t="n">
        <f aca="false">ABS(M259-N259)</f>
        <v>4.10000000000036</v>
      </c>
      <c r="Q259" s="45" t="n">
        <f aca="false">IF(O259="","",ABS(O259-M259))</f>
        <v>10.3899999999994</v>
      </c>
      <c r="R259" s="31" t="n">
        <f aca="false">P259*L259*Summary!$C$6</f>
        <v>20.5000000000018</v>
      </c>
      <c r="S259" s="32" t="n">
        <v>13001.11</v>
      </c>
      <c r="T259" s="29" t="s">
        <v>227</v>
      </c>
      <c r="U259" s="45" t="n">
        <f aca="false">IF(J259="BUY",S259-M259,M259-S259)</f>
        <v>10.5</v>
      </c>
      <c r="V259" s="46" t="n">
        <v>0</v>
      </c>
      <c r="W259" s="46" t="n">
        <v>0</v>
      </c>
      <c r="X259" s="46" t="n">
        <v>52.5</v>
      </c>
      <c r="Y259" s="33" t="n">
        <f aca="false">IFERROR(X259/R259,0)</f>
        <v>2.56097560975587</v>
      </c>
      <c r="Z259" s="29" t="str">
        <f aca="false">IF(X259&gt;0,"Win",IF(X259&lt;0,"Loss","Flat"))</f>
        <v>Win</v>
      </c>
      <c r="AA259" s="29" t="n">
        <f aca="false">ROUND((C259-B259)*1440,1)</f>
        <v>19.6</v>
      </c>
      <c r="AB259" s="29" t="str">
        <f aca="false">IF(AA259&lt;1,"a) &lt;1 min",IF(AA259&lt;10,"b) 1-10 min",IF(AA259&lt;60,"c) 10-60 min",IF(AA259&lt;240,"d) 1-4 h","e) 4 h+"))))</f>
        <v>c) 10-60 min</v>
      </c>
      <c r="AC259" s="29" t="str">
        <f aca="false">IF(P259&lt;10,"a) &lt;10",IF(P259&lt;20,"b) 10-20",IF(P259&lt;40,"c) 20-40",IF(P259&lt;80,"d) 40-80","e) 80+"))))</f>
        <v>a) &lt;10</v>
      </c>
      <c r="AD259" s="31" t="n">
        <f aca="false">Summary!$C$5+SUM(X$2:X259)</f>
        <v>13230.5</v>
      </c>
      <c r="AE259" s="31" t="n">
        <f aca="false">MAX(AE258,AD259)</f>
        <v>13354</v>
      </c>
      <c r="AF259" s="31" t="n">
        <f aca="false">AE259-AD259</f>
        <v>123.5</v>
      </c>
      <c r="AG259" s="30" t="n">
        <f aca="false">IFERROR(AF259/AE259,0)</f>
        <v>0.00924816534371724</v>
      </c>
    </row>
    <row r="260" customFormat="false" ht="15" hidden="false" customHeight="false" outlineLevel="0" collapsed="false">
      <c r="A260" s="29" t="n">
        <v>259</v>
      </c>
      <c r="B260" s="44" t="n">
        <v>45020.5131944444</v>
      </c>
      <c r="C260" s="44" t="n">
        <v>45020.5143171296</v>
      </c>
      <c r="D260" s="43" t="n">
        <f aca="false">INT(C260)</f>
        <v>45020</v>
      </c>
      <c r="E260" s="43" t="n">
        <f aca="false">D260-WEEKDAY(D260,3)</f>
        <v>45019</v>
      </c>
      <c r="F260" s="29" t="s">
        <v>156</v>
      </c>
      <c r="G260" s="29" t="n">
        <v>2023</v>
      </c>
      <c r="H260" s="29" t="s">
        <v>248</v>
      </c>
      <c r="I260" s="29" t="n">
        <v>12</v>
      </c>
      <c r="J260" s="29" t="s">
        <v>246</v>
      </c>
      <c r="K260" s="29" t="s">
        <v>247</v>
      </c>
      <c r="L260" s="29" t="n">
        <v>0.05</v>
      </c>
      <c r="M260" s="32" t="n">
        <v>13160.42</v>
      </c>
      <c r="N260" s="32" t="n">
        <v>13156.96</v>
      </c>
      <c r="O260" s="32" t="n">
        <v>13168.91</v>
      </c>
      <c r="P260" s="45" t="n">
        <f aca="false">ABS(M260-N260)</f>
        <v>3.46000000000095</v>
      </c>
      <c r="Q260" s="45" t="n">
        <f aca="false">IF(O260="","",ABS(O260-M260))</f>
        <v>8.48999999999978</v>
      </c>
      <c r="R260" s="31" t="n">
        <f aca="false">P260*L260*Summary!$C$6</f>
        <v>17.3000000000047</v>
      </c>
      <c r="S260" s="32" t="n">
        <v>13169.05</v>
      </c>
      <c r="T260" s="29" t="s">
        <v>227</v>
      </c>
      <c r="U260" s="45" t="n">
        <f aca="false">IF(J260="BUY",S260-M260,M260-S260)</f>
        <v>8.6299999999992</v>
      </c>
      <c r="V260" s="46" t="n">
        <v>0</v>
      </c>
      <c r="W260" s="46" t="n">
        <v>0</v>
      </c>
      <c r="X260" s="46" t="n">
        <v>43.15</v>
      </c>
      <c r="Y260" s="33" t="n">
        <f aca="false">IFERROR(X260/R260,0)</f>
        <v>2.49421965317851</v>
      </c>
      <c r="Z260" s="29" t="str">
        <f aca="false">IF(X260&gt;0,"Win",IF(X260&lt;0,"Loss","Flat"))</f>
        <v>Win</v>
      </c>
      <c r="AA260" s="29" t="n">
        <f aca="false">ROUND((C260-B260)*1440,1)</f>
        <v>1.6</v>
      </c>
      <c r="AB260" s="29" t="str">
        <f aca="false">IF(AA260&lt;1,"a) &lt;1 min",IF(AA260&lt;10,"b) 1-10 min",IF(AA260&lt;60,"c) 10-60 min",IF(AA260&lt;240,"d) 1-4 h","e) 4 h+"))))</f>
        <v>b) 1-10 min</v>
      </c>
      <c r="AC260" s="29" t="str">
        <f aca="false">IF(P260&lt;10,"a) &lt;10",IF(P260&lt;20,"b) 10-20",IF(P260&lt;40,"c) 20-40",IF(P260&lt;80,"d) 40-80","e) 80+"))))</f>
        <v>a) &lt;10</v>
      </c>
      <c r="AD260" s="31" t="n">
        <f aca="false">Summary!$C$5+SUM(X$2:X260)</f>
        <v>13273.65</v>
      </c>
      <c r="AE260" s="31" t="n">
        <f aca="false">MAX(AE259,AD260)</f>
        <v>13354</v>
      </c>
      <c r="AF260" s="31" t="n">
        <f aca="false">AE260-AD260</f>
        <v>80.3500000000004</v>
      </c>
      <c r="AG260" s="30" t="n">
        <f aca="false">IFERROR(AF260/AE260,0)</f>
        <v>0.00601692376815938</v>
      </c>
    </row>
    <row r="261" customFormat="false" ht="15" hidden="false" customHeight="false" outlineLevel="0" collapsed="false">
      <c r="A261" s="29" t="n">
        <v>260</v>
      </c>
      <c r="B261" s="44" t="n">
        <v>45021.6909722222</v>
      </c>
      <c r="C261" s="44" t="n">
        <v>45021.6956828704</v>
      </c>
      <c r="D261" s="43" t="n">
        <f aca="false">INT(C261)</f>
        <v>45021</v>
      </c>
      <c r="E261" s="43" t="n">
        <f aca="false">D261-WEEKDAY(D261,3)</f>
        <v>45019</v>
      </c>
      <c r="F261" s="29" t="s">
        <v>156</v>
      </c>
      <c r="G261" s="29" t="n">
        <v>2023</v>
      </c>
      <c r="H261" s="29" t="s">
        <v>252</v>
      </c>
      <c r="I261" s="29" t="n">
        <v>16</v>
      </c>
      <c r="J261" s="29" t="s">
        <v>250</v>
      </c>
      <c r="K261" s="29" t="s">
        <v>251</v>
      </c>
      <c r="L261" s="29" t="n">
        <v>0.05</v>
      </c>
      <c r="M261" s="32" t="n">
        <v>13040.29</v>
      </c>
      <c r="N261" s="32" t="n">
        <v>13053.71</v>
      </c>
      <c r="O261" s="32" t="n">
        <v>13007.23</v>
      </c>
      <c r="P261" s="45" t="n">
        <f aca="false">ABS(M261-N261)</f>
        <v>13.4199999999983</v>
      </c>
      <c r="Q261" s="45" t="n">
        <f aca="false">IF(O261="","",ABS(O261-M261))</f>
        <v>33.0600000000013</v>
      </c>
      <c r="R261" s="31" t="n">
        <f aca="false">P261*L261*Summary!$C$6</f>
        <v>67.0999999999913</v>
      </c>
      <c r="S261" s="32" t="n">
        <v>13042.18</v>
      </c>
      <c r="T261" s="29" t="s">
        <v>255</v>
      </c>
      <c r="U261" s="45" t="n">
        <f aca="false">IF(J261="BUY",S261-M261,M261-S261)</f>
        <v>-1.88999999999942</v>
      </c>
      <c r="V261" s="46" t="n">
        <v>0</v>
      </c>
      <c r="W261" s="46" t="n">
        <v>0</v>
      </c>
      <c r="X261" s="46" t="n">
        <v>-9.45</v>
      </c>
      <c r="Y261" s="33" t="n">
        <f aca="false">IFERROR(X261/R261,0)</f>
        <v>-0.140834575260823</v>
      </c>
      <c r="Z261" s="29" t="str">
        <f aca="false">IF(X261&gt;0,"Win",IF(X261&lt;0,"Loss","Flat"))</f>
        <v>Loss</v>
      </c>
      <c r="AA261" s="29" t="n">
        <f aca="false">ROUND((C261-B261)*1440,1)</f>
        <v>6.8</v>
      </c>
      <c r="AB261" s="29" t="str">
        <f aca="false">IF(AA261&lt;1,"a) &lt;1 min",IF(AA261&lt;10,"b) 1-10 min",IF(AA261&lt;60,"c) 10-60 min",IF(AA261&lt;240,"d) 1-4 h","e) 4 h+"))))</f>
        <v>b) 1-10 min</v>
      </c>
      <c r="AC261" s="29" t="str">
        <f aca="false">IF(P261&lt;10,"a) &lt;10",IF(P261&lt;20,"b) 10-20",IF(P261&lt;40,"c) 20-40",IF(P261&lt;80,"d) 40-80","e) 80+"))))</f>
        <v>b) 10-20</v>
      </c>
      <c r="AD261" s="31" t="n">
        <f aca="false">Summary!$C$5+SUM(X$2:X261)</f>
        <v>13264.2</v>
      </c>
      <c r="AE261" s="31" t="n">
        <f aca="false">MAX(AE260,AD261)</f>
        <v>13354</v>
      </c>
      <c r="AF261" s="31" t="n">
        <f aca="false">AE261-AD261</f>
        <v>89.7999999999993</v>
      </c>
      <c r="AG261" s="30" t="n">
        <f aca="false">IFERROR(AF261/AE261,0)</f>
        <v>0.00672457690579596</v>
      </c>
    </row>
    <row r="262" customFormat="false" ht="15" hidden="false" customHeight="false" outlineLevel="0" collapsed="false">
      <c r="A262" s="29" t="n">
        <v>261</v>
      </c>
      <c r="B262" s="44" t="n">
        <v>45022.5409722222</v>
      </c>
      <c r="C262" s="44" t="n">
        <v>45022.5433217593</v>
      </c>
      <c r="D262" s="43" t="n">
        <f aca="false">INT(C262)</f>
        <v>45022</v>
      </c>
      <c r="E262" s="43" t="n">
        <f aca="false">D262-WEEKDAY(D262,3)</f>
        <v>45019</v>
      </c>
      <c r="F262" s="29" t="s">
        <v>156</v>
      </c>
      <c r="G262" s="29" t="n">
        <v>2023</v>
      </c>
      <c r="H262" s="29" t="s">
        <v>253</v>
      </c>
      <c r="I262" s="29" t="n">
        <v>12</v>
      </c>
      <c r="J262" s="29" t="s">
        <v>250</v>
      </c>
      <c r="K262" s="29" t="s">
        <v>251</v>
      </c>
      <c r="L262" s="29" t="n">
        <v>0.05</v>
      </c>
      <c r="M262" s="32" t="n">
        <v>12891.4</v>
      </c>
      <c r="N262" s="32" t="n">
        <v>12898.21</v>
      </c>
      <c r="O262" s="32" t="n">
        <v>12874.74</v>
      </c>
      <c r="P262" s="45" t="n">
        <f aca="false">ABS(M262-N262)</f>
        <v>6.80999999999949</v>
      </c>
      <c r="Q262" s="45" t="n">
        <f aca="false">IF(O262="","",ABS(O262-M262))</f>
        <v>16.6599999999999</v>
      </c>
      <c r="R262" s="31" t="n">
        <f aca="false">P262*L262*Summary!$C$6</f>
        <v>34.0499999999975</v>
      </c>
      <c r="S262" s="32" t="n">
        <v>12874.74</v>
      </c>
      <c r="T262" s="29" t="s">
        <v>227</v>
      </c>
      <c r="U262" s="45" t="n">
        <f aca="false">IF(J262="BUY",S262-M262,M262-S262)</f>
        <v>16.6599999999999</v>
      </c>
      <c r="V262" s="46" t="n">
        <v>0</v>
      </c>
      <c r="W262" s="46" t="n">
        <v>0</v>
      </c>
      <c r="X262" s="46" t="n">
        <v>83.3</v>
      </c>
      <c r="Y262" s="33" t="n">
        <f aca="false">IFERROR(X262/R262,0)</f>
        <v>2.44640234948623</v>
      </c>
      <c r="Z262" s="29" t="str">
        <f aca="false">IF(X262&gt;0,"Win",IF(X262&lt;0,"Loss","Flat"))</f>
        <v>Win</v>
      </c>
      <c r="AA262" s="29" t="n">
        <f aca="false">ROUND((C262-B262)*1440,1)</f>
        <v>3.4</v>
      </c>
      <c r="AB262" s="29" t="str">
        <f aca="false">IF(AA262&lt;1,"a) &lt;1 min",IF(AA262&lt;10,"b) 1-10 min",IF(AA262&lt;60,"c) 10-60 min",IF(AA262&lt;240,"d) 1-4 h","e) 4 h+"))))</f>
        <v>b) 1-10 min</v>
      </c>
      <c r="AC262" s="29" t="str">
        <f aca="false">IF(P262&lt;10,"a) &lt;10",IF(P262&lt;20,"b) 10-20",IF(P262&lt;40,"c) 20-40",IF(P262&lt;80,"d) 40-80","e) 80+"))))</f>
        <v>a) &lt;10</v>
      </c>
      <c r="AD262" s="31" t="n">
        <f aca="false">Summary!$C$5+SUM(X$2:X262)</f>
        <v>13347.5</v>
      </c>
      <c r="AE262" s="31" t="n">
        <f aca="false">MAX(AE261,AD262)</f>
        <v>13354</v>
      </c>
      <c r="AF262" s="31" t="n">
        <f aca="false">AE262-AD262</f>
        <v>6.5</v>
      </c>
      <c r="AG262" s="30" t="n">
        <f aca="false">IFERROR(AF262/AE262,0)</f>
        <v>0.00048674554440617</v>
      </c>
    </row>
    <row r="263" customFormat="false" ht="15" hidden="false" customHeight="false" outlineLevel="0" collapsed="false">
      <c r="A263" s="29" t="n">
        <v>262</v>
      </c>
      <c r="B263" s="44" t="n">
        <v>45026.0527777778</v>
      </c>
      <c r="C263" s="44" t="n">
        <v>45026.0529513889</v>
      </c>
      <c r="D263" s="43" t="n">
        <f aca="false">INT(C263)</f>
        <v>45026</v>
      </c>
      <c r="E263" s="43" t="n">
        <f aca="false">D263-WEEKDAY(D263,3)</f>
        <v>45026</v>
      </c>
      <c r="F263" s="29" t="s">
        <v>156</v>
      </c>
      <c r="G263" s="29" t="n">
        <v>2023</v>
      </c>
      <c r="H263" s="29" t="s">
        <v>245</v>
      </c>
      <c r="I263" s="29" t="n">
        <v>1</v>
      </c>
      <c r="J263" s="29" t="s">
        <v>246</v>
      </c>
      <c r="K263" s="29" t="s">
        <v>247</v>
      </c>
      <c r="L263" s="29" t="n">
        <v>0.05</v>
      </c>
      <c r="M263" s="32" t="n">
        <v>13086.8</v>
      </c>
      <c r="N263" s="32" t="n">
        <v>13080.34</v>
      </c>
      <c r="O263" s="32" t="n">
        <v>13102.64</v>
      </c>
      <c r="P263" s="45" t="n">
        <f aca="false">ABS(M263-N263)</f>
        <v>6.45999999999913</v>
      </c>
      <c r="Q263" s="45" t="n">
        <f aca="false">IF(O263="","",ABS(O263-M263))</f>
        <v>15.8400000000001</v>
      </c>
      <c r="R263" s="31" t="n">
        <f aca="false">P263*L263*Summary!$C$6</f>
        <v>32.2999999999956</v>
      </c>
      <c r="S263" s="32" t="n">
        <v>13079.91</v>
      </c>
      <c r="T263" s="29" t="s">
        <v>249</v>
      </c>
      <c r="U263" s="45" t="n">
        <f aca="false">IF(J263="BUY",S263-M263,M263-S263)</f>
        <v>-6.88999999999942</v>
      </c>
      <c r="V263" s="46" t="n">
        <v>0</v>
      </c>
      <c r="W263" s="46" t="n">
        <v>0</v>
      </c>
      <c r="X263" s="46" t="n">
        <v>-34.45</v>
      </c>
      <c r="Y263" s="33" t="n">
        <f aca="false">IFERROR(X263/R263,0)</f>
        <v>-1.0665634674924</v>
      </c>
      <c r="Z263" s="29" t="str">
        <f aca="false">IF(X263&gt;0,"Win",IF(X263&lt;0,"Loss","Flat"))</f>
        <v>Loss</v>
      </c>
      <c r="AA263" s="29" t="n">
        <f aca="false">ROUND((C263-B263)*1440,1)</f>
        <v>0.3</v>
      </c>
      <c r="AB263" s="29" t="str">
        <f aca="false">IF(AA263&lt;1,"a) &lt;1 min",IF(AA263&lt;10,"b) 1-10 min",IF(AA263&lt;60,"c) 10-60 min",IF(AA263&lt;240,"d) 1-4 h","e) 4 h+"))))</f>
        <v>a) &lt;1 min</v>
      </c>
      <c r="AC263" s="29" t="str">
        <f aca="false">IF(P263&lt;10,"a) &lt;10",IF(P263&lt;20,"b) 10-20",IF(P263&lt;40,"c) 20-40",IF(P263&lt;80,"d) 40-80","e) 80+"))))</f>
        <v>a) &lt;10</v>
      </c>
      <c r="AD263" s="31" t="n">
        <f aca="false">Summary!$C$5+SUM(X$2:X263)</f>
        <v>13313.05</v>
      </c>
      <c r="AE263" s="31" t="n">
        <f aca="false">MAX(AE262,AD263)</f>
        <v>13354</v>
      </c>
      <c r="AF263" s="31" t="n">
        <f aca="false">AE263-AD263</f>
        <v>40.9500000000007</v>
      </c>
      <c r="AG263" s="30" t="n">
        <f aca="false">IFERROR(AF263/AE263,0)</f>
        <v>0.00306649692975893</v>
      </c>
    </row>
    <row r="264" customFormat="false" ht="15" hidden="false" customHeight="false" outlineLevel="0" collapsed="false">
      <c r="A264" s="29" t="n">
        <v>263</v>
      </c>
      <c r="B264" s="44" t="n">
        <v>45026.3708333333</v>
      </c>
      <c r="C264" s="44" t="n">
        <v>45026.3738310185</v>
      </c>
      <c r="D264" s="43" t="n">
        <f aca="false">INT(C264)</f>
        <v>45026</v>
      </c>
      <c r="E264" s="43" t="n">
        <f aca="false">D264-WEEKDAY(D264,3)</f>
        <v>45026</v>
      </c>
      <c r="F264" s="29" t="s">
        <v>156</v>
      </c>
      <c r="G264" s="29" t="n">
        <v>2023</v>
      </c>
      <c r="H264" s="29" t="s">
        <v>245</v>
      </c>
      <c r="I264" s="29" t="n">
        <v>8</v>
      </c>
      <c r="J264" s="29" t="s">
        <v>250</v>
      </c>
      <c r="K264" s="29" t="s">
        <v>251</v>
      </c>
      <c r="L264" s="29" t="n">
        <v>0.05</v>
      </c>
      <c r="M264" s="32" t="n">
        <v>13011.15</v>
      </c>
      <c r="N264" s="32" t="n">
        <v>13013.46</v>
      </c>
      <c r="O264" s="32" t="n">
        <v>13005.42</v>
      </c>
      <c r="P264" s="45" t="n">
        <f aca="false">ABS(M264-N264)</f>
        <v>2.30999999999949</v>
      </c>
      <c r="Q264" s="45" t="n">
        <f aca="false">IF(O264="","",ABS(O264-M264))</f>
        <v>5.72999999999956</v>
      </c>
      <c r="R264" s="31" t="n">
        <f aca="false">P264*L264*Summary!$C$6</f>
        <v>11.5499999999975</v>
      </c>
      <c r="S264" s="32" t="n">
        <v>13013.57</v>
      </c>
      <c r="T264" s="29" t="s">
        <v>249</v>
      </c>
      <c r="U264" s="45" t="n">
        <f aca="false">IF(J264="BUY",S264-M264,M264-S264)</f>
        <v>-2.42000000000007</v>
      </c>
      <c r="V264" s="46" t="n">
        <v>0</v>
      </c>
      <c r="W264" s="46" t="n">
        <v>0</v>
      </c>
      <c r="X264" s="46" t="n">
        <v>-12.1</v>
      </c>
      <c r="Y264" s="33" t="n">
        <f aca="false">IFERROR(X264/R264,0)</f>
        <v>-1.04761904761928</v>
      </c>
      <c r="Z264" s="29" t="str">
        <f aca="false">IF(X264&gt;0,"Win",IF(X264&lt;0,"Loss","Flat"))</f>
        <v>Loss</v>
      </c>
      <c r="AA264" s="29" t="n">
        <f aca="false">ROUND((C264-B264)*1440,1)</f>
        <v>4.3</v>
      </c>
      <c r="AB264" s="29" t="str">
        <f aca="false">IF(AA264&lt;1,"a) &lt;1 min",IF(AA264&lt;10,"b) 1-10 min",IF(AA264&lt;60,"c) 10-60 min",IF(AA264&lt;240,"d) 1-4 h","e) 4 h+"))))</f>
        <v>b) 1-10 min</v>
      </c>
      <c r="AC264" s="29" t="str">
        <f aca="false">IF(P264&lt;10,"a) &lt;10",IF(P264&lt;20,"b) 10-20",IF(P264&lt;40,"c) 20-40",IF(P264&lt;80,"d) 40-80","e) 80+"))))</f>
        <v>a) &lt;10</v>
      </c>
      <c r="AD264" s="31" t="n">
        <f aca="false">Summary!$C$5+SUM(X$2:X264)</f>
        <v>13300.95</v>
      </c>
      <c r="AE264" s="31" t="n">
        <f aca="false">MAX(AE263,AD264)</f>
        <v>13354</v>
      </c>
      <c r="AF264" s="31" t="n">
        <f aca="false">AE264-AD264</f>
        <v>53.0499999999993</v>
      </c>
      <c r="AG264" s="30" t="n">
        <f aca="false">IFERROR(AF264/AE264,0)</f>
        <v>0.00397259248165338</v>
      </c>
    </row>
    <row r="265" customFormat="false" ht="15" hidden="false" customHeight="false" outlineLevel="0" collapsed="false">
      <c r="A265" s="29" t="n">
        <v>264</v>
      </c>
      <c r="B265" s="44" t="n">
        <v>45027.5284722222</v>
      </c>
      <c r="C265" s="44" t="n">
        <v>45027.5311921296</v>
      </c>
      <c r="D265" s="43" t="n">
        <f aca="false">INT(C265)</f>
        <v>45027</v>
      </c>
      <c r="E265" s="43" t="n">
        <f aca="false">D265-WEEKDAY(D265,3)</f>
        <v>45026</v>
      </c>
      <c r="F265" s="29" t="s">
        <v>156</v>
      </c>
      <c r="G265" s="29" t="n">
        <v>2023</v>
      </c>
      <c r="H265" s="29" t="s">
        <v>248</v>
      </c>
      <c r="I265" s="29" t="n">
        <v>12</v>
      </c>
      <c r="J265" s="29" t="s">
        <v>246</v>
      </c>
      <c r="K265" s="29" t="s">
        <v>247</v>
      </c>
      <c r="L265" s="29" t="n">
        <v>0.05</v>
      </c>
      <c r="M265" s="32" t="n">
        <v>13088.56</v>
      </c>
      <c r="N265" s="32" t="n">
        <v>13085.45</v>
      </c>
      <c r="O265" s="32" t="n">
        <v>13096.17</v>
      </c>
      <c r="P265" s="45" t="n">
        <f aca="false">ABS(M265-N265)</f>
        <v>3.10999999999876</v>
      </c>
      <c r="Q265" s="45" t="n">
        <f aca="false">IF(O265="","",ABS(O265-M265))</f>
        <v>7.61000000000058</v>
      </c>
      <c r="R265" s="31" t="n">
        <f aca="false">P265*L265*Summary!$C$6</f>
        <v>15.5499999999938</v>
      </c>
      <c r="S265" s="32" t="n">
        <v>13085.31</v>
      </c>
      <c r="T265" s="29" t="s">
        <v>249</v>
      </c>
      <c r="U265" s="45" t="n">
        <f aca="false">IF(J265="BUY",S265-M265,M265-S265)</f>
        <v>-3.25</v>
      </c>
      <c r="V265" s="46" t="n">
        <v>0</v>
      </c>
      <c r="W265" s="46" t="n">
        <v>0</v>
      </c>
      <c r="X265" s="46" t="n">
        <v>-16.25</v>
      </c>
      <c r="Y265" s="33" t="n">
        <f aca="false">IFERROR(X265/R265,0)</f>
        <v>-1.04501607717083</v>
      </c>
      <c r="Z265" s="29" t="str">
        <f aca="false">IF(X265&gt;0,"Win",IF(X265&lt;0,"Loss","Flat"))</f>
        <v>Loss</v>
      </c>
      <c r="AA265" s="29" t="n">
        <f aca="false">ROUND((C265-B265)*1440,1)</f>
        <v>3.9</v>
      </c>
      <c r="AB265" s="29" t="str">
        <f aca="false">IF(AA265&lt;1,"a) &lt;1 min",IF(AA265&lt;10,"b) 1-10 min",IF(AA265&lt;60,"c) 10-60 min",IF(AA265&lt;240,"d) 1-4 h","e) 4 h+"))))</f>
        <v>b) 1-10 min</v>
      </c>
      <c r="AC265" s="29" t="str">
        <f aca="false">IF(P265&lt;10,"a) &lt;10",IF(P265&lt;20,"b) 10-20",IF(P265&lt;40,"c) 20-40",IF(P265&lt;80,"d) 40-80","e) 80+"))))</f>
        <v>a) &lt;10</v>
      </c>
      <c r="AD265" s="31" t="n">
        <f aca="false">Summary!$C$5+SUM(X$2:X265)</f>
        <v>13284.7</v>
      </c>
      <c r="AE265" s="31" t="n">
        <f aca="false">MAX(AE264,AD265)</f>
        <v>13354</v>
      </c>
      <c r="AF265" s="31" t="n">
        <f aca="false">AE265-AD265</f>
        <v>69.2999999999993</v>
      </c>
      <c r="AG265" s="30" t="n">
        <f aca="false">IFERROR(AF265/AE265,0)</f>
        <v>0.00518945634266881</v>
      </c>
    </row>
    <row r="266" customFormat="false" ht="15" hidden="false" customHeight="false" outlineLevel="0" collapsed="false">
      <c r="A266" s="29" t="n">
        <v>265</v>
      </c>
      <c r="B266" s="44" t="n">
        <v>45028.3944560185</v>
      </c>
      <c r="C266" s="44" t="n">
        <v>45028.4063194445</v>
      </c>
      <c r="D266" s="43" t="n">
        <f aca="false">INT(C266)</f>
        <v>45028</v>
      </c>
      <c r="E266" s="43" t="n">
        <f aca="false">D266-WEEKDAY(D266,3)</f>
        <v>45026</v>
      </c>
      <c r="F266" s="29" t="s">
        <v>156</v>
      </c>
      <c r="G266" s="29" t="n">
        <v>2023</v>
      </c>
      <c r="H266" s="29" t="s">
        <v>252</v>
      </c>
      <c r="I266" s="29" t="n">
        <v>9</v>
      </c>
      <c r="J266" s="29" t="s">
        <v>250</v>
      </c>
      <c r="K266" s="29" t="s">
        <v>251</v>
      </c>
      <c r="L266" s="29" t="n">
        <v>0.05</v>
      </c>
      <c r="M266" s="32" t="n">
        <v>12942.33</v>
      </c>
      <c r="N266" s="32" t="n">
        <v>12946.59</v>
      </c>
      <c r="O266" s="32" t="n">
        <v>12932.08</v>
      </c>
      <c r="P266" s="45" t="n">
        <f aca="false">ABS(M266-N266)</f>
        <v>4.26000000000022</v>
      </c>
      <c r="Q266" s="45" t="n">
        <f aca="false">IF(O266="","",ABS(O266-M266))</f>
        <v>10.25</v>
      </c>
      <c r="R266" s="31" t="n">
        <f aca="false">P266*L266*Summary!$C$6</f>
        <v>21.3000000000011</v>
      </c>
      <c r="S266" s="32" t="n">
        <v>12946.87</v>
      </c>
      <c r="T266" s="29" t="s">
        <v>249</v>
      </c>
      <c r="U266" s="45" t="n">
        <f aca="false">IF(J266="BUY",S266-M266,M266-S266)</f>
        <v>-4.54000000000087</v>
      </c>
      <c r="V266" s="46" t="n">
        <v>0</v>
      </c>
      <c r="W266" s="46" t="n">
        <v>0</v>
      </c>
      <c r="X266" s="46" t="n">
        <v>-22.7</v>
      </c>
      <c r="Y266" s="33" t="n">
        <f aca="false">IFERROR(X266/R266,0)</f>
        <v>-1.06572769953046</v>
      </c>
      <c r="Z266" s="29" t="str">
        <f aca="false">IF(X266&gt;0,"Win",IF(X266&lt;0,"Loss","Flat"))</f>
        <v>Loss</v>
      </c>
      <c r="AA266" s="29" t="n">
        <f aca="false">ROUND((C266-B266)*1440,1)</f>
        <v>17.1</v>
      </c>
      <c r="AB266" s="29" t="str">
        <f aca="false">IF(AA266&lt;1,"a) &lt;1 min",IF(AA266&lt;10,"b) 1-10 min",IF(AA266&lt;60,"c) 10-60 min",IF(AA266&lt;240,"d) 1-4 h","e) 4 h+"))))</f>
        <v>c) 10-60 min</v>
      </c>
      <c r="AC266" s="29" t="str">
        <f aca="false">IF(P266&lt;10,"a) &lt;10",IF(P266&lt;20,"b) 10-20",IF(P266&lt;40,"c) 20-40",IF(P266&lt;80,"d) 40-80","e) 80+"))))</f>
        <v>a) &lt;10</v>
      </c>
      <c r="AD266" s="31" t="n">
        <f aca="false">Summary!$C$5+SUM(X$2:X266)</f>
        <v>13262</v>
      </c>
      <c r="AE266" s="31" t="n">
        <f aca="false">MAX(AE265,AD266)</f>
        <v>13354</v>
      </c>
      <c r="AF266" s="31" t="n">
        <f aca="false">AE266-AD266</f>
        <v>92</v>
      </c>
      <c r="AG266" s="30" t="n">
        <f aca="false">IFERROR(AF266/AE266,0)</f>
        <v>0.00688932155159503</v>
      </c>
    </row>
    <row r="267" customFormat="false" ht="15" hidden="false" customHeight="false" outlineLevel="0" collapsed="false">
      <c r="A267" s="29" t="n">
        <v>266</v>
      </c>
      <c r="B267" s="44" t="n">
        <v>45028.6486111111</v>
      </c>
      <c r="C267" s="44" t="n">
        <v>45028.6670486111</v>
      </c>
      <c r="D267" s="43" t="n">
        <f aca="false">INT(C267)</f>
        <v>45028</v>
      </c>
      <c r="E267" s="43" t="n">
        <f aca="false">D267-WEEKDAY(D267,3)</f>
        <v>45026</v>
      </c>
      <c r="F267" s="29" t="s">
        <v>156</v>
      </c>
      <c r="G267" s="29" t="n">
        <v>2023</v>
      </c>
      <c r="H267" s="29" t="s">
        <v>252</v>
      </c>
      <c r="I267" s="29" t="n">
        <v>15</v>
      </c>
      <c r="J267" s="29" t="s">
        <v>246</v>
      </c>
      <c r="K267" s="29" t="s">
        <v>247</v>
      </c>
      <c r="L267" s="29" t="n">
        <v>0.05</v>
      </c>
      <c r="M267" s="32" t="n">
        <v>13106.9</v>
      </c>
      <c r="N267" s="32" t="n">
        <v>13062.24</v>
      </c>
      <c r="O267" s="32" t="n">
        <v>13216.18</v>
      </c>
      <c r="P267" s="45" t="n">
        <f aca="false">ABS(M267-N267)</f>
        <v>44.6599999999999</v>
      </c>
      <c r="Q267" s="45" t="n">
        <f aca="false">IF(O267="","",ABS(O267-M267))</f>
        <v>109.280000000001</v>
      </c>
      <c r="R267" s="31" t="n">
        <f aca="false">P267*L267*Summary!$C$6</f>
        <v>223.299999999999</v>
      </c>
      <c r="S267" s="32" t="n">
        <v>13062</v>
      </c>
      <c r="T267" s="29" t="s">
        <v>249</v>
      </c>
      <c r="U267" s="45" t="n">
        <f aca="false">IF(J267="BUY",S267-M267,M267-S267)</f>
        <v>-44.8999999999996</v>
      </c>
      <c r="V267" s="46" t="n">
        <v>0</v>
      </c>
      <c r="W267" s="46" t="n">
        <v>0</v>
      </c>
      <c r="X267" s="46" t="n">
        <v>-224.5</v>
      </c>
      <c r="Y267" s="33" t="n">
        <f aca="false">IFERROR(X267/R267,0)</f>
        <v>-1.00537393640842</v>
      </c>
      <c r="Z267" s="29" t="str">
        <f aca="false">IF(X267&gt;0,"Win",IF(X267&lt;0,"Loss","Flat"))</f>
        <v>Loss</v>
      </c>
      <c r="AA267" s="29" t="n">
        <f aca="false">ROUND((C267-B267)*1440,1)</f>
        <v>26.6</v>
      </c>
      <c r="AB267" s="29" t="str">
        <f aca="false">IF(AA267&lt;1,"a) &lt;1 min",IF(AA267&lt;10,"b) 1-10 min",IF(AA267&lt;60,"c) 10-60 min",IF(AA267&lt;240,"d) 1-4 h","e) 4 h+"))))</f>
        <v>c) 10-60 min</v>
      </c>
      <c r="AC267" s="29" t="str">
        <f aca="false">IF(P267&lt;10,"a) &lt;10",IF(P267&lt;20,"b) 10-20",IF(P267&lt;40,"c) 20-40",IF(P267&lt;80,"d) 40-80","e) 80+"))))</f>
        <v>d) 40-80</v>
      </c>
      <c r="AD267" s="31" t="n">
        <f aca="false">Summary!$C$5+SUM(X$2:X267)</f>
        <v>13037.5</v>
      </c>
      <c r="AE267" s="31" t="n">
        <f aca="false">MAX(AE266,AD267)</f>
        <v>13354</v>
      </c>
      <c r="AF267" s="31" t="n">
        <f aca="false">AE267-AD267</f>
        <v>316.5</v>
      </c>
      <c r="AG267" s="30" t="n">
        <f aca="false">IFERROR(AF267/AE267,0)</f>
        <v>0.0237007638160851</v>
      </c>
    </row>
    <row r="268" customFormat="false" ht="15" hidden="false" customHeight="false" outlineLevel="0" collapsed="false">
      <c r="A268" s="29" t="n">
        <v>267</v>
      </c>
      <c r="B268" s="44" t="n">
        <v>45029.0722337963</v>
      </c>
      <c r="C268" s="44" t="n">
        <v>45029.0828472222</v>
      </c>
      <c r="D268" s="43" t="n">
        <f aca="false">INT(C268)</f>
        <v>45029</v>
      </c>
      <c r="E268" s="43" t="n">
        <f aca="false">D268-WEEKDAY(D268,3)</f>
        <v>45026</v>
      </c>
      <c r="F268" s="29" t="s">
        <v>156</v>
      </c>
      <c r="G268" s="29" t="n">
        <v>2023</v>
      </c>
      <c r="H268" s="29" t="s">
        <v>253</v>
      </c>
      <c r="I268" s="29" t="n">
        <v>1</v>
      </c>
      <c r="J268" s="29" t="s">
        <v>250</v>
      </c>
      <c r="K268" s="29" t="s">
        <v>251</v>
      </c>
      <c r="L268" s="29" t="n">
        <v>0.05</v>
      </c>
      <c r="M268" s="32" t="n">
        <v>12826.8</v>
      </c>
      <c r="N268" s="32" t="n">
        <v>12829.77</v>
      </c>
      <c r="O268" s="32" t="n">
        <v>12819.52</v>
      </c>
      <c r="P268" s="45" t="n">
        <f aca="false">ABS(M268-N268)</f>
        <v>2.97000000000116</v>
      </c>
      <c r="Q268" s="45" t="n">
        <f aca="false">IF(O268="","",ABS(O268-M268))</f>
        <v>7.27999999999884</v>
      </c>
      <c r="R268" s="31" t="n">
        <f aca="false">P268*L268*Summary!$C$6</f>
        <v>14.8500000000058</v>
      </c>
      <c r="S268" s="32" t="n">
        <v>12828.07</v>
      </c>
      <c r="T268" s="29" t="s">
        <v>255</v>
      </c>
      <c r="U268" s="45" t="n">
        <f aca="false">IF(J268="BUY",S268-M268,M268-S268)</f>
        <v>-1.27000000000044</v>
      </c>
      <c r="V268" s="46" t="n">
        <v>0</v>
      </c>
      <c r="W268" s="46" t="n">
        <v>0</v>
      </c>
      <c r="X268" s="46" t="n">
        <v>-6.35</v>
      </c>
      <c r="Y268" s="33" t="n">
        <f aca="false">IFERROR(X268/R268,0)</f>
        <v>-0.42760942760926</v>
      </c>
      <c r="Z268" s="29" t="str">
        <f aca="false">IF(X268&gt;0,"Win",IF(X268&lt;0,"Loss","Flat"))</f>
        <v>Loss</v>
      </c>
      <c r="AA268" s="29" t="n">
        <f aca="false">ROUND((C268-B268)*1440,1)</f>
        <v>15.3</v>
      </c>
      <c r="AB268" s="29" t="str">
        <f aca="false">IF(AA268&lt;1,"a) &lt;1 min",IF(AA268&lt;10,"b) 1-10 min",IF(AA268&lt;60,"c) 10-60 min",IF(AA268&lt;240,"d) 1-4 h","e) 4 h+"))))</f>
        <v>c) 10-60 min</v>
      </c>
      <c r="AC268" s="29" t="str">
        <f aca="false">IF(P268&lt;10,"a) &lt;10",IF(P268&lt;20,"b) 10-20",IF(P268&lt;40,"c) 20-40",IF(P268&lt;80,"d) 40-80","e) 80+"))))</f>
        <v>a) &lt;10</v>
      </c>
      <c r="AD268" s="31" t="n">
        <f aca="false">Summary!$C$5+SUM(X$2:X268)</f>
        <v>13031.15</v>
      </c>
      <c r="AE268" s="31" t="n">
        <f aca="false">MAX(AE267,AD268)</f>
        <v>13354</v>
      </c>
      <c r="AF268" s="31" t="n">
        <f aca="false">AE268-AD268</f>
        <v>322.85</v>
      </c>
      <c r="AG268" s="30" t="n">
        <f aca="false">IFERROR(AF268/AE268,0)</f>
        <v>0.024176276771005</v>
      </c>
    </row>
    <row r="269" customFormat="false" ht="15" hidden="false" customHeight="false" outlineLevel="0" collapsed="false">
      <c r="A269" s="29" t="n">
        <v>268</v>
      </c>
      <c r="B269" s="44" t="n">
        <v>45030.7020833333</v>
      </c>
      <c r="C269" s="44" t="n">
        <v>45030.7082986111</v>
      </c>
      <c r="D269" s="43" t="n">
        <f aca="false">INT(C269)</f>
        <v>45030</v>
      </c>
      <c r="E269" s="43" t="n">
        <f aca="false">D269-WEEKDAY(D269,3)</f>
        <v>45026</v>
      </c>
      <c r="F269" s="29" t="s">
        <v>156</v>
      </c>
      <c r="G269" s="29" t="n">
        <v>2023</v>
      </c>
      <c r="H269" s="29" t="s">
        <v>254</v>
      </c>
      <c r="I269" s="29" t="n">
        <v>16</v>
      </c>
      <c r="J269" s="29" t="s">
        <v>246</v>
      </c>
      <c r="K269" s="29" t="s">
        <v>247</v>
      </c>
      <c r="L269" s="29" t="n">
        <v>0.04</v>
      </c>
      <c r="M269" s="32" t="n">
        <v>13133.29</v>
      </c>
      <c r="N269" s="32" t="n">
        <v>13124.27</v>
      </c>
      <c r="O269" s="32" t="n">
        <v>13154.73</v>
      </c>
      <c r="P269" s="45" t="n">
        <f aca="false">ABS(M269-N269)</f>
        <v>9.02000000000044</v>
      </c>
      <c r="Q269" s="45" t="n">
        <f aca="false">IF(O269="","",ABS(O269-M269))</f>
        <v>21.4399999999987</v>
      </c>
      <c r="R269" s="31" t="n">
        <f aca="false">P269*L269*Summary!$C$6</f>
        <v>36.0800000000017</v>
      </c>
      <c r="S269" s="32" t="n">
        <v>13133.25</v>
      </c>
      <c r="T269" s="29" t="s">
        <v>255</v>
      </c>
      <c r="U269" s="45" t="n">
        <f aca="false">IF(J269="BUY",S269-M269,M269-S269)</f>
        <v>-0.0400000000008731</v>
      </c>
      <c r="V269" s="46" t="n">
        <v>0</v>
      </c>
      <c r="W269" s="46" t="n">
        <v>0</v>
      </c>
      <c r="X269" s="46" t="n">
        <v>-0.16</v>
      </c>
      <c r="Y269" s="33" t="n">
        <f aca="false">IFERROR(X269/R269,0)</f>
        <v>-0.00443458980044325</v>
      </c>
      <c r="Z269" s="29" t="str">
        <f aca="false">IF(X269&gt;0,"Win",IF(X269&lt;0,"Loss","Flat"))</f>
        <v>Loss</v>
      </c>
      <c r="AA269" s="29" t="n">
        <f aca="false">ROUND((C269-B269)*1440,1)</f>
        <v>9</v>
      </c>
      <c r="AB269" s="29" t="str">
        <f aca="false">IF(AA269&lt;1,"a) &lt;1 min",IF(AA269&lt;10,"b) 1-10 min",IF(AA269&lt;60,"c) 10-60 min",IF(AA269&lt;240,"d) 1-4 h","e) 4 h+"))))</f>
        <v>b) 1-10 min</v>
      </c>
      <c r="AC269" s="29" t="str">
        <f aca="false">IF(P269&lt;10,"a) &lt;10",IF(P269&lt;20,"b) 10-20",IF(P269&lt;40,"c) 20-40",IF(P269&lt;80,"d) 40-80","e) 80+"))))</f>
        <v>a) &lt;10</v>
      </c>
      <c r="AD269" s="31" t="n">
        <f aca="false">Summary!$C$5+SUM(X$2:X269)</f>
        <v>13030.99</v>
      </c>
      <c r="AE269" s="31" t="n">
        <f aca="false">MAX(AE268,AD269)</f>
        <v>13354</v>
      </c>
      <c r="AF269" s="31" t="n">
        <f aca="false">AE269-AD269</f>
        <v>323.01</v>
      </c>
      <c r="AG269" s="30" t="n">
        <f aca="false">IFERROR(AF269/AE269,0)</f>
        <v>0.0241882581997903</v>
      </c>
    </row>
    <row r="270" customFormat="false" ht="15" hidden="false" customHeight="false" outlineLevel="0" collapsed="false">
      <c r="A270" s="29" t="n">
        <v>269</v>
      </c>
      <c r="B270" s="44" t="n">
        <v>45034.4631944444</v>
      </c>
      <c r="C270" s="44" t="n">
        <v>45034.464212963</v>
      </c>
      <c r="D270" s="43" t="n">
        <f aca="false">INT(C270)</f>
        <v>45034</v>
      </c>
      <c r="E270" s="43" t="n">
        <f aca="false">D270-WEEKDAY(D270,3)</f>
        <v>45033</v>
      </c>
      <c r="F270" s="29" t="s">
        <v>156</v>
      </c>
      <c r="G270" s="29" t="n">
        <v>2023</v>
      </c>
      <c r="H270" s="29" t="s">
        <v>248</v>
      </c>
      <c r="I270" s="29" t="n">
        <v>11</v>
      </c>
      <c r="J270" s="29" t="s">
        <v>246</v>
      </c>
      <c r="K270" s="29" t="s">
        <v>247</v>
      </c>
      <c r="L270" s="29" t="n">
        <v>0.04</v>
      </c>
      <c r="M270" s="32" t="n">
        <v>13122.88</v>
      </c>
      <c r="N270" s="32" t="n">
        <v>13115.92</v>
      </c>
      <c r="O270" s="32" t="n">
        <v>13139.77</v>
      </c>
      <c r="P270" s="45" t="n">
        <f aca="false">ABS(M270-N270)</f>
        <v>6.95999999999913</v>
      </c>
      <c r="Q270" s="45" t="n">
        <f aca="false">IF(O270="","",ABS(O270-M270))</f>
        <v>16.8900000000012</v>
      </c>
      <c r="R270" s="31" t="n">
        <f aca="false">P270*L270*Summary!$C$6</f>
        <v>27.8399999999965</v>
      </c>
      <c r="S270" s="32" t="n">
        <v>13115.92</v>
      </c>
      <c r="T270" s="29" t="s">
        <v>249</v>
      </c>
      <c r="U270" s="45" t="n">
        <f aca="false">IF(J270="BUY",S270-M270,M270-S270)</f>
        <v>-6.95999999999913</v>
      </c>
      <c r="V270" s="46" t="n">
        <v>0</v>
      </c>
      <c r="W270" s="46" t="n">
        <v>0</v>
      </c>
      <c r="X270" s="46" t="n">
        <v>-27.84</v>
      </c>
      <c r="Y270" s="33" t="n">
        <f aca="false">IFERROR(X270/R270,0)</f>
        <v>-1.00000000000013</v>
      </c>
      <c r="Z270" s="29" t="str">
        <f aca="false">IF(X270&gt;0,"Win",IF(X270&lt;0,"Loss","Flat"))</f>
        <v>Loss</v>
      </c>
      <c r="AA270" s="29" t="n">
        <f aca="false">ROUND((C270-B270)*1440,1)</f>
        <v>1.5</v>
      </c>
      <c r="AB270" s="29" t="str">
        <f aca="false">IF(AA270&lt;1,"a) &lt;1 min",IF(AA270&lt;10,"b) 1-10 min",IF(AA270&lt;60,"c) 10-60 min",IF(AA270&lt;240,"d) 1-4 h","e) 4 h+"))))</f>
        <v>b) 1-10 min</v>
      </c>
      <c r="AC270" s="29" t="str">
        <f aca="false">IF(P270&lt;10,"a) &lt;10",IF(P270&lt;20,"b) 10-20",IF(P270&lt;40,"c) 20-40",IF(P270&lt;80,"d) 40-80","e) 80+"))))</f>
        <v>a) &lt;10</v>
      </c>
      <c r="AD270" s="31" t="n">
        <f aca="false">Summary!$C$5+SUM(X$2:X270)</f>
        <v>13003.15</v>
      </c>
      <c r="AE270" s="31" t="n">
        <f aca="false">MAX(AE269,AD270)</f>
        <v>13354</v>
      </c>
      <c r="AF270" s="31" t="n">
        <f aca="false">AE270-AD270</f>
        <v>350.85</v>
      </c>
      <c r="AG270" s="30" t="n">
        <f aca="false">IFERROR(AF270/AE270,0)</f>
        <v>0.0262730268084469</v>
      </c>
    </row>
    <row r="271" customFormat="false" ht="15" hidden="false" customHeight="false" outlineLevel="0" collapsed="false">
      <c r="A271" s="29" t="n">
        <v>270</v>
      </c>
      <c r="B271" s="44" t="n">
        <v>45035.3840277778</v>
      </c>
      <c r="C271" s="44" t="n">
        <v>45035.3873032407</v>
      </c>
      <c r="D271" s="43" t="n">
        <f aca="false">INT(C271)</f>
        <v>45035</v>
      </c>
      <c r="E271" s="43" t="n">
        <f aca="false">D271-WEEKDAY(D271,3)</f>
        <v>45033</v>
      </c>
      <c r="F271" s="29" t="s">
        <v>156</v>
      </c>
      <c r="G271" s="29" t="n">
        <v>2023</v>
      </c>
      <c r="H271" s="29" t="s">
        <v>252</v>
      </c>
      <c r="I271" s="29" t="n">
        <v>9</v>
      </c>
      <c r="J271" s="29" t="s">
        <v>250</v>
      </c>
      <c r="K271" s="29" t="s">
        <v>251</v>
      </c>
      <c r="L271" s="29" t="n">
        <v>0.04</v>
      </c>
      <c r="M271" s="32" t="n">
        <v>13039.78</v>
      </c>
      <c r="N271" s="32" t="n">
        <v>13045.3</v>
      </c>
      <c r="O271" s="32" t="n">
        <v>13026.09</v>
      </c>
      <c r="P271" s="45" t="n">
        <f aca="false">ABS(M271-N271)</f>
        <v>5.51999999999862</v>
      </c>
      <c r="Q271" s="45" t="n">
        <f aca="false">IF(O271="","",ABS(O271-M271))</f>
        <v>13.6900000000005</v>
      </c>
      <c r="R271" s="31" t="n">
        <f aca="false">P271*L271*Summary!$C$6</f>
        <v>22.0799999999945</v>
      </c>
      <c r="S271" s="32" t="n">
        <v>13025.8</v>
      </c>
      <c r="T271" s="29" t="s">
        <v>227</v>
      </c>
      <c r="U271" s="45" t="n">
        <f aca="false">IF(J271="BUY",S271-M271,M271-S271)</f>
        <v>13.9800000000014</v>
      </c>
      <c r="V271" s="46" t="n">
        <v>0</v>
      </c>
      <c r="W271" s="46" t="n">
        <v>0</v>
      </c>
      <c r="X271" s="46" t="n">
        <v>55.92</v>
      </c>
      <c r="Y271" s="33" t="n">
        <f aca="false">IFERROR(X271/R271,0)</f>
        <v>2.53260869565281</v>
      </c>
      <c r="Z271" s="29" t="str">
        <f aca="false">IF(X271&gt;0,"Win",IF(X271&lt;0,"Loss","Flat"))</f>
        <v>Win</v>
      </c>
      <c r="AA271" s="29" t="n">
        <f aca="false">ROUND((C271-B271)*1440,1)</f>
        <v>4.7</v>
      </c>
      <c r="AB271" s="29" t="str">
        <f aca="false">IF(AA271&lt;1,"a) &lt;1 min",IF(AA271&lt;10,"b) 1-10 min",IF(AA271&lt;60,"c) 10-60 min",IF(AA271&lt;240,"d) 1-4 h","e) 4 h+"))))</f>
        <v>b) 1-10 min</v>
      </c>
      <c r="AC271" s="29" t="str">
        <f aca="false">IF(P271&lt;10,"a) &lt;10",IF(P271&lt;20,"b) 10-20",IF(P271&lt;40,"c) 20-40",IF(P271&lt;80,"d) 40-80","e) 80+"))))</f>
        <v>a) &lt;10</v>
      </c>
      <c r="AD271" s="31" t="n">
        <f aca="false">Summary!$C$5+SUM(X$2:X271)</f>
        <v>13059.07</v>
      </c>
      <c r="AE271" s="31" t="n">
        <f aca="false">MAX(AE270,AD271)</f>
        <v>13354</v>
      </c>
      <c r="AF271" s="31" t="n">
        <f aca="false">AE271-AD271</f>
        <v>294.93</v>
      </c>
      <c r="AG271" s="30" t="n">
        <f aca="false">IFERROR(AF271/AE271,0)</f>
        <v>0.0220855174479557</v>
      </c>
    </row>
    <row r="272" customFormat="false" ht="15" hidden="false" customHeight="false" outlineLevel="0" collapsed="false">
      <c r="A272" s="29" t="n">
        <v>271</v>
      </c>
      <c r="B272" s="44" t="n">
        <v>45036.4472222222</v>
      </c>
      <c r="C272" s="44" t="n">
        <v>45036.4491087963</v>
      </c>
      <c r="D272" s="43" t="n">
        <f aca="false">INT(C272)</f>
        <v>45036</v>
      </c>
      <c r="E272" s="43" t="n">
        <f aca="false">D272-WEEKDAY(D272,3)</f>
        <v>45033</v>
      </c>
      <c r="F272" s="29" t="s">
        <v>156</v>
      </c>
      <c r="G272" s="29" t="n">
        <v>2023</v>
      </c>
      <c r="H272" s="29" t="s">
        <v>253</v>
      </c>
      <c r="I272" s="29" t="n">
        <v>10</v>
      </c>
      <c r="J272" s="29" t="s">
        <v>250</v>
      </c>
      <c r="K272" s="29" t="s">
        <v>251</v>
      </c>
      <c r="L272" s="29" t="n">
        <v>0.05</v>
      </c>
      <c r="M272" s="32" t="n">
        <v>12964.08</v>
      </c>
      <c r="N272" s="32" t="n">
        <v>12970.81</v>
      </c>
      <c r="O272" s="32" t="n">
        <v>12947.42</v>
      </c>
      <c r="P272" s="45" t="n">
        <f aca="false">ABS(M272-N272)</f>
        <v>6.72999999999956</v>
      </c>
      <c r="Q272" s="45" t="n">
        <f aca="false">IF(O272="","",ABS(O272-M272))</f>
        <v>16.6599999999999</v>
      </c>
      <c r="R272" s="31" t="n">
        <f aca="false">P272*L272*Summary!$C$6</f>
        <v>33.6499999999978</v>
      </c>
      <c r="S272" s="32" t="n">
        <v>12970.9</v>
      </c>
      <c r="T272" s="29" t="s">
        <v>249</v>
      </c>
      <c r="U272" s="45" t="n">
        <f aca="false">IF(J272="BUY",S272-M272,M272-S272)</f>
        <v>-6.81999999999971</v>
      </c>
      <c r="V272" s="46" t="n">
        <v>0</v>
      </c>
      <c r="W272" s="46" t="n">
        <v>0</v>
      </c>
      <c r="X272" s="46" t="n">
        <v>-34.1</v>
      </c>
      <c r="Y272" s="33" t="n">
        <f aca="false">IFERROR(X272/R272,0)</f>
        <v>-1.01337295690943</v>
      </c>
      <c r="Z272" s="29" t="str">
        <f aca="false">IF(X272&gt;0,"Win",IF(X272&lt;0,"Loss","Flat"))</f>
        <v>Loss</v>
      </c>
      <c r="AA272" s="29" t="n">
        <f aca="false">ROUND((C272-B272)*1440,1)</f>
        <v>2.7</v>
      </c>
      <c r="AB272" s="29" t="str">
        <f aca="false">IF(AA272&lt;1,"a) &lt;1 min",IF(AA272&lt;10,"b) 1-10 min",IF(AA272&lt;60,"c) 10-60 min",IF(AA272&lt;240,"d) 1-4 h","e) 4 h+"))))</f>
        <v>b) 1-10 min</v>
      </c>
      <c r="AC272" s="29" t="str">
        <f aca="false">IF(P272&lt;10,"a) &lt;10",IF(P272&lt;20,"b) 10-20",IF(P272&lt;40,"c) 20-40",IF(P272&lt;80,"d) 40-80","e) 80+"))))</f>
        <v>a) &lt;10</v>
      </c>
      <c r="AD272" s="31" t="n">
        <f aca="false">Summary!$C$5+SUM(X$2:X272)</f>
        <v>13024.97</v>
      </c>
      <c r="AE272" s="31" t="n">
        <f aca="false">MAX(AE271,AD272)</f>
        <v>13354</v>
      </c>
      <c r="AF272" s="31" t="n">
        <f aca="false">AE272-AD272</f>
        <v>329.030000000001</v>
      </c>
      <c r="AG272" s="30" t="n">
        <f aca="false">IFERROR(AF272/AE272,0)</f>
        <v>0.0246390594578404</v>
      </c>
    </row>
    <row r="273" customFormat="false" ht="15" hidden="false" customHeight="false" outlineLevel="0" collapsed="false">
      <c r="A273" s="29" t="n">
        <v>272</v>
      </c>
      <c r="B273" s="44" t="n">
        <v>45037.5770833333</v>
      </c>
      <c r="C273" s="44" t="n">
        <v>45037.5777662037</v>
      </c>
      <c r="D273" s="43" t="n">
        <f aca="false">INT(C273)</f>
        <v>45037</v>
      </c>
      <c r="E273" s="43" t="n">
        <f aca="false">D273-WEEKDAY(D273,3)</f>
        <v>45033</v>
      </c>
      <c r="F273" s="29" t="s">
        <v>156</v>
      </c>
      <c r="G273" s="29" t="n">
        <v>2023</v>
      </c>
      <c r="H273" s="29" t="s">
        <v>254</v>
      </c>
      <c r="I273" s="29" t="n">
        <v>13</v>
      </c>
      <c r="J273" s="29" t="s">
        <v>250</v>
      </c>
      <c r="K273" s="29" t="s">
        <v>251</v>
      </c>
      <c r="L273" s="29" t="n">
        <v>0.05</v>
      </c>
      <c r="M273" s="32" t="n">
        <v>12922.61</v>
      </c>
      <c r="N273" s="32" t="n">
        <v>12927.74</v>
      </c>
      <c r="O273" s="32" t="n">
        <v>12910.56</v>
      </c>
      <c r="P273" s="45" t="n">
        <f aca="false">ABS(M273-N273)</f>
        <v>5.1299999999992</v>
      </c>
      <c r="Q273" s="45" t="n">
        <f aca="false">IF(O273="","",ABS(O273-M273))</f>
        <v>12.0500000000011</v>
      </c>
      <c r="R273" s="31" t="n">
        <f aca="false">P273*L273*Summary!$C$6</f>
        <v>25.649999999996</v>
      </c>
      <c r="S273" s="32" t="n">
        <v>12927.74</v>
      </c>
      <c r="T273" s="29" t="s">
        <v>249</v>
      </c>
      <c r="U273" s="45" t="n">
        <f aca="false">IF(J273="BUY",S273-M273,M273-S273)</f>
        <v>-5.1299999999992</v>
      </c>
      <c r="V273" s="46" t="n">
        <v>0</v>
      </c>
      <c r="W273" s="46" t="n">
        <v>0</v>
      </c>
      <c r="X273" s="46" t="n">
        <v>-25.65</v>
      </c>
      <c r="Y273" s="33" t="n">
        <f aca="false">IFERROR(X273/R273,0)</f>
        <v>-1.00000000000016</v>
      </c>
      <c r="Z273" s="29" t="str">
        <f aca="false">IF(X273&gt;0,"Win",IF(X273&lt;0,"Loss","Flat"))</f>
        <v>Loss</v>
      </c>
      <c r="AA273" s="29" t="n">
        <f aca="false">ROUND((C273-B273)*1440,1)</f>
        <v>1</v>
      </c>
      <c r="AB273" s="29" t="str">
        <f aca="false">IF(AA273&lt;1,"a) &lt;1 min",IF(AA273&lt;10,"b) 1-10 min",IF(AA273&lt;60,"c) 10-60 min",IF(AA273&lt;240,"d) 1-4 h","e) 4 h+"))))</f>
        <v>b) 1-10 min</v>
      </c>
      <c r="AC273" s="29" t="str">
        <f aca="false">IF(P273&lt;10,"a) &lt;10",IF(P273&lt;20,"b) 10-20",IF(P273&lt;40,"c) 20-40",IF(P273&lt;80,"d) 40-80","e) 80+"))))</f>
        <v>a) &lt;10</v>
      </c>
      <c r="AD273" s="31" t="n">
        <f aca="false">Summary!$C$5+SUM(X$2:X273)</f>
        <v>12999.32</v>
      </c>
      <c r="AE273" s="31" t="n">
        <f aca="false">MAX(AE272,AD273)</f>
        <v>13354</v>
      </c>
      <c r="AF273" s="31" t="n">
        <f aca="false">AE273-AD273</f>
        <v>354.68</v>
      </c>
      <c r="AG273" s="30" t="n">
        <f aca="false">IFERROR(AF273/AE273,0)</f>
        <v>0.026559832259997</v>
      </c>
    </row>
    <row r="274" customFormat="false" ht="15" hidden="false" customHeight="false" outlineLevel="0" collapsed="false">
      <c r="A274" s="29" t="n">
        <v>273</v>
      </c>
      <c r="B274" s="44" t="n">
        <v>45040.6951388889</v>
      </c>
      <c r="C274" s="44" t="n">
        <v>45040.7020833333</v>
      </c>
      <c r="D274" s="43" t="n">
        <f aca="false">INT(C274)</f>
        <v>45040</v>
      </c>
      <c r="E274" s="43" t="n">
        <f aca="false">D274-WEEKDAY(D274,3)</f>
        <v>45040</v>
      </c>
      <c r="F274" s="29" t="s">
        <v>156</v>
      </c>
      <c r="G274" s="29" t="n">
        <v>2023</v>
      </c>
      <c r="H274" s="29" t="s">
        <v>245</v>
      </c>
      <c r="I274" s="29" t="n">
        <v>16</v>
      </c>
      <c r="J274" s="29" t="s">
        <v>246</v>
      </c>
      <c r="K274" s="29" t="s">
        <v>247</v>
      </c>
      <c r="L274" s="29" t="n">
        <v>0.04</v>
      </c>
      <c r="M274" s="32" t="n">
        <v>13038.5</v>
      </c>
      <c r="N274" s="32" t="n">
        <v>13024.51</v>
      </c>
      <c r="O274" s="32" t="n">
        <v>13072.77</v>
      </c>
      <c r="P274" s="45" t="n">
        <f aca="false">ABS(M274-N274)</f>
        <v>13.9899999999998</v>
      </c>
      <c r="Q274" s="45" t="n">
        <f aca="false">IF(O274="","",ABS(O274-M274))</f>
        <v>34.2700000000004</v>
      </c>
      <c r="R274" s="31" t="n">
        <f aca="false">P274*L274*Summary!$C$6</f>
        <v>55.9599999999991</v>
      </c>
      <c r="S274" s="32" t="n">
        <v>13024.34</v>
      </c>
      <c r="T274" s="29" t="s">
        <v>249</v>
      </c>
      <c r="U274" s="45" t="n">
        <f aca="false">IF(J274="BUY",S274-M274,M274-S274)</f>
        <v>-14.1599999999999</v>
      </c>
      <c r="V274" s="46" t="n">
        <v>0</v>
      </c>
      <c r="W274" s="46" t="n">
        <v>0</v>
      </c>
      <c r="X274" s="46" t="n">
        <v>-56.64</v>
      </c>
      <c r="Y274" s="33" t="n">
        <f aca="false">IFERROR(X274/R274,0)</f>
        <v>-1.01215153681202</v>
      </c>
      <c r="Z274" s="29" t="str">
        <f aca="false">IF(X274&gt;0,"Win",IF(X274&lt;0,"Loss","Flat"))</f>
        <v>Loss</v>
      </c>
      <c r="AA274" s="29" t="n">
        <f aca="false">ROUND((C274-B274)*1440,1)</f>
        <v>10</v>
      </c>
      <c r="AB274" s="29" t="str">
        <f aca="false">IF(AA274&lt;1,"a) &lt;1 min",IF(AA274&lt;10,"b) 1-10 min",IF(AA274&lt;60,"c) 10-60 min",IF(AA274&lt;240,"d) 1-4 h","e) 4 h+"))))</f>
        <v>c) 10-60 min</v>
      </c>
      <c r="AC274" s="29" t="str">
        <f aca="false">IF(P274&lt;10,"a) &lt;10",IF(P274&lt;20,"b) 10-20",IF(P274&lt;40,"c) 20-40",IF(P274&lt;80,"d) 40-80","e) 80+"))))</f>
        <v>b) 10-20</v>
      </c>
      <c r="AD274" s="31" t="n">
        <f aca="false">Summary!$C$5+SUM(X$2:X274)</f>
        <v>12942.68</v>
      </c>
      <c r="AE274" s="31" t="n">
        <f aca="false">MAX(AE273,AD274)</f>
        <v>13354</v>
      </c>
      <c r="AF274" s="31" t="n">
        <f aca="false">AE274-AD274</f>
        <v>411.32</v>
      </c>
      <c r="AG274" s="30" t="n">
        <f aca="false">IFERROR(AF274/AE274,0)</f>
        <v>0.0308012580500224</v>
      </c>
    </row>
    <row r="275" customFormat="false" ht="15" hidden="false" customHeight="false" outlineLevel="0" collapsed="false">
      <c r="A275" s="29" t="n">
        <v>274</v>
      </c>
      <c r="B275" s="44" t="n">
        <v>45040.7854166667</v>
      </c>
      <c r="C275" s="44" t="n">
        <v>45040.7911921296</v>
      </c>
      <c r="D275" s="43" t="n">
        <f aca="false">INT(C275)</f>
        <v>45040</v>
      </c>
      <c r="E275" s="43" t="n">
        <f aca="false">D275-WEEKDAY(D275,3)</f>
        <v>45040</v>
      </c>
      <c r="F275" s="29" t="s">
        <v>156</v>
      </c>
      <c r="G275" s="29" t="n">
        <v>2023</v>
      </c>
      <c r="H275" s="29" t="s">
        <v>245</v>
      </c>
      <c r="I275" s="29" t="n">
        <v>18</v>
      </c>
      <c r="J275" s="29" t="s">
        <v>250</v>
      </c>
      <c r="K275" s="29" t="s">
        <v>251</v>
      </c>
      <c r="L275" s="29" t="n">
        <v>0.05</v>
      </c>
      <c r="M275" s="32" t="n">
        <v>12892.22</v>
      </c>
      <c r="N275" s="32" t="n">
        <v>12898.54</v>
      </c>
      <c r="O275" s="32" t="n">
        <v>12876.74</v>
      </c>
      <c r="P275" s="45" t="n">
        <f aca="false">ABS(M275-N275)</f>
        <v>6.32000000000153</v>
      </c>
      <c r="Q275" s="45" t="n">
        <f aca="false">IF(O275="","",ABS(O275-M275))</f>
        <v>15.4799999999996</v>
      </c>
      <c r="R275" s="31" t="n">
        <f aca="false">P275*L275*Summary!$C$6</f>
        <v>31.6000000000076</v>
      </c>
      <c r="S275" s="32" t="n">
        <v>12892.4</v>
      </c>
      <c r="T275" s="29" t="s">
        <v>255</v>
      </c>
      <c r="U275" s="45" t="n">
        <f aca="false">IF(J275="BUY",S275-M275,M275-S275)</f>
        <v>-0.180000000000291</v>
      </c>
      <c r="V275" s="46" t="n">
        <v>0</v>
      </c>
      <c r="W275" s="46" t="n">
        <v>0</v>
      </c>
      <c r="X275" s="46" t="n">
        <v>-0.9</v>
      </c>
      <c r="Y275" s="33" t="n">
        <f aca="false">IFERROR(X275/R275,0)</f>
        <v>-0.028481012658221</v>
      </c>
      <c r="Z275" s="29" t="str">
        <f aca="false">IF(X275&gt;0,"Win",IF(X275&lt;0,"Loss","Flat"))</f>
        <v>Loss</v>
      </c>
      <c r="AA275" s="29" t="n">
        <f aca="false">ROUND((C275-B275)*1440,1)</f>
        <v>8.3</v>
      </c>
      <c r="AB275" s="29" t="str">
        <f aca="false">IF(AA275&lt;1,"a) &lt;1 min",IF(AA275&lt;10,"b) 1-10 min",IF(AA275&lt;60,"c) 10-60 min",IF(AA275&lt;240,"d) 1-4 h","e) 4 h+"))))</f>
        <v>b) 1-10 min</v>
      </c>
      <c r="AC275" s="29" t="str">
        <f aca="false">IF(P275&lt;10,"a) &lt;10",IF(P275&lt;20,"b) 10-20",IF(P275&lt;40,"c) 20-40",IF(P275&lt;80,"d) 40-80","e) 80+"))))</f>
        <v>a) &lt;10</v>
      </c>
      <c r="AD275" s="31" t="n">
        <f aca="false">Summary!$C$5+SUM(X$2:X275)</f>
        <v>12941.78</v>
      </c>
      <c r="AE275" s="31" t="n">
        <f aca="false">MAX(AE274,AD275)</f>
        <v>13354</v>
      </c>
      <c r="AF275" s="31" t="n">
        <f aca="false">AE275-AD275</f>
        <v>412.220000000001</v>
      </c>
      <c r="AG275" s="30" t="n">
        <f aca="false">IFERROR(AF275/AE275,0)</f>
        <v>0.0308686535869403</v>
      </c>
    </row>
    <row r="276" customFormat="false" ht="15" hidden="false" customHeight="false" outlineLevel="0" collapsed="false">
      <c r="A276" s="29" t="n">
        <v>275</v>
      </c>
      <c r="B276" s="44" t="n">
        <v>45041.4736111111</v>
      </c>
      <c r="C276" s="44" t="n">
        <v>45041.4758333333</v>
      </c>
      <c r="D276" s="43" t="n">
        <f aca="false">INT(C276)</f>
        <v>45041</v>
      </c>
      <c r="E276" s="43" t="n">
        <f aca="false">D276-WEEKDAY(D276,3)</f>
        <v>45040</v>
      </c>
      <c r="F276" s="29" t="s">
        <v>156</v>
      </c>
      <c r="G276" s="29" t="n">
        <v>2023</v>
      </c>
      <c r="H276" s="29" t="s">
        <v>248</v>
      </c>
      <c r="I276" s="29" t="n">
        <v>11</v>
      </c>
      <c r="J276" s="29" t="s">
        <v>250</v>
      </c>
      <c r="K276" s="29" t="s">
        <v>251</v>
      </c>
      <c r="L276" s="29" t="n">
        <v>0.05</v>
      </c>
      <c r="M276" s="32" t="n">
        <v>12879.68</v>
      </c>
      <c r="N276" s="32" t="n">
        <v>12887.06</v>
      </c>
      <c r="O276" s="32" t="n">
        <v>12864.04</v>
      </c>
      <c r="P276" s="45" t="n">
        <f aca="false">ABS(M276-N276)</f>
        <v>7.3799999999992</v>
      </c>
      <c r="Q276" s="45" t="n">
        <f aca="false">IF(O276="","",ABS(O276-M276))</f>
        <v>15.6399999999994</v>
      </c>
      <c r="R276" s="31" t="n">
        <f aca="false">P276*L276*Summary!$C$6</f>
        <v>36.899999999996</v>
      </c>
      <c r="S276" s="32" t="n">
        <v>12887.22</v>
      </c>
      <c r="T276" s="29" t="s">
        <v>249</v>
      </c>
      <c r="U276" s="45" t="n">
        <f aca="false">IF(J276="BUY",S276-M276,M276-S276)</f>
        <v>-7.53999999999905</v>
      </c>
      <c r="V276" s="46" t="n">
        <v>0</v>
      </c>
      <c r="W276" s="46" t="n">
        <v>0</v>
      </c>
      <c r="X276" s="46" t="n">
        <v>-37.7</v>
      </c>
      <c r="Y276" s="33" t="n">
        <f aca="false">IFERROR(X276/R276,0)</f>
        <v>-1.02168021680228</v>
      </c>
      <c r="Z276" s="29" t="str">
        <f aca="false">IF(X276&gt;0,"Win",IF(X276&lt;0,"Loss","Flat"))</f>
        <v>Loss</v>
      </c>
      <c r="AA276" s="29" t="n">
        <f aca="false">ROUND((C276-B276)*1440,1)</f>
        <v>3.2</v>
      </c>
      <c r="AB276" s="29" t="str">
        <f aca="false">IF(AA276&lt;1,"a) &lt;1 min",IF(AA276&lt;10,"b) 1-10 min",IF(AA276&lt;60,"c) 10-60 min",IF(AA276&lt;240,"d) 1-4 h","e) 4 h+"))))</f>
        <v>b) 1-10 min</v>
      </c>
      <c r="AC276" s="29" t="str">
        <f aca="false">IF(P276&lt;10,"a) &lt;10",IF(P276&lt;20,"b) 10-20",IF(P276&lt;40,"c) 20-40",IF(P276&lt;80,"d) 40-80","e) 80+"))))</f>
        <v>a) &lt;10</v>
      </c>
      <c r="AD276" s="31" t="n">
        <f aca="false">Summary!$C$5+SUM(X$2:X276)</f>
        <v>12904.08</v>
      </c>
      <c r="AE276" s="31" t="n">
        <f aca="false">MAX(AE275,AD276)</f>
        <v>13354</v>
      </c>
      <c r="AF276" s="31" t="n">
        <f aca="false">AE276-AD276</f>
        <v>449.92</v>
      </c>
      <c r="AG276" s="30" t="n">
        <f aca="false">IFERROR(AF276/AE276,0)</f>
        <v>0.033691777744496</v>
      </c>
    </row>
    <row r="277" customFormat="false" ht="15" hidden="false" customHeight="false" outlineLevel="0" collapsed="false">
      <c r="A277" s="29" t="n">
        <v>276</v>
      </c>
      <c r="B277" s="44" t="n">
        <v>45043.6263888889</v>
      </c>
      <c r="C277" s="44" t="n">
        <v>45043.6271527778</v>
      </c>
      <c r="D277" s="43" t="n">
        <f aca="false">INT(C277)</f>
        <v>45043</v>
      </c>
      <c r="E277" s="43" t="n">
        <f aca="false">D277-WEEKDAY(D277,3)</f>
        <v>45040</v>
      </c>
      <c r="F277" s="29" t="s">
        <v>156</v>
      </c>
      <c r="G277" s="29" t="n">
        <v>2023</v>
      </c>
      <c r="H277" s="29" t="s">
        <v>253</v>
      </c>
      <c r="I277" s="29" t="n">
        <v>15</v>
      </c>
      <c r="J277" s="29" t="s">
        <v>246</v>
      </c>
      <c r="K277" s="29" t="s">
        <v>247</v>
      </c>
      <c r="L277" s="29" t="n">
        <v>0.04</v>
      </c>
      <c r="M277" s="32" t="n">
        <v>12938.55</v>
      </c>
      <c r="N277" s="32" t="n">
        <v>12932.94</v>
      </c>
      <c r="O277" s="32" t="n">
        <v>12952.54</v>
      </c>
      <c r="P277" s="45" t="n">
        <f aca="false">ABS(M277-N277)</f>
        <v>5.60999999999876</v>
      </c>
      <c r="Q277" s="45" t="n">
        <f aca="false">IF(O277="","",ABS(O277-M277))</f>
        <v>13.9900000000016</v>
      </c>
      <c r="R277" s="31" t="n">
        <f aca="false">P277*L277*Summary!$C$6</f>
        <v>22.4399999999951</v>
      </c>
      <c r="S277" s="32" t="n">
        <v>12952.61</v>
      </c>
      <c r="T277" s="29" t="s">
        <v>227</v>
      </c>
      <c r="U277" s="45" t="n">
        <f aca="false">IF(J277="BUY",S277-M277,M277-S277)</f>
        <v>14.0600000000013</v>
      </c>
      <c r="V277" s="46" t="n">
        <v>0</v>
      </c>
      <c r="W277" s="46" t="n">
        <v>0</v>
      </c>
      <c r="X277" s="46" t="n">
        <v>56.24</v>
      </c>
      <c r="Y277" s="33" t="n">
        <f aca="false">IFERROR(X277/R277,0)</f>
        <v>2.50623885918059</v>
      </c>
      <c r="Z277" s="29" t="str">
        <f aca="false">IF(X277&gt;0,"Win",IF(X277&lt;0,"Loss","Flat"))</f>
        <v>Win</v>
      </c>
      <c r="AA277" s="29" t="n">
        <f aca="false">ROUND((C277-B277)*1440,1)</f>
        <v>1.1</v>
      </c>
      <c r="AB277" s="29" t="str">
        <f aca="false">IF(AA277&lt;1,"a) &lt;1 min",IF(AA277&lt;10,"b) 1-10 min",IF(AA277&lt;60,"c) 10-60 min",IF(AA277&lt;240,"d) 1-4 h","e) 4 h+"))))</f>
        <v>b) 1-10 min</v>
      </c>
      <c r="AC277" s="29" t="str">
        <f aca="false">IF(P277&lt;10,"a) &lt;10",IF(P277&lt;20,"b) 10-20",IF(P277&lt;40,"c) 20-40",IF(P277&lt;80,"d) 40-80","e) 80+"))))</f>
        <v>a) &lt;10</v>
      </c>
      <c r="AD277" s="31" t="n">
        <f aca="false">Summary!$C$5+SUM(X$2:X277)</f>
        <v>12960.32</v>
      </c>
      <c r="AE277" s="31" t="n">
        <f aca="false">MAX(AE276,AD277)</f>
        <v>13354</v>
      </c>
      <c r="AF277" s="31" t="n">
        <f aca="false">AE277-AD277</f>
        <v>393.68</v>
      </c>
      <c r="AG277" s="30" t="n">
        <f aca="false">IFERROR(AF277/AE277,0)</f>
        <v>0.029480305526434</v>
      </c>
    </row>
    <row r="278" customFormat="false" ht="15" hidden="false" customHeight="false" outlineLevel="0" collapsed="false">
      <c r="A278" s="29" t="n">
        <v>277</v>
      </c>
      <c r="B278" s="44" t="n">
        <v>45044.9590277778</v>
      </c>
      <c r="C278" s="44" t="n">
        <v>45044.9642476852</v>
      </c>
      <c r="D278" s="43" t="n">
        <f aca="false">INT(C278)</f>
        <v>45044</v>
      </c>
      <c r="E278" s="43" t="n">
        <f aca="false">D278-WEEKDAY(D278,3)</f>
        <v>45040</v>
      </c>
      <c r="F278" s="29" t="s">
        <v>156</v>
      </c>
      <c r="G278" s="29" t="n">
        <v>2023</v>
      </c>
      <c r="H278" s="29" t="s">
        <v>254</v>
      </c>
      <c r="I278" s="29" t="n">
        <v>23</v>
      </c>
      <c r="J278" s="29" t="s">
        <v>246</v>
      </c>
      <c r="K278" s="29" t="s">
        <v>247</v>
      </c>
      <c r="L278" s="29" t="n">
        <v>0.04</v>
      </c>
      <c r="M278" s="32" t="n">
        <v>13256.2</v>
      </c>
      <c r="N278" s="32" t="n">
        <v>13246.94</v>
      </c>
      <c r="O278" s="32" t="n">
        <v>13277.93</v>
      </c>
      <c r="P278" s="45" t="n">
        <f aca="false">ABS(M278-N278)</f>
        <v>9.26000000000022</v>
      </c>
      <c r="Q278" s="45" t="n">
        <f aca="false">IF(O278="","",ABS(O278-M278))</f>
        <v>21.7299999999996</v>
      </c>
      <c r="R278" s="31" t="n">
        <f aca="false">P278*L278*Summary!$C$6</f>
        <v>37.0400000000009</v>
      </c>
      <c r="S278" s="32" t="n">
        <v>13246.92</v>
      </c>
      <c r="T278" s="29" t="s">
        <v>249</v>
      </c>
      <c r="U278" s="45" t="n">
        <f aca="false">IF(J278="BUY",S278-M278,M278-S278)</f>
        <v>-9.28000000000066</v>
      </c>
      <c r="V278" s="46" t="n">
        <v>0</v>
      </c>
      <c r="W278" s="46" t="n">
        <v>0</v>
      </c>
      <c r="X278" s="46" t="n">
        <v>-37.12</v>
      </c>
      <c r="Y278" s="33" t="n">
        <f aca="false">IFERROR(X278/R278,0)</f>
        <v>-1.0021598272138</v>
      </c>
      <c r="Z278" s="29" t="str">
        <f aca="false">IF(X278&gt;0,"Win",IF(X278&lt;0,"Loss","Flat"))</f>
        <v>Loss</v>
      </c>
      <c r="AA278" s="29" t="n">
        <f aca="false">ROUND((C278-B278)*1440,1)</f>
        <v>7.5</v>
      </c>
      <c r="AB278" s="29" t="str">
        <f aca="false">IF(AA278&lt;1,"a) &lt;1 min",IF(AA278&lt;10,"b) 1-10 min",IF(AA278&lt;60,"c) 10-60 min",IF(AA278&lt;240,"d) 1-4 h","e) 4 h+"))))</f>
        <v>b) 1-10 min</v>
      </c>
      <c r="AC278" s="29" t="str">
        <f aca="false">IF(P278&lt;10,"a) &lt;10",IF(P278&lt;20,"b) 10-20",IF(P278&lt;40,"c) 20-40",IF(P278&lt;80,"d) 40-80","e) 80+"))))</f>
        <v>a) &lt;10</v>
      </c>
      <c r="AD278" s="31" t="n">
        <f aca="false">Summary!$C$5+SUM(X$2:X278)</f>
        <v>12923.2</v>
      </c>
      <c r="AE278" s="31" t="n">
        <f aca="false">MAX(AE277,AD278)</f>
        <v>13354</v>
      </c>
      <c r="AF278" s="31" t="n">
        <f aca="false">AE278-AD278</f>
        <v>430.799999999999</v>
      </c>
      <c r="AG278" s="30" t="n">
        <f aca="false">IFERROR(AF278/AE278,0)</f>
        <v>0.0322599970046428</v>
      </c>
    </row>
    <row r="279" customFormat="false" ht="15" hidden="false" customHeight="false" outlineLevel="0" collapsed="false">
      <c r="A279" s="29" t="n">
        <v>278</v>
      </c>
      <c r="B279" s="44" t="n">
        <v>45047.2472222222</v>
      </c>
      <c r="C279" s="44" t="n">
        <v>45047.2544560185</v>
      </c>
      <c r="D279" s="43" t="n">
        <f aca="false">INT(C279)</f>
        <v>45047</v>
      </c>
      <c r="E279" s="43" t="n">
        <f aca="false">D279-WEEKDAY(D279,3)</f>
        <v>45047</v>
      </c>
      <c r="F279" s="29" t="s">
        <v>157</v>
      </c>
      <c r="G279" s="29" t="n">
        <v>2023</v>
      </c>
      <c r="H279" s="29" t="s">
        <v>245</v>
      </c>
      <c r="I279" s="29" t="n">
        <v>5</v>
      </c>
      <c r="J279" s="29" t="s">
        <v>246</v>
      </c>
      <c r="K279" s="29" t="s">
        <v>247</v>
      </c>
      <c r="L279" s="29" t="n">
        <v>0.04</v>
      </c>
      <c r="M279" s="32" t="n">
        <v>13259.9</v>
      </c>
      <c r="N279" s="32" t="n">
        <v>13254.21</v>
      </c>
      <c r="O279" s="32" t="n">
        <v>13273.85</v>
      </c>
      <c r="P279" s="45" t="n">
        <f aca="false">ABS(M279-N279)</f>
        <v>5.69000000000051</v>
      </c>
      <c r="Q279" s="45" t="n">
        <f aca="false">IF(O279="","",ABS(O279-M279))</f>
        <v>13.9500000000007</v>
      </c>
      <c r="R279" s="31" t="n">
        <f aca="false">P279*L279*Summary!$C$6</f>
        <v>22.760000000002</v>
      </c>
      <c r="S279" s="32" t="n">
        <v>13254.2</v>
      </c>
      <c r="T279" s="29" t="s">
        <v>249</v>
      </c>
      <c r="U279" s="45" t="n">
        <f aca="false">IF(J279="BUY",S279-M279,M279-S279)</f>
        <v>-5.69999999999891</v>
      </c>
      <c r="V279" s="46" t="n">
        <v>0</v>
      </c>
      <c r="W279" s="46" t="n">
        <v>0</v>
      </c>
      <c r="X279" s="46" t="n">
        <v>-22.8</v>
      </c>
      <c r="Y279" s="33" t="n">
        <f aca="false">IFERROR(X279/R279,0)</f>
        <v>-1.0017574692442</v>
      </c>
      <c r="Z279" s="29" t="str">
        <f aca="false">IF(X279&gt;0,"Win",IF(X279&lt;0,"Loss","Flat"))</f>
        <v>Loss</v>
      </c>
      <c r="AA279" s="29" t="n">
        <f aca="false">ROUND((C279-B279)*1440,1)</f>
        <v>10.4</v>
      </c>
      <c r="AB279" s="29" t="str">
        <f aca="false">IF(AA279&lt;1,"a) &lt;1 min",IF(AA279&lt;10,"b) 1-10 min",IF(AA279&lt;60,"c) 10-60 min",IF(AA279&lt;240,"d) 1-4 h","e) 4 h+"))))</f>
        <v>c) 10-60 min</v>
      </c>
      <c r="AC279" s="29" t="str">
        <f aca="false">IF(P279&lt;10,"a) &lt;10",IF(P279&lt;20,"b) 10-20",IF(P279&lt;40,"c) 20-40",IF(P279&lt;80,"d) 40-80","e) 80+"))))</f>
        <v>a) &lt;10</v>
      </c>
      <c r="AD279" s="31" t="n">
        <f aca="false">Summary!$C$5+SUM(X$2:X279)</f>
        <v>12900.4</v>
      </c>
      <c r="AE279" s="31" t="n">
        <f aca="false">MAX(AE278,AD279)</f>
        <v>13354</v>
      </c>
      <c r="AF279" s="31" t="n">
        <f aca="false">AE279-AD279</f>
        <v>453.6</v>
      </c>
      <c r="AG279" s="30" t="n">
        <f aca="false">IFERROR(AF279/AE279,0)</f>
        <v>0.0339673506065599</v>
      </c>
    </row>
    <row r="280" customFormat="false" ht="15" hidden="false" customHeight="false" outlineLevel="0" collapsed="false">
      <c r="A280" s="29" t="n">
        <v>279</v>
      </c>
      <c r="B280" s="44" t="n">
        <v>45048.7159722222</v>
      </c>
      <c r="C280" s="44" t="n">
        <v>45048.7233101852</v>
      </c>
      <c r="D280" s="43" t="n">
        <f aca="false">INT(C280)</f>
        <v>45048</v>
      </c>
      <c r="E280" s="43" t="n">
        <f aca="false">D280-WEEKDAY(D280,3)</f>
        <v>45047</v>
      </c>
      <c r="F280" s="29" t="s">
        <v>157</v>
      </c>
      <c r="G280" s="29" t="n">
        <v>2023</v>
      </c>
      <c r="H280" s="29" t="s">
        <v>248</v>
      </c>
      <c r="I280" s="29" t="n">
        <v>17</v>
      </c>
      <c r="J280" s="29" t="s">
        <v>250</v>
      </c>
      <c r="K280" s="29" t="s">
        <v>251</v>
      </c>
      <c r="L280" s="29" t="n">
        <v>0.04</v>
      </c>
      <c r="M280" s="32" t="n">
        <v>13176.38</v>
      </c>
      <c r="N280" s="32" t="n">
        <v>13187.26</v>
      </c>
      <c r="O280" s="32" t="n">
        <v>13149.73</v>
      </c>
      <c r="P280" s="45" t="n">
        <f aca="false">ABS(M280-N280)</f>
        <v>10.880000000001</v>
      </c>
      <c r="Q280" s="45" t="n">
        <f aca="false">IF(O280="","",ABS(O280-M280))</f>
        <v>26.6499999999996</v>
      </c>
      <c r="R280" s="31" t="n">
        <f aca="false">P280*L280*Summary!$C$6</f>
        <v>43.5200000000041</v>
      </c>
      <c r="S280" s="32" t="n">
        <v>13149.66</v>
      </c>
      <c r="T280" s="29" t="s">
        <v>227</v>
      </c>
      <c r="U280" s="45" t="n">
        <f aca="false">IF(J280="BUY",S280-M280,M280-S280)</f>
        <v>26.7199999999993</v>
      </c>
      <c r="V280" s="46" t="n">
        <v>0</v>
      </c>
      <c r="W280" s="46" t="n">
        <v>0</v>
      </c>
      <c r="X280" s="46" t="n">
        <v>106.88</v>
      </c>
      <c r="Y280" s="33" t="n">
        <f aca="false">IFERROR(X280/R280,0)</f>
        <v>2.45588235294095</v>
      </c>
      <c r="Z280" s="29" t="str">
        <f aca="false">IF(X280&gt;0,"Win",IF(X280&lt;0,"Loss","Flat"))</f>
        <v>Win</v>
      </c>
      <c r="AA280" s="29" t="n">
        <f aca="false">ROUND((C280-B280)*1440,1)</f>
        <v>10.6</v>
      </c>
      <c r="AB280" s="29" t="str">
        <f aca="false">IF(AA280&lt;1,"a) &lt;1 min",IF(AA280&lt;10,"b) 1-10 min",IF(AA280&lt;60,"c) 10-60 min",IF(AA280&lt;240,"d) 1-4 h","e) 4 h+"))))</f>
        <v>c) 10-60 min</v>
      </c>
      <c r="AC280" s="29" t="str">
        <f aca="false">IF(P280&lt;10,"a) &lt;10",IF(P280&lt;20,"b) 10-20",IF(P280&lt;40,"c) 20-40",IF(P280&lt;80,"d) 40-80","e) 80+"))))</f>
        <v>b) 10-20</v>
      </c>
      <c r="AD280" s="31" t="n">
        <f aca="false">Summary!$C$5+SUM(X$2:X280)</f>
        <v>13007.28</v>
      </c>
      <c r="AE280" s="31" t="n">
        <f aca="false">MAX(AE279,AD280)</f>
        <v>13354</v>
      </c>
      <c r="AF280" s="31" t="n">
        <f aca="false">AE280-AD280</f>
        <v>346.720000000001</v>
      </c>
      <c r="AG280" s="30" t="n">
        <f aca="false">IFERROR(AF280/AE280,0)</f>
        <v>0.0259637561779243</v>
      </c>
    </row>
    <row r="281" customFormat="false" ht="15" hidden="false" customHeight="false" outlineLevel="0" collapsed="false">
      <c r="A281" s="29" t="n">
        <v>280</v>
      </c>
      <c r="B281" s="44" t="n">
        <v>45049.9395833333</v>
      </c>
      <c r="C281" s="44" t="n">
        <v>45049.9423726852</v>
      </c>
      <c r="D281" s="43" t="n">
        <f aca="false">INT(C281)</f>
        <v>45049</v>
      </c>
      <c r="E281" s="43" t="n">
        <f aca="false">D281-WEEKDAY(D281,3)</f>
        <v>45047</v>
      </c>
      <c r="F281" s="29" t="s">
        <v>157</v>
      </c>
      <c r="G281" s="29" t="n">
        <v>2023</v>
      </c>
      <c r="H281" s="29" t="s">
        <v>252</v>
      </c>
      <c r="I281" s="29" t="n">
        <v>22</v>
      </c>
      <c r="J281" s="29" t="s">
        <v>250</v>
      </c>
      <c r="K281" s="29" t="s">
        <v>251</v>
      </c>
      <c r="L281" s="29" t="n">
        <v>0.04</v>
      </c>
      <c r="M281" s="32" t="n">
        <v>13037.81</v>
      </c>
      <c r="N281" s="32" t="n">
        <v>13058.67</v>
      </c>
      <c r="O281" s="32" t="n">
        <v>12989.98</v>
      </c>
      <c r="P281" s="45" t="n">
        <f aca="false">ABS(M281-N281)</f>
        <v>20.8600000000006</v>
      </c>
      <c r="Q281" s="45" t="n">
        <f aca="false">IF(O281="","",ABS(O281-M281))</f>
        <v>47.8299999999999</v>
      </c>
      <c r="R281" s="31" t="n">
        <f aca="false">P281*L281*Summary!$C$6</f>
        <v>83.4400000000023</v>
      </c>
      <c r="S281" s="32" t="n">
        <v>13059.11</v>
      </c>
      <c r="T281" s="29" t="s">
        <v>249</v>
      </c>
      <c r="U281" s="45" t="n">
        <f aca="false">IF(J281="BUY",S281-M281,M281-S281)</f>
        <v>-21.3000000000011</v>
      </c>
      <c r="V281" s="46" t="n">
        <v>0</v>
      </c>
      <c r="W281" s="46" t="n">
        <v>0</v>
      </c>
      <c r="X281" s="46" t="n">
        <v>-85.2</v>
      </c>
      <c r="Y281" s="33" t="n">
        <f aca="false">IFERROR(X281/R281,0)</f>
        <v>-1.02109300095874</v>
      </c>
      <c r="Z281" s="29" t="str">
        <f aca="false">IF(X281&gt;0,"Win",IF(X281&lt;0,"Loss","Flat"))</f>
        <v>Loss</v>
      </c>
      <c r="AA281" s="29" t="n">
        <f aca="false">ROUND((C281-B281)*1440,1)</f>
        <v>4</v>
      </c>
      <c r="AB281" s="29" t="str">
        <f aca="false">IF(AA281&lt;1,"a) &lt;1 min",IF(AA281&lt;10,"b) 1-10 min",IF(AA281&lt;60,"c) 10-60 min",IF(AA281&lt;240,"d) 1-4 h","e) 4 h+"))))</f>
        <v>b) 1-10 min</v>
      </c>
      <c r="AC281" s="29" t="str">
        <f aca="false">IF(P281&lt;10,"a) &lt;10",IF(P281&lt;20,"b) 10-20",IF(P281&lt;40,"c) 20-40",IF(P281&lt;80,"d) 40-80","e) 80+"))))</f>
        <v>c) 20-40</v>
      </c>
      <c r="AD281" s="31" t="n">
        <f aca="false">Summary!$C$5+SUM(X$2:X281)</f>
        <v>12922.08</v>
      </c>
      <c r="AE281" s="31" t="n">
        <f aca="false">MAX(AE280,AD281)</f>
        <v>13354</v>
      </c>
      <c r="AF281" s="31" t="n">
        <f aca="false">AE281-AD281</f>
        <v>431.92</v>
      </c>
      <c r="AG281" s="30" t="n">
        <f aca="false">IFERROR(AF281/AE281,0)</f>
        <v>0.0323438670061405</v>
      </c>
    </row>
    <row r="282" customFormat="false" ht="15" hidden="false" customHeight="false" outlineLevel="0" collapsed="false">
      <c r="A282" s="29" t="n">
        <v>281</v>
      </c>
      <c r="B282" s="44" t="n">
        <v>45050.0423611111</v>
      </c>
      <c r="C282" s="44" t="n">
        <v>45050.0632175926</v>
      </c>
      <c r="D282" s="43" t="n">
        <f aca="false">INT(C282)</f>
        <v>45050</v>
      </c>
      <c r="E282" s="43" t="n">
        <f aca="false">D282-WEEKDAY(D282,3)</f>
        <v>45047</v>
      </c>
      <c r="F282" s="29" t="s">
        <v>157</v>
      </c>
      <c r="G282" s="29" t="n">
        <v>2023</v>
      </c>
      <c r="H282" s="29" t="s">
        <v>253</v>
      </c>
      <c r="I282" s="29" t="n">
        <v>1</v>
      </c>
      <c r="J282" s="29" t="s">
        <v>250</v>
      </c>
      <c r="K282" s="29" t="s">
        <v>251</v>
      </c>
      <c r="L282" s="29" t="n">
        <v>0.04</v>
      </c>
      <c r="M282" s="32" t="n">
        <v>12998.19</v>
      </c>
      <c r="N282" s="32" t="n">
        <v>13013.73</v>
      </c>
      <c r="O282" s="32" t="n">
        <v>12960.13</v>
      </c>
      <c r="P282" s="45" t="n">
        <f aca="false">ABS(M282-N282)</f>
        <v>15.5399999999991</v>
      </c>
      <c r="Q282" s="45" t="n">
        <f aca="false">IF(O282="","",ABS(O282-M282))</f>
        <v>38.0600000000013</v>
      </c>
      <c r="R282" s="31" t="n">
        <f aca="false">P282*L282*Summary!$C$6</f>
        <v>62.1599999999962</v>
      </c>
      <c r="S282" s="32" t="n">
        <v>12998.73</v>
      </c>
      <c r="T282" s="29" t="s">
        <v>255</v>
      </c>
      <c r="U282" s="45" t="n">
        <f aca="false">IF(J282="BUY",S282-M282,M282-S282)</f>
        <v>-0.539999999999054</v>
      </c>
      <c r="V282" s="46" t="n">
        <v>0</v>
      </c>
      <c r="W282" s="46" t="n">
        <v>0</v>
      </c>
      <c r="X282" s="46" t="n">
        <v>-2.16</v>
      </c>
      <c r="Y282" s="33" t="n">
        <f aca="false">IFERROR(X282/R282,0)</f>
        <v>-0.0347490347490369</v>
      </c>
      <c r="Z282" s="29" t="str">
        <f aca="false">IF(X282&gt;0,"Win",IF(X282&lt;0,"Loss","Flat"))</f>
        <v>Loss</v>
      </c>
      <c r="AA282" s="29" t="n">
        <f aca="false">ROUND((C282-B282)*1440,1)</f>
        <v>30</v>
      </c>
      <c r="AB282" s="29" t="str">
        <f aca="false">IF(AA282&lt;1,"a) &lt;1 min",IF(AA282&lt;10,"b) 1-10 min",IF(AA282&lt;60,"c) 10-60 min",IF(AA282&lt;240,"d) 1-4 h","e) 4 h+"))))</f>
        <v>c) 10-60 min</v>
      </c>
      <c r="AC282" s="29" t="str">
        <f aca="false">IF(P282&lt;10,"a) &lt;10",IF(P282&lt;20,"b) 10-20",IF(P282&lt;40,"c) 20-40",IF(P282&lt;80,"d) 40-80","e) 80+"))))</f>
        <v>b) 10-20</v>
      </c>
      <c r="AD282" s="31" t="n">
        <f aca="false">Summary!$C$5+SUM(X$2:X282)</f>
        <v>12919.92</v>
      </c>
      <c r="AE282" s="31" t="n">
        <f aca="false">MAX(AE281,AD282)</f>
        <v>13354</v>
      </c>
      <c r="AF282" s="31" t="n">
        <f aca="false">AE282-AD282</f>
        <v>434.08</v>
      </c>
      <c r="AG282" s="30" t="n">
        <f aca="false">IFERROR(AF282/AE282,0)</f>
        <v>0.0325056162947431</v>
      </c>
    </row>
    <row r="283" customFormat="false" ht="15" hidden="false" customHeight="false" outlineLevel="0" collapsed="false">
      <c r="A283" s="29" t="n">
        <v>282</v>
      </c>
      <c r="B283" s="44" t="n">
        <v>45051.7006944444</v>
      </c>
      <c r="C283" s="44" t="n">
        <v>45051.7051157407</v>
      </c>
      <c r="D283" s="43" t="n">
        <f aca="false">INT(C283)</f>
        <v>45051</v>
      </c>
      <c r="E283" s="43" t="n">
        <f aca="false">D283-WEEKDAY(D283,3)</f>
        <v>45047</v>
      </c>
      <c r="F283" s="29" t="s">
        <v>157</v>
      </c>
      <c r="G283" s="29" t="n">
        <v>2023</v>
      </c>
      <c r="H283" s="29" t="s">
        <v>254</v>
      </c>
      <c r="I283" s="29" t="n">
        <v>16</v>
      </c>
      <c r="J283" s="29" t="s">
        <v>246</v>
      </c>
      <c r="K283" s="29" t="s">
        <v>247</v>
      </c>
      <c r="L283" s="29" t="n">
        <v>0.04</v>
      </c>
      <c r="M283" s="32" t="n">
        <v>13103.12</v>
      </c>
      <c r="N283" s="32" t="n">
        <v>13093.34</v>
      </c>
      <c r="O283" s="32" t="n">
        <v>13123.24</v>
      </c>
      <c r="P283" s="45" t="n">
        <f aca="false">ABS(M283-N283)</f>
        <v>9.78000000000066</v>
      </c>
      <c r="Q283" s="45" t="n">
        <f aca="false">IF(O283="","",ABS(O283-M283))</f>
        <v>20.119999999999</v>
      </c>
      <c r="R283" s="31" t="n">
        <f aca="false">P283*L283*Summary!$C$6</f>
        <v>39.1200000000026</v>
      </c>
      <c r="S283" s="32" t="n">
        <v>13102.88</v>
      </c>
      <c r="T283" s="29" t="s">
        <v>255</v>
      </c>
      <c r="U283" s="45" t="n">
        <f aca="false">IF(J283="BUY",S283-M283,M283-S283)</f>
        <v>-0.240000000001601</v>
      </c>
      <c r="V283" s="46" t="n">
        <v>0</v>
      </c>
      <c r="W283" s="46" t="n">
        <v>0</v>
      </c>
      <c r="X283" s="46" t="n">
        <v>-0.96</v>
      </c>
      <c r="Y283" s="33" t="n">
        <f aca="false">IFERROR(X283/R283,0)</f>
        <v>-0.0245398773006119</v>
      </c>
      <c r="Z283" s="29" t="str">
        <f aca="false">IF(X283&gt;0,"Win",IF(X283&lt;0,"Loss","Flat"))</f>
        <v>Loss</v>
      </c>
      <c r="AA283" s="29" t="n">
        <f aca="false">ROUND((C283-B283)*1440,1)</f>
        <v>6.4</v>
      </c>
      <c r="AB283" s="29" t="str">
        <f aca="false">IF(AA283&lt;1,"a) &lt;1 min",IF(AA283&lt;10,"b) 1-10 min",IF(AA283&lt;60,"c) 10-60 min",IF(AA283&lt;240,"d) 1-4 h","e) 4 h+"))))</f>
        <v>b) 1-10 min</v>
      </c>
      <c r="AC283" s="29" t="str">
        <f aca="false">IF(P283&lt;10,"a) &lt;10",IF(P283&lt;20,"b) 10-20",IF(P283&lt;40,"c) 20-40",IF(P283&lt;80,"d) 40-80","e) 80+"))))</f>
        <v>a) &lt;10</v>
      </c>
      <c r="AD283" s="31" t="n">
        <f aca="false">Summary!$C$5+SUM(X$2:X283)</f>
        <v>12918.96</v>
      </c>
      <c r="AE283" s="31" t="n">
        <f aca="false">MAX(AE282,AD283)</f>
        <v>13354</v>
      </c>
      <c r="AF283" s="31" t="n">
        <f aca="false">AE283-AD283</f>
        <v>435.040000000001</v>
      </c>
      <c r="AG283" s="30" t="n">
        <f aca="false">IFERROR(AF283/AE283,0)</f>
        <v>0.0325775048674555</v>
      </c>
    </row>
    <row r="284" customFormat="false" ht="15" hidden="false" customHeight="false" outlineLevel="0" collapsed="false">
      <c r="A284" s="29" t="n">
        <v>283</v>
      </c>
      <c r="B284" s="44" t="n">
        <v>45054.9083333333</v>
      </c>
      <c r="C284" s="44" t="n">
        <v>45054.9119328704</v>
      </c>
      <c r="D284" s="43" t="n">
        <f aca="false">INT(C284)</f>
        <v>45054</v>
      </c>
      <c r="E284" s="43" t="n">
        <f aca="false">D284-WEEKDAY(D284,3)</f>
        <v>45054</v>
      </c>
      <c r="F284" s="29" t="s">
        <v>157</v>
      </c>
      <c r="G284" s="29" t="n">
        <v>2023</v>
      </c>
      <c r="H284" s="29" t="s">
        <v>245</v>
      </c>
      <c r="I284" s="29" t="n">
        <v>21</v>
      </c>
      <c r="J284" s="29" t="s">
        <v>246</v>
      </c>
      <c r="K284" s="29" t="s">
        <v>247</v>
      </c>
      <c r="L284" s="29" t="n">
        <v>0.04</v>
      </c>
      <c r="M284" s="32" t="n">
        <v>13295.7</v>
      </c>
      <c r="N284" s="32" t="n">
        <v>13291.37</v>
      </c>
      <c r="O284" s="32" t="n">
        <v>13306.3</v>
      </c>
      <c r="P284" s="45" t="n">
        <f aca="false">ABS(M284-N284)</f>
        <v>4.32999999999993</v>
      </c>
      <c r="Q284" s="45" t="n">
        <f aca="false">IF(O284="","",ABS(O284-M284))</f>
        <v>10.5999999999985</v>
      </c>
      <c r="R284" s="31" t="n">
        <f aca="false">P284*L284*Summary!$C$6</f>
        <v>17.3199999999997</v>
      </c>
      <c r="S284" s="32" t="n">
        <v>13295.62</v>
      </c>
      <c r="T284" s="29" t="s">
        <v>255</v>
      </c>
      <c r="U284" s="45" t="n">
        <f aca="false">IF(J284="BUY",S284-M284,M284-S284)</f>
        <v>-0.0799999999999272</v>
      </c>
      <c r="V284" s="46" t="n">
        <v>0</v>
      </c>
      <c r="W284" s="46" t="n">
        <v>0</v>
      </c>
      <c r="X284" s="46" t="n">
        <v>-0.32</v>
      </c>
      <c r="Y284" s="33" t="n">
        <f aca="false">IFERROR(X284/R284,0)</f>
        <v>-0.0184757505773675</v>
      </c>
      <c r="Z284" s="29" t="str">
        <f aca="false">IF(X284&gt;0,"Win",IF(X284&lt;0,"Loss","Flat"))</f>
        <v>Loss</v>
      </c>
      <c r="AA284" s="29" t="n">
        <f aca="false">ROUND((C284-B284)*1440,1)</f>
        <v>5.2</v>
      </c>
      <c r="AB284" s="29" t="str">
        <f aca="false">IF(AA284&lt;1,"a) &lt;1 min",IF(AA284&lt;10,"b) 1-10 min",IF(AA284&lt;60,"c) 10-60 min",IF(AA284&lt;240,"d) 1-4 h","e) 4 h+"))))</f>
        <v>b) 1-10 min</v>
      </c>
      <c r="AC284" s="29" t="str">
        <f aca="false">IF(P284&lt;10,"a) &lt;10",IF(P284&lt;20,"b) 10-20",IF(P284&lt;40,"c) 20-40",IF(P284&lt;80,"d) 40-80","e) 80+"))))</f>
        <v>a) &lt;10</v>
      </c>
      <c r="AD284" s="31" t="n">
        <f aca="false">Summary!$C$5+SUM(X$2:X284)</f>
        <v>12918.64</v>
      </c>
      <c r="AE284" s="31" t="n">
        <f aca="false">MAX(AE283,AD284)</f>
        <v>13354</v>
      </c>
      <c r="AF284" s="31" t="n">
        <f aca="false">AE284-AD284</f>
        <v>435.360000000001</v>
      </c>
      <c r="AG284" s="30" t="n">
        <f aca="false">IFERROR(AF284/AE284,0)</f>
        <v>0.0326014677250263</v>
      </c>
    </row>
    <row r="285" customFormat="false" ht="15" hidden="false" customHeight="false" outlineLevel="0" collapsed="false">
      <c r="A285" s="29" t="n">
        <v>284</v>
      </c>
      <c r="B285" s="44" t="n">
        <v>45056.0437615741</v>
      </c>
      <c r="C285" s="44" t="n">
        <v>45056.0486342593</v>
      </c>
      <c r="D285" s="43" t="n">
        <f aca="false">INT(C285)</f>
        <v>45056</v>
      </c>
      <c r="E285" s="43" t="n">
        <f aca="false">D285-WEEKDAY(D285,3)</f>
        <v>45054</v>
      </c>
      <c r="F285" s="29" t="s">
        <v>157</v>
      </c>
      <c r="G285" s="29" t="n">
        <v>2023</v>
      </c>
      <c r="H285" s="29" t="s">
        <v>252</v>
      </c>
      <c r="I285" s="29" t="n">
        <v>1</v>
      </c>
      <c r="J285" s="29" t="s">
        <v>250</v>
      </c>
      <c r="K285" s="29" t="s">
        <v>251</v>
      </c>
      <c r="L285" s="29" t="n">
        <v>0.04</v>
      </c>
      <c r="M285" s="32" t="n">
        <v>13191.67</v>
      </c>
      <c r="N285" s="32" t="n">
        <v>13196.82</v>
      </c>
      <c r="O285" s="32" t="n">
        <v>13179.05</v>
      </c>
      <c r="P285" s="45" t="n">
        <f aca="false">ABS(M285-N285)</f>
        <v>5.14999999999964</v>
      </c>
      <c r="Q285" s="45" t="n">
        <f aca="false">IF(O285="","",ABS(O285-M285))</f>
        <v>12.6200000000008</v>
      </c>
      <c r="R285" s="31" t="n">
        <f aca="false">P285*L285*Summary!$C$6</f>
        <v>20.5999999999985</v>
      </c>
      <c r="S285" s="32" t="n">
        <v>13196.82</v>
      </c>
      <c r="T285" s="29" t="s">
        <v>249</v>
      </c>
      <c r="U285" s="45" t="n">
        <f aca="false">IF(J285="BUY",S285-M285,M285-S285)</f>
        <v>-5.14999999999964</v>
      </c>
      <c r="V285" s="46" t="n">
        <v>0</v>
      </c>
      <c r="W285" s="46" t="n">
        <v>0</v>
      </c>
      <c r="X285" s="46" t="n">
        <v>-20.6</v>
      </c>
      <c r="Y285" s="33" t="n">
        <f aca="false">IFERROR(X285/R285,0)</f>
        <v>-1.00000000000007</v>
      </c>
      <c r="Z285" s="29" t="str">
        <f aca="false">IF(X285&gt;0,"Win",IF(X285&lt;0,"Loss","Flat"))</f>
        <v>Loss</v>
      </c>
      <c r="AA285" s="29" t="n">
        <f aca="false">ROUND((C285-B285)*1440,1)</f>
        <v>7</v>
      </c>
      <c r="AB285" s="29" t="str">
        <f aca="false">IF(AA285&lt;1,"a) &lt;1 min",IF(AA285&lt;10,"b) 1-10 min",IF(AA285&lt;60,"c) 10-60 min",IF(AA285&lt;240,"d) 1-4 h","e) 4 h+"))))</f>
        <v>b) 1-10 min</v>
      </c>
      <c r="AC285" s="29" t="str">
        <f aca="false">IF(P285&lt;10,"a) &lt;10",IF(P285&lt;20,"b) 10-20",IF(P285&lt;40,"c) 20-40",IF(P285&lt;80,"d) 40-80","e) 80+"))))</f>
        <v>a) &lt;10</v>
      </c>
      <c r="AD285" s="31" t="n">
        <f aca="false">Summary!$C$5+SUM(X$2:X285)</f>
        <v>12898.04</v>
      </c>
      <c r="AE285" s="31" t="n">
        <f aca="false">MAX(AE284,AD285)</f>
        <v>13354</v>
      </c>
      <c r="AF285" s="31" t="n">
        <f aca="false">AE285-AD285</f>
        <v>455.959999999999</v>
      </c>
      <c r="AG285" s="30" t="n">
        <f aca="false">IFERROR(AF285/AE285,0)</f>
        <v>0.0341440766811442</v>
      </c>
    </row>
    <row r="286" customFormat="false" ht="15" hidden="false" customHeight="false" outlineLevel="0" collapsed="false">
      <c r="A286" s="29" t="n">
        <v>285</v>
      </c>
      <c r="B286" s="44" t="n">
        <v>45056.6548611111</v>
      </c>
      <c r="C286" s="44" t="n">
        <v>45056.6676157407</v>
      </c>
      <c r="D286" s="43" t="n">
        <f aca="false">INT(C286)</f>
        <v>45056</v>
      </c>
      <c r="E286" s="43" t="n">
        <f aca="false">D286-WEEKDAY(D286,3)</f>
        <v>45054</v>
      </c>
      <c r="F286" s="29" t="s">
        <v>157</v>
      </c>
      <c r="G286" s="29" t="n">
        <v>2023</v>
      </c>
      <c r="H286" s="29" t="s">
        <v>252</v>
      </c>
      <c r="I286" s="29" t="n">
        <v>15</v>
      </c>
      <c r="J286" s="29" t="s">
        <v>246</v>
      </c>
      <c r="K286" s="29" t="s">
        <v>247</v>
      </c>
      <c r="L286" s="29" t="n">
        <v>0.04</v>
      </c>
      <c r="M286" s="32" t="n">
        <v>13299.23</v>
      </c>
      <c r="N286" s="32" t="n">
        <v>13283.92</v>
      </c>
      <c r="O286" s="32" t="n">
        <v>13334.6</v>
      </c>
      <c r="P286" s="45" t="n">
        <f aca="false">ABS(M286-N286)</f>
        <v>15.3099999999995</v>
      </c>
      <c r="Q286" s="45" t="n">
        <f aca="false">IF(O286="","",ABS(O286-M286))</f>
        <v>35.3700000000008</v>
      </c>
      <c r="R286" s="31" t="n">
        <f aca="false">P286*L286*Summary!$C$6</f>
        <v>61.239999999998</v>
      </c>
      <c r="S286" s="32" t="n">
        <v>13334.6</v>
      </c>
      <c r="T286" s="29" t="s">
        <v>227</v>
      </c>
      <c r="U286" s="45" t="n">
        <f aca="false">IF(J286="BUY",S286-M286,M286-S286)</f>
        <v>35.3700000000008</v>
      </c>
      <c r="V286" s="46" t="n">
        <v>0</v>
      </c>
      <c r="W286" s="46" t="n">
        <v>0</v>
      </c>
      <c r="X286" s="46" t="n">
        <v>141.48</v>
      </c>
      <c r="Y286" s="33" t="n">
        <f aca="false">IFERROR(X286/R286,0)</f>
        <v>2.31025473546709</v>
      </c>
      <c r="Z286" s="29" t="str">
        <f aca="false">IF(X286&gt;0,"Win",IF(X286&lt;0,"Loss","Flat"))</f>
        <v>Win</v>
      </c>
      <c r="AA286" s="29" t="n">
        <f aca="false">ROUND((C286-B286)*1440,1)</f>
        <v>18.4</v>
      </c>
      <c r="AB286" s="29" t="str">
        <f aca="false">IF(AA286&lt;1,"a) &lt;1 min",IF(AA286&lt;10,"b) 1-10 min",IF(AA286&lt;60,"c) 10-60 min",IF(AA286&lt;240,"d) 1-4 h","e) 4 h+"))))</f>
        <v>c) 10-60 min</v>
      </c>
      <c r="AC286" s="29" t="str">
        <f aca="false">IF(P286&lt;10,"a) &lt;10",IF(P286&lt;20,"b) 10-20",IF(P286&lt;40,"c) 20-40",IF(P286&lt;80,"d) 40-80","e) 80+"))))</f>
        <v>b) 10-20</v>
      </c>
      <c r="AD286" s="31" t="n">
        <f aca="false">Summary!$C$5+SUM(X$2:X286)</f>
        <v>13039.52</v>
      </c>
      <c r="AE286" s="31" t="n">
        <f aca="false">MAX(AE285,AD286)</f>
        <v>13354</v>
      </c>
      <c r="AF286" s="31" t="n">
        <f aca="false">AE286-AD286</f>
        <v>314.48</v>
      </c>
      <c r="AG286" s="30" t="n">
        <f aca="false">IFERROR(AF286/AE286,0)</f>
        <v>0.0235494982776696</v>
      </c>
    </row>
    <row r="287" customFormat="false" ht="15" hidden="false" customHeight="false" outlineLevel="0" collapsed="false">
      <c r="A287" s="29" t="n">
        <v>286</v>
      </c>
      <c r="B287" s="44" t="n">
        <v>45057.4493055556</v>
      </c>
      <c r="C287" s="44" t="n">
        <v>45057.4516087963</v>
      </c>
      <c r="D287" s="43" t="n">
        <f aca="false">INT(C287)</f>
        <v>45057</v>
      </c>
      <c r="E287" s="43" t="n">
        <f aca="false">D287-WEEKDAY(D287,3)</f>
        <v>45054</v>
      </c>
      <c r="F287" s="29" t="s">
        <v>157</v>
      </c>
      <c r="G287" s="29" t="n">
        <v>2023</v>
      </c>
      <c r="H287" s="29" t="s">
        <v>253</v>
      </c>
      <c r="I287" s="29" t="n">
        <v>10</v>
      </c>
      <c r="J287" s="29" t="s">
        <v>246</v>
      </c>
      <c r="K287" s="29" t="s">
        <v>247</v>
      </c>
      <c r="L287" s="29" t="n">
        <v>0.04</v>
      </c>
      <c r="M287" s="32" t="n">
        <v>13388.53</v>
      </c>
      <c r="N287" s="32" t="n">
        <v>13383.6</v>
      </c>
      <c r="O287" s="32" t="n">
        <v>13401.09</v>
      </c>
      <c r="P287" s="45" t="n">
        <f aca="false">ABS(M287-N287)</f>
        <v>4.93000000000029</v>
      </c>
      <c r="Q287" s="45" t="n">
        <f aca="false">IF(O287="","",ABS(O287-M287))</f>
        <v>12.5599999999995</v>
      </c>
      <c r="R287" s="31" t="n">
        <f aca="false">P287*L287*Summary!$C$6</f>
        <v>19.7200000000012</v>
      </c>
      <c r="S287" s="32" t="n">
        <v>13383.52</v>
      </c>
      <c r="T287" s="29" t="s">
        <v>249</v>
      </c>
      <c r="U287" s="45" t="n">
        <f aca="false">IF(J287="BUY",S287-M287,M287-S287)</f>
        <v>-5.01000000000022</v>
      </c>
      <c r="V287" s="46" t="n">
        <v>0</v>
      </c>
      <c r="W287" s="46" t="n">
        <v>0</v>
      </c>
      <c r="X287" s="46" t="n">
        <v>-20.04</v>
      </c>
      <c r="Y287" s="33" t="n">
        <f aca="false">IFERROR(X287/R287,0)</f>
        <v>-1.01622718052732</v>
      </c>
      <c r="Z287" s="29" t="str">
        <f aca="false">IF(X287&gt;0,"Win",IF(X287&lt;0,"Loss","Flat"))</f>
        <v>Loss</v>
      </c>
      <c r="AA287" s="29" t="n">
        <f aca="false">ROUND((C287-B287)*1440,1)</f>
        <v>3.3</v>
      </c>
      <c r="AB287" s="29" t="str">
        <f aca="false">IF(AA287&lt;1,"a) &lt;1 min",IF(AA287&lt;10,"b) 1-10 min",IF(AA287&lt;60,"c) 10-60 min",IF(AA287&lt;240,"d) 1-4 h","e) 4 h+"))))</f>
        <v>b) 1-10 min</v>
      </c>
      <c r="AC287" s="29" t="str">
        <f aca="false">IF(P287&lt;10,"a) &lt;10",IF(P287&lt;20,"b) 10-20",IF(P287&lt;40,"c) 20-40",IF(P287&lt;80,"d) 40-80","e) 80+"))))</f>
        <v>a) &lt;10</v>
      </c>
      <c r="AD287" s="31" t="n">
        <f aca="false">Summary!$C$5+SUM(X$2:X287)</f>
        <v>13019.48</v>
      </c>
      <c r="AE287" s="31" t="n">
        <f aca="false">MAX(AE286,AD287)</f>
        <v>13354</v>
      </c>
      <c r="AF287" s="31" t="n">
        <f aca="false">AE287-AD287</f>
        <v>334.52</v>
      </c>
      <c r="AG287" s="30" t="n">
        <f aca="false">IFERROR(AF287/AE287,0)</f>
        <v>0.0250501722330388</v>
      </c>
    </row>
    <row r="288" customFormat="false" ht="15" hidden="false" customHeight="false" outlineLevel="0" collapsed="false">
      <c r="A288" s="29" t="n">
        <v>287</v>
      </c>
      <c r="B288" s="44" t="n">
        <v>45058.1354166667</v>
      </c>
      <c r="C288" s="44" t="n">
        <v>45058.1376273148</v>
      </c>
      <c r="D288" s="43" t="n">
        <f aca="false">INT(C288)</f>
        <v>45058</v>
      </c>
      <c r="E288" s="43" t="n">
        <f aca="false">D288-WEEKDAY(D288,3)</f>
        <v>45054</v>
      </c>
      <c r="F288" s="29" t="s">
        <v>157</v>
      </c>
      <c r="G288" s="29" t="n">
        <v>2023</v>
      </c>
      <c r="H288" s="29" t="s">
        <v>254</v>
      </c>
      <c r="I288" s="29" t="n">
        <v>3</v>
      </c>
      <c r="J288" s="29" t="s">
        <v>246</v>
      </c>
      <c r="K288" s="29" t="s">
        <v>247</v>
      </c>
      <c r="L288" s="29" t="n">
        <v>0.04</v>
      </c>
      <c r="M288" s="32" t="n">
        <v>13413.53</v>
      </c>
      <c r="N288" s="32" t="n">
        <v>13408.98</v>
      </c>
      <c r="O288" s="32" t="n">
        <v>13425.09</v>
      </c>
      <c r="P288" s="45" t="n">
        <f aca="false">ABS(M288-N288)</f>
        <v>4.55000000000109</v>
      </c>
      <c r="Q288" s="45" t="n">
        <f aca="false">IF(O288="","",ABS(O288-M288))</f>
        <v>11.5599999999995</v>
      </c>
      <c r="R288" s="31" t="n">
        <f aca="false">P288*L288*Summary!$C$6</f>
        <v>18.2000000000044</v>
      </c>
      <c r="S288" s="32" t="n">
        <v>13408.55</v>
      </c>
      <c r="T288" s="29" t="s">
        <v>249</v>
      </c>
      <c r="U288" s="45" t="n">
        <f aca="false">IF(J288="BUY",S288-M288,M288-S288)</f>
        <v>-4.98000000000138</v>
      </c>
      <c r="V288" s="46" t="n">
        <v>0</v>
      </c>
      <c r="W288" s="46" t="n">
        <v>0</v>
      </c>
      <c r="X288" s="46" t="n">
        <v>-19.92</v>
      </c>
      <c r="Y288" s="33" t="n">
        <f aca="false">IFERROR(X288/R288,0)</f>
        <v>-1.09450549450523</v>
      </c>
      <c r="Z288" s="29" t="str">
        <f aca="false">IF(X288&gt;0,"Win",IF(X288&lt;0,"Loss","Flat"))</f>
        <v>Loss</v>
      </c>
      <c r="AA288" s="29" t="n">
        <f aca="false">ROUND((C288-B288)*1440,1)</f>
        <v>3.2</v>
      </c>
      <c r="AB288" s="29" t="str">
        <f aca="false">IF(AA288&lt;1,"a) &lt;1 min",IF(AA288&lt;10,"b) 1-10 min",IF(AA288&lt;60,"c) 10-60 min",IF(AA288&lt;240,"d) 1-4 h","e) 4 h+"))))</f>
        <v>b) 1-10 min</v>
      </c>
      <c r="AC288" s="29" t="str">
        <f aca="false">IF(P288&lt;10,"a) &lt;10",IF(P288&lt;20,"b) 10-20",IF(P288&lt;40,"c) 20-40",IF(P288&lt;80,"d) 40-80","e) 80+"))))</f>
        <v>a) &lt;10</v>
      </c>
      <c r="AD288" s="31" t="n">
        <f aca="false">Summary!$C$5+SUM(X$2:X288)</f>
        <v>12999.56</v>
      </c>
      <c r="AE288" s="31" t="n">
        <f aca="false">MAX(AE287,AD288)</f>
        <v>13354</v>
      </c>
      <c r="AF288" s="31" t="n">
        <f aca="false">AE288-AD288</f>
        <v>354.440000000001</v>
      </c>
      <c r="AG288" s="30" t="n">
        <f aca="false">IFERROR(AF288/AE288,0)</f>
        <v>0.026541860116819</v>
      </c>
    </row>
    <row r="289" customFormat="false" ht="15" hidden="false" customHeight="false" outlineLevel="0" collapsed="false">
      <c r="A289" s="29" t="n">
        <v>288</v>
      </c>
      <c r="B289" s="44" t="n">
        <v>45058.8076388889</v>
      </c>
      <c r="C289" s="44" t="n">
        <v>45058.8161805556</v>
      </c>
      <c r="D289" s="43" t="n">
        <f aca="false">INT(C289)</f>
        <v>45058</v>
      </c>
      <c r="E289" s="43" t="n">
        <f aca="false">D289-WEEKDAY(D289,3)</f>
        <v>45054</v>
      </c>
      <c r="F289" s="29" t="s">
        <v>157</v>
      </c>
      <c r="G289" s="29" t="n">
        <v>2023</v>
      </c>
      <c r="H289" s="29" t="s">
        <v>254</v>
      </c>
      <c r="I289" s="29" t="n">
        <v>19</v>
      </c>
      <c r="J289" s="29" t="s">
        <v>250</v>
      </c>
      <c r="K289" s="29" t="s">
        <v>251</v>
      </c>
      <c r="L289" s="29" t="n">
        <v>0.04</v>
      </c>
      <c r="M289" s="32" t="n">
        <v>13300.22</v>
      </c>
      <c r="N289" s="32" t="n">
        <v>13307.34</v>
      </c>
      <c r="O289" s="32" t="n">
        <v>13282.79</v>
      </c>
      <c r="P289" s="45" t="n">
        <f aca="false">ABS(M289-N289)</f>
        <v>7.1200000000008</v>
      </c>
      <c r="Q289" s="45" t="n">
        <f aca="false">IF(O289="","",ABS(O289-M289))</f>
        <v>17.4299999999985</v>
      </c>
      <c r="R289" s="31" t="n">
        <f aca="false">P289*L289*Summary!$C$6</f>
        <v>28.4800000000032</v>
      </c>
      <c r="S289" s="32" t="n">
        <v>13307.49</v>
      </c>
      <c r="T289" s="29" t="s">
        <v>249</v>
      </c>
      <c r="U289" s="45" t="n">
        <f aca="false">IF(J289="BUY",S289-M289,M289-S289)</f>
        <v>-7.27000000000044</v>
      </c>
      <c r="V289" s="46" t="n">
        <v>0</v>
      </c>
      <c r="W289" s="46" t="n">
        <v>0</v>
      </c>
      <c r="X289" s="46" t="n">
        <v>-29.08</v>
      </c>
      <c r="Y289" s="33" t="n">
        <f aca="false">IFERROR(X289/R289,0)</f>
        <v>-1.02106741573022</v>
      </c>
      <c r="Z289" s="29" t="str">
        <f aca="false">IF(X289&gt;0,"Win",IF(X289&lt;0,"Loss","Flat"))</f>
        <v>Loss</v>
      </c>
      <c r="AA289" s="29" t="n">
        <f aca="false">ROUND((C289-B289)*1440,1)</f>
        <v>12.3</v>
      </c>
      <c r="AB289" s="29" t="str">
        <f aca="false">IF(AA289&lt;1,"a) &lt;1 min",IF(AA289&lt;10,"b) 1-10 min",IF(AA289&lt;60,"c) 10-60 min",IF(AA289&lt;240,"d) 1-4 h","e) 4 h+"))))</f>
        <v>c) 10-60 min</v>
      </c>
      <c r="AC289" s="29" t="str">
        <f aca="false">IF(P289&lt;10,"a) &lt;10",IF(P289&lt;20,"b) 10-20",IF(P289&lt;40,"c) 20-40",IF(P289&lt;80,"d) 40-80","e) 80+"))))</f>
        <v>a) &lt;10</v>
      </c>
      <c r="AD289" s="31" t="n">
        <f aca="false">Summary!$C$5+SUM(X$2:X289)</f>
        <v>12970.48</v>
      </c>
      <c r="AE289" s="31" t="n">
        <f aca="false">MAX(AE288,AD289)</f>
        <v>13354</v>
      </c>
      <c r="AF289" s="31" t="n">
        <f aca="false">AE289-AD289</f>
        <v>383.52</v>
      </c>
      <c r="AG289" s="30" t="n">
        <f aca="false">IFERROR(AF289/AE289,0)</f>
        <v>0.0287194847985623</v>
      </c>
    </row>
    <row r="290" customFormat="false" ht="15" hidden="false" customHeight="false" outlineLevel="0" collapsed="false">
      <c r="A290" s="29" t="n">
        <v>289</v>
      </c>
      <c r="B290" s="44" t="n">
        <v>45062.44375</v>
      </c>
      <c r="C290" s="44" t="n">
        <v>45062.445150463</v>
      </c>
      <c r="D290" s="43" t="n">
        <f aca="false">INT(C290)</f>
        <v>45062</v>
      </c>
      <c r="E290" s="43" t="n">
        <f aca="false">D290-WEEKDAY(D290,3)</f>
        <v>45061</v>
      </c>
      <c r="F290" s="29" t="s">
        <v>157</v>
      </c>
      <c r="G290" s="29" t="n">
        <v>2023</v>
      </c>
      <c r="H290" s="29" t="s">
        <v>248</v>
      </c>
      <c r="I290" s="29" t="n">
        <v>10</v>
      </c>
      <c r="J290" s="29" t="s">
        <v>246</v>
      </c>
      <c r="K290" s="29" t="s">
        <v>247</v>
      </c>
      <c r="L290" s="29" t="n">
        <v>0.04</v>
      </c>
      <c r="M290" s="32" t="n">
        <v>13423.58</v>
      </c>
      <c r="N290" s="32" t="n">
        <v>13419.03</v>
      </c>
      <c r="O290" s="32" t="n">
        <v>13435.93</v>
      </c>
      <c r="P290" s="45" t="n">
        <f aca="false">ABS(M290-N290)</f>
        <v>4.54999999999927</v>
      </c>
      <c r="Q290" s="45" t="n">
        <f aca="false">IF(O290="","",ABS(O290-M290))</f>
        <v>12.3500000000004</v>
      </c>
      <c r="R290" s="31" t="n">
        <f aca="false">P290*L290*Summary!$C$6</f>
        <v>18.1999999999971</v>
      </c>
      <c r="S290" s="32" t="n">
        <v>13418.99</v>
      </c>
      <c r="T290" s="29" t="s">
        <v>249</v>
      </c>
      <c r="U290" s="45" t="n">
        <f aca="false">IF(J290="BUY",S290-M290,M290-S290)</f>
        <v>-4.59000000000015</v>
      </c>
      <c r="V290" s="46" t="n">
        <v>0</v>
      </c>
      <c r="W290" s="46" t="n">
        <v>0</v>
      </c>
      <c r="X290" s="46" t="n">
        <v>-18.36</v>
      </c>
      <c r="Y290" s="33" t="n">
        <f aca="false">IFERROR(X290/R290,0)</f>
        <v>-1.00879120879137</v>
      </c>
      <c r="Z290" s="29" t="str">
        <f aca="false">IF(X290&gt;0,"Win",IF(X290&lt;0,"Loss","Flat"))</f>
        <v>Loss</v>
      </c>
      <c r="AA290" s="29" t="n">
        <f aca="false">ROUND((C290-B290)*1440,1)</f>
        <v>2</v>
      </c>
      <c r="AB290" s="29" t="str">
        <f aca="false">IF(AA290&lt;1,"a) &lt;1 min",IF(AA290&lt;10,"b) 1-10 min",IF(AA290&lt;60,"c) 10-60 min",IF(AA290&lt;240,"d) 1-4 h","e) 4 h+"))))</f>
        <v>b) 1-10 min</v>
      </c>
      <c r="AC290" s="29" t="str">
        <f aca="false">IF(P290&lt;10,"a) &lt;10",IF(P290&lt;20,"b) 10-20",IF(P290&lt;40,"c) 20-40",IF(P290&lt;80,"d) 40-80","e) 80+"))))</f>
        <v>a) &lt;10</v>
      </c>
      <c r="AD290" s="31" t="n">
        <f aca="false">Summary!$C$5+SUM(X$2:X290)</f>
        <v>12952.12</v>
      </c>
      <c r="AE290" s="31" t="n">
        <f aca="false">MAX(AE289,AD290)</f>
        <v>13354</v>
      </c>
      <c r="AF290" s="31" t="n">
        <f aca="false">AE290-AD290</f>
        <v>401.880000000001</v>
      </c>
      <c r="AG290" s="30" t="n">
        <f aca="false">IFERROR(AF290/AE290,0)</f>
        <v>0.030094353751685</v>
      </c>
    </row>
    <row r="291" customFormat="false" ht="15" hidden="false" customHeight="false" outlineLevel="0" collapsed="false">
      <c r="A291" s="29" t="n">
        <v>290</v>
      </c>
      <c r="B291" s="44" t="n">
        <v>45063.7826388889</v>
      </c>
      <c r="C291" s="44" t="n">
        <v>45063.7837731482</v>
      </c>
      <c r="D291" s="43" t="n">
        <f aca="false">INT(C291)</f>
        <v>45063</v>
      </c>
      <c r="E291" s="43" t="n">
        <f aca="false">D291-WEEKDAY(D291,3)</f>
        <v>45061</v>
      </c>
      <c r="F291" s="29" t="s">
        <v>157</v>
      </c>
      <c r="G291" s="29" t="n">
        <v>2023</v>
      </c>
      <c r="H291" s="29" t="s">
        <v>252</v>
      </c>
      <c r="I291" s="29" t="n">
        <v>18</v>
      </c>
      <c r="J291" s="29" t="s">
        <v>246</v>
      </c>
      <c r="K291" s="29" t="s">
        <v>247</v>
      </c>
      <c r="L291" s="29" t="n">
        <v>0.04</v>
      </c>
      <c r="M291" s="32" t="n">
        <v>13500.37</v>
      </c>
      <c r="N291" s="32" t="n">
        <v>13495.67</v>
      </c>
      <c r="O291" s="32" t="n">
        <v>13512.75</v>
      </c>
      <c r="P291" s="45" t="n">
        <f aca="false">ABS(M291-N291)</f>
        <v>4.70000000000073</v>
      </c>
      <c r="Q291" s="45" t="n">
        <f aca="false">IF(O291="","",ABS(O291-M291))</f>
        <v>12.3799999999992</v>
      </c>
      <c r="R291" s="31" t="n">
        <f aca="false">P291*L291*Summary!$C$6</f>
        <v>18.8000000000029</v>
      </c>
      <c r="S291" s="32" t="n">
        <v>13495.41</v>
      </c>
      <c r="T291" s="29" t="s">
        <v>249</v>
      </c>
      <c r="U291" s="45" t="n">
        <f aca="false">IF(J291="BUY",S291-M291,M291-S291)</f>
        <v>-4.96000000000095</v>
      </c>
      <c r="V291" s="46" t="n">
        <v>0</v>
      </c>
      <c r="W291" s="46" t="n">
        <v>0</v>
      </c>
      <c r="X291" s="46" t="n">
        <v>-19.84</v>
      </c>
      <c r="Y291" s="33" t="n">
        <f aca="false">IFERROR(X291/R291,0)</f>
        <v>-1.05531914893601</v>
      </c>
      <c r="Z291" s="29" t="str">
        <f aca="false">IF(X291&gt;0,"Win",IF(X291&lt;0,"Loss","Flat"))</f>
        <v>Loss</v>
      </c>
      <c r="AA291" s="29" t="n">
        <f aca="false">ROUND((C291-B291)*1440,1)</f>
        <v>1.6</v>
      </c>
      <c r="AB291" s="29" t="str">
        <f aca="false">IF(AA291&lt;1,"a) &lt;1 min",IF(AA291&lt;10,"b) 1-10 min",IF(AA291&lt;60,"c) 10-60 min",IF(AA291&lt;240,"d) 1-4 h","e) 4 h+"))))</f>
        <v>b) 1-10 min</v>
      </c>
      <c r="AC291" s="29" t="str">
        <f aca="false">IF(P291&lt;10,"a) &lt;10",IF(P291&lt;20,"b) 10-20",IF(P291&lt;40,"c) 20-40",IF(P291&lt;80,"d) 40-80","e) 80+"))))</f>
        <v>a) &lt;10</v>
      </c>
      <c r="AD291" s="31" t="n">
        <f aca="false">Summary!$C$5+SUM(X$2:X291)</f>
        <v>12932.28</v>
      </c>
      <c r="AE291" s="31" t="n">
        <f aca="false">MAX(AE290,AD291)</f>
        <v>13354</v>
      </c>
      <c r="AF291" s="31" t="n">
        <f aca="false">AE291-AD291</f>
        <v>421.720000000001</v>
      </c>
      <c r="AG291" s="30" t="n">
        <f aca="false">IFERROR(AF291/AE291,0)</f>
        <v>0.0315800509210724</v>
      </c>
    </row>
    <row r="292" customFormat="false" ht="15" hidden="false" customHeight="false" outlineLevel="0" collapsed="false">
      <c r="A292" s="29" t="n">
        <v>291</v>
      </c>
      <c r="B292" s="44" t="n">
        <v>45064.4625</v>
      </c>
      <c r="C292" s="44" t="n">
        <v>45064.4627546296</v>
      </c>
      <c r="D292" s="43" t="n">
        <f aca="false">INT(C292)</f>
        <v>45064</v>
      </c>
      <c r="E292" s="43" t="n">
        <f aca="false">D292-WEEKDAY(D292,3)</f>
        <v>45061</v>
      </c>
      <c r="F292" s="29" t="s">
        <v>157</v>
      </c>
      <c r="G292" s="29" t="n">
        <v>2023</v>
      </c>
      <c r="H292" s="29" t="s">
        <v>253</v>
      </c>
      <c r="I292" s="29" t="n">
        <v>11</v>
      </c>
      <c r="J292" s="29" t="s">
        <v>246</v>
      </c>
      <c r="K292" s="29" t="s">
        <v>247</v>
      </c>
      <c r="L292" s="29" t="n">
        <v>0.04</v>
      </c>
      <c r="M292" s="32" t="n">
        <v>13608.18</v>
      </c>
      <c r="N292" s="32" t="n">
        <v>13604.42</v>
      </c>
      <c r="O292" s="32" t="n">
        <v>13620.78</v>
      </c>
      <c r="P292" s="45" t="n">
        <f aca="false">ABS(M292-N292)</f>
        <v>3.76000000000022</v>
      </c>
      <c r="Q292" s="45" t="n">
        <f aca="false">IF(O292="","",ABS(O292-M292))</f>
        <v>12.6000000000004</v>
      </c>
      <c r="R292" s="31" t="n">
        <f aca="false">P292*L292*Summary!$C$6</f>
        <v>15.0400000000009</v>
      </c>
      <c r="S292" s="32" t="n">
        <v>13604.37</v>
      </c>
      <c r="T292" s="29" t="s">
        <v>249</v>
      </c>
      <c r="U292" s="45" t="n">
        <f aca="false">IF(J292="BUY",S292-M292,M292-S292)</f>
        <v>-3.80999999999949</v>
      </c>
      <c r="V292" s="46" t="n">
        <v>0</v>
      </c>
      <c r="W292" s="46" t="n">
        <v>0</v>
      </c>
      <c r="X292" s="46" t="n">
        <v>-15.24</v>
      </c>
      <c r="Y292" s="33" t="n">
        <f aca="false">IFERROR(X292/R292,0)</f>
        <v>-1.01329787234037</v>
      </c>
      <c r="Z292" s="29" t="str">
        <f aca="false">IF(X292&gt;0,"Win",IF(X292&lt;0,"Loss","Flat"))</f>
        <v>Loss</v>
      </c>
      <c r="AA292" s="29" t="n">
        <f aca="false">ROUND((C292-B292)*1440,1)</f>
        <v>0.4</v>
      </c>
      <c r="AB292" s="29" t="str">
        <f aca="false">IF(AA292&lt;1,"a) &lt;1 min",IF(AA292&lt;10,"b) 1-10 min",IF(AA292&lt;60,"c) 10-60 min",IF(AA292&lt;240,"d) 1-4 h","e) 4 h+"))))</f>
        <v>a) &lt;1 min</v>
      </c>
      <c r="AC292" s="29" t="str">
        <f aca="false">IF(P292&lt;10,"a) &lt;10",IF(P292&lt;20,"b) 10-20",IF(P292&lt;40,"c) 20-40",IF(P292&lt;80,"d) 40-80","e) 80+"))))</f>
        <v>a) &lt;10</v>
      </c>
      <c r="AD292" s="31" t="n">
        <f aca="false">Summary!$C$5+SUM(X$2:X292)</f>
        <v>12917.04</v>
      </c>
      <c r="AE292" s="31" t="n">
        <f aca="false">MAX(AE291,AD292)</f>
        <v>13354</v>
      </c>
      <c r="AF292" s="31" t="n">
        <f aca="false">AE292-AD292</f>
        <v>436.959999999999</v>
      </c>
      <c r="AG292" s="30" t="n">
        <f aca="false">IFERROR(AF292/AE292,0)</f>
        <v>0.03272128201288</v>
      </c>
    </row>
    <row r="293" customFormat="false" ht="15" hidden="false" customHeight="false" outlineLevel="0" collapsed="false">
      <c r="A293" s="29" t="n">
        <v>292</v>
      </c>
      <c r="B293" s="44" t="n">
        <v>45065.0423611111</v>
      </c>
      <c r="C293" s="44" t="n">
        <v>45065.0469560185</v>
      </c>
      <c r="D293" s="43" t="n">
        <f aca="false">INT(C293)</f>
        <v>45065</v>
      </c>
      <c r="E293" s="43" t="n">
        <f aca="false">D293-WEEKDAY(D293,3)</f>
        <v>45061</v>
      </c>
      <c r="F293" s="29" t="s">
        <v>157</v>
      </c>
      <c r="G293" s="29" t="n">
        <v>2023</v>
      </c>
      <c r="H293" s="29" t="s">
        <v>254</v>
      </c>
      <c r="I293" s="29" t="n">
        <v>1</v>
      </c>
      <c r="J293" s="29" t="s">
        <v>246</v>
      </c>
      <c r="K293" s="29" t="s">
        <v>247</v>
      </c>
      <c r="L293" s="29" t="n">
        <v>0.04</v>
      </c>
      <c r="M293" s="32" t="n">
        <v>13849.42</v>
      </c>
      <c r="N293" s="32" t="n">
        <v>13844.77</v>
      </c>
      <c r="O293" s="32" t="n">
        <v>13860.8</v>
      </c>
      <c r="P293" s="45" t="n">
        <f aca="false">ABS(M293-N293)</f>
        <v>4.64999999999964</v>
      </c>
      <c r="Q293" s="45" t="n">
        <f aca="false">IF(O293="","",ABS(O293-M293))</f>
        <v>11.3799999999992</v>
      </c>
      <c r="R293" s="31" t="n">
        <f aca="false">P293*L293*Summary!$C$6</f>
        <v>18.5999999999985</v>
      </c>
      <c r="S293" s="32" t="n">
        <v>13861.95</v>
      </c>
      <c r="T293" s="29" t="s">
        <v>227</v>
      </c>
      <c r="U293" s="45" t="n">
        <f aca="false">IF(J293="BUY",S293-M293,M293-S293)</f>
        <v>12.5300000000007</v>
      </c>
      <c r="V293" s="46" t="n">
        <v>0</v>
      </c>
      <c r="W293" s="46" t="n">
        <v>0</v>
      </c>
      <c r="X293" s="46" t="n">
        <v>50.12</v>
      </c>
      <c r="Y293" s="33" t="n">
        <f aca="false">IFERROR(X293/R293,0)</f>
        <v>2.69462365591419</v>
      </c>
      <c r="Z293" s="29" t="str">
        <f aca="false">IF(X293&gt;0,"Win",IF(X293&lt;0,"Loss","Flat"))</f>
        <v>Win</v>
      </c>
      <c r="AA293" s="29" t="n">
        <f aca="false">ROUND((C293-B293)*1440,1)</f>
        <v>6.6</v>
      </c>
      <c r="AB293" s="29" t="str">
        <f aca="false">IF(AA293&lt;1,"a) &lt;1 min",IF(AA293&lt;10,"b) 1-10 min",IF(AA293&lt;60,"c) 10-60 min",IF(AA293&lt;240,"d) 1-4 h","e) 4 h+"))))</f>
        <v>b) 1-10 min</v>
      </c>
      <c r="AC293" s="29" t="str">
        <f aca="false">IF(P293&lt;10,"a) &lt;10",IF(P293&lt;20,"b) 10-20",IF(P293&lt;40,"c) 20-40",IF(P293&lt;80,"d) 40-80","e) 80+"))))</f>
        <v>a) &lt;10</v>
      </c>
      <c r="AD293" s="31" t="n">
        <f aca="false">Summary!$C$5+SUM(X$2:X293)</f>
        <v>12967.16</v>
      </c>
      <c r="AE293" s="31" t="n">
        <f aca="false">MAX(AE292,AD293)</f>
        <v>13354</v>
      </c>
      <c r="AF293" s="31" t="n">
        <f aca="false">AE293-AD293</f>
        <v>386.84</v>
      </c>
      <c r="AG293" s="30" t="n">
        <f aca="false">IFERROR(AF293/AE293,0)</f>
        <v>0.0289680994458589</v>
      </c>
    </row>
    <row r="294" customFormat="false" ht="15" hidden="false" customHeight="false" outlineLevel="0" collapsed="false">
      <c r="A294" s="29" t="n">
        <v>293</v>
      </c>
      <c r="B294" s="44" t="n">
        <v>45068.0423611111</v>
      </c>
      <c r="C294" s="44" t="n">
        <v>45068.0448611111</v>
      </c>
      <c r="D294" s="43" t="n">
        <f aca="false">INT(C294)</f>
        <v>45068</v>
      </c>
      <c r="E294" s="43" t="n">
        <f aca="false">D294-WEEKDAY(D294,3)</f>
        <v>45068</v>
      </c>
      <c r="F294" s="29" t="s">
        <v>157</v>
      </c>
      <c r="G294" s="29" t="n">
        <v>2023</v>
      </c>
      <c r="H294" s="29" t="s">
        <v>245</v>
      </c>
      <c r="I294" s="29" t="n">
        <v>1</v>
      </c>
      <c r="J294" s="29" t="s">
        <v>250</v>
      </c>
      <c r="K294" s="29" t="s">
        <v>251</v>
      </c>
      <c r="L294" s="29" t="n">
        <v>0.04</v>
      </c>
      <c r="M294" s="32" t="n">
        <v>13758.01</v>
      </c>
      <c r="N294" s="32" t="n">
        <v>13767.05</v>
      </c>
      <c r="O294" s="32" t="n">
        <v>13735.86</v>
      </c>
      <c r="P294" s="45" t="n">
        <f aca="false">ABS(M294-N294)</f>
        <v>9.03999999999905</v>
      </c>
      <c r="Q294" s="45" t="n">
        <f aca="false">IF(O294="","",ABS(O294-M294))</f>
        <v>22.1499999999996</v>
      </c>
      <c r="R294" s="31" t="n">
        <f aca="false">P294*L294*Summary!$C$6</f>
        <v>36.1599999999962</v>
      </c>
      <c r="S294" s="32" t="n">
        <v>13767.06</v>
      </c>
      <c r="T294" s="29" t="s">
        <v>249</v>
      </c>
      <c r="U294" s="45" t="n">
        <f aca="false">IF(J294="BUY",S294-M294,M294-S294)</f>
        <v>-9.04999999999927</v>
      </c>
      <c r="V294" s="46" t="n">
        <v>0</v>
      </c>
      <c r="W294" s="46" t="n">
        <v>0</v>
      </c>
      <c r="X294" s="46" t="n">
        <v>-36.2</v>
      </c>
      <c r="Y294" s="33" t="n">
        <f aca="false">IFERROR(X294/R294,0)</f>
        <v>-1.00110619469037</v>
      </c>
      <c r="Z294" s="29" t="str">
        <f aca="false">IF(X294&gt;0,"Win",IF(X294&lt;0,"Loss","Flat"))</f>
        <v>Loss</v>
      </c>
      <c r="AA294" s="29" t="n">
        <f aca="false">ROUND((C294-B294)*1440,1)</f>
        <v>3.6</v>
      </c>
      <c r="AB294" s="29" t="str">
        <f aca="false">IF(AA294&lt;1,"a) &lt;1 min",IF(AA294&lt;10,"b) 1-10 min",IF(AA294&lt;60,"c) 10-60 min",IF(AA294&lt;240,"d) 1-4 h","e) 4 h+"))))</f>
        <v>b) 1-10 min</v>
      </c>
      <c r="AC294" s="29" t="str">
        <f aca="false">IF(P294&lt;10,"a) &lt;10",IF(P294&lt;20,"b) 10-20",IF(P294&lt;40,"c) 20-40",IF(P294&lt;80,"d) 40-80","e) 80+"))))</f>
        <v>a) &lt;10</v>
      </c>
      <c r="AD294" s="31" t="n">
        <f aca="false">Summary!$C$5+SUM(X$2:X294)</f>
        <v>12930.96</v>
      </c>
      <c r="AE294" s="31" t="n">
        <f aca="false">MAX(AE293,AD294)</f>
        <v>13354</v>
      </c>
      <c r="AF294" s="31" t="n">
        <f aca="false">AE294-AD294</f>
        <v>423.040000000001</v>
      </c>
      <c r="AG294" s="30" t="n">
        <f aca="false">IFERROR(AF294/AE294,0)</f>
        <v>0.0316788977085518</v>
      </c>
    </row>
    <row r="295" customFormat="false" ht="15" hidden="false" customHeight="false" outlineLevel="0" collapsed="false">
      <c r="A295" s="29" t="n">
        <v>294</v>
      </c>
      <c r="B295" s="44" t="n">
        <v>45069.0986111111</v>
      </c>
      <c r="C295" s="44" t="n">
        <v>45069.0997569444</v>
      </c>
      <c r="D295" s="43" t="n">
        <f aca="false">INT(C295)</f>
        <v>45069</v>
      </c>
      <c r="E295" s="43" t="n">
        <f aca="false">D295-WEEKDAY(D295,3)</f>
        <v>45068</v>
      </c>
      <c r="F295" s="29" t="s">
        <v>157</v>
      </c>
      <c r="G295" s="29" t="n">
        <v>2023</v>
      </c>
      <c r="H295" s="29" t="s">
        <v>248</v>
      </c>
      <c r="I295" s="29" t="n">
        <v>2</v>
      </c>
      <c r="J295" s="29" t="s">
        <v>246</v>
      </c>
      <c r="K295" s="29" t="s">
        <v>247</v>
      </c>
      <c r="L295" s="29" t="n">
        <v>0.04</v>
      </c>
      <c r="M295" s="32" t="n">
        <v>13896.42</v>
      </c>
      <c r="N295" s="32" t="n">
        <v>13891.72</v>
      </c>
      <c r="O295" s="32" t="n">
        <v>13907.94</v>
      </c>
      <c r="P295" s="45" t="n">
        <f aca="false">ABS(M295-N295)</f>
        <v>4.70000000000073</v>
      </c>
      <c r="Q295" s="45" t="n">
        <f aca="false">IF(O295="","",ABS(O295-M295))</f>
        <v>11.5200000000004</v>
      </c>
      <c r="R295" s="31" t="n">
        <f aca="false">P295*L295*Summary!$C$6</f>
        <v>18.8000000000029</v>
      </c>
      <c r="S295" s="32" t="n">
        <v>13891.67</v>
      </c>
      <c r="T295" s="29" t="s">
        <v>249</v>
      </c>
      <c r="U295" s="45" t="n">
        <f aca="false">IF(J295="BUY",S295-M295,M295-S295)</f>
        <v>-4.75</v>
      </c>
      <c r="V295" s="46" t="n">
        <v>0</v>
      </c>
      <c r="W295" s="46" t="n">
        <v>0</v>
      </c>
      <c r="X295" s="46" t="n">
        <v>-19</v>
      </c>
      <c r="Y295" s="33" t="n">
        <f aca="false">IFERROR(X295/R295,0)</f>
        <v>-1.01063829787218</v>
      </c>
      <c r="Z295" s="29" t="str">
        <f aca="false">IF(X295&gt;0,"Win",IF(X295&lt;0,"Loss","Flat"))</f>
        <v>Loss</v>
      </c>
      <c r="AA295" s="29" t="n">
        <f aca="false">ROUND((C295-B295)*1440,1)</f>
        <v>1.7</v>
      </c>
      <c r="AB295" s="29" t="str">
        <f aca="false">IF(AA295&lt;1,"a) &lt;1 min",IF(AA295&lt;10,"b) 1-10 min",IF(AA295&lt;60,"c) 10-60 min",IF(AA295&lt;240,"d) 1-4 h","e) 4 h+"))))</f>
        <v>b) 1-10 min</v>
      </c>
      <c r="AC295" s="29" t="str">
        <f aca="false">IF(P295&lt;10,"a) &lt;10",IF(P295&lt;20,"b) 10-20",IF(P295&lt;40,"c) 20-40",IF(P295&lt;80,"d) 40-80","e) 80+"))))</f>
        <v>a) &lt;10</v>
      </c>
      <c r="AD295" s="31" t="n">
        <f aca="false">Summary!$C$5+SUM(X$2:X295)</f>
        <v>12911.96</v>
      </c>
      <c r="AE295" s="31" t="n">
        <f aca="false">MAX(AE294,AD295)</f>
        <v>13354</v>
      </c>
      <c r="AF295" s="31" t="n">
        <f aca="false">AE295-AD295</f>
        <v>442.040000000001</v>
      </c>
      <c r="AG295" s="30" t="n">
        <f aca="false">IFERROR(AF295/AE295,0)</f>
        <v>0.033101692376816</v>
      </c>
    </row>
    <row r="296" customFormat="false" ht="15" hidden="false" customHeight="false" outlineLevel="0" collapsed="false">
      <c r="A296" s="29" t="n">
        <v>295</v>
      </c>
      <c r="B296" s="44" t="n">
        <v>45069.81875</v>
      </c>
      <c r="C296" s="44" t="n">
        <v>45069.831087963</v>
      </c>
      <c r="D296" s="43" t="n">
        <f aca="false">INT(C296)</f>
        <v>45069</v>
      </c>
      <c r="E296" s="43" t="n">
        <f aca="false">D296-WEEKDAY(D296,3)</f>
        <v>45068</v>
      </c>
      <c r="F296" s="29" t="s">
        <v>157</v>
      </c>
      <c r="G296" s="29" t="n">
        <v>2023</v>
      </c>
      <c r="H296" s="29" t="s">
        <v>248</v>
      </c>
      <c r="I296" s="29" t="n">
        <v>19</v>
      </c>
      <c r="J296" s="29" t="s">
        <v>250</v>
      </c>
      <c r="K296" s="29" t="s">
        <v>251</v>
      </c>
      <c r="L296" s="29" t="n">
        <v>0.04</v>
      </c>
      <c r="M296" s="32" t="n">
        <v>13749.6</v>
      </c>
      <c r="N296" s="32" t="n">
        <v>13761.88</v>
      </c>
      <c r="O296" s="32" t="n">
        <v>13720.11</v>
      </c>
      <c r="P296" s="45" t="n">
        <f aca="false">ABS(M296-N296)</f>
        <v>12.2799999999988</v>
      </c>
      <c r="Q296" s="45" t="n">
        <f aca="false">IF(O296="","",ABS(O296-M296))</f>
        <v>29.4899999999998</v>
      </c>
      <c r="R296" s="31" t="n">
        <f aca="false">P296*L296*Summary!$C$6</f>
        <v>49.1199999999953</v>
      </c>
      <c r="S296" s="32" t="n">
        <v>13749.92</v>
      </c>
      <c r="T296" s="29" t="s">
        <v>255</v>
      </c>
      <c r="U296" s="45" t="n">
        <f aca="false">IF(J296="BUY",S296-M296,M296-S296)</f>
        <v>-0.319999999999709</v>
      </c>
      <c r="V296" s="46" t="n">
        <v>0</v>
      </c>
      <c r="W296" s="46" t="n">
        <v>0</v>
      </c>
      <c r="X296" s="46" t="n">
        <v>-1.28</v>
      </c>
      <c r="Y296" s="33" t="n">
        <f aca="false">IFERROR(X296/R296,0)</f>
        <v>-0.0260586319218266</v>
      </c>
      <c r="Z296" s="29" t="str">
        <f aca="false">IF(X296&gt;0,"Win",IF(X296&lt;0,"Loss","Flat"))</f>
        <v>Loss</v>
      </c>
      <c r="AA296" s="29" t="n">
        <f aca="false">ROUND((C296-B296)*1440,1)</f>
        <v>17.8</v>
      </c>
      <c r="AB296" s="29" t="str">
        <f aca="false">IF(AA296&lt;1,"a) &lt;1 min",IF(AA296&lt;10,"b) 1-10 min",IF(AA296&lt;60,"c) 10-60 min",IF(AA296&lt;240,"d) 1-4 h","e) 4 h+"))))</f>
        <v>c) 10-60 min</v>
      </c>
      <c r="AC296" s="29" t="str">
        <f aca="false">IF(P296&lt;10,"a) &lt;10",IF(P296&lt;20,"b) 10-20",IF(P296&lt;40,"c) 20-40",IF(P296&lt;80,"d) 40-80","e) 80+"))))</f>
        <v>b) 10-20</v>
      </c>
      <c r="AD296" s="31" t="n">
        <f aca="false">Summary!$C$5+SUM(X$2:X296)</f>
        <v>12910.68</v>
      </c>
      <c r="AE296" s="31" t="n">
        <f aca="false">MAX(AE295,AD296)</f>
        <v>13354</v>
      </c>
      <c r="AF296" s="31" t="n">
        <f aca="false">AE296-AD296</f>
        <v>443.32</v>
      </c>
      <c r="AG296" s="30" t="n">
        <f aca="false">IFERROR(AF296/AE296,0)</f>
        <v>0.033197543807099</v>
      </c>
    </row>
    <row r="297" customFormat="false" ht="15" hidden="false" customHeight="false" outlineLevel="0" collapsed="false">
      <c r="A297" s="29" t="n">
        <v>296</v>
      </c>
      <c r="B297" s="44" t="n">
        <v>45070.4194444444</v>
      </c>
      <c r="C297" s="44" t="n">
        <v>45070.424212963</v>
      </c>
      <c r="D297" s="43" t="n">
        <f aca="false">INT(C297)</f>
        <v>45070</v>
      </c>
      <c r="E297" s="43" t="n">
        <f aca="false">D297-WEEKDAY(D297,3)</f>
        <v>45068</v>
      </c>
      <c r="F297" s="29" t="s">
        <v>157</v>
      </c>
      <c r="G297" s="29" t="n">
        <v>2023</v>
      </c>
      <c r="H297" s="29" t="s">
        <v>252</v>
      </c>
      <c r="I297" s="29" t="n">
        <v>10</v>
      </c>
      <c r="J297" s="29" t="s">
        <v>250</v>
      </c>
      <c r="K297" s="29" t="s">
        <v>251</v>
      </c>
      <c r="L297" s="29" t="n">
        <v>0.04</v>
      </c>
      <c r="M297" s="32" t="n">
        <v>13656.89</v>
      </c>
      <c r="N297" s="32" t="n">
        <v>13663.29</v>
      </c>
      <c r="O297" s="32" t="n">
        <v>13641.12</v>
      </c>
      <c r="P297" s="45" t="n">
        <f aca="false">ABS(M297-N297)</f>
        <v>6.40000000000146</v>
      </c>
      <c r="Q297" s="45" t="n">
        <f aca="false">IF(O297="","",ABS(O297-M297))</f>
        <v>15.7699999999986</v>
      </c>
      <c r="R297" s="31" t="n">
        <f aca="false">P297*L297*Summary!$C$6</f>
        <v>25.6000000000058</v>
      </c>
      <c r="S297" s="32" t="n">
        <v>13663.29</v>
      </c>
      <c r="T297" s="29" t="s">
        <v>249</v>
      </c>
      <c r="U297" s="45" t="n">
        <f aca="false">IF(J297="BUY",S297-M297,M297-S297)</f>
        <v>-6.40000000000146</v>
      </c>
      <c r="V297" s="46" t="n">
        <v>0</v>
      </c>
      <c r="W297" s="46" t="n">
        <v>0</v>
      </c>
      <c r="X297" s="46" t="n">
        <v>-25.6</v>
      </c>
      <c r="Y297" s="33" t="n">
        <f aca="false">IFERROR(X297/R297,0)</f>
        <v>-0.999999999999773</v>
      </c>
      <c r="Z297" s="29" t="str">
        <f aca="false">IF(X297&gt;0,"Win",IF(X297&lt;0,"Loss","Flat"))</f>
        <v>Loss</v>
      </c>
      <c r="AA297" s="29" t="n">
        <f aca="false">ROUND((C297-B297)*1440,1)</f>
        <v>6.9</v>
      </c>
      <c r="AB297" s="29" t="str">
        <f aca="false">IF(AA297&lt;1,"a) &lt;1 min",IF(AA297&lt;10,"b) 1-10 min",IF(AA297&lt;60,"c) 10-60 min",IF(AA297&lt;240,"d) 1-4 h","e) 4 h+"))))</f>
        <v>b) 1-10 min</v>
      </c>
      <c r="AC297" s="29" t="str">
        <f aca="false">IF(P297&lt;10,"a) &lt;10",IF(P297&lt;20,"b) 10-20",IF(P297&lt;40,"c) 20-40",IF(P297&lt;80,"d) 40-80","e) 80+"))))</f>
        <v>a) &lt;10</v>
      </c>
      <c r="AD297" s="31" t="n">
        <f aca="false">Summary!$C$5+SUM(X$2:X297)</f>
        <v>12885.08</v>
      </c>
      <c r="AE297" s="31" t="n">
        <f aca="false">MAX(AE296,AD297)</f>
        <v>13354</v>
      </c>
      <c r="AF297" s="31" t="n">
        <f aca="false">AE297-AD297</f>
        <v>468.92</v>
      </c>
      <c r="AG297" s="30" t="n">
        <f aca="false">IFERROR(AF297/AE297,0)</f>
        <v>0.0351145724127602</v>
      </c>
    </row>
    <row r="298" customFormat="false" ht="15" hidden="false" customHeight="false" outlineLevel="0" collapsed="false">
      <c r="A298" s="29" t="n">
        <v>297</v>
      </c>
      <c r="B298" s="44" t="n">
        <v>45071.0423611111</v>
      </c>
      <c r="C298" s="44" t="n">
        <v>45071.067349537</v>
      </c>
      <c r="D298" s="43" t="n">
        <f aca="false">INT(C298)</f>
        <v>45071</v>
      </c>
      <c r="E298" s="43" t="n">
        <f aca="false">D298-WEEKDAY(D298,3)</f>
        <v>45068</v>
      </c>
      <c r="F298" s="29" t="s">
        <v>157</v>
      </c>
      <c r="G298" s="29" t="n">
        <v>2023</v>
      </c>
      <c r="H298" s="29" t="s">
        <v>253</v>
      </c>
      <c r="I298" s="29" t="n">
        <v>1</v>
      </c>
      <c r="J298" s="29" t="s">
        <v>246</v>
      </c>
      <c r="K298" s="29" t="s">
        <v>247</v>
      </c>
      <c r="L298" s="29" t="n">
        <v>0.04</v>
      </c>
      <c r="M298" s="32" t="n">
        <v>13824.78</v>
      </c>
      <c r="N298" s="32" t="n">
        <v>13774.17</v>
      </c>
      <c r="O298" s="32" t="n">
        <v>13948.77</v>
      </c>
      <c r="P298" s="45" t="n">
        <f aca="false">ABS(M298-N298)</f>
        <v>50.6100000000006</v>
      </c>
      <c r="Q298" s="45" t="n">
        <f aca="false">IF(O298="","",ABS(O298-M298))</f>
        <v>123.99</v>
      </c>
      <c r="R298" s="31" t="n">
        <f aca="false">P298*L298*Summary!$C$6</f>
        <v>202.440000000002</v>
      </c>
      <c r="S298" s="32" t="n">
        <v>13774.02</v>
      </c>
      <c r="T298" s="29" t="s">
        <v>249</v>
      </c>
      <c r="U298" s="45" t="n">
        <f aca="false">IF(J298="BUY",S298-M298,M298-S298)</f>
        <v>-50.7600000000002</v>
      </c>
      <c r="V298" s="46" t="n">
        <v>0</v>
      </c>
      <c r="W298" s="46" t="n">
        <v>0</v>
      </c>
      <c r="X298" s="46" t="n">
        <v>-203.04</v>
      </c>
      <c r="Y298" s="33" t="n">
        <f aca="false">IFERROR(X298/R298,0)</f>
        <v>-1.0029638411381</v>
      </c>
      <c r="Z298" s="29" t="str">
        <f aca="false">IF(X298&gt;0,"Win",IF(X298&lt;0,"Loss","Flat"))</f>
        <v>Loss</v>
      </c>
      <c r="AA298" s="29" t="n">
        <f aca="false">ROUND((C298-B298)*1440,1)</f>
        <v>36</v>
      </c>
      <c r="AB298" s="29" t="str">
        <f aca="false">IF(AA298&lt;1,"a) &lt;1 min",IF(AA298&lt;10,"b) 1-10 min",IF(AA298&lt;60,"c) 10-60 min",IF(AA298&lt;240,"d) 1-4 h","e) 4 h+"))))</f>
        <v>c) 10-60 min</v>
      </c>
      <c r="AC298" s="29" t="str">
        <f aca="false">IF(P298&lt;10,"a) &lt;10",IF(P298&lt;20,"b) 10-20",IF(P298&lt;40,"c) 20-40",IF(P298&lt;80,"d) 40-80","e) 80+"))))</f>
        <v>d) 40-80</v>
      </c>
      <c r="AD298" s="31" t="n">
        <f aca="false">Summary!$C$5+SUM(X$2:X298)</f>
        <v>12682.04</v>
      </c>
      <c r="AE298" s="31" t="n">
        <f aca="false">MAX(AE297,AD298)</f>
        <v>13354</v>
      </c>
      <c r="AF298" s="31" t="n">
        <f aca="false">AE298-AD298</f>
        <v>671.959999999999</v>
      </c>
      <c r="AG298" s="30" t="n">
        <f aca="false">IFERROR(AF298/AE298,0)</f>
        <v>0.0503190055414108</v>
      </c>
    </row>
    <row r="299" customFormat="false" ht="15" hidden="false" customHeight="false" outlineLevel="0" collapsed="false">
      <c r="A299" s="29" t="n">
        <v>298</v>
      </c>
      <c r="B299" s="44" t="n">
        <v>45072.6013888889</v>
      </c>
      <c r="C299" s="44" t="n">
        <v>45072.6021296296</v>
      </c>
      <c r="D299" s="43" t="n">
        <f aca="false">INT(C299)</f>
        <v>45072</v>
      </c>
      <c r="E299" s="43" t="n">
        <f aca="false">D299-WEEKDAY(D299,3)</f>
        <v>45068</v>
      </c>
      <c r="F299" s="29" t="s">
        <v>157</v>
      </c>
      <c r="G299" s="29" t="n">
        <v>2023</v>
      </c>
      <c r="H299" s="29" t="s">
        <v>254</v>
      </c>
      <c r="I299" s="29" t="n">
        <v>14</v>
      </c>
      <c r="J299" s="29" t="s">
        <v>246</v>
      </c>
      <c r="K299" s="29" t="s">
        <v>247</v>
      </c>
      <c r="L299" s="29" t="n">
        <v>0.04</v>
      </c>
      <c r="M299" s="32" t="n">
        <v>13991.59</v>
      </c>
      <c r="N299" s="32" t="n">
        <v>13987.05</v>
      </c>
      <c r="O299" s="32" t="n">
        <v>14002.58</v>
      </c>
      <c r="P299" s="45" t="n">
        <f aca="false">ABS(M299-N299)</f>
        <v>4.54000000000087</v>
      </c>
      <c r="Q299" s="45" t="n">
        <f aca="false">IF(O299="","",ABS(O299-M299))</f>
        <v>10.9899999999998</v>
      </c>
      <c r="R299" s="31" t="n">
        <f aca="false">P299*L299*Summary!$C$6</f>
        <v>18.1600000000035</v>
      </c>
      <c r="S299" s="32" t="n">
        <v>13991.43</v>
      </c>
      <c r="T299" s="29" t="s">
        <v>255</v>
      </c>
      <c r="U299" s="45" t="n">
        <f aca="false">IF(J299="BUY",S299-M299,M299-S299)</f>
        <v>-0.159999999999854</v>
      </c>
      <c r="V299" s="46" t="n">
        <v>0</v>
      </c>
      <c r="W299" s="46" t="n">
        <v>0</v>
      </c>
      <c r="X299" s="46" t="n">
        <v>-0.64</v>
      </c>
      <c r="Y299" s="33" t="n">
        <f aca="false">IFERROR(X299/R299,0)</f>
        <v>-0.0352422907488919</v>
      </c>
      <c r="Z299" s="29" t="str">
        <f aca="false">IF(X299&gt;0,"Win",IF(X299&lt;0,"Loss","Flat"))</f>
        <v>Loss</v>
      </c>
      <c r="AA299" s="29" t="n">
        <f aca="false">ROUND((C299-B299)*1440,1)</f>
        <v>1.1</v>
      </c>
      <c r="AB299" s="29" t="str">
        <f aca="false">IF(AA299&lt;1,"a) &lt;1 min",IF(AA299&lt;10,"b) 1-10 min",IF(AA299&lt;60,"c) 10-60 min",IF(AA299&lt;240,"d) 1-4 h","e) 4 h+"))))</f>
        <v>b) 1-10 min</v>
      </c>
      <c r="AC299" s="29" t="str">
        <f aca="false">IF(P299&lt;10,"a) &lt;10",IF(P299&lt;20,"b) 10-20",IF(P299&lt;40,"c) 20-40",IF(P299&lt;80,"d) 40-80","e) 80+"))))</f>
        <v>a) &lt;10</v>
      </c>
      <c r="AD299" s="31" t="n">
        <f aca="false">Summary!$C$5+SUM(X$2:X299)</f>
        <v>12681.4</v>
      </c>
      <c r="AE299" s="31" t="n">
        <f aca="false">MAX(AE298,AD299)</f>
        <v>13354</v>
      </c>
      <c r="AF299" s="31" t="n">
        <f aca="false">AE299-AD299</f>
        <v>672.6</v>
      </c>
      <c r="AG299" s="30" t="n">
        <f aca="false">IFERROR(AF299/AE299,0)</f>
        <v>0.0503669312565524</v>
      </c>
    </row>
    <row r="300" customFormat="false" ht="15" hidden="false" customHeight="false" outlineLevel="0" collapsed="false">
      <c r="A300" s="29" t="n">
        <v>299</v>
      </c>
      <c r="B300" s="44" t="n">
        <v>45075.0423611111</v>
      </c>
      <c r="C300" s="44" t="n">
        <v>45075.051400463</v>
      </c>
      <c r="D300" s="43" t="n">
        <f aca="false">INT(C300)</f>
        <v>45075</v>
      </c>
      <c r="E300" s="43" t="n">
        <f aca="false">D300-WEEKDAY(D300,3)</f>
        <v>45075</v>
      </c>
      <c r="F300" s="29" t="s">
        <v>157</v>
      </c>
      <c r="G300" s="29" t="n">
        <v>2023</v>
      </c>
      <c r="H300" s="29" t="s">
        <v>245</v>
      </c>
      <c r="I300" s="29" t="n">
        <v>1</v>
      </c>
      <c r="J300" s="29" t="s">
        <v>246</v>
      </c>
      <c r="K300" s="29" t="s">
        <v>247</v>
      </c>
      <c r="L300" s="29" t="n">
        <v>0.04</v>
      </c>
      <c r="M300" s="32" t="n">
        <v>14384.91</v>
      </c>
      <c r="N300" s="32" t="n">
        <v>14369.36</v>
      </c>
      <c r="O300" s="32" t="n">
        <v>14431.33</v>
      </c>
      <c r="P300" s="45" t="n">
        <f aca="false">ABS(M300-N300)</f>
        <v>15.5499999999993</v>
      </c>
      <c r="Q300" s="45" t="n">
        <f aca="false">IF(O300="","",ABS(O300-M300))</f>
        <v>46.4200000000001</v>
      </c>
      <c r="R300" s="31" t="n">
        <f aca="false">P300*L300*Summary!$C$6</f>
        <v>62.1999999999971</v>
      </c>
      <c r="S300" s="32" t="n">
        <v>14369.12</v>
      </c>
      <c r="T300" s="29" t="s">
        <v>249</v>
      </c>
      <c r="U300" s="45" t="n">
        <f aca="false">IF(J300="BUY",S300-M300,M300-S300)</f>
        <v>-15.7899999999991</v>
      </c>
      <c r="V300" s="46" t="n">
        <v>0</v>
      </c>
      <c r="W300" s="46" t="n">
        <v>0</v>
      </c>
      <c r="X300" s="46" t="n">
        <v>-63.16</v>
      </c>
      <c r="Y300" s="33" t="n">
        <f aca="false">IFERROR(X300/R300,0)</f>
        <v>-1.01543408360133</v>
      </c>
      <c r="Z300" s="29" t="str">
        <f aca="false">IF(X300&gt;0,"Win",IF(X300&lt;0,"Loss","Flat"))</f>
        <v>Loss</v>
      </c>
      <c r="AA300" s="29" t="n">
        <f aca="false">ROUND((C300-B300)*1440,1)</f>
        <v>13</v>
      </c>
      <c r="AB300" s="29" t="str">
        <f aca="false">IF(AA300&lt;1,"a) &lt;1 min",IF(AA300&lt;10,"b) 1-10 min",IF(AA300&lt;60,"c) 10-60 min",IF(AA300&lt;240,"d) 1-4 h","e) 4 h+"))))</f>
        <v>c) 10-60 min</v>
      </c>
      <c r="AC300" s="29" t="str">
        <f aca="false">IF(P300&lt;10,"a) &lt;10",IF(P300&lt;20,"b) 10-20",IF(P300&lt;40,"c) 20-40",IF(P300&lt;80,"d) 40-80","e) 80+"))))</f>
        <v>b) 10-20</v>
      </c>
      <c r="AD300" s="31" t="n">
        <f aca="false">Summary!$C$5+SUM(X$2:X300)</f>
        <v>12618.24</v>
      </c>
      <c r="AE300" s="31" t="n">
        <f aca="false">MAX(AE299,AD300)</f>
        <v>13354</v>
      </c>
      <c r="AF300" s="31" t="n">
        <f aca="false">AE300-AD300</f>
        <v>735.76</v>
      </c>
      <c r="AG300" s="30" t="n">
        <f aca="false">IFERROR(AF300/AE300,0)</f>
        <v>0.0550966002695822</v>
      </c>
    </row>
    <row r="301" customFormat="false" ht="15" hidden="false" customHeight="false" outlineLevel="0" collapsed="false">
      <c r="A301" s="29" t="n">
        <v>300</v>
      </c>
      <c r="B301" s="44" t="n">
        <v>45076.4645833333</v>
      </c>
      <c r="C301" s="44" t="n">
        <v>45076.469224537</v>
      </c>
      <c r="D301" s="43" t="n">
        <f aca="false">INT(C301)</f>
        <v>45076</v>
      </c>
      <c r="E301" s="43" t="n">
        <f aca="false">D301-WEEKDAY(D301,3)</f>
        <v>45075</v>
      </c>
      <c r="F301" s="29" t="s">
        <v>157</v>
      </c>
      <c r="G301" s="29" t="n">
        <v>2023</v>
      </c>
      <c r="H301" s="29" t="s">
        <v>248</v>
      </c>
      <c r="I301" s="29" t="n">
        <v>11</v>
      </c>
      <c r="J301" s="29" t="s">
        <v>246</v>
      </c>
      <c r="K301" s="29" t="s">
        <v>247</v>
      </c>
      <c r="L301" s="29" t="n">
        <v>0.04</v>
      </c>
      <c r="M301" s="32" t="n">
        <v>14406.62</v>
      </c>
      <c r="N301" s="32" t="n">
        <v>14400.68</v>
      </c>
      <c r="O301" s="32" t="n">
        <v>14421.03</v>
      </c>
      <c r="P301" s="45" t="n">
        <f aca="false">ABS(M301-N301)</f>
        <v>5.94000000000051</v>
      </c>
      <c r="Q301" s="45" t="n">
        <f aca="false">IF(O301="","",ABS(O301-M301))</f>
        <v>14.4099999999999</v>
      </c>
      <c r="R301" s="31" t="n">
        <f aca="false">P301*L301*Summary!$C$6</f>
        <v>23.760000000002</v>
      </c>
      <c r="S301" s="32" t="n">
        <v>14421.67</v>
      </c>
      <c r="T301" s="29" t="s">
        <v>227</v>
      </c>
      <c r="U301" s="45" t="n">
        <f aca="false">IF(J301="BUY",S301-M301,M301-S301)</f>
        <v>15.0499999999993</v>
      </c>
      <c r="V301" s="46" t="n">
        <v>0</v>
      </c>
      <c r="W301" s="46" t="n">
        <v>0</v>
      </c>
      <c r="X301" s="46" t="n">
        <v>60.2</v>
      </c>
      <c r="Y301" s="33" t="n">
        <f aca="false">IFERROR(X301/R301,0)</f>
        <v>2.53367003366982</v>
      </c>
      <c r="Z301" s="29" t="str">
        <f aca="false">IF(X301&gt;0,"Win",IF(X301&lt;0,"Loss","Flat"))</f>
        <v>Win</v>
      </c>
      <c r="AA301" s="29" t="n">
        <f aca="false">ROUND((C301-B301)*1440,1)</f>
        <v>6.7</v>
      </c>
      <c r="AB301" s="29" t="str">
        <f aca="false">IF(AA301&lt;1,"a) &lt;1 min",IF(AA301&lt;10,"b) 1-10 min",IF(AA301&lt;60,"c) 10-60 min",IF(AA301&lt;240,"d) 1-4 h","e) 4 h+"))))</f>
        <v>b) 1-10 min</v>
      </c>
      <c r="AC301" s="29" t="str">
        <f aca="false">IF(P301&lt;10,"a) &lt;10",IF(P301&lt;20,"b) 10-20",IF(P301&lt;40,"c) 20-40",IF(P301&lt;80,"d) 40-80","e) 80+"))))</f>
        <v>a) &lt;10</v>
      </c>
      <c r="AD301" s="31" t="n">
        <f aca="false">Summary!$C$5+SUM(X$2:X301)</f>
        <v>12678.44</v>
      </c>
      <c r="AE301" s="31" t="n">
        <f aca="false">MAX(AE300,AD301)</f>
        <v>13354</v>
      </c>
      <c r="AF301" s="31" t="n">
        <f aca="false">AE301-AD301</f>
        <v>675.56</v>
      </c>
      <c r="AG301" s="30" t="n">
        <f aca="false">IFERROR(AF301/AE301,0)</f>
        <v>0.0505885876890819</v>
      </c>
    </row>
    <row r="302" customFormat="false" ht="15" hidden="false" customHeight="false" outlineLevel="0" collapsed="false">
      <c r="A302" s="29" t="n">
        <v>301</v>
      </c>
      <c r="B302" s="44" t="n">
        <v>45076.8708333333</v>
      </c>
      <c r="C302" s="44" t="n">
        <v>45076.8766319445</v>
      </c>
      <c r="D302" s="43" t="n">
        <f aca="false">INT(C302)</f>
        <v>45076</v>
      </c>
      <c r="E302" s="43" t="n">
        <f aca="false">D302-WEEKDAY(D302,3)</f>
        <v>45075</v>
      </c>
      <c r="F302" s="29" t="s">
        <v>157</v>
      </c>
      <c r="G302" s="29" t="n">
        <v>2023</v>
      </c>
      <c r="H302" s="29" t="s">
        <v>248</v>
      </c>
      <c r="I302" s="29" t="n">
        <v>20</v>
      </c>
      <c r="J302" s="29" t="s">
        <v>250</v>
      </c>
      <c r="K302" s="29" t="s">
        <v>251</v>
      </c>
      <c r="L302" s="29" t="n">
        <v>0.04</v>
      </c>
      <c r="M302" s="32" t="n">
        <v>14327.03</v>
      </c>
      <c r="N302" s="32" t="n">
        <v>14337.2</v>
      </c>
      <c r="O302" s="32" t="n">
        <v>14302.49</v>
      </c>
      <c r="P302" s="45" t="n">
        <f aca="false">ABS(M302-N302)</f>
        <v>10.1700000000001</v>
      </c>
      <c r="Q302" s="45" t="n">
        <f aca="false">IF(O302="","",ABS(O302-M302))</f>
        <v>24.5400000000009</v>
      </c>
      <c r="R302" s="31" t="n">
        <f aca="false">P302*L302*Summary!$C$6</f>
        <v>40.6800000000003</v>
      </c>
      <c r="S302" s="32" t="n">
        <v>14301.72</v>
      </c>
      <c r="T302" s="29" t="s">
        <v>227</v>
      </c>
      <c r="U302" s="45" t="n">
        <f aca="false">IF(J302="BUY",S302-M302,M302-S302)</f>
        <v>25.3100000000013</v>
      </c>
      <c r="V302" s="46" t="n">
        <v>0</v>
      </c>
      <c r="W302" s="46" t="n">
        <v>0</v>
      </c>
      <c r="X302" s="46" t="n">
        <v>101.24</v>
      </c>
      <c r="Y302" s="33" t="n">
        <f aca="false">IFERROR(X302/R302,0)</f>
        <v>2.48869223205505</v>
      </c>
      <c r="Z302" s="29" t="str">
        <f aca="false">IF(X302&gt;0,"Win",IF(X302&lt;0,"Loss","Flat"))</f>
        <v>Win</v>
      </c>
      <c r="AA302" s="29" t="n">
        <f aca="false">ROUND((C302-B302)*1440,1)</f>
        <v>8.4</v>
      </c>
      <c r="AB302" s="29" t="str">
        <f aca="false">IF(AA302&lt;1,"a) &lt;1 min",IF(AA302&lt;10,"b) 1-10 min",IF(AA302&lt;60,"c) 10-60 min",IF(AA302&lt;240,"d) 1-4 h","e) 4 h+"))))</f>
        <v>b) 1-10 min</v>
      </c>
      <c r="AC302" s="29" t="str">
        <f aca="false">IF(P302&lt;10,"a) &lt;10",IF(P302&lt;20,"b) 10-20",IF(P302&lt;40,"c) 20-40",IF(P302&lt;80,"d) 40-80","e) 80+"))))</f>
        <v>b) 10-20</v>
      </c>
      <c r="AD302" s="31" t="n">
        <f aca="false">Summary!$C$5+SUM(X$2:X302)</f>
        <v>12779.68</v>
      </c>
      <c r="AE302" s="31" t="n">
        <f aca="false">MAX(AE301,AD302)</f>
        <v>13354</v>
      </c>
      <c r="AF302" s="31" t="n">
        <f aca="false">AE302-AD302</f>
        <v>574.32</v>
      </c>
      <c r="AG302" s="30" t="n">
        <f aca="false">IFERROR(AF302/AE302,0)</f>
        <v>0.043007338625131</v>
      </c>
    </row>
    <row r="303" customFormat="false" ht="15" hidden="false" customHeight="false" outlineLevel="0" collapsed="false">
      <c r="A303" s="29" t="n">
        <v>302</v>
      </c>
      <c r="B303" s="44" t="n">
        <v>45077.3819444445</v>
      </c>
      <c r="C303" s="44" t="n">
        <v>45077.3846412037</v>
      </c>
      <c r="D303" s="43" t="n">
        <f aca="false">INT(C303)</f>
        <v>45077</v>
      </c>
      <c r="E303" s="43" t="n">
        <f aca="false">D303-WEEKDAY(D303,3)</f>
        <v>45075</v>
      </c>
      <c r="F303" s="29" t="s">
        <v>157</v>
      </c>
      <c r="G303" s="29" t="n">
        <v>2023</v>
      </c>
      <c r="H303" s="29" t="s">
        <v>252</v>
      </c>
      <c r="I303" s="29" t="n">
        <v>9</v>
      </c>
      <c r="J303" s="29" t="s">
        <v>250</v>
      </c>
      <c r="K303" s="29" t="s">
        <v>251</v>
      </c>
      <c r="L303" s="29" t="n">
        <v>0.04</v>
      </c>
      <c r="M303" s="32" t="n">
        <v>14297.66</v>
      </c>
      <c r="N303" s="32" t="n">
        <v>14301.74</v>
      </c>
      <c r="O303" s="32" t="n">
        <v>14287.67</v>
      </c>
      <c r="P303" s="45" t="n">
        <f aca="false">ABS(M303-N303)</f>
        <v>4.07999999999993</v>
      </c>
      <c r="Q303" s="45" t="n">
        <f aca="false">IF(O303="","",ABS(O303-M303))</f>
        <v>9.98999999999978</v>
      </c>
      <c r="R303" s="31" t="n">
        <f aca="false">P303*L303*Summary!$C$6</f>
        <v>16.3199999999997</v>
      </c>
      <c r="S303" s="32" t="n">
        <v>14297.71</v>
      </c>
      <c r="T303" s="29" t="s">
        <v>255</v>
      </c>
      <c r="U303" s="45" t="n">
        <f aca="false">IF(J303="BUY",S303-M303,M303-S303)</f>
        <v>-0.0499999999992724</v>
      </c>
      <c r="V303" s="46" t="n">
        <v>0</v>
      </c>
      <c r="W303" s="46" t="n">
        <v>0</v>
      </c>
      <c r="X303" s="46" t="n">
        <v>-0.2</v>
      </c>
      <c r="Y303" s="33" t="n">
        <f aca="false">IFERROR(X303/R303,0)</f>
        <v>-0.0122549019607845</v>
      </c>
      <c r="Z303" s="29" t="str">
        <f aca="false">IF(X303&gt;0,"Win",IF(X303&lt;0,"Loss","Flat"))</f>
        <v>Loss</v>
      </c>
      <c r="AA303" s="29" t="n">
        <f aca="false">ROUND((C303-B303)*1440,1)</f>
        <v>3.9</v>
      </c>
      <c r="AB303" s="29" t="str">
        <f aca="false">IF(AA303&lt;1,"a) &lt;1 min",IF(AA303&lt;10,"b) 1-10 min",IF(AA303&lt;60,"c) 10-60 min",IF(AA303&lt;240,"d) 1-4 h","e) 4 h+"))))</f>
        <v>b) 1-10 min</v>
      </c>
      <c r="AC303" s="29" t="str">
        <f aca="false">IF(P303&lt;10,"a) &lt;10",IF(P303&lt;20,"b) 10-20",IF(P303&lt;40,"c) 20-40",IF(P303&lt;80,"d) 40-80","e) 80+"))))</f>
        <v>a) &lt;10</v>
      </c>
      <c r="AD303" s="31" t="n">
        <f aca="false">Summary!$C$5+SUM(X$2:X303)</f>
        <v>12779.48</v>
      </c>
      <c r="AE303" s="31" t="n">
        <f aca="false">MAX(AE302,AD303)</f>
        <v>13354</v>
      </c>
      <c r="AF303" s="31" t="n">
        <f aca="false">AE303-AD303</f>
        <v>574.52</v>
      </c>
      <c r="AG303" s="30" t="n">
        <f aca="false">IFERROR(AF303/AE303,0)</f>
        <v>0.0430223154111128</v>
      </c>
    </row>
    <row r="304" customFormat="false" ht="15" hidden="false" customHeight="false" outlineLevel="0" collapsed="false">
      <c r="A304" s="29" t="n">
        <v>303</v>
      </c>
      <c r="B304" s="44" t="n">
        <v>45078.2020833333</v>
      </c>
      <c r="C304" s="44" t="n">
        <v>45078.2036805556</v>
      </c>
      <c r="D304" s="43" t="n">
        <f aca="false">INT(C304)</f>
        <v>45078</v>
      </c>
      <c r="E304" s="43" t="n">
        <f aca="false">D304-WEEKDAY(D304,3)</f>
        <v>45075</v>
      </c>
      <c r="F304" s="29" t="s">
        <v>158</v>
      </c>
      <c r="G304" s="29" t="n">
        <v>2023</v>
      </c>
      <c r="H304" s="29" t="s">
        <v>253</v>
      </c>
      <c r="I304" s="29" t="n">
        <v>4</v>
      </c>
      <c r="J304" s="29" t="s">
        <v>250</v>
      </c>
      <c r="K304" s="29" t="s">
        <v>251</v>
      </c>
      <c r="L304" s="29" t="n">
        <v>0.04</v>
      </c>
      <c r="M304" s="32" t="n">
        <v>14215.3</v>
      </c>
      <c r="N304" s="32" t="n">
        <v>14224.23</v>
      </c>
      <c r="O304" s="32" t="n">
        <v>14190.01</v>
      </c>
      <c r="P304" s="45" t="n">
        <f aca="false">ABS(M304-N304)</f>
        <v>8.93000000000029</v>
      </c>
      <c r="Q304" s="45" t="n">
        <f aca="false">IF(O304="","",ABS(O304-M304))</f>
        <v>25.2899999999991</v>
      </c>
      <c r="R304" s="31" t="n">
        <f aca="false">P304*L304*Summary!$C$6</f>
        <v>35.7200000000012</v>
      </c>
      <c r="S304" s="32" t="n">
        <v>14224.28</v>
      </c>
      <c r="T304" s="29" t="s">
        <v>249</v>
      </c>
      <c r="U304" s="45" t="n">
        <f aca="false">IF(J304="BUY",S304-M304,M304-S304)</f>
        <v>-8.98000000000138</v>
      </c>
      <c r="V304" s="46" t="n">
        <v>0</v>
      </c>
      <c r="W304" s="46" t="n">
        <v>0</v>
      </c>
      <c r="X304" s="46" t="n">
        <v>-35.92</v>
      </c>
      <c r="Y304" s="33" t="n">
        <f aca="false">IFERROR(X304/R304,0)</f>
        <v>-1.0055991041433</v>
      </c>
      <c r="Z304" s="29" t="str">
        <f aca="false">IF(X304&gt;0,"Win",IF(X304&lt;0,"Loss","Flat"))</f>
        <v>Loss</v>
      </c>
      <c r="AA304" s="29" t="n">
        <f aca="false">ROUND((C304-B304)*1440,1)</f>
        <v>2.3</v>
      </c>
      <c r="AB304" s="29" t="str">
        <f aca="false">IF(AA304&lt;1,"a) &lt;1 min",IF(AA304&lt;10,"b) 1-10 min",IF(AA304&lt;60,"c) 10-60 min",IF(AA304&lt;240,"d) 1-4 h","e) 4 h+"))))</f>
        <v>b) 1-10 min</v>
      </c>
      <c r="AC304" s="29" t="str">
        <f aca="false">IF(P304&lt;10,"a) &lt;10",IF(P304&lt;20,"b) 10-20",IF(P304&lt;40,"c) 20-40",IF(P304&lt;80,"d) 40-80","e) 80+"))))</f>
        <v>a) &lt;10</v>
      </c>
      <c r="AD304" s="31" t="n">
        <f aca="false">Summary!$C$5+SUM(X$2:X304)</f>
        <v>12743.56</v>
      </c>
      <c r="AE304" s="31" t="n">
        <f aca="false">MAX(AE303,AD304)</f>
        <v>13354</v>
      </c>
      <c r="AF304" s="31" t="n">
        <f aca="false">AE304-AD304</f>
        <v>610.440000000001</v>
      </c>
      <c r="AG304" s="30" t="n">
        <f aca="false">IFERROR(AF304/AE304,0)</f>
        <v>0.0457121461734312</v>
      </c>
    </row>
    <row r="305" customFormat="false" ht="15" hidden="false" customHeight="false" outlineLevel="0" collapsed="false">
      <c r="A305" s="29" t="n">
        <v>304</v>
      </c>
      <c r="B305" s="44" t="n">
        <v>45078.7916666667</v>
      </c>
      <c r="C305" s="44" t="n">
        <v>45078.7935648148</v>
      </c>
      <c r="D305" s="43" t="n">
        <f aca="false">INT(C305)</f>
        <v>45078</v>
      </c>
      <c r="E305" s="43" t="n">
        <f aca="false">D305-WEEKDAY(D305,3)</f>
        <v>45075</v>
      </c>
      <c r="F305" s="29" t="s">
        <v>158</v>
      </c>
      <c r="G305" s="29" t="n">
        <v>2023</v>
      </c>
      <c r="H305" s="29" t="s">
        <v>253</v>
      </c>
      <c r="I305" s="29" t="n">
        <v>19</v>
      </c>
      <c r="J305" s="29" t="s">
        <v>246</v>
      </c>
      <c r="K305" s="29" t="s">
        <v>247</v>
      </c>
      <c r="L305" s="29" t="n">
        <v>0.04</v>
      </c>
      <c r="M305" s="32" t="n">
        <v>14391.69</v>
      </c>
      <c r="N305" s="32" t="n">
        <v>14383.61</v>
      </c>
      <c r="O305" s="32" t="n">
        <v>14408.28</v>
      </c>
      <c r="P305" s="45" t="n">
        <f aca="false">ABS(M305-N305)</f>
        <v>8.07999999999993</v>
      </c>
      <c r="Q305" s="45" t="n">
        <f aca="false">IF(O305="","",ABS(O305-M305))</f>
        <v>16.5900000000001</v>
      </c>
      <c r="R305" s="31" t="n">
        <f aca="false">P305*L305*Summary!$C$6</f>
        <v>32.3199999999997</v>
      </c>
      <c r="S305" s="32" t="n">
        <v>14408.65</v>
      </c>
      <c r="T305" s="29" t="s">
        <v>227</v>
      </c>
      <c r="U305" s="45" t="n">
        <f aca="false">IF(J305="BUY",S305-M305,M305-S305)</f>
        <v>16.9599999999991</v>
      </c>
      <c r="V305" s="46" t="n">
        <v>0</v>
      </c>
      <c r="W305" s="46" t="n">
        <v>0</v>
      </c>
      <c r="X305" s="46" t="n">
        <v>67.84</v>
      </c>
      <c r="Y305" s="33" t="n">
        <f aca="false">IFERROR(X305/R305,0)</f>
        <v>2.09900990099012</v>
      </c>
      <c r="Z305" s="29" t="str">
        <f aca="false">IF(X305&gt;0,"Win",IF(X305&lt;0,"Loss","Flat"))</f>
        <v>Win</v>
      </c>
      <c r="AA305" s="29" t="n">
        <f aca="false">ROUND((C305-B305)*1440,1)</f>
        <v>2.7</v>
      </c>
      <c r="AB305" s="29" t="str">
        <f aca="false">IF(AA305&lt;1,"a) &lt;1 min",IF(AA305&lt;10,"b) 1-10 min",IF(AA305&lt;60,"c) 10-60 min",IF(AA305&lt;240,"d) 1-4 h","e) 4 h+"))))</f>
        <v>b) 1-10 min</v>
      </c>
      <c r="AC305" s="29" t="str">
        <f aca="false">IF(P305&lt;10,"a) &lt;10",IF(P305&lt;20,"b) 10-20",IF(P305&lt;40,"c) 20-40",IF(P305&lt;80,"d) 40-80","e) 80+"))))</f>
        <v>a) &lt;10</v>
      </c>
      <c r="AD305" s="31" t="n">
        <f aca="false">Summary!$C$5+SUM(X$2:X305)</f>
        <v>12811.4</v>
      </c>
      <c r="AE305" s="31" t="n">
        <f aca="false">MAX(AE304,AD305)</f>
        <v>13354</v>
      </c>
      <c r="AF305" s="31" t="n">
        <f aca="false">AE305-AD305</f>
        <v>542.6</v>
      </c>
      <c r="AG305" s="30" t="n">
        <f aca="false">IFERROR(AF305/AE305,0)</f>
        <v>0.040632020368429</v>
      </c>
    </row>
    <row r="306" customFormat="false" ht="15" hidden="false" customHeight="false" outlineLevel="0" collapsed="false">
      <c r="A306" s="29" t="n">
        <v>305</v>
      </c>
      <c r="B306" s="44" t="n">
        <v>45079.50625</v>
      </c>
      <c r="C306" s="44" t="n">
        <v>45079.509525463</v>
      </c>
      <c r="D306" s="43" t="n">
        <f aca="false">INT(C306)</f>
        <v>45079</v>
      </c>
      <c r="E306" s="43" t="n">
        <f aca="false">D306-WEEKDAY(D306,3)</f>
        <v>45075</v>
      </c>
      <c r="F306" s="29" t="s">
        <v>158</v>
      </c>
      <c r="G306" s="29" t="n">
        <v>2023</v>
      </c>
      <c r="H306" s="29" t="s">
        <v>254</v>
      </c>
      <c r="I306" s="29" t="n">
        <v>12</v>
      </c>
      <c r="J306" s="29" t="s">
        <v>246</v>
      </c>
      <c r="K306" s="29" t="s">
        <v>247</v>
      </c>
      <c r="L306" s="29" t="n">
        <v>0.04</v>
      </c>
      <c r="M306" s="32" t="n">
        <v>14495.84</v>
      </c>
      <c r="N306" s="32" t="n">
        <v>14493.26</v>
      </c>
      <c r="O306" s="32" t="n">
        <v>14503.79</v>
      </c>
      <c r="P306" s="45" t="n">
        <f aca="false">ABS(M306-N306)</f>
        <v>2.57999999999993</v>
      </c>
      <c r="Q306" s="45" t="n">
        <f aca="false">IF(O306="","",ABS(O306-M306))</f>
        <v>7.95000000000073</v>
      </c>
      <c r="R306" s="31" t="n">
        <f aca="false">P306*L306*Summary!$C$6</f>
        <v>10.3199999999997</v>
      </c>
      <c r="S306" s="32" t="n">
        <v>14503.9</v>
      </c>
      <c r="T306" s="29" t="s">
        <v>227</v>
      </c>
      <c r="U306" s="45" t="n">
        <f aca="false">IF(J306="BUY",S306-M306,M306-S306)</f>
        <v>8.05999999999949</v>
      </c>
      <c r="V306" s="46" t="n">
        <v>0</v>
      </c>
      <c r="W306" s="46" t="n">
        <v>0</v>
      </c>
      <c r="X306" s="46" t="n">
        <v>32.24</v>
      </c>
      <c r="Y306" s="33" t="n">
        <f aca="false">IFERROR(X306/R306,0)</f>
        <v>3.12403100775203</v>
      </c>
      <c r="Z306" s="29" t="str">
        <f aca="false">IF(X306&gt;0,"Win",IF(X306&lt;0,"Loss","Flat"))</f>
        <v>Win</v>
      </c>
      <c r="AA306" s="29" t="n">
        <f aca="false">ROUND((C306-B306)*1440,1)</f>
        <v>4.7</v>
      </c>
      <c r="AB306" s="29" t="str">
        <f aca="false">IF(AA306&lt;1,"a) &lt;1 min",IF(AA306&lt;10,"b) 1-10 min",IF(AA306&lt;60,"c) 10-60 min",IF(AA306&lt;240,"d) 1-4 h","e) 4 h+"))))</f>
        <v>b) 1-10 min</v>
      </c>
      <c r="AC306" s="29" t="str">
        <f aca="false">IF(P306&lt;10,"a) &lt;10",IF(P306&lt;20,"b) 10-20",IF(P306&lt;40,"c) 20-40",IF(P306&lt;80,"d) 40-80","e) 80+"))))</f>
        <v>a) &lt;10</v>
      </c>
      <c r="AD306" s="31" t="n">
        <f aca="false">Summary!$C$5+SUM(X$2:X306)</f>
        <v>12843.64</v>
      </c>
      <c r="AE306" s="31" t="n">
        <f aca="false">MAX(AE305,AD306)</f>
        <v>13354</v>
      </c>
      <c r="AF306" s="31" t="n">
        <f aca="false">AE306-AD306</f>
        <v>510.360000000001</v>
      </c>
      <c r="AG306" s="30" t="n">
        <f aca="false">IFERROR(AF306/AE306,0)</f>
        <v>0.0382177624681744</v>
      </c>
    </row>
    <row r="307" customFormat="false" ht="15" hidden="false" customHeight="false" outlineLevel="0" collapsed="false">
      <c r="A307" s="29" t="n">
        <v>306</v>
      </c>
      <c r="B307" s="44" t="n">
        <v>45082.6958333333</v>
      </c>
      <c r="C307" s="44" t="n">
        <v>45082.7008333333</v>
      </c>
      <c r="D307" s="43" t="n">
        <f aca="false">INT(C307)</f>
        <v>45082</v>
      </c>
      <c r="E307" s="43" t="n">
        <f aca="false">D307-WEEKDAY(D307,3)</f>
        <v>45082</v>
      </c>
      <c r="F307" s="29" t="s">
        <v>158</v>
      </c>
      <c r="G307" s="29" t="n">
        <v>2023</v>
      </c>
      <c r="H307" s="29" t="s">
        <v>245</v>
      </c>
      <c r="I307" s="29" t="n">
        <v>16</v>
      </c>
      <c r="J307" s="29" t="s">
        <v>246</v>
      </c>
      <c r="K307" s="29" t="s">
        <v>247</v>
      </c>
      <c r="L307" s="29" t="n">
        <v>0.04</v>
      </c>
      <c r="M307" s="32" t="n">
        <v>14594.57</v>
      </c>
      <c r="N307" s="32" t="n">
        <v>14582.19</v>
      </c>
      <c r="O307" s="32" t="n">
        <v>14625</v>
      </c>
      <c r="P307" s="45" t="n">
        <f aca="false">ABS(M307-N307)</f>
        <v>12.3799999999992</v>
      </c>
      <c r="Q307" s="45" t="n">
        <f aca="false">IF(O307="","",ABS(O307-M307))</f>
        <v>30.4300000000003</v>
      </c>
      <c r="R307" s="31" t="n">
        <f aca="false">P307*L307*Summary!$C$6</f>
        <v>49.5199999999968</v>
      </c>
      <c r="S307" s="32" t="n">
        <v>14594.51</v>
      </c>
      <c r="T307" s="29" t="s">
        <v>255</v>
      </c>
      <c r="U307" s="45" t="n">
        <f aca="false">IF(J307="BUY",S307-M307,M307-S307)</f>
        <v>-0.0599999999994907</v>
      </c>
      <c r="V307" s="46" t="n">
        <v>0</v>
      </c>
      <c r="W307" s="46" t="n">
        <v>0</v>
      </c>
      <c r="X307" s="46" t="n">
        <v>-0.24</v>
      </c>
      <c r="Y307" s="33" t="n">
        <f aca="false">IFERROR(X307/R307,0)</f>
        <v>-0.00484652665589692</v>
      </c>
      <c r="Z307" s="29" t="str">
        <f aca="false">IF(X307&gt;0,"Win",IF(X307&lt;0,"Loss","Flat"))</f>
        <v>Loss</v>
      </c>
      <c r="AA307" s="29" t="n">
        <f aca="false">ROUND((C307-B307)*1440,1)</f>
        <v>7.2</v>
      </c>
      <c r="AB307" s="29" t="str">
        <f aca="false">IF(AA307&lt;1,"a) &lt;1 min",IF(AA307&lt;10,"b) 1-10 min",IF(AA307&lt;60,"c) 10-60 min",IF(AA307&lt;240,"d) 1-4 h","e) 4 h+"))))</f>
        <v>b) 1-10 min</v>
      </c>
      <c r="AC307" s="29" t="str">
        <f aca="false">IF(P307&lt;10,"a) &lt;10",IF(P307&lt;20,"b) 10-20",IF(P307&lt;40,"c) 20-40",IF(P307&lt;80,"d) 40-80","e) 80+"))))</f>
        <v>b) 10-20</v>
      </c>
      <c r="AD307" s="31" t="n">
        <f aca="false">Summary!$C$5+SUM(X$2:X307)</f>
        <v>12843.4</v>
      </c>
      <c r="AE307" s="31" t="n">
        <f aca="false">MAX(AE306,AD307)</f>
        <v>13354</v>
      </c>
      <c r="AF307" s="31" t="n">
        <f aca="false">AE307-AD307</f>
        <v>510.6</v>
      </c>
      <c r="AG307" s="30" t="n">
        <f aca="false">IFERROR(AF307/AE307,0)</f>
        <v>0.0382357346113524</v>
      </c>
    </row>
    <row r="308" customFormat="false" ht="15" hidden="false" customHeight="false" outlineLevel="0" collapsed="false">
      <c r="A308" s="29" t="n">
        <v>307</v>
      </c>
      <c r="B308" s="44" t="n">
        <v>45084.6881944445</v>
      </c>
      <c r="C308" s="44" t="n">
        <v>45084.689375</v>
      </c>
      <c r="D308" s="43" t="n">
        <f aca="false">INT(C308)</f>
        <v>45084</v>
      </c>
      <c r="E308" s="43" t="n">
        <f aca="false">D308-WEEKDAY(D308,3)</f>
        <v>45082</v>
      </c>
      <c r="F308" s="29" t="s">
        <v>158</v>
      </c>
      <c r="G308" s="29" t="n">
        <v>2023</v>
      </c>
      <c r="H308" s="29" t="s">
        <v>252</v>
      </c>
      <c r="I308" s="29" t="n">
        <v>16</v>
      </c>
      <c r="J308" s="29" t="s">
        <v>246</v>
      </c>
      <c r="K308" s="29" t="s">
        <v>247</v>
      </c>
      <c r="L308" s="29" t="n">
        <v>0.04</v>
      </c>
      <c r="M308" s="32" t="n">
        <v>14596.49</v>
      </c>
      <c r="N308" s="32" t="n">
        <v>14586.28</v>
      </c>
      <c r="O308" s="32" t="n">
        <v>14624.5</v>
      </c>
      <c r="P308" s="45" t="n">
        <f aca="false">ABS(M308-N308)</f>
        <v>10.2099999999991</v>
      </c>
      <c r="Q308" s="45" t="n">
        <f aca="false">IF(O308="","",ABS(O308-M308))</f>
        <v>28.0100000000002</v>
      </c>
      <c r="R308" s="31" t="n">
        <f aca="false">P308*L308*Summary!$C$6</f>
        <v>40.8399999999965</v>
      </c>
      <c r="S308" s="32" t="n">
        <v>14624.82</v>
      </c>
      <c r="T308" s="29" t="s">
        <v>227</v>
      </c>
      <c r="U308" s="45" t="n">
        <f aca="false">IF(J308="BUY",S308-M308,M308-S308)</f>
        <v>28.3299999999999</v>
      </c>
      <c r="V308" s="46" t="n">
        <v>0</v>
      </c>
      <c r="W308" s="46" t="n">
        <v>0</v>
      </c>
      <c r="X308" s="46" t="n">
        <v>113.32</v>
      </c>
      <c r="Y308" s="33" t="n">
        <f aca="false">IFERROR(X308/R308,0)</f>
        <v>2.77473065621963</v>
      </c>
      <c r="Z308" s="29" t="str">
        <f aca="false">IF(X308&gt;0,"Win",IF(X308&lt;0,"Loss","Flat"))</f>
        <v>Win</v>
      </c>
      <c r="AA308" s="29" t="n">
        <f aca="false">ROUND((C308-B308)*1440,1)</f>
        <v>1.7</v>
      </c>
      <c r="AB308" s="29" t="str">
        <f aca="false">IF(AA308&lt;1,"a) &lt;1 min",IF(AA308&lt;10,"b) 1-10 min",IF(AA308&lt;60,"c) 10-60 min",IF(AA308&lt;240,"d) 1-4 h","e) 4 h+"))))</f>
        <v>b) 1-10 min</v>
      </c>
      <c r="AC308" s="29" t="str">
        <f aca="false">IF(P308&lt;10,"a) &lt;10",IF(P308&lt;20,"b) 10-20",IF(P308&lt;40,"c) 20-40",IF(P308&lt;80,"d) 40-80","e) 80+"))))</f>
        <v>b) 10-20</v>
      </c>
      <c r="AD308" s="31" t="n">
        <f aca="false">Summary!$C$5+SUM(X$2:X308)</f>
        <v>12956.72</v>
      </c>
      <c r="AE308" s="31" t="n">
        <f aca="false">MAX(AE307,AD308)</f>
        <v>13354</v>
      </c>
      <c r="AF308" s="31" t="n">
        <f aca="false">AE308-AD308</f>
        <v>397.280000000001</v>
      </c>
      <c r="AG308" s="30" t="n">
        <f aca="false">IFERROR(AF308/AE308,0)</f>
        <v>0.0297498876741052</v>
      </c>
    </row>
    <row r="309" customFormat="false" ht="15" hidden="false" customHeight="false" outlineLevel="0" collapsed="false">
      <c r="A309" s="29" t="n">
        <v>308</v>
      </c>
      <c r="B309" s="44" t="n">
        <v>45084.7381944444</v>
      </c>
      <c r="C309" s="44" t="n">
        <v>45084.7462268519</v>
      </c>
      <c r="D309" s="43" t="n">
        <f aca="false">INT(C309)</f>
        <v>45084</v>
      </c>
      <c r="E309" s="43" t="n">
        <f aca="false">D309-WEEKDAY(D309,3)</f>
        <v>45082</v>
      </c>
      <c r="F309" s="29" t="s">
        <v>158</v>
      </c>
      <c r="G309" s="29" t="n">
        <v>2023</v>
      </c>
      <c r="H309" s="29" t="s">
        <v>252</v>
      </c>
      <c r="I309" s="29" t="n">
        <v>17</v>
      </c>
      <c r="J309" s="29" t="s">
        <v>250</v>
      </c>
      <c r="K309" s="29" t="s">
        <v>251</v>
      </c>
      <c r="L309" s="29" t="n">
        <v>0.04</v>
      </c>
      <c r="M309" s="32" t="n">
        <v>14466.45</v>
      </c>
      <c r="N309" s="32" t="n">
        <v>14480.75</v>
      </c>
      <c r="O309" s="32" t="n">
        <v>14431.41</v>
      </c>
      <c r="P309" s="45" t="n">
        <f aca="false">ABS(M309-N309)</f>
        <v>14.2999999999993</v>
      </c>
      <c r="Q309" s="45" t="n">
        <f aca="false">IF(O309="","",ABS(O309-M309))</f>
        <v>35.0400000000009</v>
      </c>
      <c r="R309" s="31" t="n">
        <f aca="false">P309*L309*Summary!$C$6</f>
        <v>57.1999999999971</v>
      </c>
      <c r="S309" s="32" t="n">
        <v>14431.11</v>
      </c>
      <c r="T309" s="29" t="s">
        <v>227</v>
      </c>
      <c r="U309" s="45" t="n">
        <f aca="false">IF(J309="BUY",S309-M309,M309-S309)</f>
        <v>35.3400000000001</v>
      </c>
      <c r="V309" s="46" t="n">
        <v>0</v>
      </c>
      <c r="W309" s="46" t="n">
        <v>0</v>
      </c>
      <c r="X309" s="46" t="n">
        <v>141.36</v>
      </c>
      <c r="Y309" s="33" t="n">
        <f aca="false">IFERROR(X309/R309,0)</f>
        <v>2.4713286713288</v>
      </c>
      <c r="Z309" s="29" t="str">
        <f aca="false">IF(X309&gt;0,"Win",IF(X309&lt;0,"Loss","Flat"))</f>
        <v>Win</v>
      </c>
      <c r="AA309" s="29" t="n">
        <f aca="false">ROUND((C309-B309)*1440,1)</f>
        <v>11.6</v>
      </c>
      <c r="AB309" s="29" t="str">
        <f aca="false">IF(AA309&lt;1,"a) &lt;1 min",IF(AA309&lt;10,"b) 1-10 min",IF(AA309&lt;60,"c) 10-60 min",IF(AA309&lt;240,"d) 1-4 h","e) 4 h+"))))</f>
        <v>c) 10-60 min</v>
      </c>
      <c r="AC309" s="29" t="str">
        <f aca="false">IF(P309&lt;10,"a) &lt;10",IF(P309&lt;20,"b) 10-20",IF(P309&lt;40,"c) 20-40",IF(P309&lt;80,"d) 40-80","e) 80+"))))</f>
        <v>b) 10-20</v>
      </c>
      <c r="AD309" s="31" t="n">
        <f aca="false">Summary!$C$5+SUM(X$2:X309)</f>
        <v>13098.08</v>
      </c>
      <c r="AE309" s="31" t="n">
        <f aca="false">MAX(AE308,AD309)</f>
        <v>13354</v>
      </c>
      <c r="AF309" s="31" t="n">
        <f aca="false">AE309-AD309</f>
        <v>255.92</v>
      </c>
      <c r="AG309" s="30" t="n">
        <f aca="false">IFERROR(AF309/AE309,0)</f>
        <v>0.0191642953422196</v>
      </c>
    </row>
    <row r="310" customFormat="false" ht="15" hidden="false" customHeight="false" outlineLevel="0" collapsed="false">
      <c r="A310" s="29" t="n">
        <v>309</v>
      </c>
      <c r="B310" s="44" t="n">
        <v>45085.2916782407</v>
      </c>
      <c r="C310" s="44" t="n">
        <v>45085.2944791667</v>
      </c>
      <c r="D310" s="43" t="n">
        <f aca="false">INT(C310)</f>
        <v>45085</v>
      </c>
      <c r="E310" s="43" t="n">
        <f aca="false">D310-WEEKDAY(D310,3)</f>
        <v>45082</v>
      </c>
      <c r="F310" s="29" t="s">
        <v>158</v>
      </c>
      <c r="G310" s="29" t="n">
        <v>2023</v>
      </c>
      <c r="H310" s="29" t="s">
        <v>253</v>
      </c>
      <c r="I310" s="29" t="n">
        <v>7</v>
      </c>
      <c r="J310" s="29" t="s">
        <v>250</v>
      </c>
      <c r="K310" s="29" t="s">
        <v>251</v>
      </c>
      <c r="L310" s="29" t="n">
        <v>0.04</v>
      </c>
      <c r="M310" s="32" t="n">
        <v>14280.85</v>
      </c>
      <c r="N310" s="32" t="n">
        <v>14283.87</v>
      </c>
      <c r="O310" s="32" t="n">
        <v>14273.45</v>
      </c>
      <c r="P310" s="45" t="n">
        <f aca="false">ABS(M310-N310)</f>
        <v>3.02000000000044</v>
      </c>
      <c r="Q310" s="45" t="n">
        <f aca="false">IF(O310="","",ABS(O310-M310))</f>
        <v>7.39999999999964</v>
      </c>
      <c r="R310" s="31" t="n">
        <f aca="false">P310*L310*Summary!$C$6</f>
        <v>12.0800000000017</v>
      </c>
      <c r="S310" s="32" t="n">
        <v>14273.4</v>
      </c>
      <c r="T310" s="29" t="s">
        <v>227</v>
      </c>
      <c r="U310" s="45" t="n">
        <f aca="false">IF(J310="BUY",S310-M310,M310-S310)</f>
        <v>7.45000000000073</v>
      </c>
      <c r="V310" s="46" t="n">
        <v>0</v>
      </c>
      <c r="W310" s="46" t="n">
        <v>0</v>
      </c>
      <c r="X310" s="46" t="n">
        <v>29.8</v>
      </c>
      <c r="Y310" s="33" t="n">
        <f aca="false">IFERROR(X310/R310,0)</f>
        <v>2.46688741721819</v>
      </c>
      <c r="Z310" s="29" t="str">
        <f aca="false">IF(X310&gt;0,"Win",IF(X310&lt;0,"Loss","Flat"))</f>
        <v>Win</v>
      </c>
      <c r="AA310" s="29" t="n">
        <f aca="false">ROUND((C310-B310)*1440,1)</f>
        <v>4</v>
      </c>
      <c r="AB310" s="29" t="str">
        <f aca="false">IF(AA310&lt;1,"a) &lt;1 min",IF(AA310&lt;10,"b) 1-10 min",IF(AA310&lt;60,"c) 10-60 min",IF(AA310&lt;240,"d) 1-4 h","e) 4 h+"))))</f>
        <v>b) 1-10 min</v>
      </c>
      <c r="AC310" s="29" t="str">
        <f aca="false">IF(P310&lt;10,"a) &lt;10",IF(P310&lt;20,"b) 10-20",IF(P310&lt;40,"c) 20-40",IF(P310&lt;80,"d) 40-80","e) 80+"))))</f>
        <v>a) &lt;10</v>
      </c>
      <c r="AD310" s="31" t="n">
        <f aca="false">Summary!$C$5+SUM(X$2:X310)</f>
        <v>13127.88</v>
      </c>
      <c r="AE310" s="31" t="n">
        <f aca="false">MAX(AE309,AD310)</f>
        <v>13354</v>
      </c>
      <c r="AF310" s="31" t="n">
        <f aca="false">AE310-AD310</f>
        <v>226.119999999999</v>
      </c>
      <c r="AG310" s="30" t="n">
        <f aca="false">IFERROR(AF310/AE310,0)</f>
        <v>0.016932754230942</v>
      </c>
    </row>
    <row r="311" customFormat="false" ht="15" hidden="false" customHeight="false" outlineLevel="0" collapsed="false">
      <c r="A311" s="29" t="n">
        <v>310</v>
      </c>
      <c r="B311" s="44" t="n">
        <v>45086.6166666667</v>
      </c>
      <c r="C311" s="44" t="n">
        <v>45086.6183564815</v>
      </c>
      <c r="D311" s="43" t="n">
        <f aca="false">INT(C311)</f>
        <v>45086</v>
      </c>
      <c r="E311" s="43" t="n">
        <f aca="false">D311-WEEKDAY(D311,3)</f>
        <v>45082</v>
      </c>
      <c r="F311" s="29" t="s">
        <v>158</v>
      </c>
      <c r="G311" s="29" t="n">
        <v>2023</v>
      </c>
      <c r="H311" s="29" t="s">
        <v>254</v>
      </c>
      <c r="I311" s="29" t="n">
        <v>14</v>
      </c>
      <c r="J311" s="29" t="s">
        <v>246</v>
      </c>
      <c r="K311" s="29" t="s">
        <v>247</v>
      </c>
      <c r="L311" s="29" t="n">
        <v>0.04</v>
      </c>
      <c r="M311" s="32" t="n">
        <v>14506.84</v>
      </c>
      <c r="N311" s="32" t="n">
        <v>14502.96</v>
      </c>
      <c r="O311" s="32" t="n">
        <v>14516.99</v>
      </c>
      <c r="P311" s="45" t="n">
        <f aca="false">ABS(M311-N311)</f>
        <v>3.88000000000102</v>
      </c>
      <c r="Q311" s="45" t="n">
        <f aca="false">IF(O311="","",ABS(O311-M311))</f>
        <v>10.1499999999996</v>
      </c>
      <c r="R311" s="31" t="n">
        <f aca="false">P311*L311*Summary!$C$6</f>
        <v>15.5200000000041</v>
      </c>
      <c r="S311" s="32" t="n">
        <v>14502.39</v>
      </c>
      <c r="T311" s="29" t="s">
        <v>249</v>
      </c>
      <c r="U311" s="45" t="n">
        <f aca="false">IF(J311="BUY",S311-M311,M311-S311)</f>
        <v>-4.45000000000073</v>
      </c>
      <c r="V311" s="46" t="n">
        <v>0</v>
      </c>
      <c r="W311" s="46" t="n">
        <v>0</v>
      </c>
      <c r="X311" s="46" t="n">
        <v>-17.8</v>
      </c>
      <c r="Y311" s="33" t="n">
        <f aca="false">IFERROR(X311/R311,0)</f>
        <v>-1.14690721649454</v>
      </c>
      <c r="Z311" s="29" t="str">
        <f aca="false">IF(X311&gt;0,"Win",IF(X311&lt;0,"Loss","Flat"))</f>
        <v>Loss</v>
      </c>
      <c r="AA311" s="29" t="n">
        <f aca="false">ROUND((C311-B311)*1440,1)</f>
        <v>2.4</v>
      </c>
      <c r="AB311" s="29" t="str">
        <f aca="false">IF(AA311&lt;1,"a) &lt;1 min",IF(AA311&lt;10,"b) 1-10 min",IF(AA311&lt;60,"c) 10-60 min",IF(AA311&lt;240,"d) 1-4 h","e) 4 h+"))))</f>
        <v>b) 1-10 min</v>
      </c>
      <c r="AC311" s="29" t="str">
        <f aca="false">IF(P311&lt;10,"a) &lt;10",IF(P311&lt;20,"b) 10-20",IF(P311&lt;40,"c) 20-40",IF(P311&lt;80,"d) 40-80","e) 80+"))))</f>
        <v>a) &lt;10</v>
      </c>
      <c r="AD311" s="31" t="n">
        <f aca="false">Summary!$C$5+SUM(X$2:X311)</f>
        <v>13110.08</v>
      </c>
      <c r="AE311" s="31" t="n">
        <f aca="false">MAX(AE310,AD311)</f>
        <v>13354</v>
      </c>
      <c r="AF311" s="31" t="n">
        <f aca="false">AE311-AD311</f>
        <v>243.92</v>
      </c>
      <c r="AG311" s="30" t="n">
        <f aca="false">IFERROR(AF311/AE311,0)</f>
        <v>0.0182656881833159</v>
      </c>
    </row>
    <row r="312" customFormat="false" ht="15" hidden="false" customHeight="false" outlineLevel="0" collapsed="false">
      <c r="A312" s="29" t="n">
        <v>311</v>
      </c>
      <c r="B312" s="44" t="n">
        <v>45089.8638888889</v>
      </c>
      <c r="C312" s="44" t="n">
        <v>45089.8653703704</v>
      </c>
      <c r="D312" s="43" t="n">
        <f aca="false">INT(C312)</f>
        <v>45089</v>
      </c>
      <c r="E312" s="43" t="n">
        <f aca="false">D312-WEEKDAY(D312,3)</f>
        <v>45089</v>
      </c>
      <c r="F312" s="29" t="s">
        <v>158</v>
      </c>
      <c r="G312" s="29" t="n">
        <v>2023</v>
      </c>
      <c r="H312" s="29" t="s">
        <v>245</v>
      </c>
      <c r="I312" s="29" t="n">
        <v>20</v>
      </c>
      <c r="J312" s="29" t="s">
        <v>246</v>
      </c>
      <c r="K312" s="29" t="s">
        <v>247</v>
      </c>
      <c r="L312" s="29" t="n">
        <v>0.04</v>
      </c>
      <c r="M312" s="32" t="n">
        <v>14675.53</v>
      </c>
      <c r="N312" s="32" t="n">
        <v>14671.22</v>
      </c>
      <c r="O312" s="32" t="n">
        <v>14686.42</v>
      </c>
      <c r="P312" s="45" t="n">
        <f aca="false">ABS(M312-N312)</f>
        <v>4.31000000000131</v>
      </c>
      <c r="Q312" s="45" t="n">
        <f aca="false">IF(O312="","",ABS(O312-M312))</f>
        <v>10.8899999999994</v>
      </c>
      <c r="R312" s="31" t="n">
        <f aca="false">P312*L312*Summary!$C$6</f>
        <v>17.2400000000052</v>
      </c>
      <c r="S312" s="32" t="n">
        <v>14686.7</v>
      </c>
      <c r="T312" s="29" t="s">
        <v>227</v>
      </c>
      <c r="U312" s="45" t="n">
        <f aca="false">IF(J312="BUY",S312-M312,M312-S312)</f>
        <v>11.1700000000001</v>
      </c>
      <c r="V312" s="46" t="n">
        <v>0</v>
      </c>
      <c r="W312" s="46" t="n">
        <v>0</v>
      </c>
      <c r="X312" s="46" t="n">
        <v>44.68</v>
      </c>
      <c r="Y312" s="33" t="n">
        <f aca="false">IFERROR(X312/R312,0)</f>
        <v>2.59164733178576</v>
      </c>
      <c r="Z312" s="29" t="str">
        <f aca="false">IF(X312&gt;0,"Win",IF(X312&lt;0,"Loss","Flat"))</f>
        <v>Win</v>
      </c>
      <c r="AA312" s="29" t="n">
        <f aca="false">ROUND((C312-B312)*1440,1)</f>
        <v>2.1</v>
      </c>
      <c r="AB312" s="29" t="str">
        <f aca="false">IF(AA312&lt;1,"a) &lt;1 min",IF(AA312&lt;10,"b) 1-10 min",IF(AA312&lt;60,"c) 10-60 min",IF(AA312&lt;240,"d) 1-4 h","e) 4 h+"))))</f>
        <v>b) 1-10 min</v>
      </c>
      <c r="AC312" s="29" t="str">
        <f aca="false">IF(P312&lt;10,"a) &lt;10",IF(P312&lt;20,"b) 10-20",IF(P312&lt;40,"c) 20-40",IF(P312&lt;80,"d) 40-80","e) 80+"))))</f>
        <v>a) &lt;10</v>
      </c>
      <c r="AD312" s="31" t="n">
        <f aca="false">Summary!$C$5+SUM(X$2:X312)</f>
        <v>13154.76</v>
      </c>
      <c r="AE312" s="31" t="n">
        <f aca="false">MAX(AE311,AD312)</f>
        <v>13354</v>
      </c>
      <c r="AF312" s="31" t="n">
        <f aca="false">AE312-AD312</f>
        <v>199.24</v>
      </c>
      <c r="AG312" s="30" t="n">
        <f aca="false">IFERROR(AF312/AE312,0)</f>
        <v>0.0149198741949977</v>
      </c>
    </row>
    <row r="313" customFormat="false" ht="15" hidden="false" customHeight="false" outlineLevel="0" collapsed="false">
      <c r="A313" s="29" t="n">
        <v>312</v>
      </c>
      <c r="B313" s="44" t="n">
        <v>45090.0423611111</v>
      </c>
      <c r="C313" s="44" t="n">
        <v>45090.0750231482</v>
      </c>
      <c r="D313" s="43" t="n">
        <f aca="false">INT(C313)</f>
        <v>45090</v>
      </c>
      <c r="E313" s="43" t="n">
        <f aca="false">D313-WEEKDAY(D313,3)</f>
        <v>45089</v>
      </c>
      <c r="F313" s="29" t="s">
        <v>158</v>
      </c>
      <c r="G313" s="29" t="n">
        <v>2023</v>
      </c>
      <c r="H313" s="29" t="s">
        <v>248</v>
      </c>
      <c r="I313" s="29" t="n">
        <v>1</v>
      </c>
      <c r="J313" s="29" t="s">
        <v>246</v>
      </c>
      <c r="K313" s="29" t="s">
        <v>247</v>
      </c>
      <c r="L313" s="29" t="n">
        <v>0.04</v>
      </c>
      <c r="M313" s="32" t="n">
        <v>14804.57</v>
      </c>
      <c r="N313" s="32" t="n">
        <v>14797.95</v>
      </c>
      <c r="O313" s="32" t="n">
        <v>14820.79</v>
      </c>
      <c r="P313" s="45" t="n">
        <f aca="false">ABS(M313-N313)</f>
        <v>6.61999999999898</v>
      </c>
      <c r="Q313" s="45" t="n">
        <f aca="false">IF(O313="","",ABS(O313-M313))</f>
        <v>16.2200000000012</v>
      </c>
      <c r="R313" s="31" t="n">
        <f aca="false">P313*L313*Summary!$C$6</f>
        <v>26.4799999999959</v>
      </c>
      <c r="S313" s="32" t="n">
        <v>14820.9</v>
      </c>
      <c r="T313" s="29" t="s">
        <v>227</v>
      </c>
      <c r="U313" s="45" t="n">
        <f aca="false">IF(J313="BUY",S313-M313,M313-S313)</f>
        <v>16.3299999999999</v>
      </c>
      <c r="V313" s="46" t="n">
        <v>0</v>
      </c>
      <c r="W313" s="46" t="n">
        <v>0</v>
      </c>
      <c r="X313" s="46" t="n">
        <v>65.32</v>
      </c>
      <c r="Y313" s="33" t="n">
        <f aca="false">IFERROR(X313/R313,0)</f>
        <v>2.46676737160159</v>
      </c>
      <c r="Z313" s="29" t="str">
        <f aca="false">IF(X313&gt;0,"Win",IF(X313&lt;0,"Loss","Flat"))</f>
        <v>Win</v>
      </c>
      <c r="AA313" s="29" t="n">
        <f aca="false">ROUND((C313-B313)*1440,1)</f>
        <v>47</v>
      </c>
      <c r="AB313" s="29" t="str">
        <f aca="false">IF(AA313&lt;1,"a) &lt;1 min",IF(AA313&lt;10,"b) 1-10 min",IF(AA313&lt;60,"c) 10-60 min",IF(AA313&lt;240,"d) 1-4 h","e) 4 h+"))))</f>
        <v>c) 10-60 min</v>
      </c>
      <c r="AC313" s="29" t="str">
        <f aca="false">IF(P313&lt;10,"a) &lt;10",IF(P313&lt;20,"b) 10-20",IF(P313&lt;40,"c) 20-40",IF(P313&lt;80,"d) 40-80","e) 80+"))))</f>
        <v>a) &lt;10</v>
      </c>
      <c r="AD313" s="31" t="n">
        <f aca="false">Summary!$C$5+SUM(X$2:X313)</f>
        <v>13220.08</v>
      </c>
      <c r="AE313" s="31" t="n">
        <f aca="false">MAX(AE312,AD313)</f>
        <v>13354</v>
      </c>
      <c r="AF313" s="31" t="n">
        <f aca="false">AE313-AD313</f>
        <v>133.92</v>
      </c>
      <c r="AG313" s="30" t="n">
        <f aca="false">IFERROR(AF313/AE313,0)</f>
        <v>0.0100284558933653</v>
      </c>
    </row>
    <row r="314" customFormat="false" ht="15" hidden="false" customHeight="false" outlineLevel="0" collapsed="false">
      <c r="A314" s="29" t="n">
        <v>313</v>
      </c>
      <c r="B314" s="44" t="n">
        <v>45091.7201388889</v>
      </c>
      <c r="C314" s="44" t="n">
        <v>45091.7249189815</v>
      </c>
      <c r="D314" s="43" t="n">
        <f aca="false">INT(C314)</f>
        <v>45091</v>
      </c>
      <c r="E314" s="43" t="n">
        <f aca="false">D314-WEEKDAY(D314,3)</f>
        <v>45089</v>
      </c>
      <c r="F314" s="29" t="s">
        <v>158</v>
      </c>
      <c r="G314" s="29" t="n">
        <v>2023</v>
      </c>
      <c r="H314" s="29" t="s">
        <v>252</v>
      </c>
      <c r="I314" s="29" t="n">
        <v>17</v>
      </c>
      <c r="J314" s="29" t="s">
        <v>246</v>
      </c>
      <c r="K314" s="29" t="s">
        <v>247</v>
      </c>
      <c r="L314" s="29" t="n">
        <v>0.04</v>
      </c>
      <c r="M314" s="32" t="n">
        <v>14955.77</v>
      </c>
      <c r="N314" s="32" t="n">
        <v>14947.22</v>
      </c>
      <c r="O314" s="32" t="n">
        <v>14977.48</v>
      </c>
      <c r="P314" s="45" t="n">
        <f aca="false">ABS(M314-N314)</f>
        <v>8.55000000000109</v>
      </c>
      <c r="Q314" s="45" t="n">
        <f aca="false">IF(O314="","",ABS(O314-M314))</f>
        <v>21.7099999999991</v>
      </c>
      <c r="R314" s="31" t="n">
        <f aca="false">P314*L314*Summary!$C$6</f>
        <v>34.2000000000044</v>
      </c>
      <c r="S314" s="32" t="n">
        <v>14955.74</v>
      </c>
      <c r="T314" s="29" t="s">
        <v>255</v>
      </c>
      <c r="U314" s="45" t="n">
        <f aca="false">IF(J314="BUY",S314-M314,M314-S314)</f>
        <v>-0.0300000000006548</v>
      </c>
      <c r="V314" s="46" t="n">
        <v>0</v>
      </c>
      <c r="W314" s="46" t="n">
        <v>0</v>
      </c>
      <c r="X314" s="46" t="n">
        <v>-0.12</v>
      </c>
      <c r="Y314" s="33" t="n">
        <f aca="false">IFERROR(X314/R314,0)</f>
        <v>-0.00350877192982411</v>
      </c>
      <c r="Z314" s="29" t="str">
        <f aca="false">IF(X314&gt;0,"Win",IF(X314&lt;0,"Loss","Flat"))</f>
        <v>Loss</v>
      </c>
      <c r="AA314" s="29" t="n">
        <f aca="false">ROUND((C314-B314)*1440,1)</f>
        <v>6.9</v>
      </c>
      <c r="AB314" s="29" t="str">
        <f aca="false">IF(AA314&lt;1,"a) &lt;1 min",IF(AA314&lt;10,"b) 1-10 min",IF(AA314&lt;60,"c) 10-60 min",IF(AA314&lt;240,"d) 1-4 h","e) 4 h+"))))</f>
        <v>b) 1-10 min</v>
      </c>
      <c r="AC314" s="29" t="str">
        <f aca="false">IF(P314&lt;10,"a) &lt;10",IF(P314&lt;20,"b) 10-20",IF(P314&lt;40,"c) 20-40",IF(P314&lt;80,"d) 40-80","e) 80+"))))</f>
        <v>a) &lt;10</v>
      </c>
      <c r="AD314" s="31" t="n">
        <f aca="false">Summary!$C$5+SUM(X$2:X314)</f>
        <v>13219.96</v>
      </c>
      <c r="AE314" s="31" t="n">
        <f aca="false">MAX(AE313,AD314)</f>
        <v>13354</v>
      </c>
      <c r="AF314" s="31" t="n">
        <f aca="false">AE314-AD314</f>
        <v>134.040000000001</v>
      </c>
      <c r="AG314" s="30" t="n">
        <f aca="false">IFERROR(AF314/AE314,0)</f>
        <v>0.0100374419649544</v>
      </c>
    </row>
    <row r="315" customFormat="false" ht="15" hidden="false" customHeight="false" outlineLevel="0" collapsed="false">
      <c r="A315" s="29" t="n">
        <v>314</v>
      </c>
      <c r="B315" s="44" t="n">
        <v>45092.0430671296</v>
      </c>
      <c r="C315" s="44" t="n">
        <v>45092.0537152778</v>
      </c>
      <c r="D315" s="43" t="n">
        <f aca="false">INT(C315)</f>
        <v>45092</v>
      </c>
      <c r="E315" s="43" t="n">
        <f aca="false">D315-WEEKDAY(D315,3)</f>
        <v>45089</v>
      </c>
      <c r="F315" s="29" t="s">
        <v>158</v>
      </c>
      <c r="G315" s="29" t="n">
        <v>2023</v>
      </c>
      <c r="H315" s="29" t="s">
        <v>253</v>
      </c>
      <c r="I315" s="29" t="n">
        <v>1</v>
      </c>
      <c r="J315" s="29" t="s">
        <v>246</v>
      </c>
      <c r="K315" s="29" t="s">
        <v>247</v>
      </c>
      <c r="L315" s="29" t="n">
        <v>0.04</v>
      </c>
      <c r="M315" s="32" t="n">
        <v>15030.02</v>
      </c>
      <c r="N315" s="32" t="n">
        <v>15023.54</v>
      </c>
      <c r="O315" s="32" t="n">
        <v>15045.9</v>
      </c>
      <c r="P315" s="45" t="n">
        <f aca="false">ABS(M315-N315)</f>
        <v>6.47999999999956</v>
      </c>
      <c r="Q315" s="45" t="n">
        <f aca="false">IF(O315="","",ABS(O315-M315))</f>
        <v>15.8799999999992</v>
      </c>
      <c r="R315" s="31" t="n">
        <f aca="false">P315*L315*Summary!$C$6</f>
        <v>25.9199999999983</v>
      </c>
      <c r="S315" s="32" t="n">
        <v>15023.19</v>
      </c>
      <c r="T315" s="29" t="s">
        <v>249</v>
      </c>
      <c r="U315" s="45" t="n">
        <f aca="false">IF(J315="BUY",S315-M315,M315-S315)</f>
        <v>-6.82999999999993</v>
      </c>
      <c r="V315" s="46" t="n">
        <v>0</v>
      </c>
      <c r="W315" s="46" t="n">
        <v>0</v>
      </c>
      <c r="X315" s="46" t="n">
        <v>-27.32</v>
      </c>
      <c r="Y315" s="33" t="n">
        <f aca="false">IFERROR(X315/R315,0)</f>
        <v>-1.05401234567908</v>
      </c>
      <c r="Z315" s="29" t="str">
        <f aca="false">IF(X315&gt;0,"Win",IF(X315&lt;0,"Loss","Flat"))</f>
        <v>Loss</v>
      </c>
      <c r="AA315" s="29" t="n">
        <f aca="false">ROUND((C315-B315)*1440,1)</f>
        <v>15.3</v>
      </c>
      <c r="AB315" s="29" t="str">
        <f aca="false">IF(AA315&lt;1,"a) &lt;1 min",IF(AA315&lt;10,"b) 1-10 min",IF(AA315&lt;60,"c) 10-60 min",IF(AA315&lt;240,"d) 1-4 h","e) 4 h+"))))</f>
        <v>c) 10-60 min</v>
      </c>
      <c r="AC315" s="29" t="str">
        <f aca="false">IF(P315&lt;10,"a) &lt;10",IF(P315&lt;20,"b) 10-20",IF(P315&lt;40,"c) 20-40",IF(P315&lt;80,"d) 40-80","e) 80+"))))</f>
        <v>a) &lt;10</v>
      </c>
      <c r="AD315" s="31" t="n">
        <f aca="false">Summary!$C$5+SUM(X$2:X315)</f>
        <v>13192.64</v>
      </c>
      <c r="AE315" s="31" t="n">
        <f aca="false">MAX(AE314,AD315)</f>
        <v>13354</v>
      </c>
      <c r="AF315" s="31" t="n">
        <f aca="false">AE315-AD315</f>
        <v>161.360000000001</v>
      </c>
      <c r="AG315" s="30" t="n">
        <f aca="false">IFERROR(AF315/AE315,0)</f>
        <v>0.0120832709300585</v>
      </c>
    </row>
    <row r="316" customFormat="false" ht="15" hidden="false" customHeight="false" outlineLevel="0" collapsed="false">
      <c r="A316" s="29" t="n">
        <v>315</v>
      </c>
      <c r="B316" s="44" t="n">
        <v>45093.68125</v>
      </c>
      <c r="C316" s="44" t="n">
        <v>45093.6839583333</v>
      </c>
      <c r="D316" s="43" t="n">
        <f aca="false">INT(C316)</f>
        <v>45093</v>
      </c>
      <c r="E316" s="43" t="n">
        <f aca="false">D316-WEEKDAY(D316,3)</f>
        <v>45089</v>
      </c>
      <c r="F316" s="29" t="s">
        <v>158</v>
      </c>
      <c r="G316" s="29" t="n">
        <v>2023</v>
      </c>
      <c r="H316" s="29" t="s">
        <v>254</v>
      </c>
      <c r="I316" s="29" t="n">
        <v>16</v>
      </c>
      <c r="J316" s="29" t="s">
        <v>246</v>
      </c>
      <c r="K316" s="29" t="s">
        <v>247</v>
      </c>
      <c r="L316" s="29" t="n">
        <v>0.04</v>
      </c>
      <c r="M316" s="32" t="n">
        <v>15254.54</v>
      </c>
      <c r="N316" s="32" t="n">
        <v>15247.81</v>
      </c>
      <c r="O316" s="32" t="n">
        <v>15273.51</v>
      </c>
      <c r="P316" s="45" t="n">
        <f aca="false">ABS(M316-N316)</f>
        <v>6.73000000000138</v>
      </c>
      <c r="Q316" s="45" t="n">
        <f aca="false">IF(O316="","",ABS(O316-M316))</f>
        <v>18.9699999999993</v>
      </c>
      <c r="R316" s="31" t="n">
        <f aca="false">P316*L316*Summary!$C$6</f>
        <v>26.9200000000055</v>
      </c>
      <c r="S316" s="32" t="n">
        <v>15273.61</v>
      </c>
      <c r="T316" s="29" t="s">
        <v>227</v>
      </c>
      <c r="U316" s="45" t="n">
        <f aca="false">IF(J316="BUY",S316-M316,M316-S316)</f>
        <v>19.0699999999997</v>
      </c>
      <c r="V316" s="46" t="n">
        <v>0</v>
      </c>
      <c r="W316" s="46" t="n">
        <v>0</v>
      </c>
      <c r="X316" s="46" t="n">
        <v>76.28</v>
      </c>
      <c r="Y316" s="33" t="n">
        <f aca="false">IFERROR(X316/R316,0)</f>
        <v>2.83358098068292</v>
      </c>
      <c r="Z316" s="29" t="str">
        <f aca="false">IF(X316&gt;0,"Win",IF(X316&lt;0,"Loss","Flat"))</f>
        <v>Win</v>
      </c>
      <c r="AA316" s="29" t="n">
        <f aca="false">ROUND((C316-B316)*1440,1)</f>
        <v>3.9</v>
      </c>
      <c r="AB316" s="29" t="str">
        <f aca="false">IF(AA316&lt;1,"a) &lt;1 min",IF(AA316&lt;10,"b) 1-10 min",IF(AA316&lt;60,"c) 10-60 min",IF(AA316&lt;240,"d) 1-4 h","e) 4 h+"))))</f>
        <v>b) 1-10 min</v>
      </c>
      <c r="AC316" s="29" t="str">
        <f aca="false">IF(P316&lt;10,"a) &lt;10",IF(P316&lt;20,"b) 10-20",IF(P316&lt;40,"c) 20-40",IF(P316&lt;80,"d) 40-80","e) 80+"))))</f>
        <v>a) &lt;10</v>
      </c>
      <c r="AD316" s="31" t="n">
        <f aca="false">Summary!$C$5+SUM(X$2:X316)</f>
        <v>13268.92</v>
      </c>
      <c r="AE316" s="31" t="n">
        <f aca="false">MAX(AE315,AD316)</f>
        <v>13354</v>
      </c>
      <c r="AF316" s="31" t="n">
        <f aca="false">AE316-AD316</f>
        <v>85.0799999999999</v>
      </c>
      <c r="AG316" s="30" t="n">
        <f aca="false">IFERROR(AF316/AE316,0)</f>
        <v>0.00637112475662722</v>
      </c>
    </row>
    <row r="317" customFormat="false" ht="15" hidden="false" customHeight="false" outlineLevel="0" collapsed="false">
      <c r="A317" s="29" t="n">
        <v>316</v>
      </c>
      <c r="B317" s="44" t="n">
        <v>45096.4854166667</v>
      </c>
      <c r="C317" s="44" t="n">
        <v>45096.4874189815</v>
      </c>
      <c r="D317" s="43" t="n">
        <f aca="false">INT(C317)</f>
        <v>45096</v>
      </c>
      <c r="E317" s="43" t="n">
        <f aca="false">D317-WEEKDAY(D317,3)</f>
        <v>45096</v>
      </c>
      <c r="F317" s="29" t="s">
        <v>158</v>
      </c>
      <c r="G317" s="29" t="n">
        <v>2023</v>
      </c>
      <c r="H317" s="29" t="s">
        <v>245</v>
      </c>
      <c r="I317" s="29" t="n">
        <v>11</v>
      </c>
      <c r="J317" s="29" t="s">
        <v>250</v>
      </c>
      <c r="K317" s="29" t="s">
        <v>251</v>
      </c>
      <c r="L317" s="29" t="n">
        <v>0.04</v>
      </c>
      <c r="M317" s="32" t="n">
        <v>15070.6</v>
      </c>
      <c r="N317" s="32" t="n">
        <v>15075.7</v>
      </c>
      <c r="O317" s="32" t="n">
        <v>15058.11</v>
      </c>
      <c r="P317" s="45" t="n">
        <f aca="false">ABS(M317-N317)</f>
        <v>5.10000000000036</v>
      </c>
      <c r="Q317" s="45" t="n">
        <f aca="false">IF(O317="","",ABS(O317-M317))</f>
        <v>12.4899999999998</v>
      </c>
      <c r="R317" s="31" t="n">
        <f aca="false">P317*L317*Summary!$C$6</f>
        <v>20.4000000000015</v>
      </c>
      <c r="S317" s="32" t="n">
        <v>15075.72</v>
      </c>
      <c r="T317" s="29" t="s">
        <v>249</v>
      </c>
      <c r="U317" s="45" t="n">
        <f aca="false">IF(J317="BUY",S317-M317,M317-S317)</f>
        <v>-5.11999999999898</v>
      </c>
      <c r="V317" s="46" t="n">
        <v>0</v>
      </c>
      <c r="W317" s="46" t="n">
        <v>0</v>
      </c>
      <c r="X317" s="46" t="n">
        <v>-20.48</v>
      </c>
      <c r="Y317" s="33" t="n">
        <f aca="false">IFERROR(X317/R317,0)</f>
        <v>-1.00392156862738</v>
      </c>
      <c r="Z317" s="29" t="str">
        <f aca="false">IF(X317&gt;0,"Win",IF(X317&lt;0,"Loss","Flat"))</f>
        <v>Loss</v>
      </c>
      <c r="AA317" s="29" t="n">
        <f aca="false">ROUND((C317-B317)*1440,1)</f>
        <v>2.9</v>
      </c>
      <c r="AB317" s="29" t="str">
        <f aca="false">IF(AA317&lt;1,"a) &lt;1 min",IF(AA317&lt;10,"b) 1-10 min",IF(AA317&lt;60,"c) 10-60 min",IF(AA317&lt;240,"d) 1-4 h","e) 4 h+"))))</f>
        <v>b) 1-10 min</v>
      </c>
      <c r="AC317" s="29" t="str">
        <f aca="false">IF(P317&lt;10,"a) &lt;10",IF(P317&lt;20,"b) 10-20",IF(P317&lt;40,"c) 20-40",IF(P317&lt;80,"d) 40-80","e) 80+"))))</f>
        <v>a) &lt;10</v>
      </c>
      <c r="AD317" s="31" t="n">
        <f aca="false">Summary!$C$5+SUM(X$2:X317)</f>
        <v>13248.44</v>
      </c>
      <c r="AE317" s="31" t="n">
        <f aca="false">MAX(AE316,AD317)</f>
        <v>13354</v>
      </c>
      <c r="AF317" s="31" t="n">
        <f aca="false">AE317-AD317</f>
        <v>105.559999999999</v>
      </c>
      <c r="AG317" s="30" t="n">
        <f aca="false">IFERROR(AF317/AE317,0)</f>
        <v>0.00790474764115617</v>
      </c>
    </row>
    <row r="318" customFormat="false" ht="15" hidden="false" customHeight="false" outlineLevel="0" collapsed="false">
      <c r="A318" s="29" t="n">
        <v>317</v>
      </c>
      <c r="B318" s="44" t="n">
        <v>45097.2145833333</v>
      </c>
      <c r="C318" s="44" t="n">
        <v>45097.2149074074</v>
      </c>
      <c r="D318" s="43" t="n">
        <f aca="false">INT(C318)</f>
        <v>45097</v>
      </c>
      <c r="E318" s="43" t="n">
        <f aca="false">D318-WEEKDAY(D318,3)</f>
        <v>45096</v>
      </c>
      <c r="F318" s="29" t="s">
        <v>158</v>
      </c>
      <c r="G318" s="29" t="n">
        <v>2023</v>
      </c>
      <c r="H318" s="29" t="s">
        <v>248</v>
      </c>
      <c r="I318" s="29" t="n">
        <v>5</v>
      </c>
      <c r="J318" s="29" t="s">
        <v>250</v>
      </c>
      <c r="K318" s="29" t="s">
        <v>251</v>
      </c>
      <c r="L318" s="29" t="n">
        <v>0.04</v>
      </c>
      <c r="M318" s="32" t="n">
        <v>15043.6</v>
      </c>
      <c r="N318" s="32" t="n">
        <v>15046.56</v>
      </c>
      <c r="O318" s="32" t="n">
        <v>15036.35</v>
      </c>
      <c r="P318" s="45" t="n">
        <f aca="false">ABS(M318-N318)</f>
        <v>2.95999999999913</v>
      </c>
      <c r="Q318" s="45" t="n">
        <f aca="false">IF(O318="","",ABS(O318-M318))</f>
        <v>7.25</v>
      </c>
      <c r="R318" s="31" t="n">
        <f aca="false">P318*L318*Summary!$C$6</f>
        <v>11.8399999999965</v>
      </c>
      <c r="S318" s="32" t="n">
        <v>15046.58</v>
      </c>
      <c r="T318" s="29" t="s">
        <v>249</v>
      </c>
      <c r="U318" s="45" t="n">
        <f aca="false">IF(J318="BUY",S318-M318,M318-S318)</f>
        <v>-2.97999999999956</v>
      </c>
      <c r="V318" s="46" t="n">
        <v>0</v>
      </c>
      <c r="W318" s="46" t="n">
        <v>0</v>
      </c>
      <c r="X318" s="46" t="n">
        <v>-11.92</v>
      </c>
      <c r="Y318" s="33" t="n">
        <f aca="false">IFERROR(X318/R318,0)</f>
        <v>-1.00675675675705</v>
      </c>
      <c r="Z318" s="29" t="str">
        <f aca="false">IF(X318&gt;0,"Win",IF(X318&lt;0,"Loss","Flat"))</f>
        <v>Loss</v>
      </c>
      <c r="AA318" s="29" t="n">
        <f aca="false">ROUND((C318-B318)*1440,1)</f>
        <v>0.5</v>
      </c>
      <c r="AB318" s="29" t="str">
        <f aca="false">IF(AA318&lt;1,"a) &lt;1 min",IF(AA318&lt;10,"b) 1-10 min",IF(AA318&lt;60,"c) 10-60 min",IF(AA318&lt;240,"d) 1-4 h","e) 4 h+"))))</f>
        <v>a) &lt;1 min</v>
      </c>
      <c r="AC318" s="29" t="str">
        <f aca="false">IF(P318&lt;10,"a) &lt;10",IF(P318&lt;20,"b) 10-20",IF(P318&lt;40,"c) 20-40",IF(P318&lt;80,"d) 40-80","e) 80+"))))</f>
        <v>a) &lt;10</v>
      </c>
      <c r="AD318" s="31" t="n">
        <f aca="false">Summary!$C$5+SUM(X$2:X318)</f>
        <v>13236.52</v>
      </c>
      <c r="AE318" s="31" t="n">
        <f aca="false">MAX(AE317,AD318)</f>
        <v>13354</v>
      </c>
      <c r="AF318" s="31" t="n">
        <f aca="false">AE318-AD318</f>
        <v>117.48</v>
      </c>
      <c r="AG318" s="30" t="n">
        <f aca="false">IFERROR(AF318/AE318,0)</f>
        <v>0.00879736408566718</v>
      </c>
    </row>
    <row r="319" customFormat="false" ht="15" hidden="false" customHeight="false" outlineLevel="0" collapsed="false">
      <c r="A319" s="29" t="n">
        <v>318</v>
      </c>
      <c r="B319" s="44" t="n">
        <v>45098.7069444444</v>
      </c>
      <c r="C319" s="44" t="n">
        <v>45098.7096180556</v>
      </c>
      <c r="D319" s="43" t="n">
        <f aca="false">INT(C319)</f>
        <v>45098</v>
      </c>
      <c r="E319" s="43" t="n">
        <f aca="false">D319-WEEKDAY(D319,3)</f>
        <v>45096</v>
      </c>
      <c r="F319" s="29" t="s">
        <v>158</v>
      </c>
      <c r="G319" s="29" t="n">
        <v>2023</v>
      </c>
      <c r="H319" s="29" t="s">
        <v>252</v>
      </c>
      <c r="I319" s="29" t="n">
        <v>16</v>
      </c>
      <c r="J319" s="29" t="s">
        <v>250</v>
      </c>
      <c r="K319" s="29" t="s">
        <v>251</v>
      </c>
      <c r="L319" s="29" t="n">
        <v>0.04</v>
      </c>
      <c r="M319" s="32" t="n">
        <v>14942.34</v>
      </c>
      <c r="N319" s="32" t="n">
        <v>14953.92</v>
      </c>
      <c r="O319" s="32" t="n">
        <v>14914.25</v>
      </c>
      <c r="P319" s="45" t="n">
        <f aca="false">ABS(M319-N319)</f>
        <v>11.5799999999999</v>
      </c>
      <c r="Q319" s="45" t="n">
        <f aca="false">IF(O319="","",ABS(O319-M319))</f>
        <v>28.0900000000001</v>
      </c>
      <c r="R319" s="31" t="n">
        <f aca="false">P319*L319*Summary!$C$6</f>
        <v>46.3199999999997</v>
      </c>
      <c r="S319" s="32" t="n">
        <v>14914.25</v>
      </c>
      <c r="T319" s="29" t="s">
        <v>227</v>
      </c>
      <c r="U319" s="45" t="n">
        <f aca="false">IF(J319="BUY",S319-M319,M319-S319)</f>
        <v>28.0900000000001</v>
      </c>
      <c r="V319" s="46" t="n">
        <v>0</v>
      </c>
      <c r="W319" s="46" t="n">
        <v>0</v>
      </c>
      <c r="X319" s="46" t="n">
        <v>112.36</v>
      </c>
      <c r="Y319" s="33" t="n">
        <f aca="false">IFERROR(X319/R319,0)</f>
        <v>2.42573402417964</v>
      </c>
      <c r="Z319" s="29" t="str">
        <f aca="false">IF(X319&gt;0,"Win",IF(X319&lt;0,"Loss","Flat"))</f>
        <v>Win</v>
      </c>
      <c r="AA319" s="29" t="n">
        <f aca="false">ROUND((C319-B319)*1440,1)</f>
        <v>3.9</v>
      </c>
      <c r="AB319" s="29" t="str">
        <f aca="false">IF(AA319&lt;1,"a) &lt;1 min",IF(AA319&lt;10,"b) 1-10 min",IF(AA319&lt;60,"c) 10-60 min",IF(AA319&lt;240,"d) 1-4 h","e) 4 h+"))))</f>
        <v>b) 1-10 min</v>
      </c>
      <c r="AC319" s="29" t="str">
        <f aca="false">IF(P319&lt;10,"a) &lt;10",IF(P319&lt;20,"b) 10-20",IF(P319&lt;40,"c) 20-40",IF(P319&lt;80,"d) 40-80","e) 80+"))))</f>
        <v>b) 10-20</v>
      </c>
      <c r="AD319" s="31" t="n">
        <f aca="false">Summary!$C$5+SUM(X$2:X319)</f>
        <v>13348.88</v>
      </c>
      <c r="AE319" s="31" t="n">
        <f aca="false">MAX(AE318,AD319)</f>
        <v>13354</v>
      </c>
      <c r="AF319" s="31" t="n">
        <f aca="false">AE319-AD319</f>
        <v>5.11999999999898</v>
      </c>
      <c r="AG319" s="30" t="n">
        <f aca="false">IFERROR(AF319/AE319,0)</f>
        <v>0.000383405721132169</v>
      </c>
    </row>
    <row r="320" customFormat="false" ht="15" hidden="false" customHeight="false" outlineLevel="0" collapsed="false">
      <c r="A320" s="29" t="n">
        <v>319</v>
      </c>
      <c r="B320" s="44" t="n">
        <v>45099.3382060185</v>
      </c>
      <c r="C320" s="44" t="n">
        <v>45099.3396759259</v>
      </c>
      <c r="D320" s="43" t="n">
        <f aca="false">INT(C320)</f>
        <v>45099</v>
      </c>
      <c r="E320" s="43" t="n">
        <f aca="false">D320-WEEKDAY(D320,3)</f>
        <v>45096</v>
      </c>
      <c r="F320" s="29" t="s">
        <v>158</v>
      </c>
      <c r="G320" s="29" t="n">
        <v>2023</v>
      </c>
      <c r="H320" s="29" t="s">
        <v>253</v>
      </c>
      <c r="I320" s="29" t="n">
        <v>8</v>
      </c>
      <c r="J320" s="29" t="s">
        <v>250</v>
      </c>
      <c r="K320" s="29" t="s">
        <v>251</v>
      </c>
      <c r="L320" s="29" t="n">
        <v>0.04</v>
      </c>
      <c r="M320" s="32" t="n">
        <v>14819.52</v>
      </c>
      <c r="N320" s="32" t="n">
        <v>14824.03</v>
      </c>
      <c r="O320" s="32" t="n">
        <v>14809.23</v>
      </c>
      <c r="P320" s="45" t="n">
        <f aca="false">ABS(M320-N320)</f>
        <v>4.51000000000022</v>
      </c>
      <c r="Q320" s="45" t="n">
        <f aca="false">IF(O320="","",ABS(O320-M320))</f>
        <v>10.2900000000009</v>
      </c>
      <c r="R320" s="31" t="n">
        <f aca="false">P320*L320*Summary!$C$6</f>
        <v>18.0400000000009</v>
      </c>
      <c r="S320" s="32" t="n">
        <v>14808.89</v>
      </c>
      <c r="T320" s="29" t="s">
        <v>227</v>
      </c>
      <c r="U320" s="45" t="n">
        <f aca="false">IF(J320="BUY",S320-M320,M320-S320)</f>
        <v>10.630000000001</v>
      </c>
      <c r="V320" s="46" t="n">
        <v>0</v>
      </c>
      <c r="W320" s="46" t="n">
        <v>0</v>
      </c>
      <c r="X320" s="46" t="n">
        <v>42.52</v>
      </c>
      <c r="Y320" s="33" t="n">
        <f aca="false">IFERROR(X320/R320,0)</f>
        <v>2.35698447893558</v>
      </c>
      <c r="Z320" s="29" t="str">
        <f aca="false">IF(X320&gt;0,"Win",IF(X320&lt;0,"Loss","Flat"))</f>
        <v>Win</v>
      </c>
      <c r="AA320" s="29" t="n">
        <f aca="false">ROUND((C320-B320)*1440,1)</f>
        <v>2.1</v>
      </c>
      <c r="AB320" s="29" t="str">
        <f aca="false">IF(AA320&lt;1,"a) &lt;1 min",IF(AA320&lt;10,"b) 1-10 min",IF(AA320&lt;60,"c) 10-60 min",IF(AA320&lt;240,"d) 1-4 h","e) 4 h+"))))</f>
        <v>b) 1-10 min</v>
      </c>
      <c r="AC320" s="29" t="str">
        <f aca="false">IF(P320&lt;10,"a) &lt;10",IF(P320&lt;20,"b) 10-20",IF(P320&lt;40,"c) 20-40",IF(P320&lt;80,"d) 40-80","e) 80+"))))</f>
        <v>a) &lt;10</v>
      </c>
      <c r="AD320" s="31" t="n">
        <f aca="false">Summary!$C$5+SUM(X$2:X320)</f>
        <v>13391.4</v>
      </c>
      <c r="AE320" s="31" t="n">
        <f aca="false">MAX(AE319,AD320)</f>
        <v>13391.4</v>
      </c>
      <c r="AF320" s="31" t="n">
        <f aca="false">AE320-AD320</f>
        <v>0</v>
      </c>
      <c r="AG320" s="30" t="n">
        <f aca="false">IFERROR(AF320/AE320,0)</f>
        <v>0</v>
      </c>
    </row>
    <row r="321" customFormat="false" ht="15" hidden="false" customHeight="false" outlineLevel="0" collapsed="false">
      <c r="A321" s="29" t="n">
        <v>320</v>
      </c>
      <c r="B321" s="44" t="n">
        <v>45100.0423611111</v>
      </c>
      <c r="C321" s="44" t="n">
        <v>45100.1041666667</v>
      </c>
      <c r="D321" s="43" t="n">
        <f aca="false">INT(C321)</f>
        <v>45100</v>
      </c>
      <c r="E321" s="43" t="n">
        <f aca="false">D321-WEEKDAY(D321,3)</f>
        <v>45096</v>
      </c>
      <c r="F321" s="29" t="s">
        <v>158</v>
      </c>
      <c r="G321" s="29" t="n">
        <v>2023</v>
      </c>
      <c r="H321" s="29" t="s">
        <v>254</v>
      </c>
      <c r="I321" s="29" t="n">
        <v>1</v>
      </c>
      <c r="J321" s="29" t="s">
        <v>246</v>
      </c>
      <c r="K321" s="29" t="s">
        <v>247</v>
      </c>
      <c r="L321" s="29" t="n">
        <v>0.04</v>
      </c>
      <c r="M321" s="32" t="n">
        <v>15053.87</v>
      </c>
      <c r="N321" s="32" t="n">
        <v>15048.22</v>
      </c>
      <c r="O321" s="32" t="n">
        <v>15067.72</v>
      </c>
      <c r="P321" s="45" t="n">
        <f aca="false">ABS(M321-N321)</f>
        <v>5.65000000000146</v>
      </c>
      <c r="Q321" s="45" t="n">
        <f aca="false">IF(O321="","",ABS(O321-M321))</f>
        <v>13.8499999999985</v>
      </c>
      <c r="R321" s="31" t="n">
        <f aca="false">P321*L321*Summary!$C$6</f>
        <v>22.6000000000058</v>
      </c>
      <c r="S321" s="32" t="n">
        <v>15047.79</v>
      </c>
      <c r="T321" s="29" t="s">
        <v>249</v>
      </c>
      <c r="U321" s="45" t="n">
        <f aca="false">IF(J321="BUY",S321-M321,M321-S321)</f>
        <v>-6.07999999999993</v>
      </c>
      <c r="V321" s="46" t="n">
        <v>0</v>
      </c>
      <c r="W321" s="46" t="n">
        <v>0</v>
      </c>
      <c r="X321" s="46" t="n">
        <v>-24.32</v>
      </c>
      <c r="Y321" s="33" t="n">
        <f aca="false">IFERROR(X321/R321,0)</f>
        <v>-1.07610619468999</v>
      </c>
      <c r="Z321" s="29" t="str">
        <f aca="false">IF(X321&gt;0,"Win",IF(X321&lt;0,"Loss","Flat"))</f>
        <v>Loss</v>
      </c>
      <c r="AA321" s="29" t="n">
        <f aca="false">ROUND((C321-B321)*1440,1)</f>
        <v>89</v>
      </c>
      <c r="AB321" s="29" t="str">
        <f aca="false">IF(AA321&lt;1,"a) &lt;1 min",IF(AA321&lt;10,"b) 1-10 min",IF(AA321&lt;60,"c) 10-60 min",IF(AA321&lt;240,"d) 1-4 h","e) 4 h+"))))</f>
        <v>d) 1-4 h</v>
      </c>
      <c r="AC321" s="29" t="str">
        <f aca="false">IF(P321&lt;10,"a) &lt;10",IF(P321&lt;20,"b) 10-20",IF(P321&lt;40,"c) 20-40",IF(P321&lt;80,"d) 40-80","e) 80+"))))</f>
        <v>a) &lt;10</v>
      </c>
      <c r="AD321" s="31" t="n">
        <f aca="false">Summary!$C$5+SUM(X$2:X321)</f>
        <v>13367.08</v>
      </c>
      <c r="AE321" s="31" t="n">
        <f aca="false">MAX(AE320,AD321)</f>
        <v>13391.4</v>
      </c>
      <c r="AF321" s="31" t="n">
        <f aca="false">AE321-AD321</f>
        <v>24.3199999999997</v>
      </c>
      <c r="AG321" s="30" t="n">
        <f aca="false">IFERROR(AF321/AE321,0)</f>
        <v>0.00181609092402585</v>
      </c>
    </row>
    <row r="322" customFormat="false" ht="15" hidden="false" customHeight="false" outlineLevel="0" collapsed="false">
      <c r="A322" s="29" t="n">
        <v>321</v>
      </c>
      <c r="B322" s="44" t="n">
        <v>45103.7958333333</v>
      </c>
      <c r="C322" s="44" t="n">
        <v>45103.8064583333</v>
      </c>
      <c r="D322" s="43" t="n">
        <f aca="false">INT(C322)</f>
        <v>45103</v>
      </c>
      <c r="E322" s="43" t="n">
        <f aca="false">D322-WEEKDAY(D322,3)</f>
        <v>45103</v>
      </c>
      <c r="F322" s="29" t="s">
        <v>158</v>
      </c>
      <c r="G322" s="29" t="n">
        <v>2023</v>
      </c>
      <c r="H322" s="29" t="s">
        <v>245</v>
      </c>
      <c r="I322" s="29" t="n">
        <v>19</v>
      </c>
      <c r="J322" s="29" t="s">
        <v>250</v>
      </c>
      <c r="K322" s="29" t="s">
        <v>251</v>
      </c>
      <c r="L322" s="29" t="n">
        <v>0.04</v>
      </c>
      <c r="M322" s="32" t="n">
        <v>14786.83</v>
      </c>
      <c r="N322" s="32" t="n">
        <v>14804.08</v>
      </c>
      <c r="O322" s="32" t="n">
        <v>14745.83</v>
      </c>
      <c r="P322" s="45" t="n">
        <f aca="false">ABS(M322-N322)</f>
        <v>17.25</v>
      </c>
      <c r="Q322" s="45" t="n">
        <f aca="false">IF(O322="","",ABS(O322-M322))</f>
        <v>41</v>
      </c>
      <c r="R322" s="31" t="n">
        <f aca="false">P322*L322*Summary!$C$6</f>
        <v>69</v>
      </c>
      <c r="S322" s="32" t="n">
        <v>14745.83</v>
      </c>
      <c r="T322" s="29" t="s">
        <v>227</v>
      </c>
      <c r="U322" s="45" t="n">
        <f aca="false">IF(J322="BUY",S322-M322,M322-S322)</f>
        <v>41</v>
      </c>
      <c r="V322" s="46" t="n">
        <v>0</v>
      </c>
      <c r="W322" s="46" t="n">
        <v>0</v>
      </c>
      <c r="X322" s="46" t="n">
        <v>164</v>
      </c>
      <c r="Y322" s="33" t="n">
        <f aca="false">IFERROR(X322/R322,0)</f>
        <v>2.3768115942029</v>
      </c>
      <c r="Z322" s="29" t="str">
        <f aca="false">IF(X322&gt;0,"Win",IF(X322&lt;0,"Loss","Flat"))</f>
        <v>Win</v>
      </c>
      <c r="AA322" s="29" t="n">
        <f aca="false">ROUND((C322-B322)*1440,1)</f>
        <v>15.3</v>
      </c>
      <c r="AB322" s="29" t="str">
        <f aca="false">IF(AA322&lt;1,"a) &lt;1 min",IF(AA322&lt;10,"b) 1-10 min",IF(AA322&lt;60,"c) 10-60 min",IF(AA322&lt;240,"d) 1-4 h","e) 4 h+"))))</f>
        <v>c) 10-60 min</v>
      </c>
      <c r="AC322" s="29" t="str">
        <f aca="false">IF(P322&lt;10,"a) &lt;10",IF(P322&lt;20,"b) 10-20",IF(P322&lt;40,"c) 20-40",IF(P322&lt;80,"d) 40-80","e) 80+"))))</f>
        <v>b) 10-20</v>
      </c>
      <c r="AD322" s="31" t="n">
        <f aca="false">Summary!$C$5+SUM(X$2:X322)</f>
        <v>13531.08</v>
      </c>
      <c r="AE322" s="31" t="n">
        <f aca="false">MAX(AE321,AD322)</f>
        <v>13531.08</v>
      </c>
      <c r="AF322" s="31" t="n">
        <f aca="false">AE322-AD322</f>
        <v>0</v>
      </c>
      <c r="AG322" s="30" t="n">
        <f aca="false">IFERROR(AF322/AE322,0)</f>
        <v>0</v>
      </c>
    </row>
    <row r="323" customFormat="false" ht="15" hidden="false" customHeight="false" outlineLevel="0" collapsed="false">
      <c r="A323" s="29" t="n">
        <v>322</v>
      </c>
      <c r="B323" s="44" t="n">
        <v>45105.7284722222</v>
      </c>
      <c r="C323" s="44" t="n">
        <v>45105.7328703704</v>
      </c>
      <c r="D323" s="43" t="n">
        <f aca="false">INT(C323)</f>
        <v>45105</v>
      </c>
      <c r="E323" s="43" t="n">
        <f aca="false">D323-WEEKDAY(D323,3)</f>
        <v>45103</v>
      </c>
      <c r="F323" s="29" t="s">
        <v>158</v>
      </c>
      <c r="G323" s="29" t="n">
        <v>2023</v>
      </c>
      <c r="H323" s="29" t="s">
        <v>252</v>
      </c>
      <c r="I323" s="29" t="n">
        <v>17</v>
      </c>
      <c r="J323" s="29" t="s">
        <v>246</v>
      </c>
      <c r="K323" s="29" t="s">
        <v>247</v>
      </c>
      <c r="L323" s="29" t="n">
        <v>0.04</v>
      </c>
      <c r="M323" s="32" t="n">
        <v>14977.6</v>
      </c>
      <c r="N323" s="32" t="n">
        <v>14964.27</v>
      </c>
      <c r="O323" s="32" t="n">
        <v>15009.29</v>
      </c>
      <c r="P323" s="45" t="n">
        <f aca="false">ABS(M323-N323)</f>
        <v>13.3299999999999</v>
      </c>
      <c r="Q323" s="45" t="n">
        <f aca="false">IF(O323="","",ABS(O323-M323))</f>
        <v>31.6900000000005</v>
      </c>
      <c r="R323" s="31" t="n">
        <f aca="false">P323*L323*Summary!$C$6</f>
        <v>53.3199999999997</v>
      </c>
      <c r="S323" s="32" t="n">
        <v>15009.62</v>
      </c>
      <c r="T323" s="29" t="s">
        <v>227</v>
      </c>
      <c r="U323" s="45" t="n">
        <f aca="false">IF(J323="BUY",S323-M323,M323-S323)</f>
        <v>32.0200000000004</v>
      </c>
      <c r="V323" s="46" t="n">
        <v>0</v>
      </c>
      <c r="W323" s="46" t="n">
        <v>0</v>
      </c>
      <c r="X323" s="46" t="n">
        <v>128.08</v>
      </c>
      <c r="Y323" s="33" t="n">
        <f aca="false">IFERROR(X323/R323,0)</f>
        <v>2.4021005251313</v>
      </c>
      <c r="Z323" s="29" t="str">
        <f aca="false">IF(X323&gt;0,"Win",IF(X323&lt;0,"Loss","Flat"))</f>
        <v>Win</v>
      </c>
      <c r="AA323" s="29" t="n">
        <f aca="false">ROUND((C323-B323)*1440,1)</f>
        <v>6.3</v>
      </c>
      <c r="AB323" s="29" t="str">
        <f aca="false">IF(AA323&lt;1,"a) &lt;1 min",IF(AA323&lt;10,"b) 1-10 min",IF(AA323&lt;60,"c) 10-60 min",IF(AA323&lt;240,"d) 1-4 h","e) 4 h+"))))</f>
        <v>b) 1-10 min</v>
      </c>
      <c r="AC323" s="29" t="str">
        <f aca="false">IF(P323&lt;10,"a) &lt;10",IF(P323&lt;20,"b) 10-20",IF(P323&lt;40,"c) 20-40",IF(P323&lt;80,"d) 40-80","e) 80+"))))</f>
        <v>b) 10-20</v>
      </c>
      <c r="AD323" s="31" t="n">
        <f aca="false">Summary!$C$5+SUM(X$2:X323)</f>
        <v>13659.16</v>
      </c>
      <c r="AE323" s="31" t="n">
        <f aca="false">MAX(AE322,AD323)</f>
        <v>13659.16</v>
      </c>
      <c r="AF323" s="31" t="n">
        <f aca="false">AE323-AD323</f>
        <v>0</v>
      </c>
      <c r="AG323" s="30" t="n">
        <f aca="false">IFERROR(AF323/AE323,0)</f>
        <v>0</v>
      </c>
    </row>
    <row r="324" customFormat="false" ht="15" hidden="false" customHeight="false" outlineLevel="0" collapsed="false">
      <c r="A324" s="29" t="n">
        <v>323</v>
      </c>
      <c r="B324" s="44" t="n">
        <v>45107.6465277778</v>
      </c>
      <c r="C324" s="44" t="n">
        <v>45107.6488194445</v>
      </c>
      <c r="D324" s="43" t="n">
        <f aca="false">INT(C324)</f>
        <v>45107</v>
      </c>
      <c r="E324" s="43" t="n">
        <f aca="false">D324-WEEKDAY(D324,3)</f>
        <v>45103</v>
      </c>
      <c r="F324" s="29" t="s">
        <v>158</v>
      </c>
      <c r="G324" s="29" t="n">
        <v>2023</v>
      </c>
      <c r="H324" s="29" t="s">
        <v>254</v>
      </c>
      <c r="I324" s="29" t="n">
        <v>15</v>
      </c>
      <c r="J324" s="29" t="s">
        <v>246</v>
      </c>
      <c r="K324" s="29" t="s">
        <v>247</v>
      </c>
      <c r="L324" s="29" t="n">
        <v>0.04</v>
      </c>
      <c r="M324" s="32" t="n">
        <v>15049.71</v>
      </c>
      <c r="N324" s="32" t="n">
        <v>15038.39</v>
      </c>
      <c r="O324" s="32" t="n">
        <v>15077.58</v>
      </c>
      <c r="P324" s="45" t="n">
        <f aca="false">ABS(M324-N324)</f>
        <v>11.3199999999997</v>
      </c>
      <c r="Q324" s="45" t="n">
        <f aca="false">IF(O324="","",ABS(O324-M324))</f>
        <v>27.8700000000008</v>
      </c>
      <c r="R324" s="31" t="n">
        <f aca="false">P324*L324*Summary!$C$6</f>
        <v>45.2799999999988</v>
      </c>
      <c r="S324" s="32" t="n">
        <v>15077.66</v>
      </c>
      <c r="T324" s="29" t="s">
        <v>227</v>
      </c>
      <c r="U324" s="45" t="n">
        <f aca="false">IF(J324="BUY",S324-M324,M324-S324)</f>
        <v>27.9500000000007</v>
      </c>
      <c r="V324" s="46" t="n">
        <v>0</v>
      </c>
      <c r="W324" s="46" t="n">
        <v>0</v>
      </c>
      <c r="X324" s="46" t="n">
        <v>111.8</v>
      </c>
      <c r="Y324" s="33" t="n">
        <f aca="false">IFERROR(X324/R324,0)</f>
        <v>2.46908127208487</v>
      </c>
      <c r="Z324" s="29" t="str">
        <f aca="false">IF(X324&gt;0,"Win",IF(X324&lt;0,"Loss","Flat"))</f>
        <v>Win</v>
      </c>
      <c r="AA324" s="29" t="n">
        <f aca="false">ROUND((C324-B324)*1440,1)</f>
        <v>3.3</v>
      </c>
      <c r="AB324" s="29" t="str">
        <f aca="false">IF(AA324&lt;1,"a) &lt;1 min",IF(AA324&lt;10,"b) 1-10 min",IF(AA324&lt;60,"c) 10-60 min",IF(AA324&lt;240,"d) 1-4 h","e) 4 h+"))))</f>
        <v>b) 1-10 min</v>
      </c>
      <c r="AC324" s="29" t="str">
        <f aca="false">IF(P324&lt;10,"a) &lt;10",IF(P324&lt;20,"b) 10-20",IF(P324&lt;40,"c) 20-40",IF(P324&lt;80,"d) 40-80","e) 80+"))))</f>
        <v>b) 10-20</v>
      </c>
      <c r="AD324" s="31" t="n">
        <f aca="false">Summary!$C$5+SUM(X$2:X324)</f>
        <v>13770.96</v>
      </c>
      <c r="AE324" s="31" t="n">
        <f aca="false">MAX(AE323,AD324)</f>
        <v>13770.96</v>
      </c>
      <c r="AF324" s="31" t="n">
        <f aca="false">AE324-AD324</f>
        <v>0</v>
      </c>
      <c r="AG324" s="30" t="n">
        <f aca="false">IFERROR(AF324/AE324,0)</f>
        <v>0</v>
      </c>
    </row>
    <row r="325" customFormat="false" ht="15" hidden="false" customHeight="false" outlineLevel="0" collapsed="false">
      <c r="A325" s="29" t="n">
        <v>324</v>
      </c>
      <c r="B325" s="44" t="n">
        <v>45110.4631944444</v>
      </c>
      <c r="C325" s="44" t="n">
        <v>45110.4694907407</v>
      </c>
      <c r="D325" s="43" t="n">
        <f aca="false">INT(C325)</f>
        <v>45110</v>
      </c>
      <c r="E325" s="43" t="n">
        <f aca="false">D325-WEEKDAY(D325,3)</f>
        <v>45110</v>
      </c>
      <c r="F325" s="29" t="s">
        <v>159</v>
      </c>
      <c r="G325" s="29" t="n">
        <v>2023</v>
      </c>
      <c r="H325" s="29" t="s">
        <v>245</v>
      </c>
      <c r="I325" s="29" t="n">
        <v>11</v>
      </c>
      <c r="J325" s="29" t="s">
        <v>246</v>
      </c>
      <c r="K325" s="29" t="s">
        <v>247</v>
      </c>
      <c r="L325" s="29" t="n">
        <v>0.04</v>
      </c>
      <c r="M325" s="32" t="n">
        <v>15217.24</v>
      </c>
      <c r="N325" s="32" t="n">
        <v>15211.69</v>
      </c>
      <c r="O325" s="32" t="n">
        <v>15230.9</v>
      </c>
      <c r="P325" s="45" t="n">
        <f aca="false">ABS(M325-N325)</f>
        <v>5.54999999999927</v>
      </c>
      <c r="Q325" s="45" t="n">
        <f aca="false">IF(O325="","",ABS(O325-M325))</f>
        <v>13.6599999999999</v>
      </c>
      <c r="R325" s="31" t="n">
        <f aca="false">P325*L325*Summary!$C$6</f>
        <v>22.1999999999971</v>
      </c>
      <c r="S325" s="32" t="n">
        <v>15217.07</v>
      </c>
      <c r="T325" s="29" t="s">
        <v>255</v>
      </c>
      <c r="U325" s="45" t="n">
        <f aca="false">IF(J325="BUY",S325-M325,M325-S325)</f>
        <v>-0.170000000000073</v>
      </c>
      <c r="V325" s="46" t="n">
        <v>0</v>
      </c>
      <c r="W325" s="46" t="n">
        <v>0</v>
      </c>
      <c r="X325" s="46" t="n">
        <v>-0.68</v>
      </c>
      <c r="Y325" s="33" t="n">
        <f aca="false">IFERROR(X325/R325,0)</f>
        <v>-0.0306306306306346</v>
      </c>
      <c r="Z325" s="29" t="str">
        <f aca="false">IF(X325&gt;0,"Win",IF(X325&lt;0,"Loss","Flat"))</f>
        <v>Loss</v>
      </c>
      <c r="AA325" s="29" t="n">
        <f aca="false">ROUND((C325-B325)*1440,1)</f>
        <v>9.1</v>
      </c>
      <c r="AB325" s="29" t="str">
        <f aca="false">IF(AA325&lt;1,"a) &lt;1 min",IF(AA325&lt;10,"b) 1-10 min",IF(AA325&lt;60,"c) 10-60 min",IF(AA325&lt;240,"d) 1-4 h","e) 4 h+"))))</f>
        <v>b) 1-10 min</v>
      </c>
      <c r="AC325" s="29" t="str">
        <f aca="false">IF(P325&lt;10,"a) &lt;10",IF(P325&lt;20,"b) 10-20",IF(P325&lt;40,"c) 20-40",IF(P325&lt;80,"d) 40-80","e) 80+"))))</f>
        <v>a) &lt;10</v>
      </c>
      <c r="AD325" s="31" t="n">
        <f aca="false">Summary!$C$5+SUM(X$2:X325)</f>
        <v>13770.28</v>
      </c>
      <c r="AE325" s="31" t="n">
        <f aca="false">MAX(AE324,AD325)</f>
        <v>13770.96</v>
      </c>
      <c r="AF325" s="31" t="n">
        <f aca="false">AE325-AD325</f>
        <v>0.680000000000291</v>
      </c>
      <c r="AG325" s="30" t="n">
        <f aca="false">IFERROR(AF325/AE325,0)</f>
        <v>4.9379273485675E-005</v>
      </c>
    </row>
    <row r="326" customFormat="false" ht="15" hidden="false" customHeight="false" outlineLevel="0" collapsed="false">
      <c r="A326" s="29" t="n">
        <v>325</v>
      </c>
      <c r="B326" s="44" t="n">
        <v>45112.4090277778</v>
      </c>
      <c r="C326" s="44" t="n">
        <v>45112.4113078704</v>
      </c>
      <c r="D326" s="43" t="n">
        <f aca="false">INT(C326)</f>
        <v>45112</v>
      </c>
      <c r="E326" s="43" t="n">
        <f aca="false">D326-WEEKDAY(D326,3)</f>
        <v>45110</v>
      </c>
      <c r="F326" s="29" t="s">
        <v>159</v>
      </c>
      <c r="G326" s="29" t="n">
        <v>2023</v>
      </c>
      <c r="H326" s="29" t="s">
        <v>252</v>
      </c>
      <c r="I326" s="29" t="n">
        <v>9</v>
      </c>
      <c r="J326" s="29" t="s">
        <v>250</v>
      </c>
      <c r="K326" s="29" t="s">
        <v>251</v>
      </c>
      <c r="L326" s="29" t="n">
        <v>0.04</v>
      </c>
      <c r="M326" s="32" t="n">
        <v>15151.04</v>
      </c>
      <c r="N326" s="32" t="n">
        <v>15154.55</v>
      </c>
      <c r="O326" s="32" t="n">
        <v>15142.45</v>
      </c>
      <c r="P326" s="45" t="n">
        <f aca="false">ABS(M326-N326)</f>
        <v>3.5099999999984</v>
      </c>
      <c r="Q326" s="45" t="n">
        <f aca="false">IF(O326="","",ABS(O326-M326))</f>
        <v>8.59000000000015</v>
      </c>
      <c r="R326" s="31" t="n">
        <f aca="false">P326*L326*Summary!$C$6</f>
        <v>14.0399999999936</v>
      </c>
      <c r="S326" s="32" t="n">
        <v>15142.13</v>
      </c>
      <c r="T326" s="29" t="s">
        <v>227</v>
      </c>
      <c r="U326" s="45" t="n">
        <f aca="false">IF(J326="BUY",S326-M326,M326-S326)</f>
        <v>8.91000000000167</v>
      </c>
      <c r="V326" s="46" t="n">
        <v>0</v>
      </c>
      <c r="W326" s="46" t="n">
        <v>0</v>
      </c>
      <c r="X326" s="46" t="n">
        <v>35.64</v>
      </c>
      <c r="Y326" s="33" t="n">
        <f aca="false">IFERROR(X326/R326,0)</f>
        <v>2.5384615384627</v>
      </c>
      <c r="Z326" s="29" t="str">
        <f aca="false">IF(X326&gt;0,"Win",IF(X326&lt;0,"Loss","Flat"))</f>
        <v>Win</v>
      </c>
      <c r="AA326" s="29" t="n">
        <f aca="false">ROUND((C326-B326)*1440,1)</f>
        <v>3.3</v>
      </c>
      <c r="AB326" s="29" t="str">
        <f aca="false">IF(AA326&lt;1,"a) &lt;1 min",IF(AA326&lt;10,"b) 1-10 min",IF(AA326&lt;60,"c) 10-60 min",IF(AA326&lt;240,"d) 1-4 h","e) 4 h+"))))</f>
        <v>b) 1-10 min</v>
      </c>
      <c r="AC326" s="29" t="str">
        <f aca="false">IF(P326&lt;10,"a) &lt;10",IF(P326&lt;20,"b) 10-20",IF(P326&lt;40,"c) 20-40",IF(P326&lt;80,"d) 40-80","e) 80+"))))</f>
        <v>a) &lt;10</v>
      </c>
      <c r="AD326" s="31" t="n">
        <f aca="false">Summary!$C$5+SUM(X$2:X326)</f>
        <v>13805.92</v>
      </c>
      <c r="AE326" s="31" t="n">
        <f aca="false">MAX(AE325,AD326)</f>
        <v>13805.92</v>
      </c>
      <c r="AF326" s="31" t="n">
        <f aca="false">AE326-AD326</f>
        <v>0</v>
      </c>
      <c r="AG326" s="30" t="n">
        <f aca="false">IFERROR(AF326/AE326,0)</f>
        <v>0</v>
      </c>
    </row>
    <row r="327" customFormat="false" ht="15" hidden="false" customHeight="false" outlineLevel="0" collapsed="false">
      <c r="A327" s="29" t="n">
        <v>326</v>
      </c>
      <c r="B327" s="44" t="n">
        <v>45112.6993055556</v>
      </c>
      <c r="C327" s="44" t="n">
        <v>45112.7006944444</v>
      </c>
      <c r="D327" s="43" t="n">
        <f aca="false">INT(C327)</f>
        <v>45112</v>
      </c>
      <c r="E327" s="43" t="n">
        <f aca="false">D327-WEEKDAY(D327,3)</f>
        <v>45110</v>
      </c>
      <c r="F327" s="29" t="s">
        <v>159</v>
      </c>
      <c r="G327" s="29" t="n">
        <v>2023</v>
      </c>
      <c r="H327" s="29" t="s">
        <v>252</v>
      </c>
      <c r="I327" s="29" t="n">
        <v>16</v>
      </c>
      <c r="J327" s="29" t="s">
        <v>246</v>
      </c>
      <c r="K327" s="29" t="s">
        <v>247</v>
      </c>
      <c r="L327" s="29" t="n">
        <v>0.04</v>
      </c>
      <c r="M327" s="32" t="n">
        <v>15238.03</v>
      </c>
      <c r="N327" s="32" t="n">
        <v>15226.66</v>
      </c>
      <c r="O327" s="32" t="n">
        <v>15262.74</v>
      </c>
      <c r="P327" s="45" t="n">
        <f aca="false">ABS(M327-N327)</f>
        <v>11.3700000000008</v>
      </c>
      <c r="Q327" s="45" t="n">
        <f aca="false">IF(O327="","",ABS(O327-M327))</f>
        <v>24.7099999999991</v>
      </c>
      <c r="R327" s="31" t="n">
        <f aca="false">P327*L327*Summary!$C$6</f>
        <v>45.4800000000032</v>
      </c>
      <c r="S327" s="32" t="n">
        <v>15226.57</v>
      </c>
      <c r="T327" s="29" t="s">
        <v>249</v>
      </c>
      <c r="U327" s="45" t="n">
        <f aca="false">IF(J327="BUY",S327-M327,M327-S327)</f>
        <v>-11.4600000000009</v>
      </c>
      <c r="V327" s="46" t="n">
        <v>0</v>
      </c>
      <c r="W327" s="46" t="n">
        <v>0</v>
      </c>
      <c r="X327" s="46" t="n">
        <v>-45.84</v>
      </c>
      <c r="Y327" s="33" t="n">
        <f aca="false">IFERROR(X327/R327,0)</f>
        <v>-1.00791556728225</v>
      </c>
      <c r="Z327" s="29" t="str">
        <f aca="false">IF(X327&gt;0,"Win",IF(X327&lt;0,"Loss","Flat"))</f>
        <v>Loss</v>
      </c>
      <c r="AA327" s="29" t="n">
        <f aca="false">ROUND((C327-B327)*1440,1)</f>
        <v>2</v>
      </c>
      <c r="AB327" s="29" t="str">
        <f aca="false">IF(AA327&lt;1,"a) &lt;1 min",IF(AA327&lt;10,"b) 1-10 min",IF(AA327&lt;60,"c) 10-60 min",IF(AA327&lt;240,"d) 1-4 h","e) 4 h+"))))</f>
        <v>b) 1-10 min</v>
      </c>
      <c r="AC327" s="29" t="str">
        <f aca="false">IF(P327&lt;10,"a) &lt;10",IF(P327&lt;20,"b) 10-20",IF(P327&lt;40,"c) 20-40",IF(P327&lt;80,"d) 40-80","e) 80+"))))</f>
        <v>b) 10-20</v>
      </c>
      <c r="AD327" s="31" t="n">
        <f aca="false">Summary!$C$5+SUM(X$2:X327)</f>
        <v>13760.08</v>
      </c>
      <c r="AE327" s="31" t="n">
        <f aca="false">MAX(AE326,AD327)</f>
        <v>13805.92</v>
      </c>
      <c r="AF327" s="31" t="n">
        <f aca="false">AE327-AD327</f>
        <v>45.8400000000001</v>
      </c>
      <c r="AG327" s="30" t="n">
        <f aca="false">IFERROR(AF327/AE327,0)</f>
        <v>0.00332031476352175</v>
      </c>
    </row>
    <row r="328" customFormat="false" ht="15" hidden="false" customHeight="false" outlineLevel="0" collapsed="false">
      <c r="A328" s="29" t="n">
        <v>327</v>
      </c>
      <c r="B328" s="44" t="n">
        <v>45113.6368055556</v>
      </c>
      <c r="C328" s="44" t="n">
        <v>45113.6388425926</v>
      </c>
      <c r="D328" s="43" t="n">
        <f aca="false">INT(C328)</f>
        <v>45113</v>
      </c>
      <c r="E328" s="43" t="n">
        <f aca="false">D328-WEEKDAY(D328,3)</f>
        <v>45110</v>
      </c>
      <c r="F328" s="29" t="s">
        <v>159</v>
      </c>
      <c r="G328" s="29" t="n">
        <v>2023</v>
      </c>
      <c r="H328" s="29" t="s">
        <v>253</v>
      </c>
      <c r="I328" s="29" t="n">
        <v>15</v>
      </c>
      <c r="J328" s="29" t="s">
        <v>250</v>
      </c>
      <c r="K328" s="29" t="s">
        <v>251</v>
      </c>
      <c r="L328" s="29" t="n">
        <v>0.04</v>
      </c>
      <c r="M328" s="32" t="n">
        <v>15094.14</v>
      </c>
      <c r="N328" s="32" t="n">
        <v>15104.28</v>
      </c>
      <c r="O328" s="32" t="n">
        <v>15071.79</v>
      </c>
      <c r="P328" s="45" t="n">
        <f aca="false">ABS(M328-N328)</f>
        <v>10.1400000000012</v>
      </c>
      <c r="Q328" s="45" t="n">
        <f aca="false">IF(O328="","",ABS(O328-M328))</f>
        <v>22.3499999999985</v>
      </c>
      <c r="R328" s="31" t="n">
        <f aca="false">P328*L328*Summary!$C$6</f>
        <v>40.560000000005</v>
      </c>
      <c r="S328" s="32" t="n">
        <v>15104.3</v>
      </c>
      <c r="T328" s="29" t="s">
        <v>249</v>
      </c>
      <c r="U328" s="45" t="n">
        <f aca="false">IF(J328="BUY",S328-M328,M328-S328)</f>
        <v>-10.1599999999999</v>
      </c>
      <c r="V328" s="46" t="n">
        <v>0</v>
      </c>
      <c r="W328" s="46" t="n">
        <v>0</v>
      </c>
      <c r="X328" s="46" t="n">
        <v>-40.64</v>
      </c>
      <c r="Y328" s="33" t="n">
        <f aca="false">IFERROR(X328/R328,0)</f>
        <v>-1.00197238658765</v>
      </c>
      <c r="Z328" s="29" t="str">
        <f aca="false">IF(X328&gt;0,"Win",IF(X328&lt;0,"Loss","Flat"))</f>
        <v>Loss</v>
      </c>
      <c r="AA328" s="29" t="n">
        <f aca="false">ROUND((C328-B328)*1440,1)</f>
        <v>2.9</v>
      </c>
      <c r="AB328" s="29" t="str">
        <f aca="false">IF(AA328&lt;1,"a) &lt;1 min",IF(AA328&lt;10,"b) 1-10 min",IF(AA328&lt;60,"c) 10-60 min",IF(AA328&lt;240,"d) 1-4 h","e) 4 h+"))))</f>
        <v>b) 1-10 min</v>
      </c>
      <c r="AC328" s="29" t="str">
        <f aca="false">IF(P328&lt;10,"a) &lt;10",IF(P328&lt;20,"b) 10-20",IF(P328&lt;40,"c) 20-40",IF(P328&lt;80,"d) 40-80","e) 80+"))))</f>
        <v>b) 10-20</v>
      </c>
      <c r="AD328" s="31" t="n">
        <f aca="false">Summary!$C$5+SUM(X$2:X328)</f>
        <v>13719.44</v>
      </c>
      <c r="AE328" s="31" t="n">
        <f aca="false">MAX(AE327,AD328)</f>
        <v>13805.92</v>
      </c>
      <c r="AF328" s="31" t="n">
        <f aca="false">AE328-AD328</f>
        <v>86.4799999999996</v>
      </c>
      <c r="AG328" s="30" t="n">
        <f aca="false">IFERROR(AF328/AE328,0)</f>
        <v>0.00626397951023905</v>
      </c>
    </row>
    <row r="329" customFormat="false" ht="15" hidden="false" customHeight="false" outlineLevel="0" collapsed="false">
      <c r="A329" s="29" t="n">
        <v>328</v>
      </c>
      <c r="B329" s="44" t="n">
        <v>45114.8527777778</v>
      </c>
      <c r="C329" s="44" t="n">
        <v>45114.8574189815</v>
      </c>
      <c r="D329" s="43" t="n">
        <f aca="false">INT(C329)</f>
        <v>45114</v>
      </c>
      <c r="E329" s="43" t="n">
        <f aca="false">D329-WEEKDAY(D329,3)</f>
        <v>45110</v>
      </c>
      <c r="F329" s="29" t="s">
        <v>159</v>
      </c>
      <c r="G329" s="29" t="n">
        <v>2023</v>
      </c>
      <c r="H329" s="29" t="s">
        <v>254</v>
      </c>
      <c r="I329" s="29" t="n">
        <v>20</v>
      </c>
      <c r="J329" s="29" t="s">
        <v>246</v>
      </c>
      <c r="K329" s="29" t="s">
        <v>247</v>
      </c>
      <c r="L329" s="29" t="n">
        <v>0.04</v>
      </c>
      <c r="M329" s="32" t="n">
        <v>15210.4</v>
      </c>
      <c r="N329" s="32" t="n">
        <v>15206.63</v>
      </c>
      <c r="O329" s="32" t="n">
        <v>15219.68</v>
      </c>
      <c r="P329" s="45" t="n">
        <f aca="false">ABS(M329-N329)</f>
        <v>3.77000000000044</v>
      </c>
      <c r="Q329" s="45" t="n">
        <f aca="false">IF(O329="","",ABS(O329-M329))</f>
        <v>9.28000000000066</v>
      </c>
      <c r="R329" s="31" t="n">
        <f aca="false">P329*L329*Summary!$C$6</f>
        <v>15.0800000000017</v>
      </c>
      <c r="S329" s="32" t="n">
        <v>15210.38</v>
      </c>
      <c r="T329" s="29" t="s">
        <v>255</v>
      </c>
      <c r="U329" s="45" t="n">
        <f aca="false">IF(J329="BUY",S329-M329,M329-S329)</f>
        <v>-0.0200000000004366</v>
      </c>
      <c r="V329" s="46" t="n">
        <v>0</v>
      </c>
      <c r="W329" s="46" t="n">
        <v>0</v>
      </c>
      <c r="X329" s="46" t="n">
        <v>-0.08</v>
      </c>
      <c r="Y329" s="33" t="n">
        <f aca="false">IFERROR(X329/R329,0)</f>
        <v>-0.00530503978779779</v>
      </c>
      <c r="Z329" s="29" t="str">
        <f aca="false">IF(X329&gt;0,"Win",IF(X329&lt;0,"Loss","Flat"))</f>
        <v>Loss</v>
      </c>
      <c r="AA329" s="29" t="n">
        <f aca="false">ROUND((C329-B329)*1440,1)</f>
        <v>6.7</v>
      </c>
      <c r="AB329" s="29" t="str">
        <f aca="false">IF(AA329&lt;1,"a) &lt;1 min",IF(AA329&lt;10,"b) 1-10 min",IF(AA329&lt;60,"c) 10-60 min",IF(AA329&lt;240,"d) 1-4 h","e) 4 h+"))))</f>
        <v>b) 1-10 min</v>
      </c>
      <c r="AC329" s="29" t="str">
        <f aca="false">IF(P329&lt;10,"a) &lt;10",IF(P329&lt;20,"b) 10-20",IF(P329&lt;40,"c) 20-40",IF(P329&lt;80,"d) 40-80","e) 80+"))))</f>
        <v>a) &lt;10</v>
      </c>
      <c r="AD329" s="31" t="n">
        <f aca="false">Summary!$C$5+SUM(X$2:X329)</f>
        <v>13719.36</v>
      </c>
      <c r="AE329" s="31" t="n">
        <f aca="false">MAX(AE328,AD329)</f>
        <v>13805.92</v>
      </c>
      <c r="AF329" s="31" t="n">
        <f aca="false">AE329-AD329</f>
        <v>86.5599999999995</v>
      </c>
      <c r="AG329" s="30" t="n">
        <f aca="false">IFERROR(AF329/AE329,0)</f>
        <v>0.00626977412588219</v>
      </c>
    </row>
    <row r="330" customFormat="false" ht="15" hidden="false" customHeight="false" outlineLevel="0" collapsed="false">
      <c r="A330" s="29" t="n">
        <v>329</v>
      </c>
      <c r="B330" s="44" t="n">
        <v>45117.0479166667</v>
      </c>
      <c r="C330" s="44" t="n">
        <v>45117.0486226852</v>
      </c>
      <c r="D330" s="43" t="n">
        <f aca="false">INT(C330)</f>
        <v>45117</v>
      </c>
      <c r="E330" s="43" t="n">
        <f aca="false">D330-WEEKDAY(D330,3)</f>
        <v>45117</v>
      </c>
      <c r="F330" s="29" t="s">
        <v>159</v>
      </c>
      <c r="G330" s="29" t="n">
        <v>2023</v>
      </c>
      <c r="H330" s="29" t="s">
        <v>245</v>
      </c>
      <c r="I330" s="29" t="n">
        <v>1</v>
      </c>
      <c r="J330" s="29" t="s">
        <v>250</v>
      </c>
      <c r="K330" s="29" t="s">
        <v>251</v>
      </c>
      <c r="L330" s="29" t="n">
        <v>0.04</v>
      </c>
      <c r="M330" s="32" t="n">
        <v>15018.13</v>
      </c>
      <c r="N330" s="32" t="n">
        <v>15025.2</v>
      </c>
      <c r="O330" s="32" t="n">
        <v>15000.82</v>
      </c>
      <c r="P330" s="45" t="n">
        <f aca="false">ABS(M330-N330)</f>
        <v>7.07000000000153</v>
      </c>
      <c r="Q330" s="45" t="n">
        <f aca="false">IF(O330="","",ABS(O330-M330))</f>
        <v>17.3099999999995</v>
      </c>
      <c r="R330" s="31" t="n">
        <f aca="false">P330*L330*Summary!$C$6</f>
        <v>28.2800000000061</v>
      </c>
      <c r="S330" s="32" t="n">
        <v>15025.3</v>
      </c>
      <c r="T330" s="29" t="s">
        <v>249</v>
      </c>
      <c r="U330" s="45" t="n">
        <f aca="false">IF(J330="BUY",S330-M330,M330-S330)</f>
        <v>-7.17000000000007</v>
      </c>
      <c r="V330" s="46" t="n">
        <v>0</v>
      </c>
      <c r="W330" s="46" t="n">
        <v>0</v>
      </c>
      <c r="X330" s="46" t="n">
        <v>-28.68</v>
      </c>
      <c r="Y330" s="33" t="n">
        <f aca="false">IFERROR(X330/R330,0)</f>
        <v>-1.0141442715698</v>
      </c>
      <c r="Z330" s="29" t="str">
        <f aca="false">IF(X330&gt;0,"Win",IF(X330&lt;0,"Loss","Flat"))</f>
        <v>Loss</v>
      </c>
      <c r="AA330" s="29" t="n">
        <f aca="false">ROUND((C330-B330)*1440,1)</f>
        <v>1</v>
      </c>
      <c r="AB330" s="29" t="str">
        <f aca="false">IF(AA330&lt;1,"a) &lt;1 min",IF(AA330&lt;10,"b) 1-10 min",IF(AA330&lt;60,"c) 10-60 min",IF(AA330&lt;240,"d) 1-4 h","e) 4 h+"))))</f>
        <v>b) 1-10 min</v>
      </c>
      <c r="AC330" s="29" t="str">
        <f aca="false">IF(P330&lt;10,"a) &lt;10",IF(P330&lt;20,"b) 10-20",IF(P330&lt;40,"c) 20-40",IF(P330&lt;80,"d) 40-80","e) 80+"))))</f>
        <v>a) &lt;10</v>
      </c>
      <c r="AD330" s="31" t="n">
        <f aca="false">Summary!$C$5+SUM(X$2:X330)</f>
        <v>13690.68</v>
      </c>
      <c r="AE330" s="31" t="n">
        <f aca="false">MAX(AE329,AD330)</f>
        <v>13805.92</v>
      </c>
      <c r="AF330" s="31" t="n">
        <f aca="false">AE330-AD330</f>
        <v>115.24</v>
      </c>
      <c r="AG330" s="30" t="n">
        <f aca="false">IFERROR(AF330/AE330,0)</f>
        <v>0.00834714383394948</v>
      </c>
    </row>
    <row r="331" customFormat="false" ht="15" hidden="false" customHeight="false" outlineLevel="0" collapsed="false">
      <c r="A331" s="29" t="n">
        <v>330</v>
      </c>
      <c r="B331" s="44" t="n">
        <v>45118.3777777778</v>
      </c>
      <c r="C331" s="44" t="n">
        <v>45118.3798611111</v>
      </c>
      <c r="D331" s="43" t="n">
        <f aca="false">INT(C331)</f>
        <v>45118</v>
      </c>
      <c r="E331" s="43" t="n">
        <f aca="false">D331-WEEKDAY(D331,3)</f>
        <v>45117</v>
      </c>
      <c r="F331" s="29" t="s">
        <v>159</v>
      </c>
      <c r="G331" s="29" t="n">
        <v>2023</v>
      </c>
      <c r="H331" s="29" t="s">
        <v>248</v>
      </c>
      <c r="I331" s="29" t="n">
        <v>9</v>
      </c>
      <c r="J331" s="29" t="s">
        <v>246</v>
      </c>
      <c r="K331" s="29" t="s">
        <v>247</v>
      </c>
      <c r="L331" s="29" t="n">
        <v>0.04</v>
      </c>
      <c r="M331" s="32" t="n">
        <v>15076.55</v>
      </c>
      <c r="N331" s="32" t="n">
        <v>15071.35</v>
      </c>
      <c r="O331" s="32" t="n">
        <v>15089.39</v>
      </c>
      <c r="P331" s="45" t="n">
        <f aca="false">ABS(M331-N331)</f>
        <v>5.19999999999891</v>
      </c>
      <c r="Q331" s="45" t="n">
        <f aca="false">IF(O331="","",ABS(O331-M331))</f>
        <v>12.8400000000001</v>
      </c>
      <c r="R331" s="31" t="n">
        <f aca="false">P331*L331*Summary!$C$6</f>
        <v>20.7999999999956</v>
      </c>
      <c r="S331" s="32" t="n">
        <v>15071.32</v>
      </c>
      <c r="T331" s="29" t="s">
        <v>249</v>
      </c>
      <c r="U331" s="45" t="n">
        <f aca="false">IF(J331="BUY",S331-M331,M331-S331)</f>
        <v>-5.22999999999956</v>
      </c>
      <c r="V331" s="46" t="n">
        <v>0</v>
      </c>
      <c r="W331" s="46" t="n">
        <v>0</v>
      </c>
      <c r="X331" s="46" t="n">
        <v>-20.92</v>
      </c>
      <c r="Y331" s="33" t="n">
        <f aca="false">IFERROR(X331/R331,0)</f>
        <v>-1.00576923076944</v>
      </c>
      <c r="Z331" s="29" t="str">
        <f aca="false">IF(X331&gt;0,"Win",IF(X331&lt;0,"Loss","Flat"))</f>
        <v>Loss</v>
      </c>
      <c r="AA331" s="29" t="n">
        <f aca="false">ROUND((C331-B331)*1440,1)</f>
        <v>3</v>
      </c>
      <c r="AB331" s="29" t="str">
        <f aca="false">IF(AA331&lt;1,"a) &lt;1 min",IF(AA331&lt;10,"b) 1-10 min",IF(AA331&lt;60,"c) 10-60 min",IF(AA331&lt;240,"d) 1-4 h","e) 4 h+"))))</f>
        <v>b) 1-10 min</v>
      </c>
      <c r="AC331" s="29" t="str">
        <f aca="false">IF(P331&lt;10,"a) &lt;10",IF(P331&lt;20,"b) 10-20",IF(P331&lt;40,"c) 20-40",IF(P331&lt;80,"d) 40-80","e) 80+"))))</f>
        <v>a) &lt;10</v>
      </c>
      <c r="AD331" s="31" t="n">
        <f aca="false">Summary!$C$5+SUM(X$2:X331)</f>
        <v>13669.76</v>
      </c>
      <c r="AE331" s="31" t="n">
        <f aca="false">MAX(AE330,AD331)</f>
        <v>13805.92</v>
      </c>
      <c r="AF331" s="31" t="n">
        <f aca="false">AE331-AD331</f>
        <v>136.16</v>
      </c>
      <c r="AG331" s="30" t="n">
        <f aca="false">IFERROR(AF331/AE331,0)</f>
        <v>0.00986243582463174</v>
      </c>
    </row>
    <row r="332" customFormat="false" ht="15" hidden="false" customHeight="false" outlineLevel="0" collapsed="false">
      <c r="A332" s="29" t="n">
        <v>331</v>
      </c>
      <c r="B332" s="44" t="n">
        <v>45119.0944560185</v>
      </c>
      <c r="C332" s="44" t="n">
        <v>45119.0949189815</v>
      </c>
      <c r="D332" s="43" t="n">
        <f aca="false">INT(C332)</f>
        <v>45119</v>
      </c>
      <c r="E332" s="43" t="n">
        <f aca="false">D332-WEEKDAY(D332,3)</f>
        <v>45117</v>
      </c>
      <c r="F332" s="29" t="s">
        <v>159</v>
      </c>
      <c r="G332" s="29" t="n">
        <v>2023</v>
      </c>
      <c r="H332" s="29" t="s">
        <v>252</v>
      </c>
      <c r="I332" s="29" t="n">
        <v>2</v>
      </c>
      <c r="J332" s="29" t="s">
        <v>246</v>
      </c>
      <c r="K332" s="29" t="s">
        <v>247</v>
      </c>
      <c r="L332" s="29" t="n">
        <v>0.04</v>
      </c>
      <c r="M332" s="32" t="n">
        <v>15139.73</v>
      </c>
      <c r="N332" s="32" t="n">
        <v>15138.42</v>
      </c>
      <c r="O332" s="32" t="n">
        <v>15143.18</v>
      </c>
      <c r="P332" s="45" t="n">
        <f aca="false">ABS(M332-N332)</f>
        <v>1.30999999999949</v>
      </c>
      <c r="Q332" s="45" t="n">
        <f aca="false">IF(O332="","",ABS(O332-M332))</f>
        <v>3.45000000000073</v>
      </c>
      <c r="R332" s="31" t="n">
        <f aca="false">P332*L332*Summary!$C$6</f>
        <v>5.23999999999796</v>
      </c>
      <c r="S332" s="32" t="n">
        <v>15138.02</v>
      </c>
      <c r="T332" s="29" t="s">
        <v>249</v>
      </c>
      <c r="U332" s="45" t="n">
        <f aca="false">IF(J332="BUY",S332-M332,M332-S332)</f>
        <v>-1.70999999999913</v>
      </c>
      <c r="V332" s="46" t="n">
        <v>0</v>
      </c>
      <c r="W332" s="46" t="n">
        <v>0</v>
      </c>
      <c r="X332" s="46" t="n">
        <v>-6.84</v>
      </c>
      <c r="Y332" s="33" t="n">
        <f aca="false">IFERROR(X332/R332,0)</f>
        <v>-1.30534351145089</v>
      </c>
      <c r="Z332" s="29" t="str">
        <f aca="false">IF(X332&gt;0,"Win",IF(X332&lt;0,"Loss","Flat"))</f>
        <v>Loss</v>
      </c>
      <c r="AA332" s="29" t="n">
        <f aca="false">ROUND((C332-B332)*1440,1)</f>
        <v>0.7</v>
      </c>
      <c r="AB332" s="29" t="str">
        <f aca="false">IF(AA332&lt;1,"a) &lt;1 min",IF(AA332&lt;10,"b) 1-10 min",IF(AA332&lt;60,"c) 10-60 min",IF(AA332&lt;240,"d) 1-4 h","e) 4 h+"))))</f>
        <v>a) &lt;1 min</v>
      </c>
      <c r="AC332" s="29" t="str">
        <f aca="false">IF(P332&lt;10,"a) &lt;10",IF(P332&lt;20,"b) 10-20",IF(P332&lt;40,"c) 20-40",IF(P332&lt;80,"d) 40-80","e) 80+"))))</f>
        <v>a) &lt;10</v>
      </c>
      <c r="AD332" s="31" t="n">
        <f aca="false">Summary!$C$5+SUM(X$2:X332)</f>
        <v>13662.92</v>
      </c>
      <c r="AE332" s="31" t="n">
        <f aca="false">MAX(AE331,AD332)</f>
        <v>13805.92</v>
      </c>
      <c r="AF332" s="31" t="n">
        <f aca="false">AE332-AD332</f>
        <v>143</v>
      </c>
      <c r="AG332" s="30" t="n">
        <f aca="false">IFERROR(AF332/AE332,0)</f>
        <v>0.0103578754621206</v>
      </c>
    </row>
    <row r="333" customFormat="false" ht="15" hidden="false" customHeight="false" outlineLevel="0" collapsed="false">
      <c r="A333" s="29" t="n">
        <v>332</v>
      </c>
      <c r="B333" s="44" t="n">
        <v>45120.3013888889</v>
      </c>
      <c r="C333" s="44" t="n">
        <v>45120.3015046296</v>
      </c>
      <c r="D333" s="43" t="n">
        <f aca="false">INT(C333)</f>
        <v>45120</v>
      </c>
      <c r="E333" s="43" t="n">
        <f aca="false">D333-WEEKDAY(D333,3)</f>
        <v>45117</v>
      </c>
      <c r="F333" s="29" t="s">
        <v>159</v>
      </c>
      <c r="G333" s="29" t="n">
        <v>2023</v>
      </c>
      <c r="H333" s="29" t="s">
        <v>253</v>
      </c>
      <c r="I333" s="29" t="n">
        <v>7</v>
      </c>
      <c r="J333" s="29" t="s">
        <v>246</v>
      </c>
      <c r="K333" s="29" t="s">
        <v>247</v>
      </c>
      <c r="L333" s="29" t="n">
        <v>0.04</v>
      </c>
      <c r="M333" s="32" t="n">
        <v>15380.73</v>
      </c>
      <c r="N333" s="32" t="n">
        <v>15372.95</v>
      </c>
      <c r="O333" s="32" t="n">
        <v>15399.92</v>
      </c>
      <c r="P333" s="45" t="n">
        <f aca="false">ABS(M333-N333)</f>
        <v>7.77999999999884</v>
      </c>
      <c r="Q333" s="45" t="n">
        <f aca="false">IF(O333="","",ABS(O333-M333))</f>
        <v>19.1900000000005</v>
      </c>
      <c r="R333" s="31" t="n">
        <f aca="false">P333*L333*Summary!$C$6</f>
        <v>31.1199999999953</v>
      </c>
      <c r="S333" s="32" t="n">
        <v>15372.74</v>
      </c>
      <c r="T333" s="29" t="s">
        <v>249</v>
      </c>
      <c r="U333" s="45" t="n">
        <f aca="false">IF(J333="BUY",S333-M333,M333-S333)</f>
        <v>-7.98999999999978</v>
      </c>
      <c r="V333" s="46" t="n">
        <v>0</v>
      </c>
      <c r="W333" s="46" t="n">
        <v>0</v>
      </c>
      <c r="X333" s="46" t="n">
        <v>-31.96</v>
      </c>
      <c r="Y333" s="33" t="n">
        <f aca="false">IFERROR(X333/R333,0)</f>
        <v>-1.02699228791789</v>
      </c>
      <c r="Z333" s="29" t="str">
        <f aca="false">IF(X333&gt;0,"Win",IF(X333&lt;0,"Loss","Flat"))</f>
        <v>Loss</v>
      </c>
      <c r="AA333" s="29" t="n">
        <f aca="false">ROUND((C333-B333)*1440,1)</f>
        <v>0.2</v>
      </c>
      <c r="AB333" s="29" t="str">
        <f aca="false">IF(AA333&lt;1,"a) &lt;1 min",IF(AA333&lt;10,"b) 1-10 min",IF(AA333&lt;60,"c) 10-60 min",IF(AA333&lt;240,"d) 1-4 h","e) 4 h+"))))</f>
        <v>a) &lt;1 min</v>
      </c>
      <c r="AC333" s="29" t="str">
        <f aca="false">IF(P333&lt;10,"a) &lt;10",IF(P333&lt;20,"b) 10-20",IF(P333&lt;40,"c) 20-40",IF(P333&lt;80,"d) 40-80","e) 80+"))))</f>
        <v>a) &lt;10</v>
      </c>
      <c r="AD333" s="31" t="n">
        <f aca="false">Summary!$C$5+SUM(X$2:X333)</f>
        <v>13630.96</v>
      </c>
      <c r="AE333" s="31" t="n">
        <f aca="false">MAX(AE332,AD333)</f>
        <v>13805.92</v>
      </c>
      <c r="AF333" s="31" t="n">
        <f aca="false">AE333-AD333</f>
        <v>174.960000000001</v>
      </c>
      <c r="AG333" s="30" t="n">
        <f aca="false">IFERROR(AF333/AE333,0)</f>
        <v>0.0126728244115569</v>
      </c>
    </row>
    <row r="334" customFormat="false" ht="15" hidden="false" customHeight="false" outlineLevel="0" collapsed="false">
      <c r="A334" s="29" t="n">
        <v>333</v>
      </c>
      <c r="B334" s="44" t="n">
        <v>45121.6881944445</v>
      </c>
      <c r="C334" s="44" t="n">
        <v>45121.6888078704</v>
      </c>
      <c r="D334" s="43" t="n">
        <f aca="false">INT(C334)</f>
        <v>45121</v>
      </c>
      <c r="E334" s="43" t="n">
        <f aca="false">D334-WEEKDAY(D334,3)</f>
        <v>45117</v>
      </c>
      <c r="F334" s="29" t="s">
        <v>159</v>
      </c>
      <c r="G334" s="29" t="n">
        <v>2023</v>
      </c>
      <c r="H334" s="29" t="s">
        <v>254</v>
      </c>
      <c r="I334" s="29" t="n">
        <v>16</v>
      </c>
      <c r="J334" s="29" t="s">
        <v>246</v>
      </c>
      <c r="K334" s="29" t="s">
        <v>247</v>
      </c>
      <c r="L334" s="29" t="n">
        <v>0.04</v>
      </c>
      <c r="M334" s="32" t="n">
        <v>15610.75</v>
      </c>
      <c r="N334" s="32" t="n">
        <v>15599.09</v>
      </c>
      <c r="O334" s="32" t="n">
        <v>15640.73</v>
      </c>
      <c r="P334" s="45" t="n">
        <f aca="false">ABS(M334-N334)</f>
        <v>11.6599999999999</v>
      </c>
      <c r="Q334" s="45" t="n">
        <f aca="false">IF(O334="","",ABS(O334-M334))</f>
        <v>29.9799999999996</v>
      </c>
      <c r="R334" s="31" t="n">
        <f aca="false">P334*L334*Summary!$C$6</f>
        <v>46.6399999999994</v>
      </c>
      <c r="S334" s="32" t="n">
        <v>15610.72</v>
      </c>
      <c r="T334" s="29" t="s">
        <v>255</v>
      </c>
      <c r="U334" s="45" t="n">
        <f aca="false">IF(J334="BUY",S334-M334,M334-S334)</f>
        <v>-0.0300000000006548</v>
      </c>
      <c r="V334" s="46" t="n">
        <v>0</v>
      </c>
      <c r="W334" s="46" t="n">
        <v>0</v>
      </c>
      <c r="X334" s="46" t="n">
        <v>-0.12</v>
      </c>
      <c r="Y334" s="33" t="n">
        <f aca="false">IFERROR(X334/R334,0)</f>
        <v>-0.00257289879931393</v>
      </c>
      <c r="Z334" s="29" t="str">
        <f aca="false">IF(X334&gt;0,"Win",IF(X334&lt;0,"Loss","Flat"))</f>
        <v>Loss</v>
      </c>
      <c r="AA334" s="29" t="n">
        <f aca="false">ROUND((C334-B334)*1440,1)</f>
        <v>0.9</v>
      </c>
      <c r="AB334" s="29" t="str">
        <f aca="false">IF(AA334&lt;1,"a) &lt;1 min",IF(AA334&lt;10,"b) 1-10 min",IF(AA334&lt;60,"c) 10-60 min",IF(AA334&lt;240,"d) 1-4 h","e) 4 h+"))))</f>
        <v>a) &lt;1 min</v>
      </c>
      <c r="AC334" s="29" t="str">
        <f aca="false">IF(P334&lt;10,"a) &lt;10",IF(P334&lt;20,"b) 10-20",IF(P334&lt;40,"c) 20-40",IF(P334&lt;80,"d) 40-80","e) 80+"))))</f>
        <v>b) 10-20</v>
      </c>
      <c r="AD334" s="31" t="n">
        <f aca="false">Summary!$C$5+SUM(X$2:X334)</f>
        <v>13630.84</v>
      </c>
      <c r="AE334" s="31" t="n">
        <f aca="false">MAX(AE333,AD334)</f>
        <v>13805.92</v>
      </c>
      <c r="AF334" s="31" t="n">
        <f aca="false">AE334-AD334</f>
        <v>175.08</v>
      </c>
      <c r="AG334" s="30" t="n">
        <f aca="false">IFERROR(AF334/AE334,0)</f>
        <v>0.0126815163350215</v>
      </c>
    </row>
    <row r="335" customFormat="false" ht="15" hidden="false" customHeight="false" outlineLevel="0" collapsed="false">
      <c r="A335" s="29" t="n">
        <v>334</v>
      </c>
      <c r="B335" s="44" t="n">
        <v>45124.1006944445</v>
      </c>
      <c r="C335" s="44" t="n">
        <v>45124.1024421296</v>
      </c>
      <c r="D335" s="43" t="n">
        <f aca="false">INT(C335)</f>
        <v>45124</v>
      </c>
      <c r="E335" s="43" t="n">
        <f aca="false">D335-WEEKDAY(D335,3)</f>
        <v>45124</v>
      </c>
      <c r="F335" s="29" t="s">
        <v>159</v>
      </c>
      <c r="G335" s="29" t="n">
        <v>2023</v>
      </c>
      <c r="H335" s="29" t="s">
        <v>245</v>
      </c>
      <c r="I335" s="29" t="n">
        <v>2</v>
      </c>
      <c r="J335" s="29" t="s">
        <v>250</v>
      </c>
      <c r="K335" s="29" t="s">
        <v>251</v>
      </c>
      <c r="L335" s="29" t="n">
        <v>0.04</v>
      </c>
      <c r="M335" s="32" t="n">
        <v>15529.15</v>
      </c>
      <c r="N335" s="32" t="n">
        <v>15531.86</v>
      </c>
      <c r="O335" s="32" t="n">
        <v>15522.5</v>
      </c>
      <c r="P335" s="45" t="n">
        <f aca="false">ABS(M335-N335)</f>
        <v>2.71000000000095</v>
      </c>
      <c r="Q335" s="45" t="n">
        <f aca="false">IF(O335="","",ABS(O335-M335))</f>
        <v>6.64999999999964</v>
      </c>
      <c r="R335" s="31" t="n">
        <f aca="false">P335*L335*Summary!$C$6</f>
        <v>10.8400000000038</v>
      </c>
      <c r="S335" s="32" t="n">
        <v>15531.89</v>
      </c>
      <c r="T335" s="29" t="s">
        <v>249</v>
      </c>
      <c r="U335" s="45" t="n">
        <f aca="false">IF(J335="BUY",S335-M335,M335-S335)</f>
        <v>-2.73999999999978</v>
      </c>
      <c r="V335" s="46" t="n">
        <v>0</v>
      </c>
      <c r="W335" s="46" t="n">
        <v>0</v>
      </c>
      <c r="X335" s="46" t="n">
        <v>-10.96</v>
      </c>
      <c r="Y335" s="33" t="n">
        <f aca="false">IFERROR(X335/R335,0)</f>
        <v>-1.01107011070075</v>
      </c>
      <c r="Z335" s="29" t="str">
        <f aca="false">IF(X335&gt;0,"Win",IF(X335&lt;0,"Loss","Flat"))</f>
        <v>Loss</v>
      </c>
      <c r="AA335" s="29" t="n">
        <f aca="false">ROUND((C335-B335)*1440,1)</f>
        <v>2.5</v>
      </c>
      <c r="AB335" s="29" t="str">
        <f aca="false">IF(AA335&lt;1,"a) &lt;1 min",IF(AA335&lt;10,"b) 1-10 min",IF(AA335&lt;60,"c) 10-60 min",IF(AA335&lt;240,"d) 1-4 h","e) 4 h+"))))</f>
        <v>b) 1-10 min</v>
      </c>
      <c r="AC335" s="29" t="str">
        <f aca="false">IF(P335&lt;10,"a) &lt;10",IF(P335&lt;20,"b) 10-20",IF(P335&lt;40,"c) 20-40",IF(P335&lt;80,"d) 40-80","e) 80+"))))</f>
        <v>a) &lt;10</v>
      </c>
      <c r="AD335" s="31" t="n">
        <f aca="false">Summary!$C$5+SUM(X$2:X335)</f>
        <v>13619.88</v>
      </c>
      <c r="AE335" s="31" t="n">
        <f aca="false">MAX(AE334,AD335)</f>
        <v>13805.92</v>
      </c>
      <c r="AF335" s="31" t="n">
        <f aca="false">AE335-AD335</f>
        <v>186.039999999999</v>
      </c>
      <c r="AG335" s="30" t="n">
        <f aca="false">IFERROR(AF335/AE335,0)</f>
        <v>0.0134753786781322</v>
      </c>
    </row>
    <row r="336" customFormat="false" ht="15" hidden="false" customHeight="false" outlineLevel="0" collapsed="false">
      <c r="A336" s="29" t="n">
        <v>335</v>
      </c>
      <c r="B336" s="44" t="n">
        <v>45124.9298611111</v>
      </c>
      <c r="C336" s="44" t="n">
        <v>45124.9301041667</v>
      </c>
      <c r="D336" s="43" t="n">
        <f aca="false">INT(C336)</f>
        <v>45124</v>
      </c>
      <c r="E336" s="43" t="n">
        <f aca="false">D336-WEEKDAY(D336,3)</f>
        <v>45124</v>
      </c>
      <c r="F336" s="29" t="s">
        <v>159</v>
      </c>
      <c r="G336" s="29" t="n">
        <v>2023</v>
      </c>
      <c r="H336" s="29" t="s">
        <v>245</v>
      </c>
      <c r="I336" s="29" t="n">
        <v>22</v>
      </c>
      <c r="J336" s="29" t="s">
        <v>246</v>
      </c>
      <c r="K336" s="29" t="s">
        <v>247</v>
      </c>
      <c r="L336" s="29" t="n">
        <v>0.04</v>
      </c>
      <c r="M336" s="32" t="n">
        <v>15724.39</v>
      </c>
      <c r="N336" s="32" t="n">
        <v>15718.61</v>
      </c>
      <c r="O336" s="32" t="n">
        <v>15737.72</v>
      </c>
      <c r="P336" s="45" t="n">
        <f aca="false">ABS(M336-N336)</f>
        <v>5.77999999999884</v>
      </c>
      <c r="Q336" s="45" t="n">
        <f aca="false">IF(O336="","",ABS(O336-M336))</f>
        <v>13.3299999999999</v>
      </c>
      <c r="R336" s="31" t="n">
        <f aca="false">P336*L336*Summary!$C$6</f>
        <v>23.1199999999953</v>
      </c>
      <c r="S336" s="32" t="n">
        <v>15738.17</v>
      </c>
      <c r="T336" s="29" t="s">
        <v>227</v>
      </c>
      <c r="U336" s="45" t="n">
        <f aca="false">IF(J336="BUY",S336-M336,M336-S336)</f>
        <v>13.7800000000007</v>
      </c>
      <c r="V336" s="46" t="n">
        <v>0</v>
      </c>
      <c r="W336" s="46" t="n">
        <v>0</v>
      </c>
      <c r="X336" s="46" t="n">
        <v>55.12</v>
      </c>
      <c r="Y336" s="33" t="n">
        <f aca="false">IFERROR(X336/R336,0)</f>
        <v>2.38408304498318</v>
      </c>
      <c r="Z336" s="29" t="str">
        <f aca="false">IF(X336&gt;0,"Win",IF(X336&lt;0,"Loss","Flat"))</f>
        <v>Win</v>
      </c>
      <c r="AA336" s="29" t="n">
        <f aca="false">ROUND((C336-B336)*1440,1)</f>
        <v>0.4</v>
      </c>
      <c r="AB336" s="29" t="str">
        <f aca="false">IF(AA336&lt;1,"a) &lt;1 min",IF(AA336&lt;10,"b) 1-10 min",IF(AA336&lt;60,"c) 10-60 min",IF(AA336&lt;240,"d) 1-4 h","e) 4 h+"))))</f>
        <v>a) &lt;1 min</v>
      </c>
      <c r="AC336" s="29" t="str">
        <f aca="false">IF(P336&lt;10,"a) &lt;10",IF(P336&lt;20,"b) 10-20",IF(P336&lt;40,"c) 20-40",IF(P336&lt;80,"d) 40-80","e) 80+"))))</f>
        <v>a) &lt;10</v>
      </c>
      <c r="AD336" s="31" t="n">
        <f aca="false">Summary!$C$5+SUM(X$2:X336)</f>
        <v>13675</v>
      </c>
      <c r="AE336" s="31" t="n">
        <f aca="false">MAX(AE335,AD336)</f>
        <v>13805.92</v>
      </c>
      <c r="AF336" s="31" t="n">
        <f aca="false">AE336-AD336</f>
        <v>130.92</v>
      </c>
      <c r="AG336" s="30" t="n">
        <f aca="false">IFERROR(AF336/AE336,0)</f>
        <v>0.0094828885000058</v>
      </c>
    </row>
    <row r="337" customFormat="false" ht="15" hidden="false" customHeight="false" outlineLevel="0" collapsed="false">
      <c r="A337" s="29" t="n">
        <v>336</v>
      </c>
      <c r="B337" s="44" t="n">
        <v>45125.7868055556</v>
      </c>
      <c r="C337" s="44" t="n">
        <v>45125.7874652778</v>
      </c>
      <c r="D337" s="43" t="n">
        <f aca="false">INT(C337)</f>
        <v>45125</v>
      </c>
      <c r="E337" s="43" t="n">
        <f aca="false">D337-WEEKDAY(D337,3)</f>
        <v>45124</v>
      </c>
      <c r="F337" s="29" t="s">
        <v>159</v>
      </c>
      <c r="G337" s="29" t="n">
        <v>2023</v>
      </c>
      <c r="H337" s="29" t="s">
        <v>248</v>
      </c>
      <c r="I337" s="29" t="n">
        <v>18</v>
      </c>
      <c r="J337" s="29" t="s">
        <v>246</v>
      </c>
      <c r="K337" s="29" t="s">
        <v>247</v>
      </c>
      <c r="L337" s="29" t="n">
        <v>0.04</v>
      </c>
      <c r="M337" s="32" t="n">
        <v>15750.42</v>
      </c>
      <c r="N337" s="32" t="n">
        <v>15737.36</v>
      </c>
      <c r="O337" s="32" t="n">
        <v>15785.17</v>
      </c>
      <c r="P337" s="45" t="n">
        <f aca="false">ABS(M337-N337)</f>
        <v>13.0599999999995</v>
      </c>
      <c r="Q337" s="45" t="n">
        <f aca="false">IF(O337="","",ABS(O337-M337))</f>
        <v>34.75</v>
      </c>
      <c r="R337" s="31" t="n">
        <f aca="false">P337*L337*Summary!$C$6</f>
        <v>52.239999999998</v>
      </c>
      <c r="S337" s="32" t="n">
        <v>15736.18</v>
      </c>
      <c r="T337" s="29" t="s">
        <v>249</v>
      </c>
      <c r="U337" s="45" t="n">
        <f aca="false">IF(J337="BUY",S337-M337,M337-S337)</f>
        <v>-14.2399999999998</v>
      </c>
      <c r="V337" s="46" t="n">
        <v>0</v>
      </c>
      <c r="W337" s="46" t="n">
        <v>0</v>
      </c>
      <c r="X337" s="46" t="n">
        <v>-56.96</v>
      </c>
      <c r="Y337" s="33" t="n">
        <f aca="false">IFERROR(X337/R337,0)</f>
        <v>-1.09035222052072</v>
      </c>
      <c r="Z337" s="29" t="str">
        <f aca="false">IF(X337&gt;0,"Win",IF(X337&lt;0,"Loss","Flat"))</f>
        <v>Loss</v>
      </c>
      <c r="AA337" s="29" t="n">
        <f aca="false">ROUND((C337-B337)*1440,1)</f>
        <v>1</v>
      </c>
      <c r="AB337" s="29" t="str">
        <f aca="false">IF(AA337&lt;1,"a) &lt;1 min",IF(AA337&lt;10,"b) 1-10 min",IF(AA337&lt;60,"c) 10-60 min",IF(AA337&lt;240,"d) 1-4 h","e) 4 h+"))))</f>
        <v>b) 1-10 min</v>
      </c>
      <c r="AC337" s="29" t="str">
        <f aca="false">IF(P337&lt;10,"a) &lt;10",IF(P337&lt;20,"b) 10-20",IF(P337&lt;40,"c) 20-40",IF(P337&lt;80,"d) 40-80","e) 80+"))))</f>
        <v>b) 10-20</v>
      </c>
      <c r="AD337" s="31" t="n">
        <f aca="false">Summary!$C$5+SUM(X$2:X337)</f>
        <v>13618.04</v>
      </c>
      <c r="AE337" s="31" t="n">
        <f aca="false">MAX(AE336,AD337)</f>
        <v>13805.92</v>
      </c>
      <c r="AF337" s="31" t="n">
        <f aca="false">AE337-AD337</f>
        <v>187.879999999999</v>
      </c>
      <c r="AG337" s="30" t="n">
        <f aca="false">IFERROR(AF337/AE337,0)</f>
        <v>0.0136086548379245</v>
      </c>
    </row>
    <row r="338" customFormat="false" ht="15" hidden="false" customHeight="false" outlineLevel="0" collapsed="false">
      <c r="A338" s="29" t="n">
        <v>337</v>
      </c>
      <c r="B338" s="44" t="n">
        <v>45126.6958333333</v>
      </c>
      <c r="C338" s="44" t="n">
        <v>45126.6964930556</v>
      </c>
      <c r="D338" s="43" t="n">
        <f aca="false">INT(C338)</f>
        <v>45126</v>
      </c>
      <c r="E338" s="43" t="n">
        <f aca="false">D338-WEEKDAY(D338,3)</f>
        <v>45124</v>
      </c>
      <c r="F338" s="29" t="s">
        <v>159</v>
      </c>
      <c r="G338" s="29" t="n">
        <v>2023</v>
      </c>
      <c r="H338" s="29" t="s">
        <v>252</v>
      </c>
      <c r="I338" s="29" t="n">
        <v>16</v>
      </c>
      <c r="J338" s="29" t="s">
        <v>246</v>
      </c>
      <c r="K338" s="29" t="s">
        <v>247</v>
      </c>
      <c r="L338" s="29" t="n">
        <v>0.04</v>
      </c>
      <c r="M338" s="32" t="n">
        <v>15903.28</v>
      </c>
      <c r="N338" s="32" t="n">
        <v>15888.98</v>
      </c>
      <c r="O338" s="32" t="n">
        <v>15938.27</v>
      </c>
      <c r="P338" s="45" t="n">
        <f aca="false">ABS(M338-N338)</f>
        <v>14.3000000000011</v>
      </c>
      <c r="Q338" s="45" t="n">
        <f aca="false">IF(O338="","",ABS(O338-M338))</f>
        <v>34.9899999999998</v>
      </c>
      <c r="R338" s="31" t="n">
        <f aca="false">P338*L338*Summary!$C$6</f>
        <v>57.2000000000044</v>
      </c>
      <c r="S338" s="32" t="n">
        <v>15888.89</v>
      </c>
      <c r="T338" s="29" t="s">
        <v>249</v>
      </c>
      <c r="U338" s="45" t="n">
        <f aca="false">IF(J338="BUY",S338-M338,M338-S338)</f>
        <v>-14.3900000000012</v>
      </c>
      <c r="V338" s="46" t="n">
        <v>0</v>
      </c>
      <c r="W338" s="46" t="n">
        <v>0</v>
      </c>
      <c r="X338" s="46" t="n">
        <v>-57.56</v>
      </c>
      <c r="Y338" s="33" t="n">
        <f aca="false">IFERROR(X338/R338,0)</f>
        <v>-1.00629370629363</v>
      </c>
      <c r="Z338" s="29" t="str">
        <f aca="false">IF(X338&gt;0,"Win",IF(X338&lt;0,"Loss","Flat"))</f>
        <v>Loss</v>
      </c>
      <c r="AA338" s="29" t="n">
        <f aca="false">ROUND((C338-B338)*1440,1)</f>
        <v>1</v>
      </c>
      <c r="AB338" s="29" t="str">
        <f aca="false">IF(AA338&lt;1,"a) &lt;1 min",IF(AA338&lt;10,"b) 1-10 min",IF(AA338&lt;60,"c) 10-60 min",IF(AA338&lt;240,"d) 1-4 h","e) 4 h+"))))</f>
        <v>b) 1-10 min</v>
      </c>
      <c r="AC338" s="29" t="str">
        <f aca="false">IF(P338&lt;10,"a) &lt;10",IF(P338&lt;20,"b) 10-20",IF(P338&lt;40,"c) 20-40",IF(P338&lt;80,"d) 40-80","e) 80+"))))</f>
        <v>b) 10-20</v>
      </c>
      <c r="AD338" s="31" t="n">
        <f aca="false">Summary!$C$5+SUM(X$2:X338)</f>
        <v>13560.48</v>
      </c>
      <c r="AE338" s="31" t="n">
        <f aca="false">MAX(AE337,AD338)</f>
        <v>13805.92</v>
      </c>
      <c r="AF338" s="31" t="n">
        <f aca="false">AE338-AD338</f>
        <v>245.440000000001</v>
      </c>
      <c r="AG338" s="30" t="n">
        <f aca="false">IFERROR(AF338/AE338,0)</f>
        <v>0.017777880793167</v>
      </c>
    </row>
    <row r="339" customFormat="false" ht="15" hidden="false" customHeight="false" outlineLevel="0" collapsed="false">
      <c r="A339" s="29" t="n">
        <v>338</v>
      </c>
      <c r="B339" s="44" t="n">
        <v>45127.0486226852</v>
      </c>
      <c r="C339" s="44" t="n">
        <v>45127.0499768519</v>
      </c>
      <c r="D339" s="43" t="n">
        <f aca="false">INT(C339)</f>
        <v>45127</v>
      </c>
      <c r="E339" s="43" t="n">
        <f aca="false">D339-WEEKDAY(D339,3)</f>
        <v>45124</v>
      </c>
      <c r="F339" s="29" t="s">
        <v>159</v>
      </c>
      <c r="G339" s="29" t="n">
        <v>2023</v>
      </c>
      <c r="H339" s="29" t="s">
        <v>253</v>
      </c>
      <c r="I339" s="29" t="n">
        <v>1</v>
      </c>
      <c r="J339" s="29" t="s">
        <v>250</v>
      </c>
      <c r="K339" s="29" t="s">
        <v>251</v>
      </c>
      <c r="L339" s="29" t="n">
        <v>0.04</v>
      </c>
      <c r="M339" s="32" t="n">
        <v>15776.66</v>
      </c>
      <c r="N339" s="32" t="n">
        <v>15780.71</v>
      </c>
      <c r="O339" s="32" t="n">
        <v>15766.75</v>
      </c>
      <c r="P339" s="45" t="n">
        <f aca="false">ABS(M339-N339)</f>
        <v>4.04999999999927</v>
      </c>
      <c r="Q339" s="45" t="n">
        <f aca="false">IF(O339="","",ABS(O339-M339))</f>
        <v>9.90999999999985</v>
      </c>
      <c r="R339" s="31" t="n">
        <f aca="false">P339*L339*Summary!$C$6</f>
        <v>16.1999999999971</v>
      </c>
      <c r="S339" s="32" t="n">
        <v>15766.62</v>
      </c>
      <c r="T339" s="29" t="s">
        <v>227</v>
      </c>
      <c r="U339" s="45" t="n">
        <f aca="false">IF(J339="BUY",S339-M339,M339-S339)</f>
        <v>10.0399999999991</v>
      </c>
      <c r="V339" s="46" t="n">
        <v>0</v>
      </c>
      <c r="W339" s="46" t="n">
        <v>0</v>
      </c>
      <c r="X339" s="46" t="n">
        <v>40.16</v>
      </c>
      <c r="Y339" s="33" t="n">
        <f aca="false">IFERROR(X339/R339,0)</f>
        <v>2.47901234567946</v>
      </c>
      <c r="Z339" s="29" t="str">
        <f aca="false">IF(X339&gt;0,"Win",IF(X339&lt;0,"Loss","Flat"))</f>
        <v>Win</v>
      </c>
      <c r="AA339" s="29" t="n">
        <f aca="false">ROUND((C339-B339)*1440,1)</f>
        <v>2</v>
      </c>
      <c r="AB339" s="29" t="str">
        <f aca="false">IF(AA339&lt;1,"a) &lt;1 min",IF(AA339&lt;10,"b) 1-10 min",IF(AA339&lt;60,"c) 10-60 min",IF(AA339&lt;240,"d) 1-4 h","e) 4 h+"))))</f>
        <v>b) 1-10 min</v>
      </c>
      <c r="AC339" s="29" t="str">
        <f aca="false">IF(P339&lt;10,"a) &lt;10",IF(P339&lt;20,"b) 10-20",IF(P339&lt;40,"c) 20-40",IF(P339&lt;80,"d) 40-80","e) 80+"))))</f>
        <v>a) &lt;10</v>
      </c>
      <c r="AD339" s="31" t="n">
        <f aca="false">Summary!$C$5+SUM(X$2:X339)</f>
        <v>13600.64</v>
      </c>
      <c r="AE339" s="31" t="n">
        <f aca="false">MAX(AE338,AD339)</f>
        <v>13805.92</v>
      </c>
      <c r="AF339" s="31" t="n">
        <f aca="false">AE339-AD339</f>
        <v>205.280000000001</v>
      </c>
      <c r="AG339" s="30" t="n">
        <f aca="false">IFERROR(AF339/AE339,0)</f>
        <v>0.0148689837403086</v>
      </c>
    </row>
    <row r="340" customFormat="false" ht="15" hidden="false" customHeight="false" outlineLevel="0" collapsed="false">
      <c r="A340" s="29" t="n">
        <v>339</v>
      </c>
      <c r="B340" s="44" t="n">
        <v>45128.9236111111</v>
      </c>
      <c r="C340" s="44" t="n">
        <v>45128.9279513889</v>
      </c>
      <c r="D340" s="43" t="n">
        <f aca="false">INT(C340)</f>
        <v>45128</v>
      </c>
      <c r="E340" s="43" t="n">
        <f aca="false">D340-WEEKDAY(D340,3)</f>
        <v>45124</v>
      </c>
      <c r="F340" s="29" t="s">
        <v>159</v>
      </c>
      <c r="G340" s="29" t="n">
        <v>2023</v>
      </c>
      <c r="H340" s="29" t="s">
        <v>254</v>
      </c>
      <c r="I340" s="29" t="n">
        <v>22</v>
      </c>
      <c r="J340" s="29" t="s">
        <v>250</v>
      </c>
      <c r="K340" s="29" t="s">
        <v>251</v>
      </c>
      <c r="L340" s="29" t="n">
        <v>0.04</v>
      </c>
      <c r="M340" s="32" t="n">
        <v>15420.19</v>
      </c>
      <c r="N340" s="32" t="n">
        <v>15431.5</v>
      </c>
      <c r="O340" s="32" t="n">
        <v>15392.49</v>
      </c>
      <c r="P340" s="45" t="n">
        <f aca="false">ABS(M340-N340)</f>
        <v>11.3099999999995</v>
      </c>
      <c r="Q340" s="45" t="n">
        <f aca="false">IF(O340="","",ABS(O340-M340))</f>
        <v>27.7000000000007</v>
      </c>
      <c r="R340" s="31" t="n">
        <f aca="false">P340*L340*Summary!$C$6</f>
        <v>45.239999999998</v>
      </c>
      <c r="S340" s="32" t="n">
        <v>15420.21</v>
      </c>
      <c r="T340" s="29" t="s">
        <v>255</v>
      </c>
      <c r="U340" s="45" t="n">
        <f aca="false">IF(J340="BUY",S340-M340,M340-S340)</f>
        <v>-0.0199999999986176</v>
      </c>
      <c r="V340" s="46" t="n">
        <v>0</v>
      </c>
      <c r="W340" s="46" t="n">
        <v>0</v>
      </c>
      <c r="X340" s="46" t="n">
        <v>-0.08</v>
      </c>
      <c r="Y340" s="33" t="n">
        <f aca="false">IFERROR(X340/R340,0)</f>
        <v>-0.00176834659593288</v>
      </c>
      <c r="Z340" s="29" t="str">
        <f aca="false">IF(X340&gt;0,"Win",IF(X340&lt;0,"Loss","Flat"))</f>
        <v>Loss</v>
      </c>
      <c r="AA340" s="29" t="n">
        <f aca="false">ROUND((C340-B340)*1440,1)</f>
        <v>6.3</v>
      </c>
      <c r="AB340" s="29" t="str">
        <f aca="false">IF(AA340&lt;1,"a) &lt;1 min",IF(AA340&lt;10,"b) 1-10 min",IF(AA340&lt;60,"c) 10-60 min",IF(AA340&lt;240,"d) 1-4 h","e) 4 h+"))))</f>
        <v>b) 1-10 min</v>
      </c>
      <c r="AC340" s="29" t="str">
        <f aca="false">IF(P340&lt;10,"a) &lt;10",IF(P340&lt;20,"b) 10-20",IF(P340&lt;40,"c) 20-40",IF(P340&lt;80,"d) 40-80","e) 80+"))))</f>
        <v>b) 10-20</v>
      </c>
      <c r="AD340" s="31" t="n">
        <f aca="false">Summary!$C$5+SUM(X$2:X340)</f>
        <v>13600.56</v>
      </c>
      <c r="AE340" s="31" t="n">
        <f aca="false">MAX(AE339,AD340)</f>
        <v>13805.92</v>
      </c>
      <c r="AF340" s="31" t="n">
        <f aca="false">AE340-AD340</f>
        <v>205.360000000001</v>
      </c>
      <c r="AG340" s="30" t="n">
        <f aca="false">IFERROR(AF340/AE340,0)</f>
        <v>0.0148747783559517</v>
      </c>
    </row>
    <row r="341" customFormat="false" ht="15" hidden="false" customHeight="false" outlineLevel="0" collapsed="false">
      <c r="A341" s="29" t="n">
        <v>340</v>
      </c>
      <c r="B341" s="44" t="n">
        <v>45131.7041666667</v>
      </c>
      <c r="C341" s="44" t="n">
        <v>45131.7072222222</v>
      </c>
      <c r="D341" s="43" t="n">
        <f aca="false">INT(C341)</f>
        <v>45131</v>
      </c>
      <c r="E341" s="43" t="n">
        <f aca="false">D341-WEEKDAY(D341,3)</f>
        <v>45131</v>
      </c>
      <c r="F341" s="29" t="s">
        <v>159</v>
      </c>
      <c r="G341" s="29" t="n">
        <v>2023</v>
      </c>
      <c r="H341" s="29" t="s">
        <v>245</v>
      </c>
      <c r="I341" s="29" t="n">
        <v>16</v>
      </c>
      <c r="J341" s="29" t="s">
        <v>250</v>
      </c>
      <c r="K341" s="29" t="s">
        <v>251</v>
      </c>
      <c r="L341" s="29" t="n">
        <v>0.04</v>
      </c>
      <c r="M341" s="32" t="n">
        <v>15394.07</v>
      </c>
      <c r="N341" s="32" t="n">
        <v>15416.27</v>
      </c>
      <c r="O341" s="32" t="n">
        <v>15338.47</v>
      </c>
      <c r="P341" s="45" t="n">
        <f aca="false">ABS(M341-N341)</f>
        <v>22.2000000000007</v>
      </c>
      <c r="Q341" s="45" t="n">
        <f aca="false">IF(O341="","",ABS(O341-M341))</f>
        <v>55.6000000000004</v>
      </c>
      <c r="R341" s="31" t="n">
        <f aca="false">P341*L341*Summary!$C$6</f>
        <v>88.8000000000029</v>
      </c>
      <c r="S341" s="32" t="n">
        <v>15394.17</v>
      </c>
      <c r="T341" s="29" t="s">
        <v>255</v>
      </c>
      <c r="U341" s="45" t="n">
        <f aca="false">IF(J341="BUY",S341-M341,M341-S341)</f>
        <v>-0.100000000000364</v>
      </c>
      <c r="V341" s="46" t="n">
        <v>0</v>
      </c>
      <c r="W341" s="46" t="n">
        <v>0</v>
      </c>
      <c r="X341" s="46" t="n">
        <v>-0.4</v>
      </c>
      <c r="Y341" s="33" t="n">
        <f aca="false">IFERROR(X341/R341,0)</f>
        <v>-0.00450450450450436</v>
      </c>
      <c r="Z341" s="29" t="str">
        <f aca="false">IF(X341&gt;0,"Win",IF(X341&lt;0,"Loss","Flat"))</f>
        <v>Loss</v>
      </c>
      <c r="AA341" s="29" t="n">
        <f aca="false">ROUND((C341-B341)*1440,1)</f>
        <v>4.4</v>
      </c>
      <c r="AB341" s="29" t="str">
        <f aca="false">IF(AA341&lt;1,"a) &lt;1 min",IF(AA341&lt;10,"b) 1-10 min",IF(AA341&lt;60,"c) 10-60 min",IF(AA341&lt;240,"d) 1-4 h","e) 4 h+"))))</f>
        <v>b) 1-10 min</v>
      </c>
      <c r="AC341" s="29" t="str">
        <f aca="false">IF(P341&lt;10,"a) &lt;10",IF(P341&lt;20,"b) 10-20",IF(P341&lt;40,"c) 20-40",IF(P341&lt;80,"d) 40-80","e) 80+"))))</f>
        <v>c) 20-40</v>
      </c>
      <c r="AD341" s="31" t="n">
        <f aca="false">Summary!$C$5+SUM(X$2:X341)</f>
        <v>13600.16</v>
      </c>
      <c r="AE341" s="31" t="n">
        <f aca="false">MAX(AE340,AD341)</f>
        <v>13805.92</v>
      </c>
      <c r="AF341" s="31" t="n">
        <f aca="false">AE341-AD341</f>
        <v>205.76</v>
      </c>
      <c r="AG341" s="30" t="n">
        <f aca="false">IFERROR(AF341/AE341,0)</f>
        <v>0.0149037514341674</v>
      </c>
    </row>
    <row r="342" customFormat="false" ht="15" hidden="false" customHeight="false" outlineLevel="0" collapsed="false">
      <c r="A342" s="29" t="n">
        <v>341</v>
      </c>
      <c r="B342" s="44" t="n">
        <v>45132.4861111111</v>
      </c>
      <c r="C342" s="44" t="n">
        <v>45132.4910069444</v>
      </c>
      <c r="D342" s="43" t="n">
        <f aca="false">INT(C342)</f>
        <v>45132</v>
      </c>
      <c r="E342" s="43" t="n">
        <f aca="false">D342-WEEKDAY(D342,3)</f>
        <v>45131</v>
      </c>
      <c r="F342" s="29" t="s">
        <v>159</v>
      </c>
      <c r="G342" s="29" t="n">
        <v>2023</v>
      </c>
      <c r="H342" s="29" t="s">
        <v>248</v>
      </c>
      <c r="I342" s="29" t="n">
        <v>11</v>
      </c>
      <c r="J342" s="29" t="s">
        <v>246</v>
      </c>
      <c r="K342" s="29" t="s">
        <v>247</v>
      </c>
      <c r="L342" s="29" t="n">
        <v>0.04</v>
      </c>
      <c r="M342" s="32" t="n">
        <v>15508.21</v>
      </c>
      <c r="N342" s="32" t="n">
        <v>15504.75</v>
      </c>
      <c r="O342" s="32" t="n">
        <v>15516.73</v>
      </c>
      <c r="P342" s="45" t="n">
        <f aca="false">ABS(M342-N342)</f>
        <v>3.45999999999913</v>
      </c>
      <c r="Q342" s="45" t="n">
        <f aca="false">IF(O342="","",ABS(O342-M342))</f>
        <v>8.52000000000044</v>
      </c>
      <c r="R342" s="31" t="n">
        <f aca="false">P342*L342*Summary!$C$6</f>
        <v>13.8399999999965</v>
      </c>
      <c r="S342" s="32" t="n">
        <v>15504.72</v>
      </c>
      <c r="T342" s="29" t="s">
        <v>249</v>
      </c>
      <c r="U342" s="45" t="n">
        <f aca="false">IF(J342="BUY",S342-M342,M342-S342)</f>
        <v>-3.48999999999978</v>
      </c>
      <c r="V342" s="46" t="n">
        <v>0</v>
      </c>
      <c r="W342" s="46" t="n">
        <v>0</v>
      </c>
      <c r="X342" s="46" t="n">
        <v>-13.96</v>
      </c>
      <c r="Y342" s="33" t="n">
        <f aca="false">IFERROR(X342/R342,0)</f>
        <v>-1.00867052023147</v>
      </c>
      <c r="Z342" s="29" t="str">
        <f aca="false">IF(X342&gt;0,"Win",IF(X342&lt;0,"Loss","Flat"))</f>
        <v>Loss</v>
      </c>
      <c r="AA342" s="29" t="n">
        <f aca="false">ROUND((C342-B342)*1440,1)</f>
        <v>7.1</v>
      </c>
      <c r="AB342" s="29" t="str">
        <f aca="false">IF(AA342&lt;1,"a) &lt;1 min",IF(AA342&lt;10,"b) 1-10 min",IF(AA342&lt;60,"c) 10-60 min",IF(AA342&lt;240,"d) 1-4 h","e) 4 h+"))))</f>
        <v>b) 1-10 min</v>
      </c>
      <c r="AC342" s="29" t="str">
        <f aca="false">IF(P342&lt;10,"a) &lt;10",IF(P342&lt;20,"b) 10-20",IF(P342&lt;40,"c) 20-40",IF(P342&lt;80,"d) 40-80","e) 80+"))))</f>
        <v>a) &lt;10</v>
      </c>
      <c r="AD342" s="31" t="n">
        <f aca="false">Summary!$C$5+SUM(X$2:X342)</f>
        <v>13586.2</v>
      </c>
      <c r="AE342" s="31" t="n">
        <f aca="false">MAX(AE341,AD342)</f>
        <v>13805.92</v>
      </c>
      <c r="AF342" s="31" t="n">
        <f aca="false">AE342-AD342</f>
        <v>219.719999999999</v>
      </c>
      <c r="AG342" s="30" t="n">
        <f aca="false">IFERROR(AF342/AE342,0)</f>
        <v>0.015914911863896</v>
      </c>
    </row>
    <row r="343" customFormat="false" ht="15" hidden="false" customHeight="false" outlineLevel="0" collapsed="false">
      <c r="A343" s="29" t="n">
        <v>342</v>
      </c>
      <c r="B343" s="44" t="n">
        <v>45133.0430555556</v>
      </c>
      <c r="C343" s="44" t="n">
        <v>45133.0438657407</v>
      </c>
      <c r="D343" s="43" t="n">
        <f aca="false">INT(C343)</f>
        <v>45133</v>
      </c>
      <c r="E343" s="43" t="n">
        <f aca="false">D343-WEEKDAY(D343,3)</f>
        <v>45131</v>
      </c>
      <c r="F343" s="29" t="s">
        <v>159</v>
      </c>
      <c r="G343" s="29" t="n">
        <v>2023</v>
      </c>
      <c r="H343" s="29" t="s">
        <v>252</v>
      </c>
      <c r="I343" s="29" t="n">
        <v>1</v>
      </c>
      <c r="J343" s="29" t="s">
        <v>246</v>
      </c>
      <c r="K343" s="29" t="s">
        <v>247</v>
      </c>
      <c r="L343" s="29" t="n">
        <v>0.04</v>
      </c>
      <c r="M343" s="32" t="n">
        <v>15626.21</v>
      </c>
      <c r="N343" s="32" t="n">
        <v>15612.39</v>
      </c>
      <c r="O343" s="32" t="n">
        <v>15660.06</v>
      </c>
      <c r="P343" s="45" t="n">
        <f aca="false">ABS(M343-N343)</f>
        <v>13.8199999999997</v>
      </c>
      <c r="Q343" s="45" t="n">
        <f aca="false">IF(O343="","",ABS(O343-M343))</f>
        <v>33.8500000000004</v>
      </c>
      <c r="R343" s="31" t="n">
        <f aca="false">P343*L343*Summary!$C$6</f>
        <v>55.2799999999988</v>
      </c>
      <c r="S343" s="32" t="n">
        <v>15612.29</v>
      </c>
      <c r="T343" s="29" t="s">
        <v>249</v>
      </c>
      <c r="U343" s="45" t="n">
        <f aca="false">IF(J343="BUY",S343-M343,M343-S343)</f>
        <v>-13.9199999999983</v>
      </c>
      <c r="V343" s="46" t="n">
        <v>0</v>
      </c>
      <c r="W343" s="46" t="n">
        <v>0</v>
      </c>
      <c r="X343" s="46" t="n">
        <v>-55.68</v>
      </c>
      <c r="Y343" s="33" t="n">
        <f aca="false">IFERROR(X343/R343,0)</f>
        <v>-1.00723589001449</v>
      </c>
      <c r="Z343" s="29" t="str">
        <f aca="false">IF(X343&gt;0,"Win",IF(X343&lt;0,"Loss","Flat"))</f>
        <v>Loss</v>
      </c>
      <c r="AA343" s="29" t="n">
        <f aca="false">ROUND((C343-B343)*1440,1)</f>
        <v>1.2</v>
      </c>
      <c r="AB343" s="29" t="str">
        <f aca="false">IF(AA343&lt;1,"a) &lt;1 min",IF(AA343&lt;10,"b) 1-10 min",IF(AA343&lt;60,"c) 10-60 min",IF(AA343&lt;240,"d) 1-4 h","e) 4 h+"))))</f>
        <v>b) 1-10 min</v>
      </c>
      <c r="AC343" s="29" t="str">
        <f aca="false">IF(P343&lt;10,"a) &lt;10",IF(P343&lt;20,"b) 10-20",IF(P343&lt;40,"c) 20-40",IF(P343&lt;80,"d) 40-80","e) 80+"))))</f>
        <v>b) 10-20</v>
      </c>
      <c r="AD343" s="31" t="n">
        <f aca="false">Summary!$C$5+SUM(X$2:X343)</f>
        <v>13530.52</v>
      </c>
      <c r="AE343" s="31" t="n">
        <f aca="false">MAX(AE342,AD343)</f>
        <v>13805.92</v>
      </c>
      <c r="AF343" s="31" t="n">
        <f aca="false">AE343-AD343</f>
        <v>275.4</v>
      </c>
      <c r="AG343" s="30" t="n">
        <f aca="false">IFERROR(AF343/AE343,0)</f>
        <v>0.0199479643515245</v>
      </c>
    </row>
    <row r="344" customFormat="false" ht="15" hidden="false" customHeight="false" outlineLevel="0" collapsed="false">
      <c r="A344" s="29" t="n">
        <v>343</v>
      </c>
      <c r="B344" s="44" t="n">
        <v>45133.7486111111</v>
      </c>
      <c r="C344" s="44" t="n">
        <v>45133.7587152778</v>
      </c>
      <c r="D344" s="43" t="n">
        <f aca="false">INT(C344)</f>
        <v>45133</v>
      </c>
      <c r="E344" s="43" t="n">
        <f aca="false">D344-WEEKDAY(D344,3)</f>
        <v>45131</v>
      </c>
      <c r="F344" s="29" t="s">
        <v>159</v>
      </c>
      <c r="G344" s="29" t="n">
        <v>2023</v>
      </c>
      <c r="H344" s="29" t="s">
        <v>252</v>
      </c>
      <c r="I344" s="29" t="n">
        <v>17</v>
      </c>
      <c r="J344" s="29" t="s">
        <v>250</v>
      </c>
      <c r="K344" s="29" t="s">
        <v>251</v>
      </c>
      <c r="L344" s="29" t="n">
        <v>0.04</v>
      </c>
      <c r="M344" s="32" t="n">
        <v>15432.89</v>
      </c>
      <c r="N344" s="32" t="n">
        <v>15444.15</v>
      </c>
      <c r="O344" s="32" t="n">
        <v>15407.07</v>
      </c>
      <c r="P344" s="45" t="n">
        <f aca="false">ABS(M344-N344)</f>
        <v>11.2600000000002</v>
      </c>
      <c r="Q344" s="45" t="n">
        <f aca="false">IF(O344="","",ABS(O344-M344))</f>
        <v>25.8199999999997</v>
      </c>
      <c r="R344" s="31" t="n">
        <f aca="false">P344*L344*Summary!$C$6</f>
        <v>45.0400000000009</v>
      </c>
      <c r="S344" s="32" t="n">
        <v>15432.91</v>
      </c>
      <c r="T344" s="29" t="s">
        <v>255</v>
      </c>
      <c r="U344" s="45" t="n">
        <f aca="false">IF(J344="BUY",S344-M344,M344-S344)</f>
        <v>-0.0200000000004366</v>
      </c>
      <c r="V344" s="46" t="n">
        <v>0</v>
      </c>
      <c r="W344" s="46" t="n">
        <v>0</v>
      </c>
      <c r="X344" s="46" t="n">
        <v>-0.08</v>
      </c>
      <c r="Y344" s="33" t="n">
        <f aca="false">IFERROR(X344/R344,0)</f>
        <v>-0.00177619893428061</v>
      </c>
      <c r="Z344" s="29" t="str">
        <f aca="false">IF(X344&gt;0,"Win",IF(X344&lt;0,"Loss","Flat"))</f>
        <v>Loss</v>
      </c>
      <c r="AA344" s="29" t="n">
        <f aca="false">ROUND((C344-B344)*1440,1)</f>
        <v>14.6</v>
      </c>
      <c r="AB344" s="29" t="str">
        <f aca="false">IF(AA344&lt;1,"a) &lt;1 min",IF(AA344&lt;10,"b) 1-10 min",IF(AA344&lt;60,"c) 10-60 min",IF(AA344&lt;240,"d) 1-4 h","e) 4 h+"))))</f>
        <v>c) 10-60 min</v>
      </c>
      <c r="AC344" s="29" t="str">
        <f aca="false">IF(P344&lt;10,"a) &lt;10",IF(P344&lt;20,"b) 10-20",IF(P344&lt;40,"c) 20-40",IF(P344&lt;80,"d) 40-80","e) 80+"))))</f>
        <v>b) 10-20</v>
      </c>
      <c r="AD344" s="31" t="n">
        <f aca="false">Summary!$C$5+SUM(X$2:X344)</f>
        <v>13530.44</v>
      </c>
      <c r="AE344" s="31" t="n">
        <f aca="false">MAX(AE343,AD344)</f>
        <v>13805.92</v>
      </c>
      <c r="AF344" s="31" t="n">
        <f aca="false">AE344-AD344</f>
        <v>275.48</v>
      </c>
      <c r="AG344" s="30" t="n">
        <f aca="false">IFERROR(AF344/AE344,0)</f>
        <v>0.0199537589671677</v>
      </c>
    </row>
    <row r="345" customFormat="false" ht="15" hidden="false" customHeight="false" outlineLevel="0" collapsed="false">
      <c r="A345" s="29" t="n">
        <v>344</v>
      </c>
      <c r="B345" s="44" t="n">
        <v>45134.4305555556</v>
      </c>
      <c r="C345" s="44" t="n">
        <v>45134.4481597222</v>
      </c>
      <c r="D345" s="43" t="n">
        <f aca="false">INT(C345)</f>
        <v>45134</v>
      </c>
      <c r="E345" s="43" t="n">
        <f aca="false">D345-WEEKDAY(D345,3)</f>
        <v>45131</v>
      </c>
      <c r="F345" s="29" t="s">
        <v>159</v>
      </c>
      <c r="G345" s="29" t="n">
        <v>2023</v>
      </c>
      <c r="H345" s="29" t="s">
        <v>253</v>
      </c>
      <c r="I345" s="29" t="n">
        <v>10</v>
      </c>
      <c r="J345" s="29" t="s">
        <v>246</v>
      </c>
      <c r="K345" s="29" t="s">
        <v>247</v>
      </c>
      <c r="L345" s="29" t="n">
        <v>0.04</v>
      </c>
      <c r="M345" s="32" t="n">
        <v>15631.96</v>
      </c>
      <c r="N345" s="32" t="n">
        <v>15624.66</v>
      </c>
      <c r="O345" s="32" t="n">
        <v>15649.87</v>
      </c>
      <c r="P345" s="45" t="n">
        <f aca="false">ABS(M345-N345)</f>
        <v>7.29999999999927</v>
      </c>
      <c r="Q345" s="45" t="n">
        <f aca="false">IF(O345="","",ABS(O345-M345))</f>
        <v>17.9100000000017</v>
      </c>
      <c r="R345" s="31" t="n">
        <f aca="false">P345*L345*Summary!$C$6</f>
        <v>29.1999999999971</v>
      </c>
      <c r="S345" s="32" t="n">
        <v>15650.4</v>
      </c>
      <c r="T345" s="29" t="s">
        <v>227</v>
      </c>
      <c r="U345" s="45" t="n">
        <f aca="false">IF(J345="BUY",S345-M345,M345-S345)</f>
        <v>18.4400000000005</v>
      </c>
      <c r="V345" s="46" t="n">
        <v>0</v>
      </c>
      <c r="W345" s="46" t="n">
        <v>0</v>
      </c>
      <c r="X345" s="46" t="n">
        <v>73.76</v>
      </c>
      <c r="Y345" s="33" t="n">
        <f aca="false">IFERROR(X345/R345,0)</f>
        <v>2.52602739726053</v>
      </c>
      <c r="Z345" s="29" t="str">
        <f aca="false">IF(X345&gt;0,"Win",IF(X345&lt;0,"Loss","Flat"))</f>
        <v>Win</v>
      </c>
      <c r="AA345" s="29" t="n">
        <f aca="false">ROUND((C345-B345)*1440,1)</f>
        <v>25.4</v>
      </c>
      <c r="AB345" s="29" t="str">
        <f aca="false">IF(AA345&lt;1,"a) &lt;1 min",IF(AA345&lt;10,"b) 1-10 min",IF(AA345&lt;60,"c) 10-60 min",IF(AA345&lt;240,"d) 1-4 h","e) 4 h+"))))</f>
        <v>c) 10-60 min</v>
      </c>
      <c r="AC345" s="29" t="str">
        <f aca="false">IF(P345&lt;10,"a) &lt;10",IF(P345&lt;20,"b) 10-20",IF(P345&lt;40,"c) 20-40",IF(P345&lt;80,"d) 40-80","e) 80+"))))</f>
        <v>a) &lt;10</v>
      </c>
      <c r="AD345" s="31" t="n">
        <f aca="false">Summary!$C$5+SUM(X$2:X345)</f>
        <v>13604.2</v>
      </c>
      <c r="AE345" s="31" t="n">
        <f aca="false">MAX(AE344,AD345)</f>
        <v>13805.92</v>
      </c>
      <c r="AF345" s="31" t="n">
        <f aca="false">AE345-AD345</f>
        <v>201.719999999999</v>
      </c>
      <c r="AG345" s="30" t="n">
        <f aca="false">IFERROR(AF345/AE345,0)</f>
        <v>0.0146111233441885</v>
      </c>
    </row>
    <row r="346" customFormat="false" ht="15" hidden="false" customHeight="false" outlineLevel="0" collapsed="false">
      <c r="A346" s="29" t="n">
        <v>345</v>
      </c>
      <c r="B346" s="44" t="n">
        <v>45138.06875</v>
      </c>
      <c r="C346" s="44" t="n">
        <v>45138.069849537</v>
      </c>
      <c r="D346" s="43" t="n">
        <f aca="false">INT(C346)</f>
        <v>45138</v>
      </c>
      <c r="E346" s="43" t="n">
        <f aca="false">D346-WEEKDAY(D346,3)</f>
        <v>45138</v>
      </c>
      <c r="F346" s="29" t="s">
        <v>159</v>
      </c>
      <c r="G346" s="29" t="n">
        <v>2023</v>
      </c>
      <c r="H346" s="29" t="s">
        <v>245</v>
      </c>
      <c r="I346" s="29" t="n">
        <v>1</v>
      </c>
      <c r="J346" s="29" t="s">
        <v>246</v>
      </c>
      <c r="K346" s="29" t="s">
        <v>247</v>
      </c>
      <c r="L346" s="29" t="n">
        <v>0.04</v>
      </c>
      <c r="M346" s="32" t="n">
        <v>15794.26</v>
      </c>
      <c r="N346" s="32" t="n">
        <v>15789.79</v>
      </c>
      <c r="O346" s="32" t="n">
        <v>15805.21</v>
      </c>
      <c r="P346" s="45" t="n">
        <f aca="false">ABS(M346-N346)</f>
        <v>4.46999999999935</v>
      </c>
      <c r="Q346" s="45" t="n">
        <f aca="false">IF(O346="","",ABS(O346-M346))</f>
        <v>10.9499999999989</v>
      </c>
      <c r="R346" s="31" t="n">
        <f aca="false">P346*L346*Summary!$C$6</f>
        <v>17.8799999999974</v>
      </c>
      <c r="S346" s="32" t="n">
        <v>15807.73</v>
      </c>
      <c r="T346" s="29" t="s">
        <v>227</v>
      </c>
      <c r="U346" s="45" t="n">
        <f aca="false">IF(J346="BUY",S346-M346,M346-S346)</f>
        <v>13.4699999999993</v>
      </c>
      <c r="V346" s="46" t="n">
        <v>0</v>
      </c>
      <c r="W346" s="46" t="n">
        <v>0</v>
      </c>
      <c r="X346" s="46" t="n">
        <v>53.88</v>
      </c>
      <c r="Y346" s="33" t="n">
        <f aca="false">IFERROR(X346/R346,0)</f>
        <v>3.01342281879239</v>
      </c>
      <c r="Z346" s="29" t="str">
        <f aca="false">IF(X346&gt;0,"Win",IF(X346&lt;0,"Loss","Flat"))</f>
        <v>Win</v>
      </c>
      <c r="AA346" s="29" t="n">
        <f aca="false">ROUND((C346-B346)*1440,1)</f>
        <v>1.6</v>
      </c>
      <c r="AB346" s="29" t="str">
        <f aca="false">IF(AA346&lt;1,"a) &lt;1 min",IF(AA346&lt;10,"b) 1-10 min",IF(AA346&lt;60,"c) 10-60 min",IF(AA346&lt;240,"d) 1-4 h","e) 4 h+"))))</f>
        <v>b) 1-10 min</v>
      </c>
      <c r="AC346" s="29" t="str">
        <f aca="false">IF(P346&lt;10,"a) &lt;10",IF(P346&lt;20,"b) 10-20",IF(P346&lt;40,"c) 20-40",IF(P346&lt;80,"d) 40-80","e) 80+"))))</f>
        <v>a) &lt;10</v>
      </c>
      <c r="AD346" s="31" t="n">
        <f aca="false">Summary!$C$5+SUM(X$2:X346)</f>
        <v>13658.08</v>
      </c>
      <c r="AE346" s="31" t="n">
        <f aca="false">MAX(AE345,AD346)</f>
        <v>13805.92</v>
      </c>
      <c r="AF346" s="31" t="n">
        <f aca="false">AE346-AD346</f>
        <v>147.84</v>
      </c>
      <c r="AG346" s="30" t="n">
        <f aca="false">IFERROR(AF346/AE346,0)</f>
        <v>0.0107084497085308</v>
      </c>
    </row>
    <row r="347" customFormat="false" ht="15" hidden="false" customHeight="false" outlineLevel="0" collapsed="false">
      <c r="A347" s="29" t="n">
        <v>346</v>
      </c>
      <c r="B347" s="44" t="n">
        <v>45139.6118055556</v>
      </c>
      <c r="C347" s="44" t="n">
        <v>45139.6135300926</v>
      </c>
      <c r="D347" s="43" t="n">
        <f aca="false">INT(C347)</f>
        <v>45139</v>
      </c>
      <c r="E347" s="43" t="n">
        <f aca="false">D347-WEEKDAY(D347,3)</f>
        <v>45138</v>
      </c>
      <c r="F347" s="29" t="s">
        <v>160</v>
      </c>
      <c r="G347" s="29" t="n">
        <v>2023</v>
      </c>
      <c r="H347" s="29" t="s">
        <v>248</v>
      </c>
      <c r="I347" s="29" t="n">
        <v>14</v>
      </c>
      <c r="J347" s="29" t="s">
        <v>250</v>
      </c>
      <c r="K347" s="29" t="s">
        <v>251</v>
      </c>
      <c r="L347" s="29" t="n">
        <v>0.04</v>
      </c>
      <c r="M347" s="32" t="n">
        <v>15683.57</v>
      </c>
      <c r="N347" s="32" t="n">
        <v>15688.26</v>
      </c>
      <c r="O347" s="32" t="n">
        <v>15672.21</v>
      </c>
      <c r="P347" s="45" t="n">
        <f aca="false">ABS(M347-N347)</f>
        <v>4.69000000000051</v>
      </c>
      <c r="Q347" s="45" t="n">
        <f aca="false">IF(O347="","",ABS(O347-M347))</f>
        <v>11.3600000000006</v>
      </c>
      <c r="R347" s="31" t="n">
        <f aca="false">P347*L347*Summary!$C$6</f>
        <v>18.760000000002</v>
      </c>
      <c r="S347" s="32" t="n">
        <v>15672.02</v>
      </c>
      <c r="T347" s="29" t="s">
        <v>227</v>
      </c>
      <c r="U347" s="45" t="n">
        <f aca="false">IF(J347="BUY",S347-M347,M347-S347)</f>
        <v>11.5499999999993</v>
      </c>
      <c r="V347" s="46" t="n">
        <v>0</v>
      </c>
      <c r="W347" s="46" t="n">
        <v>0</v>
      </c>
      <c r="X347" s="46" t="n">
        <v>46.2</v>
      </c>
      <c r="Y347" s="33" t="n">
        <f aca="false">IFERROR(X347/R347,0)</f>
        <v>2.46268656716391</v>
      </c>
      <c r="Z347" s="29" t="str">
        <f aca="false">IF(X347&gt;0,"Win",IF(X347&lt;0,"Loss","Flat"))</f>
        <v>Win</v>
      </c>
      <c r="AA347" s="29" t="n">
        <f aca="false">ROUND((C347-B347)*1440,1)</f>
        <v>2.5</v>
      </c>
      <c r="AB347" s="29" t="str">
        <f aca="false">IF(AA347&lt;1,"a) &lt;1 min",IF(AA347&lt;10,"b) 1-10 min",IF(AA347&lt;60,"c) 10-60 min",IF(AA347&lt;240,"d) 1-4 h","e) 4 h+"))))</f>
        <v>b) 1-10 min</v>
      </c>
      <c r="AC347" s="29" t="str">
        <f aca="false">IF(P347&lt;10,"a) &lt;10",IF(P347&lt;20,"b) 10-20",IF(P347&lt;40,"c) 20-40",IF(P347&lt;80,"d) 40-80","e) 80+"))))</f>
        <v>a) &lt;10</v>
      </c>
      <c r="AD347" s="31" t="n">
        <f aca="false">Summary!$C$5+SUM(X$2:X347)</f>
        <v>13704.28</v>
      </c>
      <c r="AE347" s="31" t="n">
        <f aca="false">MAX(AE346,AD347)</f>
        <v>13805.92</v>
      </c>
      <c r="AF347" s="31" t="n">
        <f aca="false">AE347-AD347</f>
        <v>101.640000000001</v>
      </c>
      <c r="AG347" s="30" t="n">
        <f aca="false">IFERROR(AF347/AE347,0)</f>
        <v>0.00736205917461504</v>
      </c>
    </row>
    <row r="348" customFormat="false" ht="15" hidden="false" customHeight="false" outlineLevel="0" collapsed="false">
      <c r="A348" s="29" t="n">
        <v>347</v>
      </c>
      <c r="B348" s="44" t="n">
        <v>45140.0423611111</v>
      </c>
      <c r="C348" s="44" t="n">
        <v>45140.0433333333</v>
      </c>
      <c r="D348" s="43" t="n">
        <f aca="false">INT(C348)</f>
        <v>45140</v>
      </c>
      <c r="E348" s="43" t="n">
        <f aca="false">D348-WEEKDAY(D348,3)</f>
        <v>45138</v>
      </c>
      <c r="F348" s="29" t="s">
        <v>160</v>
      </c>
      <c r="G348" s="29" t="n">
        <v>2023</v>
      </c>
      <c r="H348" s="29" t="s">
        <v>252</v>
      </c>
      <c r="I348" s="29" t="n">
        <v>1</v>
      </c>
      <c r="J348" s="29" t="s">
        <v>250</v>
      </c>
      <c r="K348" s="29" t="s">
        <v>251</v>
      </c>
      <c r="L348" s="29" t="n">
        <v>0.04</v>
      </c>
      <c r="M348" s="32" t="n">
        <v>15601.36</v>
      </c>
      <c r="N348" s="32" t="n">
        <v>15630.29</v>
      </c>
      <c r="O348" s="32" t="n">
        <v>15530.48</v>
      </c>
      <c r="P348" s="45" t="n">
        <f aca="false">ABS(M348-N348)</f>
        <v>28.9300000000003</v>
      </c>
      <c r="Q348" s="45" t="n">
        <f aca="false">IF(O348="","",ABS(O348-M348))</f>
        <v>70.880000000001</v>
      </c>
      <c r="R348" s="31" t="n">
        <f aca="false">P348*L348*Summary!$C$6</f>
        <v>115.720000000001</v>
      </c>
      <c r="S348" s="32" t="n">
        <v>15630.36</v>
      </c>
      <c r="T348" s="29" t="s">
        <v>249</v>
      </c>
      <c r="U348" s="45" t="n">
        <f aca="false">IF(J348="BUY",S348-M348,M348-S348)</f>
        <v>-29</v>
      </c>
      <c r="V348" s="46" t="n">
        <v>0</v>
      </c>
      <c r="W348" s="46" t="n">
        <v>0</v>
      </c>
      <c r="X348" s="46" t="n">
        <v>-116</v>
      </c>
      <c r="Y348" s="33" t="n">
        <f aca="false">IFERROR(X348/R348,0)</f>
        <v>-1.00241963359833</v>
      </c>
      <c r="Z348" s="29" t="str">
        <f aca="false">IF(X348&gt;0,"Win",IF(X348&lt;0,"Loss","Flat"))</f>
        <v>Loss</v>
      </c>
      <c r="AA348" s="29" t="n">
        <f aca="false">ROUND((C348-B348)*1440,1)</f>
        <v>1.4</v>
      </c>
      <c r="AB348" s="29" t="str">
        <f aca="false">IF(AA348&lt;1,"a) &lt;1 min",IF(AA348&lt;10,"b) 1-10 min",IF(AA348&lt;60,"c) 10-60 min",IF(AA348&lt;240,"d) 1-4 h","e) 4 h+"))))</f>
        <v>b) 1-10 min</v>
      </c>
      <c r="AC348" s="29" t="str">
        <f aca="false">IF(P348&lt;10,"a) &lt;10",IF(P348&lt;20,"b) 10-20",IF(P348&lt;40,"c) 20-40",IF(P348&lt;80,"d) 40-80","e) 80+"))))</f>
        <v>c) 20-40</v>
      </c>
      <c r="AD348" s="31" t="n">
        <f aca="false">Summary!$C$5+SUM(X$2:X348)</f>
        <v>13588.28</v>
      </c>
      <c r="AE348" s="31" t="n">
        <f aca="false">MAX(AE347,AD348)</f>
        <v>13805.92</v>
      </c>
      <c r="AF348" s="31" t="n">
        <f aca="false">AE348-AD348</f>
        <v>217.640000000001</v>
      </c>
      <c r="AG348" s="30" t="n">
        <f aca="false">IFERROR(AF348/AE348,0)</f>
        <v>0.0157642518571744</v>
      </c>
    </row>
    <row r="349" customFormat="false" ht="15" hidden="false" customHeight="false" outlineLevel="0" collapsed="false">
      <c r="A349" s="29" t="n">
        <v>348</v>
      </c>
      <c r="B349" s="44" t="n">
        <v>45141.4166666667</v>
      </c>
      <c r="C349" s="44" t="n">
        <v>45141.4179398148</v>
      </c>
      <c r="D349" s="43" t="n">
        <f aca="false">INT(C349)</f>
        <v>45141</v>
      </c>
      <c r="E349" s="43" t="n">
        <f aca="false">D349-WEEKDAY(D349,3)</f>
        <v>45138</v>
      </c>
      <c r="F349" s="29" t="s">
        <v>160</v>
      </c>
      <c r="G349" s="29" t="n">
        <v>2023</v>
      </c>
      <c r="H349" s="29" t="s">
        <v>253</v>
      </c>
      <c r="I349" s="29" t="n">
        <v>10</v>
      </c>
      <c r="J349" s="29" t="s">
        <v>250</v>
      </c>
      <c r="K349" s="29" t="s">
        <v>251</v>
      </c>
      <c r="L349" s="29" t="n">
        <v>0.04</v>
      </c>
      <c r="M349" s="32" t="n">
        <v>15310.79</v>
      </c>
      <c r="N349" s="32" t="n">
        <v>15318.21</v>
      </c>
      <c r="O349" s="32" t="n">
        <v>15291.88</v>
      </c>
      <c r="P349" s="45" t="n">
        <f aca="false">ABS(M349-N349)</f>
        <v>7.41999999999825</v>
      </c>
      <c r="Q349" s="45" t="n">
        <f aca="false">IF(O349="","",ABS(O349-M349))</f>
        <v>18.9100000000017</v>
      </c>
      <c r="R349" s="31" t="n">
        <f aca="false">P349*L349*Summary!$C$6</f>
        <v>29.679999999993</v>
      </c>
      <c r="S349" s="32" t="n">
        <v>15310.81</v>
      </c>
      <c r="T349" s="29" t="s">
        <v>255</v>
      </c>
      <c r="U349" s="45" t="n">
        <f aca="false">IF(J349="BUY",S349-M349,M349-S349)</f>
        <v>-0.0199999999986176</v>
      </c>
      <c r="V349" s="46" t="n">
        <v>0</v>
      </c>
      <c r="W349" s="46" t="n">
        <v>0</v>
      </c>
      <c r="X349" s="46" t="n">
        <v>-0.08</v>
      </c>
      <c r="Y349" s="33" t="n">
        <f aca="false">IFERROR(X349/R349,0)</f>
        <v>-0.00269541778975805</v>
      </c>
      <c r="Z349" s="29" t="str">
        <f aca="false">IF(X349&gt;0,"Win",IF(X349&lt;0,"Loss","Flat"))</f>
        <v>Loss</v>
      </c>
      <c r="AA349" s="29" t="n">
        <f aca="false">ROUND((C349-B349)*1440,1)</f>
        <v>1.8</v>
      </c>
      <c r="AB349" s="29" t="str">
        <f aca="false">IF(AA349&lt;1,"a) &lt;1 min",IF(AA349&lt;10,"b) 1-10 min",IF(AA349&lt;60,"c) 10-60 min",IF(AA349&lt;240,"d) 1-4 h","e) 4 h+"))))</f>
        <v>b) 1-10 min</v>
      </c>
      <c r="AC349" s="29" t="str">
        <f aca="false">IF(P349&lt;10,"a) &lt;10",IF(P349&lt;20,"b) 10-20",IF(P349&lt;40,"c) 20-40",IF(P349&lt;80,"d) 40-80","e) 80+"))))</f>
        <v>a) &lt;10</v>
      </c>
      <c r="AD349" s="31" t="n">
        <f aca="false">Summary!$C$5+SUM(X$2:X349)</f>
        <v>13588.2</v>
      </c>
      <c r="AE349" s="31" t="n">
        <f aca="false">MAX(AE348,AD349)</f>
        <v>13805.92</v>
      </c>
      <c r="AF349" s="31" t="n">
        <f aca="false">AE349-AD349</f>
        <v>217.719999999999</v>
      </c>
      <c r="AG349" s="30" t="n">
        <f aca="false">IFERROR(AF349/AE349,0)</f>
        <v>0.0157700464728174</v>
      </c>
    </row>
    <row r="350" customFormat="false" ht="15" hidden="false" customHeight="false" outlineLevel="0" collapsed="false">
      <c r="A350" s="29" t="n">
        <v>349</v>
      </c>
      <c r="B350" s="44" t="n">
        <v>45142.1923611111</v>
      </c>
      <c r="C350" s="44" t="n">
        <v>45142.1933796296</v>
      </c>
      <c r="D350" s="43" t="n">
        <f aca="false">INT(C350)</f>
        <v>45142</v>
      </c>
      <c r="E350" s="43" t="n">
        <f aca="false">D350-WEEKDAY(D350,3)</f>
        <v>45138</v>
      </c>
      <c r="F350" s="29" t="s">
        <v>160</v>
      </c>
      <c r="G350" s="29" t="n">
        <v>2023</v>
      </c>
      <c r="H350" s="29" t="s">
        <v>254</v>
      </c>
      <c r="I350" s="29" t="n">
        <v>4</v>
      </c>
      <c r="J350" s="29" t="s">
        <v>246</v>
      </c>
      <c r="K350" s="29" t="s">
        <v>247</v>
      </c>
      <c r="L350" s="29" t="n">
        <v>0.04</v>
      </c>
      <c r="M350" s="32" t="n">
        <v>15448.37</v>
      </c>
      <c r="N350" s="32" t="n">
        <v>15441.09</v>
      </c>
      <c r="O350" s="32" t="n">
        <v>15462.68</v>
      </c>
      <c r="P350" s="45" t="n">
        <f aca="false">ABS(M350-N350)</f>
        <v>7.28000000000066</v>
      </c>
      <c r="Q350" s="45" t="n">
        <f aca="false">IF(O350="","",ABS(O350-M350))</f>
        <v>14.3099999999995</v>
      </c>
      <c r="R350" s="31" t="n">
        <f aca="false">P350*L350*Summary!$C$6</f>
        <v>29.1200000000026</v>
      </c>
      <c r="S350" s="32" t="n">
        <v>15441.02</v>
      </c>
      <c r="T350" s="29" t="s">
        <v>249</v>
      </c>
      <c r="U350" s="45" t="n">
        <f aca="false">IF(J350="BUY",S350-M350,M350-S350)</f>
        <v>-7.35000000000036</v>
      </c>
      <c r="V350" s="46" t="n">
        <v>0</v>
      </c>
      <c r="W350" s="46" t="n">
        <v>0</v>
      </c>
      <c r="X350" s="46" t="n">
        <v>-29.4</v>
      </c>
      <c r="Y350" s="33" t="n">
        <f aca="false">IFERROR(X350/R350,0)</f>
        <v>-1.00961538461529</v>
      </c>
      <c r="Z350" s="29" t="str">
        <f aca="false">IF(X350&gt;0,"Win",IF(X350&lt;0,"Loss","Flat"))</f>
        <v>Loss</v>
      </c>
      <c r="AA350" s="29" t="n">
        <f aca="false">ROUND((C350-B350)*1440,1)</f>
        <v>1.5</v>
      </c>
      <c r="AB350" s="29" t="str">
        <f aca="false">IF(AA350&lt;1,"a) &lt;1 min",IF(AA350&lt;10,"b) 1-10 min",IF(AA350&lt;60,"c) 10-60 min",IF(AA350&lt;240,"d) 1-4 h","e) 4 h+"))))</f>
        <v>b) 1-10 min</v>
      </c>
      <c r="AC350" s="29" t="str">
        <f aca="false">IF(P350&lt;10,"a) &lt;10",IF(P350&lt;20,"b) 10-20",IF(P350&lt;40,"c) 20-40",IF(P350&lt;80,"d) 40-80","e) 80+"))))</f>
        <v>a) &lt;10</v>
      </c>
      <c r="AD350" s="31" t="n">
        <f aca="false">Summary!$C$5+SUM(X$2:X350)</f>
        <v>13558.8</v>
      </c>
      <c r="AE350" s="31" t="n">
        <f aca="false">MAX(AE349,AD350)</f>
        <v>13805.92</v>
      </c>
      <c r="AF350" s="31" t="n">
        <f aca="false">AE350-AD350</f>
        <v>247.120000000001</v>
      </c>
      <c r="AG350" s="30" t="n">
        <f aca="false">IFERROR(AF350/AE350,0)</f>
        <v>0.0178995677216731</v>
      </c>
    </row>
    <row r="351" customFormat="false" ht="15" hidden="false" customHeight="false" outlineLevel="0" collapsed="false">
      <c r="A351" s="29" t="n">
        <v>350</v>
      </c>
      <c r="B351" s="44" t="n">
        <v>45146.0423726852</v>
      </c>
      <c r="C351" s="44" t="n">
        <v>45146.0459722222</v>
      </c>
      <c r="D351" s="43" t="n">
        <f aca="false">INT(C351)</f>
        <v>45146</v>
      </c>
      <c r="E351" s="43" t="n">
        <f aca="false">D351-WEEKDAY(D351,3)</f>
        <v>45145</v>
      </c>
      <c r="F351" s="29" t="s">
        <v>160</v>
      </c>
      <c r="G351" s="29" t="n">
        <v>2023</v>
      </c>
      <c r="H351" s="29" t="s">
        <v>248</v>
      </c>
      <c r="I351" s="29" t="n">
        <v>1</v>
      </c>
      <c r="J351" s="29" t="s">
        <v>246</v>
      </c>
      <c r="K351" s="29" t="s">
        <v>247</v>
      </c>
      <c r="L351" s="29" t="n">
        <v>0.04</v>
      </c>
      <c r="M351" s="32" t="n">
        <v>15414.02</v>
      </c>
      <c r="N351" s="32" t="n">
        <v>15410.46</v>
      </c>
      <c r="O351" s="32" t="n">
        <v>15422.74</v>
      </c>
      <c r="P351" s="45" t="n">
        <f aca="false">ABS(M351-N351)</f>
        <v>3.56000000000131</v>
      </c>
      <c r="Q351" s="45" t="n">
        <f aca="false">IF(O351="","",ABS(O351-M351))</f>
        <v>8.71999999999935</v>
      </c>
      <c r="R351" s="31" t="n">
        <f aca="false">P351*L351*Summary!$C$6</f>
        <v>14.2400000000052</v>
      </c>
      <c r="S351" s="32" t="n">
        <v>15410.15</v>
      </c>
      <c r="T351" s="29" t="s">
        <v>249</v>
      </c>
      <c r="U351" s="45" t="n">
        <f aca="false">IF(J351="BUY",S351-M351,M351-S351)</f>
        <v>-3.8700000000008</v>
      </c>
      <c r="V351" s="46" t="n">
        <v>0</v>
      </c>
      <c r="W351" s="46" t="n">
        <v>0</v>
      </c>
      <c r="X351" s="46" t="n">
        <v>-15.48</v>
      </c>
      <c r="Y351" s="33" t="n">
        <f aca="false">IFERROR(X351/R351,0)</f>
        <v>-1.08707865168499</v>
      </c>
      <c r="Z351" s="29" t="str">
        <f aca="false">IF(X351&gt;0,"Win",IF(X351&lt;0,"Loss","Flat"))</f>
        <v>Loss</v>
      </c>
      <c r="AA351" s="29" t="n">
        <f aca="false">ROUND((C351-B351)*1440,1)</f>
        <v>5.2</v>
      </c>
      <c r="AB351" s="29" t="str">
        <f aca="false">IF(AA351&lt;1,"a) &lt;1 min",IF(AA351&lt;10,"b) 1-10 min",IF(AA351&lt;60,"c) 10-60 min",IF(AA351&lt;240,"d) 1-4 h","e) 4 h+"))))</f>
        <v>b) 1-10 min</v>
      </c>
      <c r="AC351" s="29" t="str">
        <f aca="false">IF(P351&lt;10,"a) &lt;10",IF(P351&lt;20,"b) 10-20",IF(P351&lt;40,"c) 20-40",IF(P351&lt;80,"d) 40-80","e) 80+"))))</f>
        <v>a) &lt;10</v>
      </c>
      <c r="AD351" s="31" t="n">
        <f aca="false">Summary!$C$5+SUM(X$2:X351)</f>
        <v>13543.32</v>
      </c>
      <c r="AE351" s="31" t="n">
        <f aca="false">MAX(AE350,AD351)</f>
        <v>13805.92</v>
      </c>
      <c r="AF351" s="31" t="n">
        <f aca="false">AE351-AD351</f>
        <v>262.6</v>
      </c>
      <c r="AG351" s="30" t="n">
        <f aca="false">IFERROR(AF351/AE351,0)</f>
        <v>0.0190208258486215</v>
      </c>
    </row>
    <row r="352" customFormat="false" ht="15" hidden="false" customHeight="false" outlineLevel="0" collapsed="false">
      <c r="A352" s="29" t="n">
        <v>351</v>
      </c>
      <c r="B352" s="44" t="n">
        <v>45146.6305555556</v>
      </c>
      <c r="C352" s="44" t="n">
        <v>45146.6318402778</v>
      </c>
      <c r="D352" s="43" t="n">
        <f aca="false">INT(C352)</f>
        <v>45146</v>
      </c>
      <c r="E352" s="43" t="n">
        <f aca="false">D352-WEEKDAY(D352,3)</f>
        <v>45145</v>
      </c>
      <c r="F352" s="29" t="s">
        <v>160</v>
      </c>
      <c r="G352" s="29" t="n">
        <v>2023</v>
      </c>
      <c r="H352" s="29" t="s">
        <v>248</v>
      </c>
      <c r="I352" s="29" t="n">
        <v>15</v>
      </c>
      <c r="J352" s="29" t="s">
        <v>250</v>
      </c>
      <c r="K352" s="29" t="s">
        <v>251</v>
      </c>
      <c r="L352" s="29" t="n">
        <v>0.04</v>
      </c>
      <c r="M352" s="32" t="n">
        <v>15244.64</v>
      </c>
      <c r="N352" s="32" t="n">
        <v>15254.53</v>
      </c>
      <c r="O352" s="32" t="n">
        <v>15220.4</v>
      </c>
      <c r="P352" s="45" t="n">
        <f aca="false">ABS(M352-N352)</f>
        <v>9.89000000000124</v>
      </c>
      <c r="Q352" s="45" t="n">
        <f aca="false">IF(O352="","",ABS(O352-M352))</f>
        <v>24.2399999999998</v>
      </c>
      <c r="R352" s="31" t="n">
        <f aca="false">P352*L352*Summary!$C$6</f>
        <v>39.560000000005</v>
      </c>
      <c r="S352" s="32" t="n">
        <v>15254.8</v>
      </c>
      <c r="T352" s="29" t="s">
        <v>249</v>
      </c>
      <c r="U352" s="45" t="n">
        <f aca="false">IF(J352="BUY",S352-M352,M352-S352)</f>
        <v>-10.1599999999999</v>
      </c>
      <c r="V352" s="46" t="n">
        <v>0</v>
      </c>
      <c r="W352" s="46" t="n">
        <v>0</v>
      </c>
      <c r="X352" s="46" t="n">
        <v>-40.64</v>
      </c>
      <c r="Y352" s="33" t="n">
        <f aca="false">IFERROR(X352/R352,0)</f>
        <v>-1.02730030333658</v>
      </c>
      <c r="Z352" s="29" t="str">
        <f aca="false">IF(X352&gt;0,"Win",IF(X352&lt;0,"Loss","Flat"))</f>
        <v>Loss</v>
      </c>
      <c r="AA352" s="29" t="n">
        <f aca="false">ROUND((C352-B352)*1440,1)</f>
        <v>1.9</v>
      </c>
      <c r="AB352" s="29" t="str">
        <f aca="false">IF(AA352&lt;1,"a) &lt;1 min",IF(AA352&lt;10,"b) 1-10 min",IF(AA352&lt;60,"c) 10-60 min",IF(AA352&lt;240,"d) 1-4 h","e) 4 h+"))))</f>
        <v>b) 1-10 min</v>
      </c>
      <c r="AC352" s="29" t="str">
        <f aca="false">IF(P352&lt;10,"a) &lt;10",IF(P352&lt;20,"b) 10-20",IF(P352&lt;40,"c) 20-40",IF(P352&lt;80,"d) 40-80","e) 80+"))))</f>
        <v>a) &lt;10</v>
      </c>
      <c r="AD352" s="31" t="n">
        <f aca="false">Summary!$C$5+SUM(X$2:X352)</f>
        <v>13502.68</v>
      </c>
      <c r="AE352" s="31" t="n">
        <f aca="false">MAX(AE351,AD352)</f>
        <v>13805.92</v>
      </c>
      <c r="AF352" s="31" t="n">
        <f aca="false">AE352-AD352</f>
        <v>303.24</v>
      </c>
      <c r="AG352" s="30" t="n">
        <f aca="false">IFERROR(AF352/AE352,0)</f>
        <v>0.0219644905953388</v>
      </c>
    </row>
    <row r="353" customFormat="false" ht="15" hidden="false" customHeight="false" outlineLevel="0" collapsed="false">
      <c r="A353" s="29" t="n">
        <v>352</v>
      </c>
      <c r="B353" s="44" t="n">
        <v>45147.7479166667</v>
      </c>
      <c r="C353" s="44" t="n">
        <v>45147.7516666667</v>
      </c>
      <c r="D353" s="43" t="n">
        <f aca="false">INT(C353)</f>
        <v>45147</v>
      </c>
      <c r="E353" s="43" t="n">
        <f aca="false">D353-WEEKDAY(D353,3)</f>
        <v>45145</v>
      </c>
      <c r="F353" s="29" t="s">
        <v>160</v>
      </c>
      <c r="G353" s="29" t="n">
        <v>2023</v>
      </c>
      <c r="H353" s="29" t="s">
        <v>252</v>
      </c>
      <c r="I353" s="29" t="n">
        <v>17</v>
      </c>
      <c r="J353" s="29" t="s">
        <v>250</v>
      </c>
      <c r="K353" s="29" t="s">
        <v>251</v>
      </c>
      <c r="L353" s="29" t="n">
        <v>0.04</v>
      </c>
      <c r="M353" s="32" t="n">
        <v>15136.4</v>
      </c>
      <c r="N353" s="32" t="n">
        <v>15147.91</v>
      </c>
      <c r="O353" s="32" t="n">
        <v>15108.16</v>
      </c>
      <c r="P353" s="45" t="n">
        <f aca="false">ABS(M353-N353)</f>
        <v>11.5100000000002</v>
      </c>
      <c r="Q353" s="45" t="n">
        <f aca="false">IF(O353="","",ABS(O353-M353))</f>
        <v>28.2399999999998</v>
      </c>
      <c r="R353" s="31" t="n">
        <f aca="false">P353*L353*Summary!$C$6</f>
        <v>46.0400000000009</v>
      </c>
      <c r="S353" s="32" t="n">
        <v>15137.3</v>
      </c>
      <c r="T353" s="29" t="s">
        <v>255</v>
      </c>
      <c r="U353" s="45" t="n">
        <f aca="false">IF(J353="BUY",S353-M353,M353-S353)</f>
        <v>-0.899999999999636</v>
      </c>
      <c r="V353" s="46" t="n">
        <v>0</v>
      </c>
      <c r="W353" s="46" t="n">
        <v>0</v>
      </c>
      <c r="X353" s="46" t="n">
        <v>-3.6</v>
      </c>
      <c r="Y353" s="33" t="n">
        <f aca="false">IFERROR(X353/R353,0)</f>
        <v>-0.078192875760207</v>
      </c>
      <c r="Z353" s="29" t="str">
        <f aca="false">IF(X353&gt;0,"Win",IF(X353&lt;0,"Loss","Flat"))</f>
        <v>Loss</v>
      </c>
      <c r="AA353" s="29" t="n">
        <f aca="false">ROUND((C353-B353)*1440,1)</f>
        <v>5.4</v>
      </c>
      <c r="AB353" s="29" t="str">
        <f aca="false">IF(AA353&lt;1,"a) &lt;1 min",IF(AA353&lt;10,"b) 1-10 min",IF(AA353&lt;60,"c) 10-60 min",IF(AA353&lt;240,"d) 1-4 h","e) 4 h+"))))</f>
        <v>b) 1-10 min</v>
      </c>
      <c r="AC353" s="29" t="str">
        <f aca="false">IF(P353&lt;10,"a) &lt;10",IF(P353&lt;20,"b) 10-20",IF(P353&lt;40,"c) 20-40",IF(P353&lt;80,"d) 40-80","e) 80+"))))</f>
        <v>b) 10-20</v>
      </c>
      <c r="AD353" s="31" t="n">
        <f aca="false">Summary!$C$5+SUM(X$2:X353)</f>
        <v>13499.08</v>
      </c>
      <c r="AE353" s="31" t="n">
        <f aca="false">MAX(AE352,AD353)</f>
        <v>13805.92</v>
      </c>
      <c r="AF353" s="31" t="n">
        <f aca="false">AE353-AD353</f>
        <v>306.84</v>
      </c>
      <c r="AG353" s="30" t="n">
        <f aca="false">IFERROR(AF353/AE353,0)</f>
        <v>0.0222252482992803</v>
      </c>
    </row>
    <row r="354" customFormat="false" ht="15" hidden="false" customHeight="false" outlineLevel="0" collapsed="false">
      <c r="A354" s="29" t="n">
        <v>353</v>
      </c>
      <c r="B354" s="44" t="n">
        <v>45148.7090277778</v>
      </c>
      <c r="C354" s="44" t="n">
        <v>45148.7138773148</v>
      </c>
      <c r="D354" s="43" t="n">
        <f aca="false">INT(C354)</f>
        <v>45148</v>
      </c>
      <c r="E354" s="43" t="n">
        <f aca="false">D354-WEEKDAY(D354,3)</f>
        <v>45145</v>
      </c>
      <c r="F354" s="29" t="s">
        <v>160</v>
      </c>
      <c r="G354" s="29" t="n">
        <v>2023</v>
      </c>
      <c r="H354" s="29" t="s">
        <v>253</v>
      </c>
      <c r="I354" s="29" t="n">
        <v>17</v>
      </c>
      <c r="J354" s="29" t="s">
        <v>246</v>
      </c>
      <c r="K354" s="29" t="s">
        <v>247</v>
      </c>
      <c r="L354" s="29" t="n">
        <v>0.04</v>
      </c>
      <c r="M354" s="32" t="n">
        <v>15358.83</v>
      </c>
      <c r="N354" s="32" t="n">
        <v>15346.31</v>
      </c>
      <c r="O354" s="32" t="n">
        <v>15389.49</v>
      </c>
      <c r="P354" s="45" t="n">
        <f aca="false">ABS(M354-N354)</f>
        <v>12.5200000000004</v>
      </c>
      <c r="Q354" s="45" t="n">
        <f aca="false">IF(O354="","",ABS(O354-M354))</f>
        <v>30.6599999999999</v>
      </c>
      <c r="R354" s="31" t="n">
        <f aca="false">P354*L354*Summary!$C$6</f>
        <v>50.0800000000017</v>
      </c>
      <c r="S354" s="32" t="n">
        <v>15346.27</v>
      </c>
      <c r="T354" s="29" t="s">
        <v>249</v>
      </c>
      <c r="U354" s="45" t="n">
        <f aca="false">IF(J354="BUY",S354-M354,M354-S354)</f>
        <v>-12.5599999999995</v>
      </c>
      <c r="V354" s="46" t="n">
        <v>0</v>
      </c>
      <c r="W354" s="46" t="n">
        <v>0</v>
      </c>
      <c r="X354" s="46" t="n">
        <v>-50.24</v>
      </c>
      <c r="Y354" s="33" t="n">
        <f aca="false">IFERROR(X354/R354,0)</f>
        <v>-1.00319488817888</v>
      </c>
      <c r="Z354" s="29" t="str">
        <f aca="false">IF(X354&gt;0,"Win",IF(X354&lt;0,"Loss","Flat"))</f>
        <v>Loss</v>
      </c>
      <c r="AA354" s="29" t="n">
        <f aca="false">ROUND((C354-B354)*1440,1)</f>
        <v>7</v>
      </c>
      <c r="AB354" s="29" t="str">
        <f aca="false">IF(AA354&lt;1,"a) &lt;1 min",IF(AA354&lt;10,"b) 1-10 min",IF(AA354&lt;60,"c) 10-60 min",IF(AA354&lt;240,"d) 1-4 h","e) 4 h+"))))</f>
        <v>b) 1-10 min</v>
      </c>
      <c r="AC354" s="29" t="str">
        <f aca="false">IF(P354&lt;10,"a) &lt;10",IF(P354&lt;20,"b) 10-20",IF(P354&lt;40,"c) 20-40",IF(P354&lt;80,"d) 40-80","e) 80+"))))</f>
        <v>b) 10-20</v>
      </c>
      <c r="AD354" s="31" t="n">
        <f aca="false">Summary!$C$5+SUM(X$2:X354)</f>
        <v>13448.84</v>
      </c>
      <c r="AE354" s="31" t="n">
        <f aca="false">MAX(AE353,AD354)</f>
        <v>13805.92</v>
      </c>
      <c r="AF354" s="31" t="n">
        <f aca="false">AE354-AD354</f>
        <v>357.08</v>
      </c>
      <c r="AG354" s="30" t="n">
        <f aca="false">IFERROR(AF354/AE354,0)</f>
        <v>0.025864266923175</v>
      </c>
    </row>
    <row r="355" customFormat="false" ht="15" hidden="false" customHeight="false" outlineLevel="0" collapsed="false">
      <c r="A355" s="29" t="n">
        <v>354</v>
      </c>
      <c r="B355" s="44" t="n">
        <v>45148.8736111111</v>
      </c>
      <c r="C355" s="44" t="n">
        <v>45148.8754861111</v>
      </c>
      <c r="D355" s="43" t="n">
        <f aca="false">INT(C355)</f>
        <v>45148</v>
      </c>
      <c r="E355" s="43" t="n">
        <f aca="false">D355-WEEKDAY(D355,3)</f>
        <v>45145</v>
      </c>
      <c r="F355" s="29" t="s">
        <v>160</v>
      </c>
      <c r="G355" s="29" t="n">
        <v>2023</v>
      </c>
      <c r="H355" s="29" t="s">
        <v>253</v>
      </c>
      <c r="I355" s="29" t="n">
        <v>20</v>
      </c>
      <c r="J355" s="29" t="s">
        <v>250</v>
      </c>
      <c r="K355" s="29" t="s">
        <v>251</v>
      </c>
      <c r="L355" s="29" t="n">
        <v>0.04</v>
      </c>
      <c r="M355" s="32" t="n">
        <v>15070.59</v>
      </c>
      <c r="N355" s="32" t="n">
        <v>15085.69</v>
      </c>
      <c r="O355" s="32" t="n">
        <v>15037.74</v>
      </c>
      <c r="P355" s="45" t="n">
        <f aca="false">ABS(M355-N355)</f>
        <v>15.1000000000004</v>
      </c>
      <c r="Q355" s="45" t="n">
        <f aca="false">IF(O355="","",ABS(O355-M355))</f>
        <v>32.8500000000004</v>
      </c>
      <c r="R355" s="31" t="n">
        <f aca="false">P355*L355*Summary!$C$6</f>
        <v>60.4000000000015</v>
      </c>
      <c r="S355" s="32" t="n">
        <v>15086.4</v>
      </c>
      <c r="T355" s="29" t="s">
        <v>249</v>
      </c>
      <c r="U355" s="45" t="n">
        <f aca="false">IF(J355="BUY",S355-M355,M355-S355)</f>
        <v>-15.8099999999995</v>
      </c>
      <c r="V355" s="46" t="n">
        <v>0</v>
      </c>
      <c r="W355" s="46" t="n">
        <v>0</v>
      </c>
      <c r="X355" s="46" t="n">
        <v>-63.24</v>
      </c>
      <c r="Y355" s="33" t="n">
        <f aca="false">IFERROR(X355/R355,0)</f>
        <v>-1.04701986754964</v>
      </c>
      <c r="Z355" s="29" t="str">
        <f aca="false">IF(X355&gt;0,"Win",IF(X355&lt;0,"Loss","Flat"))</f>
        <v>Loss</v>
      </c>
      <c r="AA355" s="29" t="n">
        <f aca="false">ROUND((C355-B355)*1440,1)</f>
        <v>2.7</v>
      </c>
      <c r="AB355" s="29" t="str">
        <f aca="false">IF(AA355&lt;1,"a) &lt;1 min",IF(AA355&lt;10,"b) 1-10 min",IF(AA355&lt;60,"c) 10-60 min",IF(AA355&lt;240,"d) 1-4 h","e) 4 h+"))))</f>
        <v>b) 1-10 min</v>
      </c>
      <c r="AC355" s="29" t="str">
        <f aca="false">IF(P355&lt;10,"a) &lt;10",IF(P355&lt;20,"b) 10-20",IF(P355&lt;40,"c) 20-40",IF(P355&lt;80,"d) 40-80","e) 80+"))))</f>
        <v>b) 10-20</v>
      </c>
      <c r="AD355" s="31" t="n">
        <f aca="false">Summary!$C$5+SUM(X$2:X355)</f>
        <v>13385.6</v>
      </c>
      <c r="AE355" s="31" t="n">
        <f aca="false">MAX(AE354,AD355)</f>
        <v>13805.92</v>
      </c>
      <c r="AF355" s="31" t="n">
        <f aca="false">AE355-AD355</f>
        <v>420.32</v>
      </c>
      <c r="AG355" s="30" t="n">
        <f aca="false">IFERROR(AF355/AE355,0)</f>
        <v>0.0304449105890806</v>
      </c>
    </row>
    <row r="356" customFormat="false" ht="15" hidden="false" customHeight="false" outlineLevel="0" collapsed="false">
      <c r="A356" s="29" t="n">
        <v>355</v>
      </c>
      <c r="B356" s="44" t="n">
        <v>45149.6479166667</v>
      </c>
      <c r="C356" s="44" t="n">
        <v>45149.6596527778</v>
      </c>
      <c r="D356" s="43" t="n">
        <f aca="false">INT(C356)</f>
        <v>45149</v>
      </c>
      <c r="E356" s="43" t="n">
        <f aca="false">D356-WEEKDAY(D356,3)</f>
        <v>45145</v>
      </c>
      <c r="F356" s="29" t="s">
        <v>160</v>
      </c>
      <c r="G356" s="29" t="n">
        <v>2023</v>
      </c>
      <c r="H356" s="29" t="s">
        <v>254</v>
      </c>
      <c r="I356" s="29" t="n">
        <v>15</v>
      </c>
      <c r="J356" s="29" t="s">
        <v>250</v>
      </c>
      <c r="K356" s="29" t="s">
        <v>251</v>
      </c>
      <c r="L356" s="29" t="n">
        <v>0.04</v>
      </c>
      <c r="M356" s="32" t="n">
        <v>15061.34</v>
      </c>
      <c r="N356" s="32" t="n">
        <v>15079.96</v>
      </c>
      <c r="O356" s="32" t="n">
        <v>15015.94</v>
      </c>
      <c r="P356" s="45" t="n">
        <f aca="false">ABS(M356-N356)</f>
        <v>18.619999999999</v>
      </c>
      <c r="Q356" s="45" t="n">
        <f aca="false">IF(O356="","",ABS(O356-M356))</f>
        <v>45.3999999999996</v>
      </c>
      <c r="R356" s="31" t="n">
        <f aca="false">P356*L356*Summary!$C$6</f>
        <v>74.4799999999959</v>
      </c>
      <c r="S356" s="32" t="n">
        <v>15015.64</v>
      </c>
      <c r="T356" s="29" t="s">
        <v>227</v>
      </c>
      <c r="U356" s="45" t="n">
        <f aca="false">IF(J356="BUY",S356-M356,M356-S356)</f>
        <v>45.7000000000007</v>
      </c>
      <c r="V356" s="46" t="n">
        <v>0</v>
      </c>
      <c r="W356" s="46" t="n">
        <v>0</v>
      </c>
      <c r="X356" s="46" t="n">
        <v>182.8</v>
      </c>
      <c r="Y356" s="33" t="n">
        <f aca="false">IFERROR(X356/R356,0)</f>
        <v>2.45435016111721</v>
      </c>
      <c r="Z356" s="29" t="str">
        <f aca="false">IF(X356&gt;0,"Win",IF(X356&lt;0,"Loss","Flat"))</f>
        <v>Win</v>
      </c>
      <c r="AA356" s="29" t="n">
        <f aca="false">ROUND((C356-B356)*1440,1)</f>
        <v>16.9</v>
      </c>
      <c r="AB356" s="29" t="str">
        <f aca="false">IF(AA356&lt;1,"a) &lt;1 min",IF(AA356&lt;10,"b) 1-10 min",IF(AA356&lt;60,"c) 10-60 min",IF(AA356&lt;240,"d) 1-4 h","e) 4 h+"))))</f>
        <v>c) 10-60 min</v>
      </c>
      <c r="AC356" s="29" t="str">
        <f aca="false">IF(P356&lt;10,"a) &lt;10",IF(P356&lt;20,"b) 10-20",IF(P356&lt;40,"c) 20-40",IF(P356&lt;80,"d) 40-80","e) 80+"))))</f>
        <v>b) 10-20</v>
      </c>
      <c r="AD356" s="31" t="n">
        <f aca="false">Summary!$C$5+SUM(X$2:X356)</f>
        <v>13568.4</v>
      </c>
      <c r="AE356" s="31" t="n">
        <f aca="false">MAX(AE355,AD356)</f>
        <v>13805.92</v>
      </c>
      <c r="AF356" s="31" t="n">
        <f aca="false">AE356-AD356</f>
        <v>237.52</v>
      </c>
      <c r="AG356" s="30" t="n">
        <f aca="false">IFERROR(AF356/AE356,0)</f>
        <v>0.0172042138444957</v>
      </c>
    </row>
    <row r="357" customFormat="false" ht="15" hidden="false" customHeight="false" outlineLevel="0" collapsed="false">
      <c r="A357" s="29" t="n">
        <v>356</v>
      </c>
      <c r="B357" s="44" t="n">
        <v>45152.2868055556</v>
      </c>
      <c r="C357" s="44" t="n">
        <v>45152.2881828704</v>
      </c>
      <c r="D357" s="43" t="n">
        <f aca="false">INT(C357)</f>
        <v>45152</v>
      </c>
      <c r="E357" s="43" t="n">
        <f aca="false">D357-WEEKDAY(D357,3)</f>
        <v>45152</v>
      </c>
      <c r="F357" s="29" t="s">
        <v>160</v>
      </c>
      <c r="G357" s="29" t="n">
        <v>2023</v>
      </c>
      <c r="H357" s="29" t="s">
        <v>245</v>
      </c>
      <c r="I357" s="29" t="n">
        <v>6</v>
      </c>
      <c r="J357" s="29" t="s">
        <v>250</v>
      </c>
      <c r="K357" s="29" t="s">
        <v>251</v>
      </c>
      <c r="L357" s="29" t="n">
        <v>0.04</v>
      </c>
      <c r="M357" s="32" t="n">
        <v>14965.22</v>
      </c>
      <c r="N357" s="32" t="n">
        <v>14971.94</v>
      </c>
      <c r="O357" s="32" t="n">
        <v>14948.79</v>
      </c>
      <c r="P357" s="45" t="n">
        <f aca="false">ABS(M357-N357)</f>
        <v>6.72000000000116</v>
      </c>
      <c r="Q357" s="45" t="n">
        <f aca="false">IF(O357="","",ABS(O357-M357))</f>
        <v>16.4299999999985</v>
      </c>
      <c r="R357" s="31" t="n">
        <f aca="false">P357*L357*Summary!$C$6</f>
        <v>26.8800000000047</v>
      </c>
      <c r="S357" s="32" t="n">
        <v>14965.5</v>
      </c>
      <c r="T357" s="29" t="s">
        <v>255</v>
      </c>
      <c r="U357" s="45" t="n">
        <f aca="false">IF(J357="BUY",S357-M357,M357-S357)</f>
        <v>-0.280000000000655</v>
      </c>
      <c r="V357" s="46" t="n">
        <v>0</v>
      </c>
      <c r="W357" s="46" t="n">
        <v>0</v>
      </c>
      <c r="X357" s="46" t="n">
        <v>-1.12</v>
      </c>
      <c r="Y357" s="33" t="n">
        <f aca="false">IFERROR(X357/R357,0)</f>
        <v>-0.0416666666666595</v>
      </c>
      <c r="Z357" s="29" t="str">
        <f aca="false">IF(X357&gt;0,"Win",IF(X357&lt;0,"Loss","Flat"))</f>
        <v>Loss</v>
      </c>
      <c r="AA357" s="29" t="n">
        <f aca="false">ROUND((C357-B357)*1440,1)</f>
        <v>2</v>
      </c>
      <c r="AB357" s="29" t="str">
        <f aca="false">IF(AA357&lt;1,"a) &lt;1 min",IF(AA357&lt;10,"b) 1-10 min",IF(AA357&lt;60,"c) 10-60 min",IF(AA357&lt;240,"d) 1-4 h","e) 4 h+"))))</f>
        <v>b) 1-10 min</v>
      </c>
      <c r="AC357" s="29" t="str">
        <f aca="false">IF(P357&lt;10,"a) &lt;10",IF(P357&lt;20,"b) 10-20",IF(P357&lt;40,"c) 20-40",IF(P357&lt;80,"d) 40-80","e) 80+"))))</f>
        <v>a) &lt;10</v>
      </c>
      <c r="AD357" s="31" t="n">
        <f aca="false">Summary!$C$5+SUM(X$2:X357)</f>
        <v>13567.28</v>
      </c>
      <c r="AE357" s="31" t="n">
        <f aca="false">MAX(AE356,AD357)</f>
        <v>13805.92</v>
      </c>
      <c r="AF357" s="31" t="n">
        <f aca="false">AE357-AD357</f>
        <v>238.640000000001</v>
      </c>
      <c r="AG357" s="30" t="n">
        <f aca="false">IFERROR(AF357/AE357,0)</f>
        <v>0.0172853384634998</v>
      </c>
    </row>
    <row r="358" customFormat="false" ht="15" hidden="false" customHeight="false" outlineLevel="0" collapsed="false">
      <c r="A358" s="29" t="n">
        <v>357</v>
      </c>
      <c r="B358" s="44" t="n">
        <v>45152.9583333333</v>
      </c>
      <c r="C358" s="44" t="n">
        <v>45152.9601273148</v>
      </c>
      <c r="D358" s="43" t="n">
        <f aca="false">INT(C358)</f>
        <v>45152</v>
      </c>
      <c r="E358" s="43" t="n">
        <f aca="false">D358-WEEKDAY(D358,3)</f>
        <v>45152</v>
      </c>
      <c r="F358" s="29" t="s">
        <v>160</v>
      </c>
      <c r="G358" s="29" t="n">
        <v>2023</v>
      </c>
      <c r="H358" s="29" t="s">
        <v>245</v>
      </c>
      <c r="I358" s="29" t="n">
        <v>23</v>
      </c>
      <c r="J358" s="29" t="s">
        <v>246</v>
      </c>
      <c r="K358" s="29" t="s">
        <v>247</v>
      </c>
      <c r="L358" s="29" t="n">
        <v>0.04</v>
      </c>
      <c r="M358" s="32" t="n">
        <v>15203.92</v>
      </c>
      <c r="N358" s="32" t="n">
        <v>15196.01</v>
      </c>
      <c r="O358" s="32" t="n">
        <v>15223.05</v>
      </c>
      <c r="P358" s="45" t="n">
        <f aca="false">ABS(M358-N358)</f>
        <v>7.90999999999985</v>
      </c>
      <c r="Q358" s="45" t="n">
        <f aca="false">IF(O358="","",ABS(O358-M358))</f>
        <v>19.1299999999992</v>
      </c>
      <c r="R358" s="31" t="n">
        <f aca="false">P358*L358*Summary!$C$6</f>
        <v>31.6399999999994</v>
      </c>
      <c r="S358" s="32" t="n">
        <v>15195.96</v>
      </c>
      <c r="T358" s="29" t="s">
        <v>249</v>
      </c>
      <c r="U358" s="45" t="n">
        <f aca="false">IF(J358="BUY",S358-M358,M358-S358)</f>
        <v>-7.96000000000095</v>
      </c>
      <c r="V358" s="46" t="n">
        <v>0</v>
      </c>
      <c r="W358" s="46" t="n">
        <v>0</v>
      </c>
      <c r="X358" s="46" t="n">
        <v>-31.84</v>
      </c>
      <c r="Y358" s="33" t="n">
        <f aca="false">IFERROR(X358/R358,0)</f>
        <v>-1.00632111251582</v>
      </c>
      <c r="Z358" s="29" t="str">
        <f aca="false">IF(X358&gt;0,"Win",IF(X358&lt;0,"Loss","Flat"))</f>
        <v>Loss</v>
      </c>
      <c r="AA358" s="29" t="n">
        <f aca="false">ROUND((C358-B358)*1440,1)</f>
        <v>2.6</v>
      </c>
      <c r="AB358" s="29" t="str">
        <f aca="false">IF(AA358&lt;1,"a) &lt;1 min",IF(AA358&lt;10,"b) 1-10 min",IF(AA358&lt;60,"c) 10-60 min",IF(AA358&lt;240,"d) 1-4 h","e) 4 h+"))))</f>
        <v>b) 1-10 min</v>
      </c>
      <c r="AC358" s="29" t="str">
        <f aca="false">IF(P358&lt;10,"a) &lt;10",IF(P358&lt;20,"b) 10-20",IF(P358&lt;40,"c) 20-40",IF(P358&lt;80,"d) 40-80","e) 80+"))))</f>
        <v>a) &lt;10</v>
      </c>
      <c r="AD358" s="31" t="n">
        <f aca="false">Summary!$C$5+SUM(X$2:X358)</f>
        <v>13535.44</v>
      </c>
      <c r="AE358" s="31" t="n">
        <f aca="false">MAX(AE357,AD358)</f>
        <v>13805.92</v>
      </c>
      <c r="AF358" s="31" t="n">
        <f aca="false">AE358-AD358</f>
        <v>270.48</v>
      </c>
      <c r="AG358" s="30" t="n">
        <f aca="false">IFERROR(AF358/AE358,0)</f>
        <v>0.0195915954894712</v>
      </c>
    </row>
    <row r="359" customFormat="false" ht="15" hidden="false" customHeight="false" outlineLevel="0" collapsed="false">
      <c r="A359" s="29" t="n">
        <v>358</v>
      </c>
      <c r="B359" s="44" t="n">
        <v>45153.0423611111</v>
      </c>
      <c r="C359" s="44" t="n">
        <v>45153.0449768519</v>
      </c>
      <c r="D359" s="43" t="n">
        <f aca="false">INT(C359)</f>
        <v>45153</v>
      </c>
      <c r="E359" s="43" t="n">
        <f aca="false">D359-WEEKDAY(D359,3)</f>
        <v>45152</v>
      </c>
      <c r="F359" s="29" t="s">
        <v>160</v>
      </c>
      <c r="G359" s="29" t="n">
        <v>2023</v>
      </c>
      <c r="H359" s="29" t="s">
        <v>248</v>
      </c>
      <c r="I359" s="29" t="n">
        <v>1</v>
      </c>
      <c r="J359" s="29" t="s">
        <v>246</v>
      </c>
      <c r="K359" s="29" t="s">
        <v>247</v>
      </c>
      <c r="L359" s="29" t="n">
        <v>0.04</v>
      </c>
      <c r="M359" s="32" t="n">
        <v>15212.03</v>
      </c>
      <c r="N359" s="32" t="n">
        <v>15209.48</v>
      </c>
      <c r="O359" s="32" t="n">
        <v>15218.27</v>
      </c>
      <c r="P359" s="45" t="n">
        <f aca="false">ABS(M359-N359)</f>
        <v>2.55000000000109</v>
      </c>
      <c r="Q359" s="45" t="n">
        <f aca="false">IF(O359="","",ABS(O359-M359))</f>
        <v>6.23999999999978</v>
      </c>
      <c r="R359" s="31" t="n">
        <f aca="false">P359*L359*Summary!$C$6</f>
        <v>10.2000000000044</v>
      </c>
      <c r="S359" s="32" t="n">
        <v>15209.26</v>
      </c>
      <c r="T359" s="29" t="s">
        <v>249</v>
      </c>
      <c r="U359" s="45" t="n">
        <f aca="false">IF(J359="BUY",S359-M359,M359-S359)</f>
        <v>-2.77000000000044</v>
      </c>
      <c r="V359" s="46" t="n">
        <v>0</v>
      </c>
      <c r="W359" s="46" t="n">
        <v>0</v>
      </c>
      <c r="X359" s="46" t="n">
        <v>-11.08</v>
      </c>
      <c r="Y359" s="33" t="n">
        <f aca="false">IFERROR(X359/R359,0)</f>
        <v>-1.08627450980346</v>
      </c>
      <c r="Z359" s="29" t="str">
        <f aca="false">IF(X359&gt;0,"Win",IF(X359&lt;0,"Loss","Flat"))</f>
        <v>Loss</v>
      </c>
      <c r="AA359" s="29" t="n">
        <f aca="false">ROUND((C359-B359)*1440,1)</f>
        <v>3.8</v>
      </c>
      <c r="AB359" s="29" t="str">
        <f aca="false">IF(AA359&lt;1,"a) &lt;1 min",IF(AA359&lt;10,"b) 1-10 min",IF(AA359&lt;60,"c) 10-60 min",IF(AA359&lt;240,"d) 1-4 h","e) 4 h+"))))</f>
        <v>b) 1-10 min</v>
      </c>
      <c r="AC359" s="29" t="str">
        <f aca="false">IF(P359&lt;10,"a) &lt;10",IF(P359&lt;20,"b) 10-20",IF(P359&lt;40,"c) 20-40",IF(P359&lt;80,"d) 40-80","e) 80+"))))</f>
        <v>a) &lt;10</v>
      </c>
      <c r="AD359" s="31" t="n">
        <f aca="false">Summary!$C$5+SUM(X$2:X359)</f>
        <v>13524.36</v>
      </c>
      <c r="AE359" s="31" t="n">
        <f aca="false">MAX(AE358,AD359)</f>
        <v>13805.92</v>
      </c>
      <c r="AF359" s="31" t="n">
        <f aca="false">AE359-AD359</f>
        <v>281.56</v>
      </c>
      <c r="AG359" s="30" t="n">
        <f aca="false">IFERROR(AF359/AE359,0)</f>
        <v>0.0203941497560466</v>
      </c>
    </row>
    <row r="360" customFormat="false" ht="15" hidden="false" customHeight="false" outlineLevel="0" collapsed="false">
      <c r="A360" s="29" t="n">
        <v>359</v>
      </c>
      <c r="B360" s="44" t="n">
        <v>45154.6631944445</v>
      </c>
      <c r="C360" s="44" t="n">
        <v>45154.6673842593</v>
      </c>
      <c r="D360" s="43" t="n">
        <f aca="false">INT(C360)</f>
        <v>45154</v>
      </c>
      <c r="E360" s="43" t="n">
        <f aca="false">D360-WEEKDAY(D360,3)</f>
        <v>45152</v>
      </c>
      <c r="F360" s="29" t="s">
        <v>160</v>
      </c>
      <c r="G360" s="29" t="n">
        <v>2023</v>
      </c>
      <c r="H360" s="29" t="s">
        <v>252</v>
      </c>
      <c r="I360" s="29" t="n">
        <v>15</v>
      </c>
      <c r="J360" s="29" t="s">
        <v>250</v>
      </c>
      <c r="K360" s="29" t="s">
        <v>251</v>
      </c>
      <c r="L360" s="29" t="n">
        <v>0.04</v>
      </c>
      <c r="M360" s="32" t="n">
        <v>15004.83</v>
      </c>
      <c r="N360" s="32" t="n">
        <v>15011.53</v>
      </c>
      <c r="O360" s="32" t="n">
        <v>14989.32</v>
      </c>
      <c r="P360" s="45" t="n">
        <f aca="false">ABS(M360-N360)</f>
        <v>6.70000000000073</v>
      </c>
      <c r="Q360" s="45" t="n">
        <f aca="false">IF(O360="","",ABS(O360-M360))</f>
        <v>15.5100000000002</v>
      </c>
      <c r="R360" s="31" t="n">
        <f aca="false">P360*L360*Summary!$C$6</f>
        <v>26.8000000000029</v>
      </c>
      <c r="S360" s="32" t="n">
        <v>15004.99</v>
      </c>
      <c r="T360" s="29" t="s">
        <v>255</v>
      </c>
      <c r="U360" s="45" t="n">
        <f aca="false">IF(J360="BUY",S360-M360,M360-S360)</f>
        <v>-0.159999999999854</v>
      </c>
      <c r="V360" s="46" t="n">
        <v>0</v>
      </c>
      <c r="W360" s="46" t="n">
        <v>0</v>
      </c>
      <c r="X360" s="46" t="n">
        <v>-0.64</v>
      </c>
      <c r="Y360" s="33" t="n">
        <f aca="false">IFERROR(X360/R360,0)</f>
        <v>-0.0238805970149228</v>
      </c>
      <c r="Z360" s="29" t="str">
        <f aca="false">IF(X360&gt;0,"Win",IF(X360&lt;0,"Loss","Flat"))</f>
        <v>Loss</v>
      </c>
      <c r="AA360" s="29" t="n">
        <f aca="false">ROUND((C360-B360)*1440,1)</f>
        <v>6</v>
      </c>
      <c r="AB360" s="29" t="str">
        <f aca="false">IF(AA360&lt;1,"a) &lt;1 min",IF(AA360&lt;10,"b) 1-10 min",IF(AA360&lt;60,"c) 10-60 min",IF(AA360&lt;240,"d) 1-4 h","e) 4 h+"))))</f>
        <v>b) 1-10 min</v>
      </c>
      <c r="AC360" s="29" t="str">
        <f aca="false">IF(P360&lt;10,"a) &lt;10",IF(P360&lt;20,"b) 10-20",IF(P360&lt;40,"c) 20-40",IF(P360&lt;80,"d) 40-80","e) 80+"))))</f>
        <v>a) &lt;10</v>
      </c>
      <c r="AD360" s="31" t="n">
        <f aca="false">Summary!$C$5+SUM(X$2:X360)</f>
        <v>13523.72</v>
      </c>
      <c r="AE360" s="31" t="n">
        <f aca="false">MAX(AE359,AD360)</f>
        <v>13805.92</v>
      </c>
      <c r="AF360" s="31" t="n">
        <f aca="false">AE360-AD360</f>
        <v>282.200000000001</v>
      </c>
      <c r="AG360" s="30" t="n">
        <f aca="false">IFERROR(AF360/AE360,0)</f>
        <v>0.0204405066811919</v>
      </c>
    </row>
    <row r="361" customFormat="false" ht="15" hidden="false" customHeight="false" outlineLevel="0" collapsed="false">
      <c r="A361" s="29" t="n">
        <v>360</v>
      </c>
      <c r="B361" s="44" t="n">
        <v>45155.0840393519</v>
      </c>
      <c r="C361" s="44" t="n">
        <v>45155.0856481482</v>
      </c>
      <c r="D361" s="43" t="n">
        <f aca="false">INT(C361)</f>
        <v>45155</v>
      </c>
      <c r="E361" s="43" t="n">
        <f aca="false">D361-WEEKDAY(D361,3)</f>
        <v>45152</v>
      </c>
      <c r="F361" s="29" t="s">
        <v>160</v>
      </c>
      <c r="G361" s="29" t="n">
        <v>2023</v>
      </c>
      <c r="H361" s="29" t="s">
        <v>253</v>
      </c>
      <c r="I361" s="29" t="n">
        <v>2</v>
      </c>
      <c r="J361" s="29" t="s">
        <v>250</v>
      </c>
      <c r="K361" s="29" t="s">
        <v>251</v>
      </c>
      <c r="L361" s="29" t="n">
        <v>0.04</v>
      </c>
      <c r="M361" s="32" t="n">
        <v>14865.58</v>
      </c>
      <c r="N361" s="32" t="n">
        <v>14869</v>
      </c>
      <c r="O361" s="32" t="n">
        <v>14857.25</v>
      </c>
      <c r="P361" s="45" t="n">
        <f aca="false">ABS(M361-N361)</f>
        <v>3.42000000000007</v>
      </c>
      <c r="Q361" s="45" t="n">
        <f aca="false">IF(O361="","",ABS(O361-M361))</f>
        <v>8.32999999999993</v>
      </c>
      <c r="R361" s="31" t="n">
        <f aca="false">P361*L361*Summary!$C$6</f>
        <v>13.6800000000003</v>
      </c>
      <c r="S361" s="32" t="n">
        <v>14869.15</v>
      </c>
      <c r="T361" s="29" t="s">
        <v>249</v>
      </c>
      <c r="U361" s="45" t="n">
        <f aca="false">IF(J361="BUY",S361-M361,M361-S361)</f>
        <v>-3.56999999999971</v>
      </c>
      <c r="V361" s="46" t="n">
        <v>0</v>
      </c>
      <c r="W361" s="46" t="n">
        <v>0</v>
      </c>
      <c r="X361" s="46" t="n">
        <v>-14.28</v>
      </c>
      <c r="Y361" s="33" t="n">
        <f aca="false">IFERROR(X361/R361,0)</f>
        <v>-1.04385964912278</v>
      </c>
      <c r="Z361" s="29" t="str">
        <f aca="false">IF(X361&gt;0,"Win",IF(X361&lt;0,"Loss","Flat"))</f>
        <v>Loss</v>
      </c>
      <c r="AA361" s="29" t="n">
        <f aca="false">ROUND((C361-B361)*1440,1)</f>
        <v>2.3</v>
      </c>
      <c r="AB361" s="29" t="str">
        <f aca="false">IF(AA361&lt;1,"a) &lt;1 min",IF(AA361&lt;10,"b) 1-10 min",IF(AA361&lt;60,"c) 10-60 min",IF(AA361&lt;240,"d) 1-4 h","e) 4 h+"))))</f>
        <v>b) 1-10 min</v>
      </c>
      <c r="AC361" s="29" t="str">
        <f aca="false">IF(P361&lt;10,"a) &lt;10",IF(P361&lt;20,"b) 10-20",IF(P361&lt;40,"c) 20-40",IF(P361&lt;80,"d) 40-80","e) 80+"))))</f>
        <v>a) &lt;10</v>
      </c>
      <c r="AD361" s="31" t="n">
        <f aca="false">Summary!$C$5+SUM(X$2:X361)</f>
        <v>13509.44</v>
      </c>
      <c r="AE361" s="31" t="n">
        <f aca="false">MAX(AE360,AD361)</f>
        <v>13805.92</v>
      </c>
      <c r="AF361" s="31" t="n">
        <f aca="false">AE361-AD361</f>
        <v>296.48</v>
      </c>
      <c r="AG361" s="30" t="n">
        <f aca="false">IFERROR(AF361/AE361,0)</f>
        <v>0.0214748455734931</v>
      </c>
    </row>
    <row r="362" customFormat="false" ht="15" hidden="false" customHeight="false" outlineLevel="0" collapsed="false">
      <c r="A362" s="29" t="n">
        <v>361</v>
      </c>
      <c r="B362" s="44" t="n">
        <v>45156.0423611111</v>
      </c>
      <c r="C362" s="44" t="n">
        <v>45156.0481944445</v>
      </c>
      <c r="D362" s="43" t="n">
        <f aca="false">INT(C362)</f>
        <v>45156</v>
      </c>
      <c r="E362" s="43" t="n">
        <f aca="false">D362-WEEKDAY(D362,3)</f>
        <v>45152</v>
      </c>
      <c r="F362" s="29" t="s">
        <v>160</v>
      </c>
      <c r="G362" s="29" t="n">
        <v>2023</v>
      </c>
      <c r="H362" s="29" t="s">
        <v>254</v>
      </c>
      <c r="I362" s="29" t="n">
        <v>1</v>
      </c>
      <c r="J362" s="29" t="s">
        <v>250</v>
      </c>
      <c r="K362" s="29" t="s">
        <v>251</v>
      </c>
      <c r="L362" s="29" t="n">
        <v>0.04</v>
      </c>
      <c r="M362" s="32" t="n">
        <v>14694.67</v>
      </c>
      <c r="N362" s="32" t="n">
        <v>14700.91</v>
      </c>
      <c r="O362" s="32" t="n">
        <v>14679.38</v>
      </c>
      <c r="P362" s="45" t="n">
        <f aca="false">ABS(M362-N362)</f>
        <v>6.23999999999978</v>
      </c>
      <c r="Q362" s="45" t="n">
        <f aca="false">IF(O362="","",ABS(O362-M362))</f>
        <v>15.2900000000009</v>
      </c>
      <c r="R362" s="31" t="n">
        <f aca="false">P362*L362*Summary!$C$6</f>
        <v>24.9599999999991</v>
      </c>
      <c r="S362" s="32" t="n">
        <v>14679.19</v>
      </c>
      <c r="T362" s="29" t="s">
        <v>227</v>
      </c>
      <c r="U362" s="45" t="n">
        <f aca="false">IF(J362="BUY",S362-M362,M362-S362)</f>
        <v>15.4799999999996</v>
      </c>
      <c r="V362" s="46" t="n">
        <v>0</v>
      </c>
      <c r="W362" s="46" t="n">
        <v>0</v>
      </c>
      <c r="X362" s="46" t="n">
        <v>61.92</v>
      </c>
      <c r="Y362" s="33" t="n">
        <f aca="false">IFERROR(X362/R362,0)</f>
        <v>2.48076923076932</v>
      </c>
      <c r="Z362" s="29" t="str">
        <f aca="false">IF(X362&gt;0,"Win",IF(X362&lt;0,"Loss","Flat"))</f>
        <v>Win</v>
      </c>
      <c r="AA362" s="29" t="n">
        <f aca="false">ROUND((C362-B362)*1440,1)</f>
        <v>8.4</v>
      </c>
      <c r="AB362" s="29" t="str">
        <f aca="false">IF(AA362&lt;1,"a) &lt;1 min",IF(AA362&lt;10,"b) 1-10 min",IF(AA362&lt;60,"c) 10-60 min",IF(AA362&lt;240,"d) 1-4 h","e) 4 h+"))))</f>
        <v>b) 1-10 min</v>
      </c>
      <c r="AC362" s="29" t="str">
        <f aca="false">IF(P362&lt;10,"a) &lt;10",IF(P362&lt;20,"b) 10-20",IF(P362&lt;40,"c) 20-40",IF(P362&lt;80,"d) 40-80","e) 80+"))))</f>
        <v>a) &lt;10</v>
      </c>
      <c r="AD362" s="31" t="n">
        <f aca="false">Summary!$C$5+SUM(X$2:X362)</f>
        <v>13571.36</v>
      </c>
      <c r="AE362" s="31" t="n">
        <f aca="false">MAX(AE361,AD362)</f>
        <v>13805.92</v>
      </c>
      <c r="AF362" s="31" t="n">
        <f aca="false">AE362-AD362</f>
        <v>234.56</v>
      </c>
      <c r="AG362" s="30" t="n">
        <f aca="false">IFERROR(AF362/AE362,0)</f>
        <v>0.0169898130656993</v>
      </c>
    </row>
    <row r="363" customFormat="false" ht="15" hidden="false" customHeight="false" outlineLevel="0" collapsed="false">
      <c r="A363" s="29" t="n">
        <v>362</v>
      </c>
      <c r="B363" s="44" t="n">
        <v>45159.4576388889</v>
      </c>
      <c r="C363" s="44" t="n">
        <v>45159.4609375</v>
      </c>
      <c r="D363" s="43" t="n">
        <f aca="false">INT(C363)</f>
        <v>45159</v>
      </c>
      <c r="E363" s="43" t="n">
        <f aca="false">D363-WEEKDAY(D363,3)</f>
        <v>45159</v>
      </c>
      <c r="F363" s="29" t="s">
        <v>160</v>
      </c>
      <c r="G363" s="29" t="n">
        <v>2023</v>
      </c>
      <c r="H363" s="29" t="s">
        <v>245</v>
      </c>
      <c r="I363" s="29" t="n">
        <v>10</v>
      </c>
      <c r="J363" s="29" t="s">
        <v>246</v>
      </c>
      <c r="K363" s="29" t="s">
        <v>247</v>
      </c>
      <c r="L363" s="29" t="n">
        <v>0.04</v>
      </c>
      <c r="M363" s="32" t="n">
        <v>14750.8</v>
      </c>
      <c r="N363" s="32" t="n">
        <v>14745.14</v>
      </c>
      <c r="O363" s="32" t="n">
        <v>14763.95</v>
      </c>
      <c r="P363" s="45" t="n">
        <f aca="false">ABS(M363-N363)</f>
        <v>5.65999999999985</v>
      </c>
      <c r="Q363" s="45" t="n">
        <f aca="false">IF(O363="","",ABS(O363-M363))</f>
        <v>13.1500000000015</v>
      </c>
      <c r="R363" s="31" t="n">
        <f aca="false">P363*L363*Summary!$C$6</f>
        <v>22.6399999999994</v>
      </c>
      <c r="S363" s="32" t="n">
        <v>14763.96</v>
      </c>
      <c r="T363" s="29" t="s">
        <v>227</v>
      </c>
      <c r="U363" s="45" t="n">
        <f aca="false">IF(J363="BUY",S363-M363,M363-S363)</f>
        <v>13.1599999999999</v>
      </c>
      <c r="V363" s="46" t="n">
        <v>0</v>
      </c>
      <c r="W363" s="46" t="n">
        <v>0</v>
      </c>
      <c r="X363" s="46" t="n">
        <v>52.64</v>
      </c>
      <c r="Y363" s="33" t="n">
        <f aca="false">IFERROR(X363/R363,0)</f>
        <v>2.32508833922267</v>
      </c>
      <c r="Z363" s="29" t="str">
        <f aca="false">IF(X363&gt;0,"Win",IF(X363&lt;0,"Loss","Flat"))</f>
        <v>Win</v>
      </c>
      <c r="AA363" s="29" t="n">
        <f aca="false">ROUND((C363-B363)*1440,1)</f>
        <v>4.8</v>
      </c>
      <c r="AB363" s="29" t="str">
        <f aca="false">IF(AA363&lt;1,"a) &lt;1 min",IF(AA363&lt;10,"b) 1-10 min",IF(AA363&lt;60,"c) 10-60 min",IF(AA363&lt;240,"d) 1-4 h","e) 4 h+"))))</f>
        <v>b) 1-10 min</v>
      </c>
      <c r="AC363" s="29" t="str">
        <f aca="false">IF(P363&lt;10,"a) &lt;10",IF(P363&lt;20,"b) 10-20",IF(P363&lt;40,"c) 20-40",IF(P363&lt;80,"d) 40-80","e) 80+"))))</f>
        <v>a) &lt;10</v>
      </c>
      <c r="AD363" s="31" t="n">
        <f aca="false">Summary!$C$5+SUM(X$2:X363)</f>
        <v>13624</v>
      </c>
      <c r="AE363" s="31" t="n">
        <f aca="false">MAX(AE362,AD363)</f>
        <v>13805.92</v>
      </c>
      <c r="AF363" s="31" t="n">
        <f aca="false">AE363-AD363</f>
        <v>181.92</v>
      </c>
      <c r="AG363" s="30" t="n">
        <f aca="false">IFERROR(AF363/AE363,0)</f>
        <v>0.0131769559725103</v>
      </c>
    </row>
    <row r="364" customFormat="false" ht="15" hidden="false" customHeight="false" outlineLevel="0" collapsed="false">
      <c r="A364" s="29" t="n">
        <v>363</v>
      </c>
      <c r="B364" s="44" t="n">
        <v>45160.4236111111</v>
      </c>
      <c r="C364" s="44" t="n">
        <v>45160.4274189815</v>
      </c>
      <c r="D364" s="43" t="n">
        <f aca="false">INT(C364)</f>
        <v>45160</v>
      </c>
      <c r="E364" s="43" t="n">
        <f aca="false">D364-WEEKDAY(D364,3)</f>
        <v>45159</v>
      </c>
      <c r="F364" s="29" t="s">
        <v>160</v>
      </c>
      <c r="G364" s="29" t="n">
        <v>2023</v>
      </c>
      <c r="H364" s="29" t="s">
        <v>248</v>
      </c>
      <c r="I364" s="29" t="n">
        <v>10</v>
      </c>
      <c r="J364" s="29" t="s">
        <v>246</v>
      </c>
      <c r="K364" s="29" t="s">
        <v>247</v>
      </c>
      <c r="L364" s="29" t="n">
        <v>0.04</v>
      </c>
      <c r="M364" s="32" t="n">
        <v>14963.61</v>
      </c>
      <c r="N364" s="32" t="n">
        <v>14958.62</v>
      </c>
      <c r="O364" s="32" t="n">
        <v>14978.91</v>
      </c>
      <c r="P364" s="45" t="n">
        <f aca="false">ABS(M364-N364)</f>
        <v>4.98999999999978</v>
      </c>
      <c r="Q364" s="45" t="n">
        <f aca="false">IF(O364="","",ABS(O364-M364))</f>
        <v>15.2999999999993</v>
      </c>
      <c r="R364" s="31" t="n">
        <f aca="false">P364*L364*Summary!$C$6</f>
        <v>19.9599999999991</v>
      </c>
      <c r="S364" s="32" t="n">
        <v>14963.59</v>
      </c>
      <c r="T364" s="29" t="s">
        <v>255</v>
      </c>
      <c r="U364" s="45" t="n">
        <f aca="false">IF(J364="BUY",S364-M364,M364-S364)</f>
        <v>-0.0200000000004366</v>
      </c>
      <c r="V364" s="46" t="n">
        <v>0</v>
      </c>
      <c r="W364" s="46" t="n">
        <v>0</v>
      </c>
      <c r="X364" s="46" t="n">
        <v>-0.08</v>
      </c>
      <c r="Y364" s="33" t="n">
        <f aca="false">IFERROR(X364/R364,0)</f>
        <v>-0.0040080160320643</v>
      </c>
      <c r="Z364" s="29" t="str">
        <f aca="false">IF(X364&gt;0,"Win",IF(X364&lt;0,"Loss","Flat"))</f>
        <v>Loss</v>
      </c>
      <c r="AA364" s="29" t="n">
        <f aca="false">ROUND((C364-B364)*1440,1)</f>
        <v>5.5</v>
      </c>
      <c r="AB364" s="29" t="str">
        <f aca="false">IF(AA364&lt;1,"a) &lt;1 min",IF(AA364&lt;10,"b) 1-10 min",IF(AA364&lt;60,"c) 10-60 min",IF(AA364&lt;240,"d) 1-4 h","e) 4 h+"))))</f>
        <v>b) 1-10 min</v>
      </c>
      <c r="AC364" s="29" t="str">
        <f aca="false">IF(P364&lt;10,"a) &lt;10",IF(P364&lt;20,"b) 10-20",IF(P364&lt;40,"c) 20-40",IF(P364&lt;80,"d) 40-80","e) 80+"))))</f>
        <v>a) &lt;10</v>
      </c>
      <c r="AD364" s="31" t="n">
        <f aca="false">Summary!$C$5+SUM(X$2:X364)</f>
        <v>13623.92</v>
      </c>
      <c r="AE364" s="31" t="n">
        <f aca="false">MAX(AE363,AD364)</f>
        <v>13805.92</v>
      </c>
      <c r="AF364" s="31" t="n">
        <f aca="false">AE364-AD364</f>
        <v>182</v>
      </c>
      <c r="AG364" s="30" t="n">
        <f aca="false">IFERROR(AF364/AE364,0)</f>
        <v>0.0131827505881535</v>
      </c>
    </row>
    <row r="365" customFormat="false" ht="15" hidden="false" customHeight="false" outlineLevel="0" collapsed="false">
      <c r="A365" s="29" t="n">
        <v>364</v>
      </c>
      <c r="B365" s="44" t="n">
        <v>45161.7173611111</v>
      </c>
      <c r="C365" s="44" t="n">
        <v>45161.7213773148</v>
      </c>
      <c r="D365" s="43" t="n">
        <f aca="false">INT(C365)</f>
        <v>45161</v>
      </c>
      <c r="E365" s="43" t="n">
        <f aca="false">D365-WEEKDAY(D365,3)</f>
        <v>45159</v>
      </c>
      <c r="F365" s="29" t="s">
        <v>160</v>
      </c>
      <c r="G365" s="29" t="n">
        <v>2023</v>
      </c>
      <c r="H365" s="29" t="s">
        <v>252</v>
      </c>
      <c r="I365" s="29" t="n">
        <v>17</v>
      </c>
      <c r="J365" s="29" t="s">
        <v>246</v>
      </c>
      <c r="K365" s="29" t="s">
        <v>247</v>
      </c>
      <c r="L365" s="29" t="n">
        <v>0.04</v>
      </c>
      <c r="M365" s="32" t="n">
        <v>15073.02</v>
      </c>
      <c r="N365" s="32" t="n">
        <v>15058.62</v>
      </c>
      <c r="O365" s="32" t="n">
        <v>15108.2</v>
      </c>
      <c r="P365" s="45" t="n">
        <f aca="false">ABS(M365-N365)</f>
        <v>14.3999999999996</v>
      </c>
      <c r="Q365" s="45" t="n">
        <f aca="false">IF(O365="","",ABS(O365-M365))</f>
        <v>35.1800000000003</v>
      </c>
      <c r="R365" s="31" t="n">
        <f aca="false">P365*L365*Summary!$C$6</f>
        <v>57.5999999999985</v>
      </c>
      <c r="S365" s="32" t="n">
        <v>15058.53</v>
      </c>
      <c r="T365" s="29" t="s">
        <v>249</v>
      </c>
      <c r="U365" s="45" t="n">
        <f aca="false">IF(J365="BUY",S365-M365,M365-S365)</f>
        <v>-14.4899999999998</v>
      </c>
      <c r="V365" s="46" t="n">
        <v>0</v>
      </c>
      <c r="W365" s="46" t="n">
        <v>0</v>
      </c>
      <c r="X365" s="46" t="n">
        <v>-57.96</v>
      </c>
      <c r="Y365" s="33" t="n">
        <f aca="false">IFERROR(X365/R365,0)</f>
        <v>-1.00625000000003</v>
      </c>
      <c r="Z365" s="29" t="str">
        <f aca="false">IF(X365&gt;0,"Win",IF(X365&lt;0,"Loss","Flat"))</f>
        <v>Loss</v>
      </c>
      <c r="AA365" s="29" t="n">
        <f aca="false">ROUND((C365-B365)*1440,1)</f>
        <v>5.8</v>
      </c>
      <c r="AB365" s="29" t="str">
        <f aca="false">IF(AA365&lt;1,"a) &lt;1 min",IF(AA365&lt;10,"b) 1-10 min",IF(AA365&lt;60,"c) 10-60 min",IF(AA365&lt;240,"d) 1-4 h","e) 4 h+"))))</f>
        <v>b) 1-10 min</v>
      </c>
      <c r="AC365" s="29" t="str">
        <f aca="false">IF(P365&lt;10,"a) &lt;10",IF(P365&lt;20,"b) 10-20",IF(P365&lt;40,"c) 20-40",IF(P365&lt;80,"d) 40-80","e) 80+"))))</f>
        <v>b) 10-20</v>
      </c>
      <c r="AD365" s="31" t="n">
        <f aca="false">Summary!$C$5+SUM(X$2:X365)</f>
        <v>13565.96</v>
      </c>
      <c r="AE365" s="31" t="n">
        <f aca="false">MAX(AE364,AD365)</f>
        <v>13805.92</v>
      </c>
      <c r="AF365" s="31" t="n">
        <f aca="false">AE365-AD365</f>
        <v>239.960000000001</v>
      </c>
      <c r="AG365" s="30" t="n">
        <f aca="false">IFERROR(AF365/AE365,0)</f>
        <v>0.0173809496216117</v>
      </c>
    </row>
    <row r="366" customFormat="false" ht="15" hidden="false" customHeight="false" outlineLevel="0" collapsed="false">
      <c r="A366" s="29" t="n">
        <v>365</v>
      </c>
      <c r="B366" s="44" t="n">
        <v>45162.0423611111</v>
      </c>
      <c r="C366" s="44" t="n">
        <v>45162.053599537</v>
      </c>
      <c r="D366" s="43" t="n">
        <f aca="false">INT(C366)</f>
        <v>45162</v>
      </c>
      <c r="E366" s="43" t="n">
        <f aca="false">D366-WEEKDAY(D366,3)</f>
        <v>45159</v>
      </c>
      <c r="F366" s="29" t="s">
        <v>160</v>
      </c>
      <c r="G366" s="29" t="n">
        <v>2023</v>
      </c>
      <c r="H366" s="29" t="s">
        <v>253</v>
      </c>
      <c r="I366" s="29" t="n">
        <v>1</v>
      </c>
      <c r="J366" s="29" t="s">
        <v>246</v>
      </c>
      <c r="K366" s="29" t="s">
        <v>247</v>
      </c>
      <c r="L366" s="29" t="n">
        <v>0.04</v>
      </c>
      <c r="M366" s="32" t="n">
        <v>15277.99</v>
      </c>
      <c r="N366" s="32" t="n">
        <v>15249.78</v>
      </c>
      <c r="O366" s="32" t="n">
        <v>15347.09</v>
      </c>
      <c r="P366" s="45" t="n">
        <f aca="false">ABS(M366-N366)</f>
        <v>28.2099999999991</v>
      </c>
      <c r="Q366" s="45" t="n">
        <f aca="false">IF(O366="","",ABS(O366-M366))</f>
        <v>69.1000000000004</v>
      </c>
      <c r="R366" s="31" t="n">
        <f aca="false">P366*L366*Summary!$C$6</f>
        <v>112.839999999997</v>
      </c>
      <c r="S366" s="32" t="n">
        <v>15249.75</v>
      </c>
      <c r="T366" s="29" t="s">
        <v>249</v>
      </c>
      <c r="U366" s="45" t="n">
        <f aca="false">IF(J366="BUY",S366-M366,M366-S366)</f>
        <v>-28.2399999999998</v>
      </c>
      <c r="V366" s="46" t="n">
        <v>0</v>
      </c>
      <c r="W366" s="46" t="n">
        <v>0</v>
      </c>
      <c r="X366" s="46" t="n">
        <v>-112.96</v>
      </c>
      <c r="Y366" s="33" t="n">
        <f aca="false">IFERROR(X366/R366,0)</f>
        <v>-1.00106345267639</v>
      </c>
      <c r="Z366" s="29" t="str">
        <f aca="false">IF(X366&gt;0,"Win",IF(X366&lt;0,"Loss","Flat"))</f>
        <v>Loss</v>
      </c>
      <c r="AA366" s="29" t="n">
        <f aca="false">ROUND((C366-B366)*1440,1)</f>
        <v>16.2</v>
      </c>
      <c r="AB366" s="29" t="str">
        <f aca="false">IF(AA366&lt;1,"a) &lt;1 min",IF(AA366&lt;10,"b) 1-10 min",IF(AA366&lt;60,"c) 10-60 min",IF(AA366&lt;240,"d) 1-4 h","e) 4 h+"))))</f>
        <v>c) 10-60 min</v>
      </c>
      <c r="AC366" s="29" t="str">
        <f aca="false">IF(P366&lt;10,"a) &lt;10",IF(P366&lt;20,"b) 10-20",IF(P366&lt;40,"c) 20-40",IF(P366&lt;80,"d) 40-80","e) 80+"))))</f>
        <v>c) 20-40</v>
      </c>
      <c r="AD366" s="31" t="n">
        <f aca="false">Summary!$C$5+SUM(X$2:X366)</f>
        <v>13453</v>
      </c>
      <c r="AE366" s="31" t="n">
        <f aca="false">MAX(AE365,AD366)</f>
        <v>13805.92</v>
      </c>
      <c r="AF366" s="31" t="n">
        <f aca="false">AE366-AD366</f>
        <v>352.92</v>
      </c>
      <c r="AG366" s="30" t="n">
        <f aca="false">IFERROR(AF366/AE366,0)</f>
        <v>0.0255629469097315</v>
      </c>
    </row>
    <row r="367" customFormat="false" ht="15" hidden="false" customHeight="false" outlineLevel="0" collapsed="false">
      <c r="A367" s="29" t="n">
        <v>366</v>
      </c>
      <c r="B367" s="44" t="n">
        <v>45162.7868055556</v>
      </c>
      <c r="C367" s="44" t="n">
        <v>45162.7890046296</v>
      </c>
      <c r="D367" s="43" t="n">
        <f aca="false">INT(C367)</f>
        <v>45162</v>
      </c>
      <c r="E367" s="43" t="n">
        <f aca="false">D367-WEEKDAY(D367,3)</f>
        <v>45159</v>
      </c>
      <c r="F367" s="29" t="s">
        <v>160</v>
      </c>
      <c r="G367" s="29" t="n">
        <v>2023</v>
      </c>
      <c r="H367" s="29" t="s">
        <v>253</v>
      </c>
      <c r="I367" s="29" t="n">
        <v>18</v>
      </c>
      <c r="J367" s="29" t="s">
        <v>250</v>
      </c>
      <c r="K367" s="29" t="s">
        <v>251</v>
      </c>
      <c r="L367" s="29" t="n">
        <v>0.04</v>
      </c>
      <c r="M367" s="32" t="n">
        <v>14902.1</v>
      </c>
      <c r="N367" s="32" t="n">
        <v>14915.26</v>
      </c>
      <c r="O367" s="32" t="n">
        <v>14872.35</v>
      </c>
      <c r="P367" s="45" t="n">
        <f aca="false">ABS(M367-N367)</f>
        <v>13.1599999999999</v>
      </c>
      <c r="Q367" s="45" t="n">
        <f aca="false">IF(O367="","",ABS(O367-M367))</f>
        <v>29.75</v>
      </c>
      <c r="R367" s="31" t="n">
        <f aca="false">P367*L367*Summary!$C$6</f>
        <v>52.6399999999994</v>
      </c>
      <c r="S367" s="32" t="n">
        <v>14915.4</v>
      </c>
      <c r="T367" s="29" t="s">
        <v>249</v>
      </c>
      <c r="U367" s="45" t="n">
        <f aca="false">IF(J367="BUY",S367-M367,M367-S367)</f>
        <v>-13.2999999999993</v>
      </c>
      <c r="V367" s="46" t="n">
        <v>0</v>
      </c>
      <c r="W367" s="46" t="n">
        <v>0</v>
      </c>
      <c r="X367" s="46" t="n">
        <v>-53.2</v>
      </c>
      <c r="Y367" s="33" t="n">
        <f aca="false">IFERROR(X367/R367,0)</f>
        <v>-1.01063829787235</v>
      </c>
      <c r="Z367" s="29" t="str">
        <f aca="false">IF(X367&gt;0,"Win",IF(X367&lt;0,"Loss","Flat"))</f>
        <v>Loss</v>
      </c>
      <c r="AA367" s="29" t="n">
        <f aca="false">ROUND((C367-B367)*1440,1)</f>
        <v>3.2</v>
      </c>
      <c r="AB367" s="29" t="str">
        <f aca="false">IF(AA367&lt;1,"a) &lt;1 min",IF(AA367&lt;10,"b) 1-10 min",IF(AA367&lt;60,"c) 10-60 min",IF(AA367&lt;240,"d) 1-4 h","e) 4 h+"))))</f>
        <v>b) 1-10 min</v>
      </c>
      <c r="AC367" s="29" t="str">
        <f aca="false">IF(P367&lt;10,"a) &lt;10",IF(P367&lt;20,"b) 10-20",IF(P367&lt;40,"c) 20-40",IF(P367&lt;80,"d) 40-80","e) 80+"))))</f>
        <v>b) 10-20</v>
      </c>
      <c r="AD367" s="31" t="n">
        <f aca="false">Summary!$C$5+SUM(X$2:X367)</f>
        <v>13399.8</v>
      </c>
      <c r="AE367" s="31" t="n">
        <f aca="false">MAX(AE366,AD367)</f>
        <v>13805.92</v>
      </c>
      <c r="AF367" s="31" t="n">
        <f aca="false">AE367-AD367</f>
        <v>406.120000000001</v>
      </c>
      <c r="AG367" s="30" t="n">
        <f aca="false">IFERROR(AF367/AE367,0)</f>
        <v>0.0294163663124226</v>
      </c>
    </row>
    <row r="368" customFormat="false" ht="15" hidden="false" customHeight="false" outlineLevel="0" collapsed="false">
      <c r="A368" s="29" t="n">
        <v>367</v>
      </c>
      <c r="B368" s="44" t="n">
        <v>45163.0930555556</v>
      </c>
      <c r="C368" s="44" t="n">
        <v>45163.0937615741</v>
      </c>
      <c r="D368" s="43" t="n">
        <f aca="false">INT(C368)</f>
        <v>45163</v>
      </c>
      <c r="E368" s="43" t="n">
        <f aca="false">D368-WEEKDAY(D368,3)</f>
        <v>45159</v>
      </c>
      <c r="F368" s="29" t="s">
        <v>160</v>
      </c>
      <c r="G368" s="29" t="n">
        <v>2023</v>
      </c>
      <c r="H368" s="29" t="s">
        <v>254</v>
      </c>
      <c r="I368" s="29" t="n">
        <v>2</v>
      </c>
      <c r="J368" s="29" t="s">
        <v>250</v>
      </c>
      <c r="K368" s="29" t="s">
        <v>251</v>
      </c>
      <c r="L368" s="29" t="n">
        <v>0.04</v>
      </c>
      <c r="M368" s="32" t="n">
        <v>14791.31</v>
      </c>
      <c r="N368" s="32" t="n">
        <v>14797.82</v>
      </c>
      <c r="O368" s="32" t="n">
        <v>14774.61</v>
      </c>
      <c r="P368" s="45" t="n">
        <f aca="false">ABS(M368-N368)</f>
        <v>6.51000000000022</v>
      </c>
      <c r="Q368" s="45" t="n">
        <f aca="false">IF(O368="","",ABS(O368-M368))</f>
        <v>16.6999999999989</v>
      </c>
      <c r="R368" s="31" t="n">
        <f aca="false">P368*L368*Summary!$C$6</f>
        <v>26.0400000000009</v>
      </c>
      <c r="S368" s="32" t="n">
        <v>14797.82</v>
      </c>
      <c r="T368" s="29" t="s">
        <v>249</v>
      </c>
      <c r="U368" s="45" t="n">
        <f aca="false">IF(J368="BUY",S368-M368,M368-S368)</f>
        <v>-6.51000000000022</v>
      </c>
      <c r="V368" s="46" t="n">
        <v>0</v>
      </c>
      <c r="W368" s="46" t="n">
        <v>0</v>
      </c>
      <c r="X368" s="46" t="n">
        <v>-26.04</v>
      </c>
      <c r="Y368" s="33" t="n">
        <f aca="false">IFERROR(X368/R368,0)</f>
        <v>-0.999999999999967</v>
      </c>
      <c r="Z368" s="29" t="str">
        <f aca="false">IF(X368&gt;0,"Win",IF(X368&lt;0,"Loss","Flat"))</f>
        <v>Loss</v>
      </c>
      <c r="AA368" s="29" t="n">
        <f aca="false">ROUND((C368-B368)*1440,1)</f>
        <v>1</v>
      </c>
      <c r="AB368" s="29" t="str">
        <f aca="false">IF(AA368&lt;1,"a) &lt;1 min",IF(AA368&lt;10,"b) 1-10 min",IF(AA368&lt;60,"c) 10-60 min",IF(AA368&lt;240,"d) 1-4 h","e) 4 h+"))))</f>
        <v>b) 1-10 min</v>
      </c>
      <c r="AC368" s="29" t="str">
        <f aca="false">IF(P368&lt;10,"a) &lt;10",IF(P368&lt;20,"b) 10-20",IF(P368&lt;40,"c) 20-40",IF(P368&lt;80,"d) 40-80","e) 80+"))))</f>
        <v>a) &lt;10</v>
      </c>
      <c r="AD368" s="31" t="n">
        <f aca="false">Summary!$C$5+SUM(X$2:X368)</f>
        <v>13373.76</v>
      </c>
      <c r="AE368" s="31" t="n">
        <f aca="false">MAX(AE367,AD368)</f>
        <v>13805.92</v>
      </c>
      <c r="AF368" s="31" t="n">
        <f aca="false">AE368-AD368</f>
        <v>432.16</v>
      </c>
      <c r="AG368" s="30" t="n">
        <f aca="false">IFERROR(AF368/AE368,0)</f>
        <v>0.031302513704266</v>
      </c>
    </row>
    <row r="369" customFormat="false" ht="15" hidden="false" customHeight="false" outlineLevel="0" collapsed="false">
      <c r="A369" s="29" t="n">
        <v>368</v>
      </c>
      <c r="B369" s="44" t="n">
        <v>45166.6430555556</v>
      </c>
      <c r="C369" s="44" t="n">
        <v>45166.6482986111</v>
      </c>
      <c r="D369" s="43" t="n">
        <f aca="false">INT(C369)</f>
        <v>45166</v>
      </c>
      <c r="E369" s="43" t="n">
        <f aca="false">D369-WEEKDAY(D369,3)</f>
        <v>45166</v>
      </c>
      <c r="F369" s="29" t="s">
        <v>160</v>
      </c>
      <c r="G369" s="29" t="n">
        <v>2023</v>
      </c>
      <c r="H369" s="29" t="s">
        <v>245</v>
      </c>
      <c r="I369" s="29" t="n">
        <v>15</v>
      </c>
      <c r="J369" s="29" t="s">
        <v>246</v>
      </c>
      <c r="K369" s="29" t="s">
        <v>247</v>
      </c>
      <c r="L369" s="29" t="n">
        <v>0.04</v>
      </c>
      <c r="M369" s="32" t="n">
        <v>15012.9</v>
      </c>
      <c r="N369" s="32" t="n">
        <v>15007.35</v>
      </c>
      <c r="O369" s="32" t="n">
        <v>15025.84</v>
      </c>
      <c r="P369" s="45" t="n">
        <f aca="false">ABS(M369-N369)</f>
        <v>5.54999999999927</v>
      </c>
      <c r="Q369" s="45" t="n">
        <f aca="false">IF(O369="","",ABS(O369-M369))</f>
        <v>12.9400000000005</v>
      </c>
      <c r="R369" s="31" t="n">
        <f aca="false">P369*L369*Summary!$C$6</f>
        <v>22.1999999999971</v>
      </c>
      <c r="S369" s="32" t="n">
        <v>15027.61</v>
      </c>
      <c r="T369" s="29" t="s">
        <v>227</v>
      </c>
      <c r="U369" s="45" t="n">
        <f aca="false">IF(J369="BUY",S369-M369,M369-S369)</f>
        <v>14.7100000000009</v>
      </c>
      <c r="V369" s="46" t="n">
        <v>0</v>
      </c>
      <c r="W369" s="46" t="n">
        <v>0</v>
      </c>
      <c r="X369" s="46" t="n">
        <v>58.84</v>
      </c>
      <c r="Y369" s="33" t="n">
        <f aca="false">IFERROR(X369/R369,0)</f>
        <v>2.6504504504508</v>
      </c>
      <c r="Z369" s="29" t="str">
        <f aca="false">IF(X369&gt;0,"Win",IF(X369&lt;0,"Loss","Flat"))</f>
        <v>Win</v>
      </c>
      <c r="AA369" s="29" t="n">
        <f aca="false">ROUND((C369-B369)*1440,1)</f>
        <v>7.6</v>
      </c>
      <c r="AB369" s="29" t="str">
        <f aca="false">IF(AA369&lt;1,"a) &lt;1 min",IF(AA369&lt;10,"b) 1-10 min",IF(AA369&lt;60,"c) 10-60 min",IF(AA369&lt;240,"d) 1-4 h","e) 4 h+"))))</f>
        <v>b) 1-10 min</v>
      </c>
      <c r="AC369" s="29" t="str">
        <f aca="false">IF(P369&lt;10,"a) &lt;10",IF(P369&lt;20,"b) 10-20",IF(P369&lt;40,"c) 20-40",IF(P369&lt;80,"d) 40-80","e) 80+"))))</f>
        <v>a) &lt;10</v>
      </c>
      <c r="AD369" s="31" t="n">
        <f aca="false">Summary!$C$5+SUM(X$2:X369)</f>
        <v>13432.6</v>
      </c>
      <c r="AE369" s="31" t="n">
        <f aca="false">MAX(AE368,AD369)</f>
        <v>13805.92</v>
      </c>
      <c r="AF369" s="31" t="n">
        <f aca="false">AE369-AD369</f>
        <v>373.32</v>
      </c>
      <c r="AG369" s="30" t="n">
        <f aca="false">IFERROR(AF369/AE369,0)</f>
        <v>0.0270405738987333</v>
      </c>
    </row>
    <row r="370" customFormat="false" ht="15" hidden="false" customHeight="false" outlineLevel="0" collapsed="false">
      <c r="A370" s="29" t="n">
        <v>369</v>
      </c>
      <c r="B370" s="44" t="n">
        <v>45167.35</v>
      </c>
      <c r="C370" s="44" t="n">
        <v>45167.3547800926</v>
      </c>
      <c r="D370" s="43" t="n">
        <f aca="false">INT(C370)</f>
        <v>45167</v>
      </c>
      <c r="E370" s="43" t="n">
        <f aca="false">D370-WEEKDAY(D370,3)</f>
        <v>45166</v>
      </c>
      <c r="F370" s="29" t="s">
        <v>160</v>
      </c>
      <c r="G370" s="29" t="n">
        <v>2023</v>
      </c>
      <c r="H370" s="29" t="s">
        <v>248</v>
      </c>
      <c r="I370" s="29" t="n">
        <v>8</v>
      </c>
      <c r="J370" s="29" t="s">
        <v>246</v>
      </c>
      <c r="K370" s="29" t="s">
        <v>247</v>
      </c>
      <c r="L370" s="29" t="n">
        <v>0.04</v>
      </c>
      <c r="M370" s="32" t="n">
        <v>15088.58</v>
      </c>
      <c r="N370" s="32" t="n">
        <v>15086</v>
      </c>
      <c r="O370" s="32" t="n">
        <v>15094.89</v>
      </c>
      <c r="P370" s="45" t="n">
        <f aca="false">ABS(M370-N370)</f>
        <v>2.57999999999993</v>
      </c>
      <c r="Q370" s="45" t="n">
        <f aca="false">IF(O370="","",ABS(O370-M370))</f>
        <v>6.30999999999949</v>
      </c>
      <c r="R370" s="31" t="n">
        <f aca="false">P370*L370*Summary!$C$6</f>
        <v>10.3199999999997</v>
      </c>
      <c r="S370" s="32" t="n">
        <v>15085.83</v>
      </c>
      <c r="T370" s="29" t="s">
        <v>249</v>
      </c>
      <c r="U370" s="45" t="n">
        <f aca="false">IF(J370="BUY",S370-M370,M370-S370)</f>
        <v>-2.75</v>
      </c>
      <c r="V370" s="46" t="n">
        <v>0</v>
      </c>
      <c r="W370" s="46" t="n">
        <v>0</v>
      </c>
      <c r="X370" s="46" t="n">
        <v>-11</v>
      </c>
      <c r="Y370" s="33" t="n">
        <f aca="false">IFERROR(X370/R370,0)</f>
        <v>-1.06589147286825</v>
      </c>
      <c r="Z370" s="29" t="str">
        <f aca="false">IF(X370&gt;0,"Win",IF(X370&lt;0,"Loss","Flat"))</f>
        <v>Loss</v>
      </c>
      <c r="AA370" s="29" t="n">
        <f aca="false">ROUND((C370-B370)*1440,1)</f>
        <v>6.9</v>
      </c>
      <c r="AB370" s="29" t="str">
        <f aca="false">IF(AA370&lt;1,"a) &lt;1 min",IF(AA370&lt;10,"b) 1-10 min",IF(AA370&lt;60,"c) 10-60 min",IF(AA370&lt;240,"d) 1-4 h","e) 4 h+"))))</f>
        <v>b) 1-10 min</v>
      </c>
      <c r="AC370" s="29" t="str">
        <f aca="false">IF(P370&lt;10,"a) &lt;10",IF(P370&lt;20,"b) 10-20",IF(P370&lt;40,"c) 20-40",IF(P370&lt;80,"d) 40-80","e) 80+"))))</f>
        <v>a) &lt;10</v>
      </c>
      <c r="AD370" s="31" t="n">
        <f aca="false">Summary!$C$5+SUM(X$2:X370)</f>
        <v>13421.6</v>
      </c>
      <c r="AE370" s="31" t="n">
        <f aca="false">MAX(AE369,AD370)</f>
        <v>13805.92</v>
      </c>
      <c r="AF370" s="31" t="n">
        <f aca="false">AE370-AD370</f>
        <v>384.32</v>
      </c>
      <c r="AG370" s="30" t="n">
        <f aca="false">IFERROR(AF370/AE370,0)</f>
        <v>0.0278373335496656</v>
      </c>
    </row>
    <row r="371" customFormat="false" ht="15" hidden="false" customHeight="false" outlineLevel="0" collapsed="false">
      <c r="A371" s="29" t="n">
        <v>370</v>
      </c>
      <c r="B371" s="44" t="n">
        <v>45168.0444560185</v>
      </c>
      <c r="C371" s="44" t="n">
        <v>45168.0491087963</v>
      </c>
      <c r="D371" s="43" t="n">
        <f aca="false">INT(C371)</f>
        <v>45168</v>
      </c>
      <c r="E371" s="43" t="n">
        <f aca="false">D371-WEEKDAY(D371,3)</f>
        <v>45166</v>
      </c>
      <c r="F371" s="29" t="s">
        <v>160</v>
      </c>
      <c r="G371" s="29" t="n">
        <v>2023</v>
      </c>
      <c r="H371" s="29" t="s">
        <v>252</v>
      </c>
      <c r="I371" s="29" t="n">
        <v>1</v>
      </c>
      <c r="J371" s="29" t="s">
        <v>246</v>
      </c>
      <c r="K371" s="29" t="s">
        <v>247</v>
      </c>
      <c r="L371" s="29" t="n">
        <v>0.04</v>
      </c>
      <c r="M371" s="32" t="n">
        <v>15396.07</v>
      </c>
      <c r="N371" s="32" t="n">
        <v>15391.24</v>
      </c>
      <c r="O371" s="32" t="n">
        <v>15407.9</v>
      </c>
      <c r="P371" s="45" t="n">
        <f aca="false">ABS(M371-N371)</f>
        <v>4.82999999999993</v>
      </c>
      <c r="Q371" s="45" t="n">
        <f aca="false">IF(O371="","",ABS(O371-M371))</f>
        <v>11.8299999999999</v>
      </c>
      <c r="R371" s="31" t="n">
        <f aca="false">P371*L371*Summary!$C$6</f>
        <v>19.3199999999997</v>
      </c>
      <c r="S371" s="32" t="n">
        <v>15395.96</v>
      </c>
      <c r="T371" s="29" t="s">
        <v>255</v>
      </c>
      <c r="U371" s="45" t="n">
        <f aca="false">IF(J371="BUY",S371-M371,M371-S371)</f>
        <v>-0.110000000000582</v>
      </c>
      <c r="V371" s="46" t="n">
        <v>0</v>
      </c>
      <c r="W371" s="46" t="n">
        <v>0</v>
      </c>
      <c r="X371" s="46" t="n">
        <v>-0.44</v>
      </c>
      <c r="Y371" s="33" t="n">
        <f aca="false">IFERROR(X371/R371,0)</f>
        <v>-0.0227743271221536</v>
      </c>
      <c r="Z371" s="29" t="str">
        <f aca="false">IF(X371&gt;0,"Win",IF(X371&lt;0,"Loss","Flat"))</f>
        <v>Loss</v>
      </c>
      <c r="AA371" s="29" t="n">
        <f aca="false">ROUND((C371-B371)*1440,1)</f>
        <v>6.7</v>
      </c>
      <c r="AB371" s="29" t="str">
        <f aca="false">IF(AA371&lt;1,"a) &lt;1 min",IF(AA371&lt;10,"b) 1-10 min",IF(AA371&lt;60,"c) 10-60 min",IF(AA371&lt;240,"d) 1-4 h","e) 4 h+"))))</f>
        <v>b) 1-10 min</v>
      </c>
      <c r="AC371" s="29" t="str">
        <f aca="false">IF(P371&lt;10,"a) &lt;10",IF(P371&lt;20,"b) 10-20",IF(P371&lt;40,"c) 20-40",IF(P371&lt;80,"d) 40-80","e) 80+"))))</f>
        <v>a) &lt;10</v>
      </c>
      <c r="AD371" s="31" t="n">
        <f aca="false">Summary!$C$5+SUM(X$2:X371)</f>
        <v>13421.16</v>
      </c>
      <c r="AE371" s="31" t="n">
        <f aca="false">MAX(AE370,AD371)</f>
        <v>13805.92</v>
      </c>
      <c r="AF371" s="31" t="n">
        <f aca="false">AE371-AD371</f>
        <v>384.76</v>
      </c>
      <c r="AG371" s="30" t="n">
        <f aca="false">IFERROR(AF371/AE371,0)</f>
        <v>0.027869203935703</v>
      </c>
    </row>
    <row r="372" customFormat="false" ht="15" hidden="false" customHeight="false" outlineLevel="0" collapsed="false">
      <c r="A372" s="29" t="n">
        <v>371</v>
      </c>
      <c r="B372" s="44" t="n">
        <v>45169.225</v>
      </c>
      <c r="C372" s="44" t="n">
        <v>45169.2274768519</v>
      </c>
      <c r="D372" s="43" t="n">
        <f aca="false">INT(C372)</f>
        <v>45169</v>
      </c>
      <c r="E372" s="43" t="n">
        <f aca="false">D372-WEEKDAY(D372,3)</f>
        <v>45166</v>
      </c>
      <c r="F372" s="29" t="s">
        <v>160</v>
      </c>
      <c r="G372" s="29" t="n">
        <v>2023</v>
      </c>
      <c r="H372" s="29" t="s">
        <v>253</v>
      </c>
      <c r="I372" s="29" t="n">
        <v>5</v>
      </c>
      <c r="J372" s="29" t="s">
        <v>246</v>
      </c>
      <c r="K372" s="29" t="s">
        <v>247</v>
      </c>
      <c r="L372" s="29" t="n">
        <v>0.04</v>
      </c>
      <c r="M372" s="32" t="n">
        <v>15486.4</v>
      </c>
      <c r="N372" s="32" t="n">
        <v>15481.67</v>
      </c>
      <c r="O372" s="32" t="n">
        <v>15498.32</v>
      </c>
      <c r="P372" s="45" t="n">
        <f aca="false">ABS(M372-N372)</f>
        <v>4.72999999999956</v>
      </c>
      <c r="Q372" s="45" t="n">
        <f aca="false">IF(O372="","",ABS(O372-M372))</f>
        <v>11.9200000000001</v>
      </c>
      <c r="R372" s="31" t="n">
        <f aca="false">P372*L372*Summary!$C$6</f>
        <v>18.9199999999983</v>
      </c>
      <c r="S372" s="32" t="n">
        <v>15481.66</v>
      </c>
      <c r="T372" s="29" t="s">
        <v>249</v>
      </c>
      <c r="U372" s="45" t="n">
        <f aca="false">IF(J372="BUY",S372-M372,M372-S372)</f>
        <v>-4.73999999999978</v>
      </c>
      <c r="V372" s="46" t="n">
        <v>0</v>
      </c>
      <c r="W372" s="46" t="n">
        <v>0</v>
      </c>
      <c r="X372" s="46" t="n">
        <v>-18.96</v>
      </c>
      <c r="Y372" s="33" t="n">
        <f aca="false">IFERROR(X372/R372,0)</f>
        <v>-1.00211416490496</v>
      </c>
      <c r="Z372" s="29" t="str">
        <f aca="false">IF(X372&gt;0,"Win",IF(X372&lt;0,"Loss","Flat"))</f>
        <v>Loss</v>
      </c>
      <c r="AA372" s="29" t="n">
        <f aca="false">ROUND((C372-B372)*1440,1)</f>
        <v>3.6</v>
      </c>
      <c r="AB372" s="29" t="str">
        <f aca="false">IF(AA372&lt;1,"a) &lt;1 min",IF(AA372&lt;10,"b) 1-10 min",IF(AA372&lt;60,"c) 10-60 min",IF(AA372&lt;240,"d) 1-4 h","e) 4 h+"))))</f>
        <v>b) 1-10 min</v>
      </c>
      <c r="AC372" s="29" t="str">
        <f aca="false">IF(P372&lt;10,"a) &lt;10",IF(P372&lt;20,"b) 10-20",IF(P372&lt;40,"c) 20-40",IF(P372&lt;80,"d) 40-80","e) 80+"))))</f>
        <v>a) &lt;10</v>
      </c>
      <c r="AD372" s="31" t="n">
        <f aca="false">Summary!$C$5+SUM(X$2:X372)</f>
        <v>13402.2</v>
      </c>
      <c r="AE372" s="31" t="n">
        <f aca="false">MAX(AE371,AD372)</f>
        <v>13805.92</v>
      </c>
      <c r="AF372" s="31" t="n">
        <f aca="false">AE372-AD372</f>
        <v>403.719999999999</v>
      </c>
      <c r="AG372" s="30" t="n">
        <f aca="false">IFERROR(AF372/AE372,0)</f>
        <v>0.0292425278431281</v>
      </c>
    </row>
    <row r="373" customFormat="false" ht="15" hidden="false" customHeight="false" outlineLevel="0" collapsed="false">
      <c r="A373" s="29" t="n">
        <v>372</v>
      </c>
      <c r="B373" s="44" t="n">
        <v>45170.6465277778</v>
      </c>
      <c r="C373" s="44" t="n">
        <v>45170.6479861111</v>
      </c>
      <c r="D373" s="43" t="n">
        <f aca="false">INT(C373)</f>
        <v>45170</v>
      </c>
      <c r="E373" s="43" t="n">
        <f aca="false">D373-WEEKDAY(D373,3)</f>
        <v>45166</v>
      </c>
      <c r="F373" s="29" t="s">
        <v>161</v>
      </c>
      <c r="G373" s="29" t="n">
        <v>2023</v>
      </c>
      <c r="H373" s="29" t="s">
        <v>254</v>
      </c>
      <c r="I373" s="29" t="n">
        <v>15</v>
      </c>
      <c r="J373" s="29" t="s">
        <v>246</v>
      </c>
      <c r="K373" s="29" t="s">
        <v>247</v>
      </c>
      <c r="L373" s="29" t="n">
        <v>0.04</v>
      </c>
      <c r="M373" s="32" t="n">
        <v>15581.21</v>
      </c>
      <c r="N373" s="32" t="n">
        <v>15564.39</v>
      </c>
      <c r="O373" s="32" t="n">
        <v>15622.1</v>
      </c>
      <c r="P373" s="45" t="n">
        <f aca="false">ABS(M373-N373)</f>
        <v>16.8199999999997</v>
      </c>
      <c r="Q373" s="45" t="n">
        <f aca="false">IF(O373="","",ABS(O373-M373))</f>
        <v>40.8900000000012</v>
      </c>
      <c r="R373" s="31" t="n">
        <f aca="false">P373*L373*Summary!$C$6</f>
        <v>67.2799999999988</v>
      </c>
      <c r="S373" s="32" t="n">
        <v>15563.59</v>
      </c>
      <c r="T373" s="29" t="s">
        <v>249</v>
      </c>
      <c r="U373" s="45" t="n">
        <f aca="false">IF(J373="BUY",S373-M373,M373-S373)</f>
        <v>-17.619999999999</v>
      </c>
      <c r="V373" s="46" t="n">
        <v>0</v>
      </c>
      <c r="W373" s="46" t="n">
        <v>0</v>
      </c>
      <c r="X373" s="46" t="n">
        <v>-70.48</v>
      </c>
      <c r="Y373" s="33" t="n">
        <f aca="false">IFERROR(X373/R373,0)</f>
        <v>-1.04756242568373</v>
      </c>
      <c r="Z373" s="29" t="str">
        <f aca="false">IF(X373&gt;0,"Win",IF(X373&lt;0,"Loss","Flat"))</f>
        <v>Loss</v>
      </c>
      <c r="AA373" s="29" t="n">
        <f aca="false">ROUND((C373-B373)*1440,1)</f>
        <v>2.1</v>
      </c>
      <c r="AB373" s="29" t="str">
        <f aca="false">IF(AA373&lt;1,"a) &lt;1 min",IF(AA373&lt;10,"b) 1-10 min",IF(AA373&lt;60,"c) 10-60 min",IF(AA373&lt;240,"d) 1-4 h","e) 4 h+"))))</f>
        <v>b) 1-10 min</v>
      </c>
      <c r="AC373" s="29" t="str">
        <f aca="false">IF(P373&lt;10,"a) &lt;10",IF(P373&lt;20,"b) 10-20",IF(P373&lt;40,"c) 20-40",IF(P373&lt;80,"d) 40-80","e) 80+"))))</f>
        <v>b) 10-20</v>
      </c>
      <c r="AD373" s="31" t="n">
        <f aca="false">Summary!$C$5+SUM(X$2:X373)</f>
        <v>13331.72</v>
      </c>
      <c r="AE373" s="31" t="n">
        <f aca="false">MAX(AE372,AD373)</f>
        <v>13805.92</v>
      </c>
      <c r="AF373" s="31" t="n">
        <f aca="false">AE373-AD373</f>
        <v>474.200000000001</v>
      </c>
      <c r="AG373" s="30" t="n">
        <f aca="false">IFERROR(AF373/AE373,0)</f>
        <v>0.0343475842247384</v>
      </c>
    </row>
    <row r="374" customFormat="false" ht="15" hidden="false" customHeight="false" outlineLevel="0" collapsed="false">
      <c r="A374" s="29" t="n">
        <v>373</v>
      </c>
      <c r="B374" s="44" t="n">
        <v>45174.1423611111</v>
      </c>
      <c r="C374" s="44" t="n">
        <v>45174.1470717593</v>
      </c>
      <c r="D374" s="43" t="n">
        <f aca="false">INT(C374)</f>
        <v>45174</v>
      </c>
      <c r="E374" s="43" t="n">
        <f aca="false">D374-WEEKDAY(D374,3)</f>
        <v>45173</v>
      </c>
      <c r="F374" s="29" t="s">
        <v>161</v>
      </c>
      <c r="G374" s="29" t="n">
        <v>2023</v>
      </c>
      <c r="H374" s="29" t="s">
        <v>248</v>
      </c>
      <c r="I374" s="29" t="n">
        <v>3</v>
      </c>
      <c r="J374" s="29" t="s">
        <v>250</v>
      </c>
      <c r="K374" s="29" t="s">
        <v>251</v>
      </c>
      <c r="L374" s="29" t="n">
        <v>0.04</v>
      </c>
      <c r="M374" s="32" t="n">
        <v>15469.14</v>
      </c>
      <c r="N374" s="32" t="n">
        <v>15473.34</v>
      </c>
      <c r="O374" s="32" t="n">
        <v>15459.2</v>
      </c>
      <c r="P374" s="45" t="n">
        <f aca="false">ABS(M374-N374)</f>
        <v>4.20000000000073</v>
      </c>
      <c r="Q374" s="45" t="n">
        <f aca="false">IF(O374="","",ABS(O374-M374))</f>
        <v>9.93999999999869</v>
      </c>
      <c r="R374" s="31" t="n">
        <f aca="false">P374*L374*Summary!$C$6</f>
        <v>16.8000000000029</v>
      </c>
      <c r="S374" s="32" t="n">
        <v>15473.55</v>
      </c>
      <c r="T374" s="29" t="s">
        <v>249</v>
      </c>
      <c r="U374" s="45" t="n">
        <f aca="false">IF(J374="BUY",S374-M374,M374-S374)</f>
        <v>-4.40999999999985</v>
      </c>
      <c r="V374" s="46" t="n">
        <v>0</v>
      </c>
      <c r="W374" s="46" t="n">
        <v>0</v>
      </c>
      <c r="X374" s="46" t="n">
        <v>-17.64</v>
      </c>
      <c r="Y374" s="33" t="n">
        <f aca="false">IFERROR(X374/R374,0)</f>
        <v>-1.04999999999982</v>
      </c>
      <c r="Z374" s="29" t="str">
        <f aca="false">IF(X374&gt;0,"Win",IF(X374&lt;0,"Loss","Flat"))</f>
        <v>Loss</v>
      </c>
      <c r="AA374" s="29" t="n">
        <f aca="false">ROUND((C374-B374)*1440,1)</f>
        <v>6.8</v>
      </c>
      <c r="AB374" s="29" t="str">
        <f aca="false">IF(AA374&lt;1,"a) &lt;1 min",IF(AA374&lt;10,"b) 1-10 min",IF(AA374&lt;60,"c) 10-60 min",IF(AA374&lt;240,"d) 1-4 h","e) 4 h+"))))</f>
        <v>b) 1-10 min</v>
      </c>
      <c r="AC374" s="29" t="str">
        <f aca="false">IF(P374&lt;10,"a) &lt;10",IF(P374&lt;20,"b) 10-20",IF(P374&lt;40,"c) 20-40",IF(P374&lt;80,"d) 40-80","e) 80+"))))</f>
        <v>a) &lt;10</v>
      </c>
      <c r="AD374" s="31" t="n">
        <f aca="false">Summary!$C$5+SUM(X$2:X374)</f>
        <v>13314.08</v>
      </c>
      <c r="AE374" s="31" t="n">
        <f aca="false">MAX(AE373,AD374)</f>
        <v>13805.92</v>
      </c>
      <c r="AF374" s="31" t="n">
        <f aca="false">AE374-AD374</f>
        <v>491.84</v>
      </c>
      <c r="AG374" s="30" t="n">
        <f aca="false">IFERROR(AF374/AE374,0)</f>
        <v>0.0356252969740517</v>
      </c>
    </row>
    <row r="375" customFormat="false" ht="15" hidden="false" customHeight="false" outlineLevel="0" collapsed="false">
      <c r="A375" s="29" t="n">
        <v>374</v>
      </c>
      <c r="B375" s="44" t="n">
        <v>45174.9118055556</v>
      </c>
      <c r="C375" s="44" t="n">
        <v>45174.9123611111</v>
      </c>
      <c r="D375" s="43" t="n">
        <f aca="false">INT(C375)</f>
        <v>45174</v>
      </c>
      <c r="E375" s="43" t="n">
        <f aca="false">D375-WEEKDAY(D375,3)</f>
        <v>45173</v>
      </c>
      <c r="F375" s="29" t="s">
        <v>161</v>
      </c>
      <c r="G375" s="29" t="n">
        <v>2023</v>
      </c>
      <c r="H375" s="29" t="s">
        <v>248</v>
      </c>
      <c r="I375" s="29" t="n">
        <v>21</v>
      </c>
      <c r="J375" s="29" t="s">
        <v>246</v>
      </c>
      <c r="K375" s="29" t="s">
        <v>247</v>
      </c>
      <c r="L375" s="29" t="n">
        <v>0.04</v>
      </c>
      <c r="M375" s="32" t="n">
        <v>15552.6</v>
      </c>
      <c r="N375" s="32" t="n">
        <v>15547.73</v>
      </c>
      <c r="O375" s="32" t="n">
        <v>15564.33</v>
      </c>
      <c r="P375" s="45" t="n">
        <f aca="false">ABS(M375-N375)</f>
        <v>4.8700000000008</v>
      </c>
      <c r="Q375" s="45" t="n">
        <f aca="false">IF(O375="","",ABS(O375-M375))</f>
        <v>11.7299999999996</v>
      </c>
      <c r="R375" s="31" t="n">
        <f aca="false">P375*L375*Summary!$C$6</f>
        <v>19.4800000000032</v>
      </c>
      <c r="S375" s="32" t="n">
        <v>15547.35</v>
      </c>
      <c r="T375" s="29" t="s">
        <v>249</v>
      </c>
      <c r="U375" s="45" t="n">
        <f aca="false">IF(J375="BUY",S375-M375,M375-S375)</f>
        <v>-5.25</v>
      </c>
      <c r="V375" s="46" t="n">
        <v>0</v>
      </c>
      <c r="W375" s="46" t="n">
        <v>0</v>
      </c>
      <c r="X375" s="46" t="n">
        <v>-21</v>
      </c>
      <c r="Y375" s="33" t="n">
        <f aca="false">IFERROR(X375/R375,0)</f>
        <v>-1.07802874743309</v>
      </c>
      <c r="Z375" s="29" t="str">
        <f aca="false">IF(X375&gt;0,"Win",IF(X375&lt;0,"Loss","Flat"))</f>
        <v>Loss</v>
      </c>
      <c r="AA375" s="29" t="n">
        <f aca="false">ROUND((C375-B375)*1440,1)</f>
        <v>0.8</v>
      </c>
      <c r="AB375" s="29" t="str">
        <f aca="false">IF(AA375&lt;1,"a) &lt;1 min",IF(AA375&lt;10,"b) 1-10 min",IF(AA375&lt;60,"c) 10-60 min",IF(AA375&lt;240,"d) 1-4 h","e) 4 h+"))))</f>
        <v>a) &lt;1 min</v>
      </c>
      <c r="AC375" s="29" t="str">
        <f aca="false">IF(P375&lt;10,"a) &lt;10",IF(P375&lt;20,"b) 10-20",IF(P375&lt;40,"c) 20-40",IF(P375&lt;80,"d) 40-80","e) 80+"))))</f>
        <v>a) &lt;10</v>
      </c>
      <c r="AD375" s="31" t="n">
        <f aca="false">Summary!$C$5+SUM(X$2:X375)</f>
        <v>13293.08</v>
      </c>
      <c r="AE375" s="31" t="n">
        <f aca="false">MAX(AE374,AD375)</f>
        <v>13805.92</v>
      </c>
      <c r="AF375" s="31" t="n">
        <f aca="false">AE375-AD375</f>
        <v>512.84</v>
      </c>
      <c r="AG375" s="30" t="n">
        <f aca="false">IFERROR(AF375/AE375,0)</f>
        <v>0.0371463835803771</v>
      </c>
    </row>
    <row r="376" customFormat="false" ht="15" hidden="false" customHeight="false" outlineLevel="0" collapsed="false">
      <c r="A376" s="29" t="n">
        <v>375</v>
      </c>
      <c r="B376" s="44" t="n">
        <v>45175.7118055556</v>
      </c>
      <c r="C376" s="44" t="n">
        <v>45175.7199537037</v>
      </c>
      <c r="D376" s="43" t="n">
        <f aca="false">INT(C376)</f>
        <v>45175</v>
      </c>
      <c r="E376" s="43" t="n">
        <f aca="false">D376-WEEKDAY(D376,3)</f>
        <v>45173</v>
      </c>
      <c r="F376" s="29" t="s">
        <v>161</v>
      </c>
      <c r="G376" s="29" t="n">
        <v>2023</v>
      </c>
      <c r="H376" s="29" t="s">
        <v>252</v>
      </c>
      <c r="I376" s="29" t="n">
        <v>17</v>
      </c>
      <c r="J376" s="29" t="s">
        <v>250</v>
      </c>
      <c r="K376" s="29" t="s">
        <v>251</v>
      </c>
      <c r="L376" s="29" t="n">
        <v>0.04</v>
      </c>
      <c r="M376" s="32" t="n">
        <v>15388.1</v>
      </c>
      <c r="N376" s="32" t="n">
        <v>15411.23</v>
      </c>
      <c r="O376" s="32" t="n">
        <v>15331.5</v>
      </c>
      <c r="P376" s="45" t="n">
        <f aca="false">ABS(M376-N376)</f>
        <v>23.1299999999992</v>
      </c>
      <c r="Q376" s="45" t="n">
        <f aca="false">IF(O376="","",ABS(O376-M376))</f>
        <v>56.6000000000004</v>
      </c>
      <c r="R376" s="31" t="n">
        <f aca="false">P376*L376*Summary!$C$6</f>
        <v>92.5199999999968</v>
      </c>
      <c r="S376" s="32" t="n">
        <v>15388.39</v>
      </c>
      <c r="T376" s="29" t="s">
        <v>255</v>
      </c>
      <c r="U376" s="45" t="n">
        <f aca="false">IF(J376="BUY",S376-M376,M376-S376)</f>
        <v>-0.289999999999054</v>
      </c>
      <c r="V376" s="46" t="n">
        <v>0</v>
      </c>
      <c r="W376" s="46" t="n">
        <v>0</v>
      </c>
      <c r="X376" s="46" t="n">
        <v>-1.16</v>
      </c>
      <c r="Y376" s="33" t="n">
        <f aca="false">IFERROR(X376/R376,0)</f>
        <v>-0.0125378296584527</v>
      </c>
      <c r="Z376" s="29" t="str">
        <f aca="false">IF(X376&gt;0,"Win",IF(X376&lt;0,"Loss","Flat"))</f>
        <v>Loss</v>
      </c>
      <c r="AA376" s="29" t="n">
        <f aca="false">ROUND((C376-B376)*1440,1)</f>
        <v>11.7</v>
      </c>
      <c r="AB376" s="29" t="str">
        <f aca="false">IF(AA376&lt;1,"a) &lt;1 min",IF(AA376&lt;10,"b) 1-10 min",IF(AA376&lt;60,"c) 10-60 min",IF(AA376&lt;240,"d) 1-4 h","e) 4 h+"))))</f>
        <v>c) 10-60 min</v>
      </c>
      <c r="AC376" s="29" t="str">
        <f aca="false">IF(P376&lt;10,"a) &lt;10",IF(P376&lt;20,"b) 10-20",IF(P376&lt;40,"c) 20-40",IF(P376&lt;80,"d) 40-80","e) 80+"))))</f>
        <v>c) 20-40</v>
      </c>
      <c r="AD376" s="31" t="n">
        <f aca="false">Summary!$C$5+SUM(X$2:X376)</f>
        <v>13291.92</v>
      </c>
      <c r="AE376" s="31" t="n">
        <f aca="false">MAX(AE375,AD376)</f>
        <v>13805.92</v>
      </c>
      <c r="AF376" s="31" t="n">
        <f aca="false">AE376-AD376</f>
        <v>514</v>
      </c>
      <c r="AG376" s="30" t="n">
        <f aca="false">IFERROR(AF376/AE376,0)</f>
        <v>0.0372304055072027</v>
      </c>
    </row>
    <row r="377" customFormat="false" ht="15" hidden="false" customHeight="false" outlineLevel="0" collapsed="false">
      <c r="A377" s="29" t="n">
        <v>376</v>
      </c>
      <c r="B377" s="44" t="n">
        <v>45176.4659722222</v>
      </c>
      <c r="C377" s="44" t="n">
        <v>45176.4731828704</v>
      </c>
      <c r="D377" s="43" t="n">
        <f aca="false">INT(C377)</f>
        <v>45176</v>
      </c>
      <c r="E377" s="43" t="n">
        <f aca="false">D377-WEEKDAY(D377,3)</f>
        <v>45173</v>
      </c>
      <c r="F377" s="29" t="s">
        <v>161</v>
      </c>
      <c r="G377" s="29" t="n">
        <v>2023</v>
      </c>
      <c r="H377" s="29" t="s">
        <v>253</v>
      </c>
      <c r="I377" s="29" t="n">
        <v>11</v>
      </c>
      <c r="J377" s="29" t="s">
        <v>250</v>
      </c>
      <c r="K377" s="29" t="s">
        <v>251</v>
      </c>
      <c r="L377" s="29" t="n">
        <v>0.04</v>
      </c>
      <c r="M377" s="32" t="n">
        <v>15281.28</v>
      </c>
      <c r="N377" s="32" t="n">
        <v>15288.82</v>
      </c>
      <c r="O377" s="32" t="n">
        <v>15262.87</v>
      </c>
      <c r="P377" s="45" t="n">
        <f aca="false">ABS(M377-N377)</f>
        <v>7.53999999999905</v>
      </c>
      <c r="Q377" s="45" t="n">
        <f aca="false">IF(O377="","",ABS(O377-M377))</f>
        <v>18.4099999999999</v>
      </c>
      <c r="R377" s="31" t="n">
        <f aca="false">P377*L377*Summary!$C$6</f>
        <v>30.1599999999962</v>
      </c>
      <c r="S377" s="32" t="n">
        <v>15281.29</v>
      </c>
      <c r="T377" s="29" t="s">
        <v>255</v>
      </c>
      <c r="U377" s="45" t="n">
        <f aca="false">IF(J377="BUY",S377-M377,M377-S377)</f>
        <v>-0.0100000000002183</v>
      </c>
      <c r="V377" s="46" t="n">
        <v>0</v>
      </c>
      <c r="W377" s="46" t="n">
        <v>0</v>
      </c>
      <c r="X377" s="46" t="n">
        <v>-0.04</v>
      </c>
      <c r="Y377" s="33" t="n">
        <f aca="false">IFERROR(X377/R377,0)</f>
        <v>-0.00132625994694977</v>
      </c>
      <c r="Z377" s="29" t="str">
        <f aca="false">IF(X377&gt;0,"Win",IF(X377&lt;0,"Loss","Flat"))</f>
        <v>Loss</v>
      </c>
      <c r="AA377" s="29" t="n">
        <f aca="false">ROUND((C377-B377)*1440,1)</f>
        <v>10.4</v>
      </c>
      <c r="AB377" s="29" t="str">
        <f aca="false">IF(AA377&lt;1,"a) &lt;1 min",IF(AA377&lt;10,"b) 1-10 min",IF(AA377&lt;60,"c) 10-60 min",IF(AA377&lt;240,"d) 1-4 h","e) 4 h+"))))</f>
        <v>c) 10-60 min</v>
      </c>
      <c r="AC377" s="29" t="str">
        <f aca="false">IF(P377&lt;10,"a) &lt;10",IF(P377&lt;20,"b) 10-20",IF(P377&lt;40,"c) 20-40",IF(P377&lt;80,"d) 40-80","e) 80+"))))</f>
        <v>a) &lt;10</v>
      </c>
      <c r="AD377" s="31" t="n">
        <f aca="false">Summary!$C$5+SUM(X$2:X377)</f>
        <v>13291.88</v>
      </c>
      <c r="AE377" s="31" t="n">
        <f aca="false">MAX(AE376,AD377)</f>
        <v>13805.92</v>
      </c>
      <c r="AF377" s="31" t="n">
        <f aca="false">AE377-AD377</f>
        <v>514.039999999999</v>
      </c>
      <c r="AG377" s="30" t="n">
        <f aca="false">IFERROR(AF377/AE377,0)</f>
        <v>0.0372333028150242</v>
      </c>
    </row>
    <row r="378" customFormat="false" ht="15" hidden="false" customHeight="false" outlineLevel="0" collapsed="false">
      <c r="A378" s="29" t="n">
        <v>377</v>
      </c>
      <c r="B378" s="44" t="n">
        <v>45180.4340277778</v>
      </c>
      <c r="C378" s="44" t="n">
        <v>45180.4481481482</v>
      </c>
      <c r="D378" s="43" t="n">
        <f aca="false">INT(C378)</f>
        <v>45180</v>
      </c>
      <c r="E378" s="43" t="n">
        <f aca="false">D378-WEEKDAY(D378,3)</f>
        <v>45180</v>
      </c>
      <c r="F378" s="29" t="s">
        <v>161</v>
      </c>
      <c r="G378" s="29" t="n">
        <v>2023</v>
      </c>
      <c r="H378" s="29" t="s">
        <v>245</v>
      </c>
      <c r="I378" s="29" t="n">
        <v>10</v>
      </c>
      <c r="J378" s="29" t="s">
        <v>246</v>
      </c>
      <c r="K378" s="29" t="s">
        <v>247</v>
      </c>
      <c r="L378" s="29" t="n">
        <v>0.04</v>
      </c>
      <c r="M378" s="32" t="n">
        <v>15379.18</v>
      </c>
      <c r="N378" s="32" t="n">
        <v>15374.1</v>
      </c>
      <c r="O378" s="32" t="n">
        <v>15392.39</v>
      </c>
      <c r="P378" s="45" t="n">
        <f aca="false">ABS(M378-N378)</f>
        <v>5.07999999999993</v>
      </c>
      <c r="Q378" s="45" t="n">
        <f aca="false">IF(O378="","",ABS(O378-M378))</f>
        <v>13.2099999999991</v>
      </c>
      <c r="R378" s="31" t="n">
        <f aca="false">P378*L378*Summary!$C$6</f>
        <v>20.3199999999997</v>
      </c>
      <c r="S378" s="32" t="n">
        <v>15379.05</v>
      </c>
      <c r="T378" s="29" t="s">
        <v>255</v>
      </c>
      <c r="U378" s="45" t="n">
        <f aca="false">IF(J378="BUY",S378-M378,M378-S378)</f>
        <v>-0.130000000001019</v>
      </c>
      <c r="V378" s="46" t="n">
        <v>0</v>
      </c>
      <c r="W378" s="46" t="n">
        <v>0</v>
      </c>
      <c r="X378" s="46" t="n">
        <v>-0.52</v>
      </c>
      <c r="Y378" s="33" t="n">
        <f aca="false">IFERROR(X378/R378,0)</f>
        <v>-0.0255905511811027</v>
      </c>
      <c r="Z378" s="29" t="str">
        <f aca="false">IF(X378&gt;0,"Win",IF(X378&lt;0,"Loss","Flat"))</f>
        <v>Loss</v>
      </c>
      <c r="AA378" s="29" t="n">
        <f aca="false">ROUND((C378-B378)*1440,1)</f>
        <v>20.3</v>
      </c>
      <c r="AB378" s="29" t="str">
        <f aca="false">IF(AA378&lt;1,"a) &lt;1 min",IF(AA378&lt;10,"b) 1-10 min",IF(AA378&lt;60,"c) 10-60 min",IF(AA378&lt;240,"d) 1-4 h","e) 4 h+"))))</f>
        <v>c) 10-60 min</v>
      </c>
      <c r="AC378" s="29" t="str">
        <f aca="false">IF(P378&lt;10,"a) &lt;10",IF(P378&lt;20,"b) 10-20",IF(P378&lt;40,"c) 20-40",IF(P378&lt;80,"d) 40-80","e) 80+"))))</f>
        <v>a) &lt;10</v>
      </c>
      <c r="AD378" s="31" t="n">
        <f aca="false">Summary!$C$5+SUM(X$2:X378)</f>
        <v>13291.36</v>
      </c>
      <c r="AE378" s="31" t="n">
        <f aca="false">MAX(AE377,AD378)</f>
        <v>13805.92</v>
      </c>
      <c r="AF378" s="31" t="n">
        <f aca="false">AE378-AD378</f>
        <v>514.56</v>
      </c>
      <c r="AG378" s="30" t="n">
        <f aca="false">IFERROR(AF378/AE378,0)</f>
        <v>0.0372709678167047</v>
      </c>
    </row>
    <row r="379" customFormat="false" ht="15" hidden="false" customHeight="false" outlineLevel="0" collapsed="false">
      <c r="A379" s="29" t="n">
        <v>378</v>
      </c>
      <c r="B379" s="44" t="n">
        <v>45181.9277777778</v>
      </c>
      <c r="C379" s="44" t="n">
        <v>45181.9280902778</v>
      </c>
      <c r="D379" s="43" t="n">
        <f aca="false">INT(C379)</f>
        <v>45181</v>
      </c>
      <c r="E379" s="43" t="n">
        <f aca="false">D379-WEEKDAY(D379,3)</f>
        <v>45180</v>
      </c>
      <c r="F379" s="29" t="s">
        <v>161</v>
      </c>
      <c r="G379" s="29" t="n">
        <v>2023</v>
      </c>
      <c r="H379" s="29" t="s">
        <v>248</v>
      </c>
      <c r="I379" s="29" t="n">
        <v>22</v>
      </c>
      <c r="J379" s="29" t="s">
        <v>250</v>
      </c>
      <c r="K379" s="29" t="s">
        <v>251</v>
      </c>
      <c r="L379" s="29" t="n">
        <v>0.04</v>
      </c>
      <c r="M379" s="32" t="n">
        <v>15279.07</v>
      </c>
      <c r="N379" s="32" t="n">
        <v>15285.92</v>
      </c>
      <c r="O379" s="32" t="n">
        <v>15262.43</v>
      </c>
      <c r="P379" s="45" t="n">
        <f aca="false">ABS(M379-N379)</f>
        <v>6.85000000000036</v>
      </c>
      <c r="Q379" s="45" t="n">
        <f aca="false">IF(O379="","",ABS(O379-M379))</f>
        <v>16.6399999999994</v>
      </c>
      <c r="R379" s="31" t="n">
        <f aca="false">P379*L379*Summary!$C$6</f>
        <v>27.4000000000015</v>
      </c>
      <c r="S379" s="32" t="n">
        <v>15287.13</v>
      </c>
      <c r="T379" s="29" t="s">
        <v>249</v>
      </c>
      <c r="U379" s="45" t="n">
        <f aca="false">IF(J379="BUY",S379-M379,M379-S379)</f>
        <v>-8.05999999999949</v>
      </c>
      <c r="V379" s="46" t="n">
        <v>0</v>
      </c>
      <c r="W379" s="46" t="n">
        <v>0</v>
      </c>
      <c r="X379" s="46" t="n">
        <v>-32.24</v>
      </c>
      <c r="Y379" s="33" t="n">
        <f aca="false">IFERROR(X379/R379,0)</f>
        <v>-1.17664233576636</v>
      </c>
      <c r="Z379" s="29" t="str">
        <f aca="false">IF(X379&gt;0,"Win",IF(X379&lt;0,"Loss","Flat"))</f>
        <v>Loss</v>
      </c>
      <c r="AA379" s="29" t="n">
        <f aca="false">ROUND((C379-B379)*1440,1)</f>
        <v>0.5</v>
      </c>
      <c r="AB379" s="29" t="str">
        <f aca="false">IF(AA379&lt;1,"a) &lt;1 min",IF(AA379&lt;10,"b) 1-10 min",IF(AA379&lt;60,"c) 10-60 min",IF(AA379&lt;240,"d) 1-4 h","e) 4 h+"))))</f>
        <v>a) &lt;1 min</v>
      </c>
      <c r="AC379" s="29" t="str">
        <f aca="false">IF(P379&lt;10,"a) &lt;10",IF(P379&lt;20,"b) 10-20",IF(P379&lt;40,"c) 20-40",IF(P379&lt;80,"d) 40-80","e) 80+"))))</f>
        <v>a) &lt;10</v>
      </c>
      <c r="AD379" s="31" t="n">
        <f aca="false">Summary!$C$5+SUM(X$2:X379)</f>
        <v>13259.12</v>
      </c>
      <c r="AE379" s="31" t="n">
        <f aca="false">MAX(AE378,AD379)</f>
        <v>13805.92</v>
      </c>
      <c r="AF379" s="31" t="n">
        <f aca="false">AE379-AD379</f>
        <v>546.800000000001</v>
      </c>
      <c r="AG379" s="30" t="n">
        <f aca="false">IFERROR(AF379/AE379,0)</f>
        <v>0.039606197920892</v>
      </c>
    </row>
    <row r="380" customFormat="false" ht="15" hidden="false" customHeight="false" outlineLevel="0" collapsed="false">
      <c r="A380" s="29" t="n">
        <v>379</v>
      </c>
      <c r="B380" s="44" t="n">
        <v>45182.2173611111</v>
      </c>
      <c r="C380" s="44" t="n">
        <v>45182.2205555556</v>
      </c>
      <c r="D380" s="43" t="n">
        <f aca="false">INT(C380)</f>
        <v>45182</v>
      </c>
      <c r="E380" s="43" t="n">
        <f aca="false">D380-WEEKDAY(D380,3)</f>
        <v>45180</v>
      </c>
      <c r="F380" s="29" t="s">
        <v>161</v>
      </c>
      <c r="G380" s="29" t="n">
        <v>2023</v>
      </c>
      <c r="H380" s="29" t="s">
        <v>252</v>
      </c>
      <c r="I380" s="29" t="n">
        <v>5</v>
      </c>
      <c r="J380" s="29" t="s">
        <v>250</v>
      </c>
      <c r="K380" s="29" t="s">
        <v>251</v>
      </c>
      <c r="L380" s="29" t="n">
        <v>0.04</v>
      </c>
      <c r="M380" s="32" t="n">
        <v>15273.35</v>
      </c>
      <c r="N380" s="32" t="n">
        <v>15277.13</v>
      </c>
      <c r="O380" s="32" t="n">
        <v>15264.27</v>
      </c>
      <c r="P380" s="45" t="n">
        <f aca="false">ABS(M380-N380)</f>
        <v>3.77999999999884</v>
      </c>
      <c r="Q380" s="45" t="n">
        <f aca="false">IF(O380="","",ABS(O380-M380))</f>
        <v>9.07999999999993</v>
      </c>
      <c r="R380" s="31" t="n">
        <f aca="false">P380*L380*Summary!$C$6</f>
        <v>15.1199999999953</v>
      </c>
      <c r="S380" s="32" t="n">
        <v>15277.58</v>
      </c>
      <c r="T380" s="29" t="s">
        <v>249</v>
      </c>
      <c r="U380" s="45" t="n">
        <f aca="false">IF(J380="BUY",S380-M380,M380-S380)</f>
        <v>-4.22999999999956</v>
      </c>
      <c r="V380" s="46" t="n">
        <v>0</v>
      </c>
      <c r="W380" s="46" t="n">
        <v>0</v>
      </c>
      <c r="X380" s="46" t="n">
        <v>-16.92</v>
      </c>
      <c r="Y380" s="33" t="n">
        <f aca="false">IFERROR(X380/R380,0)</f>
        <v>-1.11904761904796</v>
      </c>
      <c r="Z380" s="29" t="str">
        <f aca="false">IF(X380&gt;0,"Win",IF(X380&lt;0,"Loss","Flat"))</f>
        <v>Loss</v>
      </c>
      <c r="AA380" s="29" t="n">
        <f aca="false">ROUND((C380-B380)*1440,1)</f>
        <v>4.6</v>
      </c>
      <c r="AB380" s="29" t="str">
        <f aca="false">IF(AA380&lt;1,"a) &lt;1 min",IF(AA380&lt;10,"b) 1-10 min",IF(AA380&lt;60,"c) 10-60 min",IF(AA380&lt;240,"d) 1-4 h","e) 4 h+"))))</f>
        <v>b) 1-10 min</v>
      </c>
      <c r="AC380" s="29" t="str">
        <f aca="false">IF(P380&lt;10,"a) &lt;10",IF(P380&lt;20,"b) 10-20",IF(P380&lt;40,"c) 20-40",IF(P380&lt;80,"d) 40-80","e) 80+"))))</f>
        <v>a) &lt;10</v>
      </c>
      <c r="AD380" s="31" t="n">
        <f aca="false">Summary!$C$5+SUM(X$2:X380)</f>
        <v>13242.2</v>
      </c>
      <c r="AE380" s="31" t="n">
        <f aca="false">MAX(AE379,AD380)</f>
        <v>13805.92</v>
      </c>
      <c r="AF380" s="31" t="n">
        <f aca="false">AE380-AD380</f>
        <v>563.719999999999</v>
      </c>
      <c r="AG380" s="30" t="n">
        <f aca="false">IFERROR(AF380/AE380,0)</f>
        <v>0.0408317591294169</v>
      </c>
    </row>
    <row r="381" customFormat="false" ht="15" hidden="false" customHeight="false" outlineLevel="0" collapsed="false">
      <c r="A381" s="29" t="n">
        <v>380</v>
      </c>
      <c r="B381" s="44" t="n">
        <v>45183.2875</v>
      </c>
      <c r="C381" s="44" t="n">
        <v>45183.2923611111</v>
      </c>
      <c r="D381" s="43" t="n">
        <f aca="false">INT(C381)</f>
        <v>45183</v>
      </c>
      <c r="E381" s="43" t="n">
        <f aca="false">D381-WEEKDAY(D381,3)</f>
        <v>45180</v>
      </c>
      <c r="F381" s="29" t="s">
        <v>161</v>
      </c>
      <c r="G381" s="29" t="n">
        <v>2023</v>
      </c>
      <c r="H381" s="29" t="s">
        <v>253</v>
      </c>
      <c r="I381" s="29" t="n">
        <v>6</v>
      </c>
      <c r="J381" s="29" t="s">
        <v>246</v>
      </c>
      <c r="K381" s="29" t="s">
        <v>247</v>
      </c>
      <c r="L381" s="29" t="n">
        <v>0.04</v>
      </c>
      <c r="M381" s="32" t="n">
        <v>15417.3</v>
      </c>
      <c r="N381" s="32" t="n">
        <v>15415.31</v>
      </c>
      <c r="O381" s="32" t="n">
        <v>15422.18</v>
      </c>
      <c r="P381" s="45" t="n">
        <f aca="false">ABS(M381-N381)</f>
        <v>1.98999999999978</v>
      </c>
      <c r="Q381" s="45" t="n">
        <f aca="false">IF(O381="","",ABS(O381-M381))</f>
        <v>4.88000000000102</v>
      </c>
      <c r="R381" s="31" t="n">
        <f aca="false">P381*L381*Summary!$C$6</f>
        <v>7.95999999999913</v>
      </c>
      <c r="S381" s="32" t="n">
        <v>15417.24</v>
      </c>
      <c r="T381" s="29" t="s">
        <v>255</v>
      </c>
      <c r="U381" s="45" t="n">
        <f aca="false">IF(J381="BUY",S381-M381,M381-S381)</f>
        <v>-0.0599999999994907</v>
      </c>
      <c r="V381" s="46" t="n">
        <v>0</v>
      </c>
      <c r="W381" s="46" t="n">
        <v>0</v>
      </c>
      <c r="X381" s="46" t="n">
        <v>-0.24</v>
      </c>
      <c r="Y381" s="33" t="n">
        <f aca="false">IFERROR(X381/R381,0)</f>
        <v>-0.0301507537688475</v>
      </c>
      <c r="Z381" s="29" t="str">
        <f aca="false">IF(X381&gt;0,"Win",IF(X381&lt;0,"Loss","Flat"))</f>
        <v>Loss</v>
      </c>
      <c r="AA381" s="29" t="n">
        <f aca="false">ROUND((C381-B381)*1440,1)</f>
        <v>7</v>
      </c>
      <c r="AB381" s="29" t="str">
        <f aca="false">IF(AA381&lt;1,"a) &lt;1 min",IF(AA381&lt;10,"b) 1-10 min",IF(AA381&lt;60,"c) 10-60 min",IF(AA381&lt;240,"d) 1-4 h","e) 4 h+"))))</f>
        <v>b) 1-10 min</v>
      </c>
      <c r="AC381" s="29" t="str">
        <f aca="false">IF(P381&lt;10,"a) &lt;10",IF(P381&lt;20,"b) 10-20",IF(P381&lt;40,"c) 20-40",IF(P381&lt;80,"d) 40-80","e) 80+"))))</f>
        <v>a) &lt;10</v>
      </c>
      <c r="AD381" s="31" t="n">
        <f aca="false">Summary!$C$5+SUM(X$2:X381)</f>
        <v>13241.96</v>
      </c>
      <c r="AE381" s="31" t="n">
        <f aca="false">MAX(AE380,AD381)</f>
        <v>13805.92</v>
      </c>
      <c r="AF381" s="31" t="n">
        <f aca="false">AE381-AD381</f>
        <v>563.960000000001</v>
      </c>
      <c r="AG381" s="30" t="n">
        <f aca="false">IFERROR(AF381/AE381,0)</f>
        <v>0.0408491429763464</v>
      </c>
    </row>
    <row r="382" customFormat="false" ht="15" hidden="false" customHeight="false" outlineLevel="0" collapsed="false">
      <c r="A382" s="29" t="n">
        <v>381</v>
      </c>
      <c r="B382" s="44" t="n">
        <v>45184.2659722222</v>
      </c>
      <c r="C382" s="44" t="n">
        <v>45184.2687615741</v>
      </c>
      <c r="D382" s="43" t="n">
        <f aca="false">INT(C382)</f>
        <v>45184</v>
      </c>
      <c r="E382" s="43" t="n">
        <f aca="false">D382-WEEKDAY(D382,3)</f>
        <v>45180</v>
      </c>
      <c r="F382" s="29" t="s">
        <v>161</v>
      </c>
      <c r="G382" s="29" t="n">
        <v>2023</v>
      </c>
      <c r="H382" s="29" t="s">
        <v>254</v>
      </c>
      <c r="I382" s="29" t="n">
        <v>6</v>
      </c>
      <c r="J382" s="29" t="s">
        <v>246</v>
      </c>
      <c r="K382" s="29" t="s">
        <v>247</v>
      </c>
      <c r="L382" s="29" t="n">
        <v>0.04</v>
      </c>
      <c r="M382" s="32" t="n">
        <v>15516.99</v>
      </c>
      <c r="N382" s="32" t="n">
        <v>15513.47</v>
      </c>
      <c r="O382" s="32" t="n">
        <v>15524.69</v>
      </c>
      <c r="P382" s="45" t="n">
        <f aca="false">ABS(M382-N382)</f>
        <v>3.52000000000044</v>
      </c>
      <c r="Q382" s="45" t="n">
        <f aca="false">IF(O382="","",ABS(O382-M382))</f>
        <v>7.70000000000073</v>
      </c>
      <c r="R382" s="31" t="n">
        <f aca="false">P382*L382*Summary!$C$6</f>
        <v>14.0800000000017</v>
      </c>
      <c r="S382" s="32" t="n">
        <v>15513.42</v>
      </c>
      <c r="T382" s="29" t="s">
        <v>249</v>
      </c>
      <c r="U382" s="45" t="n">
        <f aca="false">IF(J382="BUY",S382-M382,M382-S382)</f>
        <v>-3.56999999999971</v>
      </c>
      <c r="V382" s="46" t="n">
        <v>0</v>
      </c>
      <c r="W382" s="46" t="n">
        <v>0</v>
      </c>
      <c r="X382" s="46" t="n">
        <v>-14.28</v>
      </c>
      <c r="Y382" s="33" t="n">
        <f aca="false">IFERROR(X382/R382,0)</f>
        <v>-1.01420454545442</v>
      </c>
      <c r="Z382" s="29" t="str">
        <f aca="false">IF(X382&gt;0,"Win",IF(X382&lt;0,"Loss","Flat"))</f>
        <v>Loss</v>
      </c>
      <c r="AA382" s="29" t="n">
        <f aca="false">ROUND((C382-B382)*1440,1)</f>
        <v>4</v>
      </c>
      <c r="AB382" s="29" t="str">
        <f aca="false">IF(AA382&lt;1,"a) &lt;1 min",IF(AA382&lt;10,"b) 1-10 min",IF(AA382&lt;60,"c) 10-60 min",IF(AA382&lt;240,"d) 1-4 h","e) 4 h+"))))</f>
        <v>b) 1-10 min</v>
      </c>
      <c r="AC382" s="29" t="str">
        <f aca="false">IF(P382&lt;10,"a) &lt;10",IF(P382&lt;20,"b) 10-20",IF(P382&lt;40,"c) 20-40",IF(P382&lt;80,"d) 40-80","e) 80+"))))</f>
        <v>a) &lt;10</v>
      </c>
      <c r="AD382" s="31" t="n">
        <f aca="false">Summary!$C$5+SUM(X$2:X382)</f>
        <v>13227.68</v>
      </c>
      <c r="AE382" s="31" t="n">
        <f aca="false">MAX(AE381,AD382)</f>
        <v>13805.92</v>
      </c>
      <c r="AF382" s="31" t="n">
        <f aca="false">AE382-AD382</f>
        <v>578.24</v>
      </c>
      <c r="AG382" s="30" t="n">
        <f aca="false">IFERROR(AF382/AE382,0)</f>
        <v>0.0418834818686476</v>
      </c>
    </row>
    <row r="383" customFormat="false" ht="15" hidden="false" customHeight="false" outlineLevel="0" collapsed="false">
      <c r="A383" s="29" t="n">
        <v>382</v>
      </c>
      <c r="B383" s="44" t="n">
        <v>45184.6993055556</v>
      </c>
      <c r="C383" s="44" t="n">
        <v>45184.7005324074</v>
      </c>
      <c r="D383" s="43" t="n">
        <f aca="false">INT(C383)</f>
        <v>45184</v>
      </c>
      <c r="E383" s="43" t="n">
        <f aca="false">D383-WEEKDAY(D383,3)</f>
        <v>45180</v>
      </c>
      <c r="F383" s="29" t="s">
        <v>161</v>
      </c>
      <c r="G383" s="29" t="n">
        <v>2023</v>
      </c>
      <c r="H383" s="29" t="s">
        <v>254</v>
      </c>
      <c r="I383" s="29" t="n">
        <v>16</v>
      </c>
      <c r="J383" s="29" t="s">
        <v>250</v>
      </c>
      <c r="K383" s="29" t="s">
        <v>251</v>
      </c>
      <c r="L383" s="29" t="n">
        <v>0.04</v>
      </c>
      <c r="M383" s="32" t="n">
        <v>15323.57</v>
      </c>
      <c r="N383" s="32" t="n">
        <v>15339.6</v>
      </c>
      <c r="O383" s="32" t="n">
        <v>15284.12</v>
      </c>
      <c r="P383" s="45" t="n">
        <f aca="false">ABS(M383-N383)</f>
        <v>16.0300000000007</v>
      </c>
      <c r="Q383" s="45" t="n">
        <f aca="false">IF(O383="","",ABS(O383-M383))</f>
        <v>39.4499999999989</v>
      </c>
      <c r="R383" s="31" t="n">
        <f aca="false">P383*L383*Summary!$C$6</f>
        <v>64.1200000000026</v>
      </c>
      <c r="S383" s="32" t="n">
        <v>15340.2</v>
      </c>
      <c r="T383" s="29" t="s">
        <v>249</v>
      </c>
      <c r="U383" s="45" t="n">
        <f aca="false">IF(J383="BUY",S383-M383,M383-S383)</f>
        <v>-16.630000000001</v>
      </c>
      <c r="V383" s="46" t="n">
        <v>0</v>
      </c>
      <c r="W383" s="46" t="n">
        <v>0</v>
      </c>
      <c r="X383" s="46" t="n">
        <v>-66.52</v>
      </c>
      <c r="Y383" s="33" t="n">
        <f aca="false">IFERROR(X383/R383,0)</f>
        <v>-1.03742981908917</v>
      </c>
      <c r="Z383" s="29" t="str">
        <f aca="false">IF(X383&gt;0,"Win",IF(X383&lt;0,"Loss","Flat"))</f>
        <v>Loss</v>
      </c>
      <c r="AA383" s="29" t="n">
        <f aca="false">ROUND((C383-B383)*1440,1)</f>
        <v>1.8</v>
      </c>
      <c r="AB383" s="29" t="str">
        <f aca="false">IF(AA383&lt;1,"a) &lt;1 min",IF(AA383&lt;10,"b) 1-10 min",IF(AA383&lt;60,"c) 10-60 min",IF(AA383&lt;240,"d) 1-4 h","e) 4 h+"))))</f>
        <v>b) 1-10 min</v>
      </c>
      <c r="AC383" s="29" t="str">
        <f aca="false">IF(P383&lt;10,"a) &lt;10",IF(P383&lt;20,"b) 10-20",IF(P383&lt;40,"c) 20-40",IF(P383&lt;80,"d) 40-80","e) 80+"))))</f>
        <v>b) 10-20</v>
      </c>
      <c r="AD383" s="31" t="n">
        <f aca="false">Summary!$C$5+SUM(X$2:X383)</f>
        <v>13161.16</v>
      </c>
      <c r="AE383" s="31" t="n">
        <f aca="false">MAX(AE382,AD383)</f>
        <v>13805.92</v>
      </c>
      <c r="AF383" s="31" t="n">
        <f aca="false">AE383-AD383</f>
        <v>644.76</v>
      </c>
      <c r="AG383" s="30" t="n">
        <f aca="false">IFERROR(AF383/AE383,0)</f>
        <v>0.0467017047759222</v>
      </c>
    </row>
    <row r="384" customFormat="false" ht="15" hidden="false" customHeight="false" outlineLevel="0" collapsed="false">
      <c r="A384" s="29" t="n">
        <v>383</v>
      </c>
      <c r="B384" s="44" t="n">
        <v>45187.6104166667</v>
      </c>
      <c r="C384" s="44" t="n">
        <v>45187.6163657407</v>
      </c>
      <c r="D384" s="43" t="n">
        <f aca="false">INT(C384)</f>
        <v>45187</v>
      </c>
      <c r="E384" s="43" t="n">
        <f aca="false">D384-WEEKDAY(D384,3)</f>
        <v>45187</v>
      </c>
      <c r="F384" s="29" t="s">
        <v>161</v>
      </c>
      <c r="G384" s="29" t="n">
        <v>2023</v>
      </c>
      <c r="H384" s="29" t="s">
        <v>245</v>
      </c>
      <c r="I384" s="29" t="n">
        <v>14</v>
      </c>
      <c r="J384" s="29" t="s">
        <v>250</v>
      </c>
      <c r="K384" s="29" t="s">
        <v>251</v>
      </c>
      <c r="L384" s="29" t="n">
        <v>0.04</v>
      </c>
      <c r="M384" s="32" t="n">
        <v>15165.29</v>
      </c>
      <c r="N384" s="32" t="n">
        <v>15171.2</v>
      </c>
      <c r="O384" s="32" t="n">
        <v>15150.81</v>
      </c>
      <c r="P384" s="45" t="n">
        <f aca="false">ABS(M384-N384)</f>
        <v>5.90999999999985</v>
      </c>
      <c r="Q384" s="45" t="n">
        <f aca="false">IF(O384="","",ABS(O384-M384))</f>
        <v>14.4800000000014</v>
      </c>
      <c r="R384" s="31" t="n">
        <f aca="false">P384*L384*Summary!$C$6</f>
        <v>23.6399999999994</v>
      </c>
      <c r="S384" s="32" t="n">
        <v>15150.81</v>
      </c>
      <c r="T384" s="29" t="s">
        <v>227</v>
      </c>
      <c r="U384" s="45" t="n">
        <f aca="false">IF(J384="BUY",S384-M384,M384-S384)</f>
        <v>14.4800000000014</v>
      </c>
      <c r="V384" s="46" t="n">
        <v>0</v>
      </c>
      <c r="W384" s="46" t="n">
        <v>0</v>
      </c>
      <c r="X384" s="46" t="n">
        <v>57.92</v>
      </c>
      <c r="Y384" s="33" t="n">
        <f aca="false">IFERROR(X384/R384,0)</f>
        <v>2.45008460236893</v>
      </c>
      <c r="Z384" s="29" t="str">
        <f aca="false">IF(X384&gt;0,"Win",IF(X384&lt;0,"Loss","Flat"))</f>
        <v>Win</v>
      </c>
      <c r="AA384" s="29" t="n">
        <f aca="false">ROUND((C384-B384)*1440,1)</f>
        <v>8.6</v>
      </c>
      <c r="AB384" s="29" t="str">
        <f aca="false">IF(AA384&lt;1,"a) &lt;1 min",IF(AA384&lt;10,"b) 1-10 min",IF(AA384&lt;60,"c) 10-60 min",IF(AA384&lt;240,"d) 1-4 h","e) 4 h+"))))</f>
        <v>b) 1-10 min</v>
      </c>
      <c r="AC384" s="29" t="str">
        <f aca="false">IF(P384&lt;10,"a) &lt;10",IF(P384&lt;20,"b) 10-20",IF(P384&lt;40,"c) 20-40",IF(P384&lt;80,"d) 40-80","e) 80+"))))</f>
        <v>a) &lt;10</v>
      </c>
      <c r="AD384" s="31" t="n">
        <f aca="false">Summary!$C$5+SUM(X$2:X384)</f>
        <v>13219.08</v>
      </c>
      <c r="AE384" s="31" t="n">
        <f aca="false">MAX(AE383,AD384)</f>
        <v>13805.92</v>
      </c>
      <c r="AF384" s="31" t="n">
        <f aca="false">AE384-AD384</f>
        <v>586.84</v>
      </c>
      <c r="AG384" s="30" t="n">
        <f aca="false">IFERROR(AF384/AE384,0)</f>
        <v>0.0425064030502857</v>
      </c>
    </row>
    <row r="385" customFormat="false" ht="15" hidden="false" customHeight="false" outlineLevel="0" collapsed="false">
      <c r="A385" s="29" t="n">
        <v>384</v>
      </c>
      <c r="B385" s="44" t="n">
        <v>45188.7020833333</v>
      </c>
      <c r="C385" s="44" t="n">
        <v>45188.7024652778</v>
      </c>
      <c r="D385" s="43" t="n">
        <f aca="false">INT(C385)</f>
        <v>45188</v>
      </c>
      <c r="E385" s="43" t="n">
        <f aca="false">D385-WEEKDAY(D385,3)</f>
        <v>45187</v>
      </c>
      <c r="F385" s="29" t="s">
        <v>161</v>
      </c>
      <c r="G385" s="29" t="n">
        <v>2023</v>
      </c>
      <c r="H385" s="29" t="s">
        <v>248</v>
      </c>
      <c r="I385" s="29" t="n">
        <v>16</v>
      </c>
      <c r="J385" s="29" t="s">
        <v>250</v>
      </c>
      <c r="K385" s="29" t="s">
        <v>251</v>
      </c>
      <c r="L385" s="29" t="n">
        <v>0.04</v>
      </c>
      <c r="M385" s="32" t="n">
        <v>15131.25</v>
      </c>
      <c r="N385" s="32" t="n">
        <v>15146.43</v>
      </c>
      <c r="O385" s="32" t="n">
        <v>15093.3</v>
      </c>
      <c r="P385" s="45" t="n">
        <f aca="false">ABS(M385-N385)</f>
        <v>15.1800000000003</v>
      </c>
      <c r="Q385" s="45" t="n">
        <f aca="false">IF(O385="","",ABS(O385-M385))</f>
        <v>37.9500000000007</v>
      </c>
      <c r="R385" s="31" t="n">
        <f aca="false">P385*L385*Summary!$C$6</f>
        <v>60.7200000000012</v>
      </c>
      <c r="S385" s="32" t="n">
        <v>15146.6</v>
      </c>
      <c r="T385" s="29" t="s">
        <v>249</v>
      </c>
      <c r="U385" s="45" t="n">
        <f aca="false">IF(J385="BUY",S385-M385,M385-S385)</f>
        <v>-15.3500000000004</v>
      </c>
      <c r="V385" s="46" t="n">
        <v>0</v>
      </c>
      <c r="W385" s="46" t="n">
        <v>0</v>
      </c>
      <c r="X385" s="46" t="n">
        <v>-61.4</v>
      </c>
      <c r="Y385" s="33" t="n">
        <f aca="false">IFERROR(X385/R385,0)</f>
        <v>-1.01119894598154</v>
      </c>
      <c r="Z385" s="29" t="str">
        <f aca="false">IF(X385&gt;0,"Win",IF(X385&lt;0,"Loss","Flat"))</f>
        <v>Loss</v>
      </c>
      <c r="AA385" s="29" t="n">
        <f aca="false">ROUND((C385-B385)*1440,1)</f>
        <v>0.6</v>
      </c>
      <c r="AB385" s="29" t="str">
        <f aca="false">IF(AA385&lt;1,"a) &lt;1 min",IF(AA385&lt;10,"b) 1-10 min",IF(AA385&lt;60,"c) 10-60 min",IF(AA385&lt;240,"d) 1-4 h","e) 4 h+"))))</f>
        <v>a) &lt;1 min</v>
      </c>
      <c r="AC385" s="29" t="str">
        <f aca="false">IF(P385&lt;10,"a) &lt;10",IF(P385&lt;20,"b) 10-20",IF(P385&lt;40,"c) 20-40",IF(P385&lt;80,"d) 40-80","e) 80+"))))</f>
        <v>b) 10-20</v>
      </c>
      <c r="AD385" s="31" t="n">
        <f aca="false">Summary!$C$5+SUM(X$2:X385)</f>
        <v>13157.68</v>
      </c>
      <c r="AE385" s="31" t="n">
        <f aca="false">MAX(AE384,AD385)</f>
        <v>13805.92</v>
      </c>
      <c r="AF385" s="31" t="n">
        <f aca="false">AE385-AD385</f>
        <v>648.24</v>
      </c>
      <c r="AG385" s="30" t="n">
        <f aca="false">IFERROR(AF385/AE385,0)</f>
        <v>0.046953770556399</v>
      </c>
    </row>
    <row r="386" customFormat="false" ht="15" hidden="false" customHeight="false" outlineLevel="0" collapsed="false">
      <c r="A386" s="29" t="n">
        <v>385</v>
      </c>
      <c r="B386" s="44" t="n">
        <v>45189.9291666667</v>
      </c>
      <c r="C386" s="44" t="n">
        <v>45189.9340625</v>
      </c>
      <c r="D386" s="43" t="n">
        <f aca="false">INT(C386)</f>
        <v>45189</v>
      </c>
      <c r="E386" s="43" t="n">
        <f aca="false">D386-WEEKDAY(D386,3)</f>
        <v>45187</v>
      </c>
      <c r="F386" s="29" t="s">
        <v>161</v>
      </c>
      <c r="G386" s="29" t="n">
        <v>2023</v>
      </c>
      <c r="H386" s="29" t="s">
        <v>252</v>
      </c>
      <c r="I386" s="29" t="n">
        <v>22</v>
      </c>
      <c r="J386" s="29" t="s">
        <v>250</v>
      </c>
      <c r="K386" s="29" t="s">
        <v>251</v>
      </c>
      <c r="L386" s="29" t="n">
        <v>0.04</v>
      </c>
      <c r="M386" s="32" t="n">
        <v>15053.61</v>
      </c>
      <c r="N386" s="32" t="n">
        <v>15067.35</v>
      </c>
      <c r="O386" s="32" t="n">
        <v>15020.4</v>
      </c>
      <c r="P386" s="45" t="n">
        <f aca="false">ABS(M386-N386)</f>
        <v>13.7399999999998</v>
      </c>
      <c r="Q386" s="45" t="n">
        <f aca="false">IF(O386="","",ABS(O386-M386))</f>
        <v>33.2100000000009</v>
      </c>
      <c r="R386" s="31" t="n">
        <f aca="false">P386*L386*Summary!$C$6</f>
        <v>54.9599999999991</v>
      </c>
      <c r="S386" s="32" t="n">
        <v>15067.79</v>
      </c>
      <c r="T386" s="29" t="s">
        <v>249</v>
      </c>
      <c r="U386" s="45" t="n">
        <f aca="false">IF(J386="BUY",S386-M386,M386-S386)</f>
        <v>-14.1800000000003</v>
      </c>
      <c r="V386" s="46" t="n">
        <v>0</v>
      </c>
      <c r="W386" s="46" t="n">
        <v>0</v>
      </c>
      <c r="X386" s="46" t="n">
        <v>-56.72</v>
      </c>
      <c r="Y386" s="33" t="n">
        <f aca="false">IFERROR(X386/R386,0)</f>
        <v>-1.03202328966523</v>
      </c>
      <c r="Z386" s="29" t="str">
        <f aca="false">IF(X386&gt;0,"Win",IF(X386&lt;0,"Loss","Flat"))</f>
        <v>Loss</v>
      </c>
      <c r="AA386" s="29" t="n">
        <f aca="false">ROUND((C386-B386)*1440,1)</f>
        <v>7.1</v>
      </c>
      <c r="AB386" s="29" t="str">
        <f aca="false">IF(AA386&lt;1,"a) &lt;1 min",IF(AA386&lt;10,"b) 1-10 min",IF(AA386&lt;60,"c) 10-60 min",IF(AA386&lt;240,"d) 1-4 h","e) 4 h+"))))</f>
        <v>b) 1-10 min</v>
      </c>
      <c r="AC386" s="29" t="str">
        <f aca="false">IF(P386&lt;10,"a) &lt;10",IF(P386&lt;20,"b) 10-20",IF(P386&lt;40,"c) 20-40",IF(P386&lt;80,"d) 40-80","e) 80+"))))</f>
        <v>b) 10-20</v>
      </c>
      <c r="AD386" s="31" t="n">
        <f aca="false">Summary!$C$5+SUM(X$2:X386)</f>
        <v>13100.96</v>
      </c>
      <c r="AE386" s="31" t="n">
        <f aca="false">MAX(AE385,AD386)</f>
        <v>13805.92</v>
      </c>
      <c r="AF386" s="31" t="n">
        <f aca="false">AE386-AD386</f>
        <v>704.960000000001</v>
      </c>
      <c r="AG386" s="30" t="n">
        <f aca="false">IFERROR(AF386/AE386,0)</f>
        <v>0.0510621530473884</v>
      </c>
    </row>
    <row r="387" customFormat="false" ht="15" hidden="false" customHeight="false" outlineLevel="0" collapsed="false">
      <c r="A387" s="29" t="n">
        <v>386</v>
      </c>
      <c r="B387" s="44" t="n">
        <v>45190.063900463</v>
      </c>
      <c r="C387" s="44" t="n">
        <v>45190.0730092593</v>
      </c>
      <c r="D387" s="43" t="n">
        <f aca="false">INT(C387)</f>
        <v>45190</v>
      </c>
      <c r="E387" s="43" t="n">
        <f aca="false">D387-WEEKDAY(D387,3)</f>
        <v>45187</v>
      </c>
      <c r="F387" s="29" t="s">
        <v>161</v>
      </c>
      <c r="G387" s="29" t="n">
        <v>2023</v>
      </c>
      <c r="H387" s="29" t="s">
        <v>253</v>
      </c>
      <c r="I387" s="29" t="n">
        <v>1</v>
      </c>
      <c r="J387" s="29" t="s">
        <v>250</v>
      </c>
      <c r="K387" s="29" t="s">
        <v>251</v>
      </c>
      <c r="L387" s="29" t="n">
        <v>0.04</v>
      </c>
      <c r="M387" s="32" t="n">
        <v>14943.73</v>
      </c>
      <c r="N387" s="32" t="n">
        <v>14949.64</v>
      </c>
      <c r="O387" s="32" t="n">
        <v>14929.6</v>
      </c>
      <c r="P387" s="45" t="n">
        <f aca="false">ABS(M387-N387)</f>
        <v>5.90999999999985</v>
      </c>
      <c r="Q387" s="45" t="n">
        <f aca="false">IF(O387="","",ABS(O387-M387))</f>
        <v>14.1299999999992</v>
      </c>
      <c r="R387" s="31" t="n">
        <f aca="false">P387*L387*Summary!$C$6</f>
        <v>23.6399999999994</v>
      </c>
      <c r="S387" s="32" t="n">
        <v>14949.71</v>
      </c>
      <c r="T387" s="29" t="s">
        <v>249</v>
      </c>
      <c r="U387" s="45" t="n">
        <f aca="false">IF(J387="BUY",S387-M387,M387-S387)</f>
        <v>-5.97999999999956</v>
      </c>
      <c r="V387" s="46" t="n">
        <v>0</v>
      </c>
      <c r="W387" s="46" t="n">
        <v>0</v>
      </c>
      <c r="X387" s="46" t="n">
        <v>-23.92</v>
      </c>
      <c r="Y387" s="33" t="n">
        <f aca="false">IFERROR(X387/R387,0)</f>
        <v>-1.01184433164131</v>
      </c>
      <c r="Z387" s="29" t="str">
        <f aca="false">IF(X387&gt;0,"Win",IF(X387&lt;0,"Loss","Flat"))</f>
        <v>Loss</v>
      </c>
      <c r="AA387" s="29" t="n">
        <f aca="false">ROUND((C387-B387)*1440,1)</f>
        <v>13.1</v>
      </c>
      <c r="AB387" s="29" t="str">
        <f aca="false">IF(AA387&lt;1,"a) &lt;1 min",IF(AA387&lt;10,"b) 1-10 min",IF(AA387&lt;60,"c) 10-60 min",IF(AA387&lt;240,"d) 1-4 h","e) 4 h+"))))</f>
        <v>c) 10-60 min</v>
      </c>
      <c r="AC387" s="29" t="str">
        <f aca="false">IF(P387&lt;10,"a) &lt;10",IF(P387&lt;20,"b) 10-20",IF(P387&lt;40,"c) 20-40",IF(P387&lt;80,"d) 40-80","e) 80+"))))</f>
        <v>a) &lt;10</v>
      </c>
      <c r="AD387" s="31" t="n">
        <f aca="false">Summary!$C$5+SUM(X$2:X387)</f>
        <v>13077.04</v>
      </c>
      <c r="AE387" s="31" t="n">
        <f aca="false">MAX(AE386,AD387)</f>
        <v>13805.92</v>
      </c>
      <c r="AF387" s="31" t="n">
        <f aca="false">AE387-AD387</f>
        <v>728.879999999999</v>
      </c>
      <c r="AG387" s="30" t="n">
        <f aca="false">IFERROR(AF387/AE387,0)</f>
        <v>0.0527947431246885</v>
      </c>
    </row>
    <row r="388" customFormat="false" ht="15" hidden="false" customHeight="false" outlineLevel="0" collapsed="false">
      <c r="A388" s="29" t="n">
        <v>387</v>
      </c>
      <c r="B388" s="44" t="n">
        <v>45191.1194560185</v>
      </c>
      <c r="C388" s="44" t="n">
        <v>45191.1243171296</v>
      </c>
      <c r="D388" s="43" t="n">
        <f aca="false">INT(C388)</f>
        <v>45191</v>
      </c>
      <c r="E388" s="43" t="n">
        <f aca="false">D388-WEEKDAY(D388,3)</f>
        <v>45187</v>
      </c>
      <c r="F388" s="29" t="s">
        <v>161</v>
      </c>
      <c r="G388" s="29" t="n">
        <v>2023</v>
      </c>
      <c r="H388" s="29" t="s">
        <v>254</v>
      </c>
      <c r="I388" s="29" t="n">
        <v>2</v>
      </c>
      <c r="J388" s="29" t="s">
        <v>250</v>
      </c>
      <c r="K388" s="29" t="s">
        <v>251</v>
      </c>
      <c r="L388" s="29" t="n">
        <v>0.04</v>
      </c>
      <c r="M388" s="32" t="n">
        <v>14679.82</v>
      </c>
      <c r="N388" s="32" t="n">
        <v>14683.81</v>
      </c>
      <c r="O388" s="32" t="n">
        <v>14671</v>
      </c>
      <c r="P388" s="45" t="n">
        <f aca="false">ABS(M388-N388)</f>
        <v>3.98999999999978</v>
      </c>
      <c r="Q388" s="45" t="n">
        <f aca="false">IF(O388="","",ABS(O388-M388))</f>
        <v>8.81999999999971</v>
      </c>
      <c r="R388" s="31" t="n">
        <f aca="false">P388*L388*Summary!$C$6</f>
        <v>15.9599999999991</v>
      </c>
      <c r="S388" s="32" t="n">
        <v>14684.14</v>
      </c>
      <c r="T388" s="29" t="s">
        <v>249</v>
      </c>
      <c r="U388" s="45" t="n">
        <f aca="false">IF(J388="BUY",S388-M388,M388-S388)</f>
        <v>-4.31999999999971</v>
      </c>
      <c r="V388" s="46" t="n">
        <v>0</v>
      </c>
      <c r="W388" s="46" t="n">
        <v>0</v>
      </c>
      <c r="X388" s="46" t="n">
        <v>-17.28</v>
      </c>
      <c r="Y388" s="33" t="n">
        <f aca="false">IFERROR(X388/R388,0)</f>
        <v>-1.08270676691735</v>
      </c>
      <c r="Z388" s="29" t="str">
        <f aca="false">IF(X388&gt;0,"Win",IF(X388&lt;0,"Loss","Flat"))</f>
        <v>Loss</v>
      </c>
      <c r="AA388" s="29" t="n">
        <f aca="false">ROUND((C388-B388)*1440,1)</f>
        <v>7</v>
      </c>
      <c r="AB388" s="29" t="str">
        <f aca="false">IF(AA388&lt;1,"a) &lt;1 min",IF(AA388&lt;10,"b) 1-10 min",IF(AA388&lt;60,"c) 10-60 min",IF(AA388&lt;240,"d) 1-4 h","e) 4 h+"))))</f>
        <v>b) 1-10 min</v>
      </c>
      <c r="AC388" s="29" t="str">
        <f aca="false">IF(P388&lt;10,"a) &lt;10",IF(P388&lt;20,"b) 10-20",IF(P388&lt;40,"c) 20-40",IF(P388&lt;80,"d) 40-80","e) 80+"))))</f>
        <v>a) &lt;10</v>
      </c>
      <c r="AD388" s="31" t="n">
        <f aca="false">Summary!$C$5+SUM(X$2:X388)</f>
        <v>13059.76</v>
      </c>
      <c r="AE388" s="31" t="n">
        <f aca="false">MAX(AE387,AD388)</f>
        <v>13805.92</v>
      </c>
      <c r="AF388" s="31" t="n">
        <f aca="false">AE388-AD388</f>
        <v>746.16</v>
      </c>
      <c r="AG388" s="30" t="n">
        <f aca="false">IFERROR(AF388/AE388,0)</f>
        <v>0.0540463801036077</v>
      </c>
    </row>
    <row r="389" customFormat="false" ht="15" hidden="false" customHeight="false" outlineLevel="0" collapsed="false">
      <c r="A389" s="29" t="n">
        <v>388</v>
      </c>
      <c r="B389" s="44" t="n">
        <v>45194.4847222222</v>
      </c>
      <c r="C389" s="44" t="n">
        <v>45194.4890856482</v>
      </c>
      <c r="D389" s="43" t="n">
        <f aca="false">INT(C389)</f>
        <v>45194</v>
      </c>
      <c r="E389" s="43" t="n">
        <f aca="false">D389-WEEKDAY(D389,3)</f>
        <v>45194</v>
      </c>
      <c r="F389" s="29" t="s">
        <v>161</v>
      </c>
      <c r="G389" s="29" t="n">
        <v>2023</v>
      </c>
      <c r="H389" s="29" t="s">
        <v>245</v>
      </c>
      <c r="I389" s="29" t="n">
        <v>11</v>
      </c>
      <c r="J389" s="29" t="s">
        <v>250</v>
      </c>
      <c r="K389" s="29" t="s">
        <v>251</v>
      </c>
      <c r="L389" s="29" t="n">
        <v>0.04</v>
      </c>
      <c r="M389" s="32" t="n">
        <v>14662.74</v>
      </c>
      <c r="N389" s="32" t="n">
        <v>14673.26</v>
      </c>
      <c r="O389" s="32" t="n">
        <v>14636.99</v>
      </c>
      <c r="P389" s="45" t="n">
        <f aca="false">ABS(M389-N389)</f>
        <v>10.5200000000004</v>
      </c>
      <c r="Q389" s="45" t="n">
        <f aca="false">IF(O389="","",ABS(O389-M389))</f>
        <v>25.75</v>
      </c>
      <c r="R389" s="31" t="n">
        <f aca="false">P389*L389*Summary!$C$6</f>
        <v>42.0800000000017</v>
      </c>
      <c r="S389" s="32" t="n">
        <v>14635.8</v>
      </c>
      <c r="T389" s="29" t="s">
        <v>227</v>
      </c>
      <c r="U389" s="45" t="n">
        <f aca="false">IF(J389="BUY",S389-M389,M389-S389)</f>
        <v>26.9400000000005</v>
      </c>
      <c r="V389" s="46" t="n">
        <v>0</v>
      </c>
      <c r="W389" s="46" t="n">
        <v>0</v>
      </c>
      <c r="X389" s="46" t="n">
        <v>107.76</v>
      </c>
      <c r="Y389" s="33" t="n">
        <f aca="false">IFERROR(X389/R389,0)</f>
        <v>2.56083650190103</v>
      </c>
      <c r="Z389" s="29" t="str">
        <f aca="false">IF(X389&gt;0,"Win",IF(X389&lt;0,"Loss","Flat"))</f>
        <v>Win</v>
      </c>
      <c r="AA389" s="29" t="n">
        <f aca="false">ROUND((C389-B389)*1440,1)</f>
        <v>6.3</v>
      </c>
      <c r="AB389" s="29" t="str">
        <f aca="false">IF(AA389&lt;1,"a) &lt;1 min",IF(AA389&lt;10,"b) 1-10 min",IF(AA389&lt;60,"c) 10-60 min",IF(AA389&lt;240,"d) 1-4 h","e) 4 h+"))))</f>
        <v>b) 1-10 min</v>
      </c>
      <c r="AC389" s="29" t="str">
        <f aca="false">IF(P389&lt;10,"a) &lt;10",IF(P389&lt;20,"b) 10-20",IF(P389&lt;40,"c) 20-40",IF(P389&lt;80,"d) 40-80","e) 80+"))))</f>
        <v>b) 10-20</v>
      </c>
      <c r="AD389" s="31" t="n">
        <f aca="false">Summary!$C$5+SUM(X$2:X389)</f>
        <v>13167.52</v>
      </c>
      <c r="AE389" s="31" t="n">
        <f aca="false">MAX(AE388,AD389)</f>
        <v>13805.92</v>
      </c>
      <c r="AF389" s="31" t="n">
        <f aca="false">AE389-AD389</f>
        <v>638.4</v>
      </c>
      <c r="AG389" s="30" t="n">
        <f aca="false">IFERROR(AF389/AE389,0)</f>
        <v>0.0462410328322922</v>
      </c>
    </row>
    <row r="390" customFormat="false" ht="15" hidden="false" customHeight="false" outlineLevel="0" collapsed="false">
      <c r="A390" s="29" t="n">
        <v>389</v>
      </c>
      <c r="B390" s="44" t="n">
        <v>45195.7034722222</v>
      </c>
      <c r="C390" s="44" t="n">
        <v>45195.7125115741</v>
      </c>
      <c r="D390" s="43" t="n">
        <f aca="false">INT(C390)</f>
        <v>45195</v>
      </c>
      <c r="E390" s="43" t="n">
        <f aca="false">D390-WEEKDAY(D390,3)</f>
        <v>45194</v>
      </c>
      <c r="F390" s="29" t="s">
        <v>161</v>
      </c>
      <c r="G390" s="29" t="n">
        <v>2023</v>
      </c>
      <c r="H390" s="29" t="s">
        <v>248</v>
      </c>
      <c r="I390" s="29" t="n">
        <v>16</v>
      </c>
      <c r="J390" s="29" t="s">
        <v>250</v>
      </c>
      <c r="K390" s="29" t="s">
        <v>251</v>
      </c>
      <c r="L390" s="29" t="n">
        <v>0.04</v>
      </c>
      <c r="M390" s="32" t="n">
        <v>14614.89</v>
      </c>
      <c r="N390" s="32" t="n">
        <v>14631.46</v>
      </c>
      <c r="O390" s="32" t="n">
        <v>14577.3</v>
      </c>
      <c r="P390" s="45" t="n">
        <f aca="false">ABS(M390-N390)</f>
        <v>16.5699999999997</v>
      </c>
      <c r="Q390" s="45" t="n">
        <f aca="false">IF(O390="","",ABS(O390-M390))</f>
        <v>37.5900000000001</v>
      </c>
      <c r="R390" s="31" t="n">
        <f aca="false">P390*L390*Summary!$C$6</f>
        <v>66.2799999999988</v>
      </c>
      <c r="S390" s="32" t="n">
        <v>14615.34</v>
      </c>
      <c r="T390" s="29" t="s">
        <v>255</v>
      </c>
      <c r="U390" s="45" t="n">
        <f aca="false">IF(J390="BUY",S390-M390,M390-S390)</f>
        <v>-0.450000000000728</v>
      </c>
      <c r="V390" s="46" t="n">
        <v>0</v>
      </c>
      <c r="W390" s="46" t="n">
        <v>0</v>
      </c>
      <c r="X390" s="46" t="n">
        <v>-1.8</v>
      </c>
      <c r="Y390" s="33" t="n">
        <f aca="false">IFERROR(X390/R390,0)</f>
        <v>-0.0271575135787573</v>
      </c>
      <c r="Z390" s="29" t="str">
        <f aca="false">IF(X390&gt;0,"Win",IF(X390&lt;0,"Loss","Flat"))</f>
        <v>Loss</v>
      </c>
      <c r="AA390" s="29" t="n">
        <f aca="false">ROUND((C390-B390)*1440,1)</f>
        <v>13</v>
      </c>
      <c r="AB390" s="29" t="str">
        <f aca="false">IF(AA390&lt;1,"a) &lt;1 min",IF(AA390&lt;10,"b) 1-10 min",IF(AA390&lt;60,"c) 10-60 min",IF(AA390&lt;240,"d) 1-4 h","e) 4 h+"))))</f>
        <v>c) 10-60 min</v>
      </c>
      <c r="AC390" s="29" t="str">
        <f aca="false">IF(P390&lt;10,"a) &lt;10",IF(P390&lt;20,"b) 10-20",IF(P390&lt;40,"c) 20-40",IF(P390&lt;80,"d) 40-80","e) 80+"))))</f>
        <v>b) 10-20</v>
      </c>
      <c r="AD390" s="31" t="n">
        <f aca="false">Summary!$C$5+SUM(X$2:X390)</f>
        <v>13165.72</v>
      </c>
      <c r="AE390" s="31" t="n">
        <f aca="false">MAX(AE389,AD390)</f>
        <v>13805.92</v>
      </c>
      <c r="AF390" s="31" t="n">
        <f aca="false">AE390-AD390</f>
        <v>640.200000000001</v>
      </c>
      <c r="AG390" s="30" t="n">
        <f aca="false">IFERROR(AF390/AE390,0)</f>
        <v>0.046371411684263</v>
      </c>
    </row>
    <row r="391" customFormat="false" ht="15" hidden="false" customHeight="false" outlineLevel="0" collapsed="false">
      <c r="A391" s="29" t="n">
        <v>390</v>
      </c>
      <c r="B391" s="44" t="n">
        <v>45196.79375</v>
      </c>
      <c r="C391" s="44" t="n">
        <v>45196.7968055556</v>
      </c>
      <c r="D391" s="43" t="n">
        <f aca="false">INT(C391)</f>
        <v>45196</v>
      </c>
      <c r="E391" s="43" t="n">
        <f aca="false">D391-WEEKDAY(D391,3)</f>
        <v>45194</v>
      </c>
      <c r="F391" s="29" t="s">
        <v>161</v>
      </c>
      <c r="G391" s="29" t="n">
        <v>2023</v>
      </c>
      <c r="H391" s="29" t="s">
        <v>252</v>
      </c>
      <c r="I391" s="29" t="n">
        <v>19</v>
      </c>
      <c r="J391" s="29" t="s">
        <v>250</v>
      </c>
      <c r="K391" s="29" t="s">
        <v>251</v>
      </c>
      <c r="L391" s="29" t="n">
        <v>0.04</v>
      </c>
      <c r="M391" s="32" t="n">
        <v>14500.82</v>
      </c>
      <c r="N391" s="32" t="n">
        <v>14510.22</v>
      </c>
      <c r="O391" s="32" t="n">
        <v>14477.79</v>
      </c>
      <c r="P391" s="45" t="n">
        <f aca="false">ABS(M391-N391)</f>
        <v>9.39999999999964</v>
      </c>
      <c r="Q391" s="45" t="n">
        <f aca="false">IF(O391="","",ABS(O391-M391))</f>
        <v>23.0299999999988</v>
      </c>
      <c r="R391" s="31" t="n">
        <f aca="false">P391*L391*Summary!$C$6</f>
        <v>37.5999999999985</v>
      </c>
      <c r="S391" s="32" t="n">
        <v>14500.83</v>
      </c>
      <c r="T391" s="29" t="s">
        <v>255</v>
      </c>
      <c r="U391" s="45" t="n">
        <f aca="false">IF(J391="BUY",S391-M391,M391-S391)</f>
        <v>-0.0100000000002183</v>
      </c>
      <c r="V391" s="46" t="n">
        <v>0</v>
      </c>
      <c r="W391" s="46" t="n">
        <v>0</v>
      </c>
      <c r="X391" s="46" t="n">
        <v>-0.04</v>
      </c>
      <c r="Y391" s="33" t="n">
        <f aca="false">IFERROR(X391/R391,0)</f>
        <v>-0.00106382978723408</v>
      </c>
      <c r="Z391" s="29" t="str">
        <f aca="false">IF(X391&gt;0,"Win",IF(X391&lt;0,"Loss","Flat"))</f>
        <v>Loss</v>
      </c>
      <c r="AA391" s="29" t="n">
        <f aca="false">ROUND((C391-B391)*1440,1)</f>
        <v>4.4</v>
      </c>
      <c r="AB391" s="29" t="str">
        <f aca="false">IF(AA391&lt;1,"a) &lt;1 min",IF(AA391&lt;10,"b) 1-10 min",IF(AA391&lt;60,"c) 10-60 min",IF(AA391&lt;240,"d) 1-4 h","e) 4 h+"))))</f>
        <v>b) 1-10 min</v>
      </c>
      <c r="AC391" s="29" t="str">
        <f aca="false">IF(P391&lt;10,"a) &lt;10",IF(P391&lt;20,"b) 10-20",IF(P391&lt;40,"c) 20-40",IF(P391&lt;80,"d) 40-80","e) 80+"))))</f>
        <v>a) &lt;10</v>
      </c>
      <c r="AD391" s="31" t="n">
        <f aca="false">Summary!$C$5+SUM(X$2:X391)</f>
        <v>13165.68</v>
      </c>
      <c r="AE391" s="31" t="n">
        <f aca="false">MAX(AE390,AD391)</f>
        <v>13805.92</v>
      </c>
      <c r="AF391" s="31" t="n">
        <f aca="false">AE391-AD391</f>
        <v>640.24</v>
      </c>
      <c r="AG391" s="30" t="n">
        <f aca="false">IFERROR(AF391/AE391,0)</f>
        <v>0.0463743089920845</v>
      </c>
    </row>
    <row r="392" customFormat="false" ht="15" hidden="false" customHeight="false" outlineLevel="0" collapsed="false">
      <c r="A392" s="29" t="n">
        <v>391</v>
      </c>
      <c r="B392" s="44" t="n">
        <v>45197.7673611111</v>
      </c>
      <c r="C392" s="44" t="n">
        <v>45197.773599537</v>
      </c>
      <c r="D392" s="43" t="n">
        <f aca="false">INT(C392)</f>
        <v>45197</v>
      </c>
      <c r="E392" s="43" t="n">
        <f aca="false">D392-WEEKDAY(D392,3)</f>
        <v>45194</v>
      </c>
      <c r="F392" s="29" t="s">
        <v>161</v>
      </c>
      <c r="G392" s="29" t="n">
        <v>2023</v>
      </c>
      <c r="H392" s="29" t="s">
        <v>253</v>
      </c>
      <c r="I392" s="29" t="n">
        <v>18</v>
      </c>
      <c r="J392" s="29" t="s">
        <v>246</v>
      </c>
      <c r="K392" s="29" t="s">
        <v>247</v>
      </c>
      <c r="L392" s="29" t="n">
        <v>0.04</v>
      </c>
      <c r="M392" s="32" t="n">
        <v>14662.82</v>
      </c>
      <c r="N392" s="32" t="n">
        <v>14649.43</v>
      </c>
      <c r="O392" s="32" t="n">
        <v>14700.62</v>
      </c>
      <c r="P392" s="45" t="n">
        <f aca="false">ABS(M392-N392)</f>
        <v>13.3899999999994</v>
      </c>
      <c r="Q392" s="45" t="n">
        <f aca="false">IF(O392="","",ABS(O392-M392))</f>
        <v>37.8000000000011</v>
      </c>
      <c r="R392" s="31" t="n">
        <f aca="false">P392*L392*Summary!$C$6</f>
        <v>53.5599999999977</v>
      </c>
      <c r="S392" s="32" t="n">
        <v>14700.66</v>
      </c>
      <c r="T392" s="29" t="s">
        <v>227</v>
      </c>
      <c r="U392" s="45" t="n">
        <f aca="false">IF(J392="BUY",S392-M392,M392-S392)</f>
        <v>37.8400000000001</v>
      </c>
      <c r="V392" s="46" t="n">
        <v>0</v>
      </c>
      <c r="W392" s="46" t="n">
        <v>0</v>
      </c>
      <c r="X392" s="46" t="n">
        <v>151.36</v>
      </c>
      <c r="Y392" s="33" t="n">
        <f aca="false">IFERROR(X392/R392,0)</f>
        <v>2.82598954443627</v>
      </c>
      <c r="Z392" s="29" t="str">
        <f aca="false">IF(X392&gt;0,"Win",IF(X392&lt;0,"Loss","Flat"))</f>
        <v>Win</v>
      </c>
      <c r="AA392" s="29" t="n">
        <f aca="false">ROUND((C392-B392)*1440,1)</f>
        <v>9</v>
      </c>
      <c r="AB392" s="29" t="str">
        <f aca="false">IF(AA392&lt;1,"a) &lt;1 min",IF(AA392&lt;10,"b) 1-10 min",IF(AA392&lt;60,"c) 10-60 min",IF(AA392&lt;240,"d) 1-4 h","e) 4 h+"))))</f>
        <v>b) 1-10 min</v>
      </c>
      <c r="AC392" s="29" t="str">
        <f aca="false">IF(P392&lt;10,"a) &lt;10",IF(P392&lt;20,"b) 10-20",IF(P392&lt;40,"c) 20-40",IF(P392&lt;80,"d) 40-80","e) 80+"))))</f>
        <v>b) 10-20</v>
      </c>
      <c r="AD392" s="31" t="n">
        <f aca="false">Summary!$C$5+SUM(X$2:X392)</f>
        <v>13317.04</v>
      </c>
      <c r="AE392" s="31" t="n">
        <f aca="false">MAX(AE391,AD392)</f>
        <v>13805.92</v>
      </c>
      <c r="AF392" s="31" t="n">
        <f aca="false">AE392-AD392</f>
        <v>488.879999999999</v>
      </c>
      <c r="AG392" s="30" t="n">
        <f aca="false">IFERROR(AF392/AE392,0)</f>
        <v>0.0354108961952553</v>
      </c>
    </row>
    <row r="393" customFormat="false" ht="15" hidden="false" customHeight="false" outlineLevel="0" collapsed="false">
      <c r="A393" s="29" t="n">
        <v>392</v>
      </c>
      <c r="B393" s="44" t="n">
        <v>45198.4388888889</v>
      </c>
      <c r="C393" s="44" t="n">
        <v>45198.4394097222</v>
      </c>
      <c r="D393" s="43" t="n">
        <f aca="false">INT(C393)</f>
        <v>45198</v>
      </c>
      <c r="E393" s="43" t="n">
        <f aca="false">D393-WEEKDAY(D393,3)</f>
        <v>45194</v>
      </c>
      <c r="F393" s="29" t="s">
        <v>161</v>
      </c>
      <c r="G393" s="29" t="n">
        <v>2023</v>
      </c>
      <c r="H393" s="29" t="s">
        <v>254</v>
      </c>
      <c r="I393" s="29" t="n">
        <v>10</v>
      </c>
      <c r="J393" s="29" t="s">
        <v>246</v>
      </c>
      <c r="K393" s="29" t="s">
        <v>247</v>
      </c>
      <c r="L393" s="29" t="n">
        <v>0.04</v>
      </c>
      <c r="M393" s="32" t="n">
        <v>14794.21</v>
      </c>
      <c r="N393" s="32" t="n">
        <v>14790.24</v>
      </c>
      <c r="O393" s="32" t="n">
        <v>14803.91</v>
      </c>
      <c r="P393" s="45" t="n">
        <f aca="false">ABS(M393-N393)</f>
        <v>3.96999999999935</v>
      </c>
      <c r="Q393" s="45" t="n">
        <f aca="false">IF(O393="","",ABS(O393-M393))</f>
        <v>9.70000000000073</v>
      </c>
      <c r="R393" s="31" t="n">
        <f aca="false">P393*L393*Summary!$C$6</f>
        <v>15.8799999999974</v>
      </c>
      <c r="S393" s="32" t="n">
        <v>14789.21</v>
      </c>
      <c r="T393" s="29" t="s">
        <v>249</v>
      </c>
      <c r="U393" s="45" t="n">
        <f aca="false">IF(J393="BUY",S393-M393,M393-S393)</f>
        <v>-5</v>
      </c>
      <c r="V393" s="46" t="n">
        <v>0</v>
      </c>
      <c r="W393" s="46" t="n">
        <v>0</v>
      </c>
      <c r="X393" s="46" t="n">
        <v>-20</v>
      </c>
      <c r="Y393" s="33" t="n">
        <f aca="false">IFERROR(X393/R393,0)</f>
        <v>-1.25944584382892</v>
      </c>
      <c r="Z393" s="29" t="str">
        <f aca="false">IF(X393&gt;0,"Win",IF(X393&lt;0,"Loss","Flat"))</f>
        <v>Loss</v>
      </c>
      <c r="AA393" s="29" t="n">
        <f aca="false">ROUND((C393-B393)*1440,1)</f>
        <v>0.8</v>
      </c>
      <c r="AB393" s="29" t="str">
        <f aca="false">IF(AA393&lt;1,"a) &lt;1 min",IF(AA393&lt;10,"b) 1-10 min",IF(AA393&lt;60,"c) 10-60 min",IF(AA393&lt;240,"d) 1-4 h","e) 4 h+"))))</f>
        <v>a) &lt;1 min</v>
      </c>
      <c r="AC393" s="29" t="str">
        <f aca="false">IF(P393&lt;10,"a) &lt;10",IF(P393&lt;20,"b) 10-20",IF(P393&lt;40,"c) 20-40",IF(P393&lt;80,"d) 40-80","e) 80+"))))</f>
        <v>a) &lt;10</v>
      </c>
      <c r="AD393" s="31" t="n">
        <f aca="false">Summary!$C$5+SUM(X$2:X393)</f>
        <v>13297.04</v>
      </c>
      <c r="AE393" s="31" t="n">
        <f aca="false">MAX(AE392,AD393)</f>
        <v>13805.92</v>
      </c>
      <c r="AF393" s="31" t="n">
        <f aca="false">AE393-AD393</f>
        <v>508.879999999999</v>
      </c>
      <c r="AG393" s="30" t="n">
        <f aca="false">IFERROR(AF393/AE393,0)</f>
        <v>0.0368595501060414</v>
      </c>
    </row>
    <row r="394" customFormat="false" ht="15" hidden="false" customHeight="false" outlineLevel="0" collapsed="false">
      <c r="A394" s="29" t="n">
        <v>393</v>
      </c>
      <c r="B394" s="44" t="n">
        <v>45202.7152777778</v>
      </c>
      <c r="C394" s="44" t="n">
        <v>45202.7161574074</v>
      </c>
      <c r="D394" s="43" t="n">
        <f aca="false">INT(C394)</f>
        <v>45202</v>
      </c>
      <c r="E394" s="43" t="n">
        <f aca="false">D394-WEEKDAY(D394,3)</f>
        <v>45201</v>
      </c>
      <c r="F394" s="29" t="s">
        <v>162</v>
      </c>
      <c r="G394" s="29" t="n">
        <v>2023</v>
      </c>
      <c r="H394" s="29" t="s">
        <v>248</v>
      </c>
      <c r="I394" s="29" t="n">
        <v>17</v>
      </c>
      <c r="J394" s="29" t="s">
        <v>250</v>
      </c>
      <c r="K394" s="29" t="s">
        <v>251</v>
      </c>
      <c r="L394" s="29" t="n">
        <v>0.04</v>
      </c>
      <c r="M394" s="32" t="n">
        <v>14673.21</v>
      </c>
      <c r="N394" s="32" t="n">
        <v>14688.98</v>
      </c>
      <c r="O394" s="32" t="n">
        <v>14632.09</v>
      </c>
      <c r="P394" s="45" t="n">
        <f aca="false">ABS(M394-N394)</f>
        <v>15.7700000000004</v>
      </c>
      <c r="Q394" s="45" t="n">
        <f aca="false">IF(O394="","",ABS(O394-M394))</f>
        <v>41.119999999999</v>
      </c>
      <c r="R394" s="31" t="n">
        <f aca="false">P394*L394*Summary!$C$6</f>
        <v>63.0800000000017</v>
      </c>
      <c r="S394" s="32" t="n">
        <v>14689.23</v>
      </c>
      <c r="T394" s="29" t="s">
        <v>249</v>
      </c>
      <c r="U394" s="45" t="n">
        <f aca="false">IF(J394="BUY",S394-M394,M394-S394)</f>
        <v>-16.0200000000004</v>
      </c>
      <c r="V394" s="46" t="n">
        <v>0</v>
      </c>
      <c r="W394" s="46" t="n">
        <v>0</v>
      </c>
      <c r="X394" s="46" t="n">
        <v>-64.08</v>
      </c>
      <c r="Y394" s="33" t="n">
        <f aca="false">IFERROR(X394/R394,0)</f>
        <v>-1.01585288522508</v>
      </c>
      <c r="Z394" s="29" t="str">
        <f aca="false">IF(X394&gt;0,"Win",IF(X394&lt;0,"Loss","Flat"))</f>
        <v>Loss</v>
      </c>
      <c r="AA394" s="29" t="n">
        <f aca="false">ROUND((C394-B394)*1440,1)</f>
        <v>1.3</v>
      </c>
      <c r="AB394" s="29" t="str">
        <f aca="false">IF(AA394&lt;1,"a) &lt;1 min",IF(AA394&lt;10,"b) 1-10 min",IF(AA394&lt;60,"c) 10-60 min",IF(AA394&lt;240,"d) 1-4 h","e) 4 h+"))))</f>
        <v>b) 1-10 min</v>
      </c>
      <c r="AC394" s="29" t="str">
        <f aca="false">IF(P394&lt;10,"a) &lt;10",IF(P394&lt;20,"b) 10-20",IF(P394&lt;40,"c) 20-40",IF(P394&lt;80,"d) 40-80","e) 80+"))))</f>
        <v>b) 10-20</v>
      </c>
      <c r="AD394" s="31" t="n">
        <f aca="false">Summary!$C$5+SUM(X$2:X394)</f>
        <v>13232.96</v>
      </c>
      <c r="AE394" s="31" t="n">
        <f aca="false">MAX(AE393,AD394)</f>
        <v>13805.92</v>
      </c>
      <c r="AF394" s="31" t="n">
        <f aca="false">AE394-AD394</f>
        <v>572.960000000001</v>
      </c>
      <c r="AG394" s="30" t="n">
        <f aca="false">IFERROR(AF394/AE394,0)</f>
        <v>0.0415010372362002</v>
      </c>
    </row>
    <row r="395" customFormat="false" ht="15" hidden="false" customHeight="false" outlineLevel="0" collapsed="false">
      <c r="A395" s="29" t="n">
        <v>394</v>
      </c>
      <c r="B395" s="44" t="n">
        <v>45203.2847222222</v>
      </c>
      <c r="C395" s="44" t="n">
        <v>45203.2875810185</v>
      </c>
      <c r="D395" s="43" t="n">
        <f aca="false">INT(C395)</f>
        <v>45203</v>
      </c>
      <c r="E395" s="43" t="n">
        <f aca="false">D395-WEEKDAY(D395,3)</f>
        <v>45201</v>
      </c>
      <c r="F395" s="29" t="s">
        <v>162</v>
      </c>
      <c r="G395" s="29" t="n">
        <v>2023</v>
      </c>
      <c r="H395" s="29" t="s">
        <v>252</v>
      </c>
      <c r="I395" s="29" t="n">
        <v>6</v>
      </c>
      <c r="J395" s="29" t="s">
        <v>250</v>
      </c>
      <c r="K395" s="29" t="s">
        <v>251</v>
      </c>
      <c r="L395" s="29" t="n">
        <v>0.04</v>
      </c>
      <c r="M395" s="32" t="n">
        <v>14498.11</v>
      </c>
      <c r="N395" s="32" t="n">
        <v>14504.34</v>
      </c>
      <c r="O395" s="32" t="n">
        <v>14483.19</v>
      </c>
      <c r="P395" s="45" t="n">
        <f aca="false">ABS(M395-N395)</f>
        <v>6.22999999999956</v>
      </c>
      <c r="Q395" s="45" t="n">
        <f aca="false">IF(O395="","",ABS(O395-M395))</f>
        <v>14.9200000000001</v>
      </c>
      <c r="R395" s="31" t="n">
        <f aca="false">P395*L395*Summary!$C$6</f>
        <v>24.9199999999983</v>
      </c>
      <c r="S395" s="32" t="n">
        <v>14504.62</v>
      </c>
      <c r="T395" s="29" t="s">
        <v>249</v>
      </c>
      <c r="U395" s="45" t="n">
        <f aca="false">IF(J395="BUY",S395-M395,M395-S395)</f>
        <v>-6.51000000000022</v>
      </c>
      <c r="V395" s="46" t="n">
        <v>0</v>
      </c>
      <c r="W395" s="46" t="n">
        <v>0</v>
      </c>
      <c r="X395" s="46" t="n">
        <v>-26.04</v>
      </c>
      <c r="Y395" s="33" t="n">
        <f aca="false">IFERROR(X395/R395,0)</f>
        <v>-1.04494382022479</v>
      </c>
      <c r="Z395" s="29" t="str">
        <f aca="false">IF(X395&gt;0,"Win",IF(X395&lt;0,"Loss","Flat"))</f>
        <v>Loss</v>
      </c>
      <c r="AA395" s="29" t="n">
        <f aca="false">ROUND((C395-B395)*1440,1)</f>
        <v>4.1</v>
      </c>
      <c r="AB395" s="29" t="str">
        <f aca="false">IF(AA395&lt;1,"a) &lt;1 min",IF(AA395&lt;10,"b) 1-10 min",IF(AA395&lt;60,"c) 10-60 min",IF(AA395&lt;240,"d) 1-4 h","e) 4 h+"))))</f>
        <v>b) 1-10 min</v>
      </c>
      <c r="AC395" s="29" t="str">
        <f aca="false">IF(P395&lt;10,"a) &lt;10",IF(P395&lt;20,"b) 10-20",IF(P395&lt;40,"c) 20-40",IF(P395&lt;80,"d) 40-80","e) 80+"))))</f>
        <v>a) &lt;10</v>
      </c>
      <c r="AD395" s="31" t="n">
        <f aca="false">Summary!$C$5+SUM(X$2:X395)</f>
        <v>13206.92</v>
      </c>
      <c r="AE395" s="31" t="n">
        <f aca="false">MAX(AE394,AD395)</f>
        <v>13805.92</v>
      </c>
      <c r="AF395" s="31" t="n">
        <f aca="false">AE395-AD395</f>
        <v>599</v>
      </c>
      <c r="AG395" s="30" t="n">
        <f aca="false">IFERROR(AF395/AE395,0)</f>
        <v>0.0433871846280436</v>
      </c>
    </row>
    <row r="396" customFormat="false" ht="15" hidden="false" customHeight="false" outlineLevel="0" collapsed="false">
      <c r="A396" s="29" t="n">
        <v>395</v>
      </c>
      <c r="B396" s="44" t="n">
        <v>45204.6284722222</v>
      </c>
      <c r="C396" s="44" t="n">
        <v>45204.6303472222</v>
      </c>
      <c r="D396" s="43" t="n">
        <f aca="false">INT(C396)</f>
        <v>45204</v>
      </c>
      <c r="E396" s="43" t="n">
        <f aca="false">D396-WEEKDAY(D396,3)</f>
        <v>45201</v>
      </c>
      <c r="F396" s="29" t="s">
        <v>162</v>
      </c>
      <c r="G396" s="29" t="n">
        <v>2023</v>
      </c>
      <c r="H396" s="29" t="s">
        <v>253</v>
      </c>
      <c r="I396" s="29" t="n">
        <v>15</v>
      </c>
      <c r="J396" s="29" t="s">
        <v>246</v>
      </c>
      <c r="K396" s="29" t="s">
        <v>247</v>
      </c>
      <c r="L396" s="29" t="n">
        <v>0.04</v>
      </c>
      <c r="M396" s="32" t="n">
        <v>14810.84</v>
      </c>
      <c r="N396" s="32" t="n">
        <v>14804.29</v>
      </c>
      <c r="O396" s="32" t="n">
        <v>14828.3</v>
      </c>
      <c r="P396" s="45" t="n">
        <f aca="false">ABS(M396-N396)</f>
        <v>6.54999999999927</v>
      </c>
      <c r="Q396" s="45" t="n">
        <f aca="false">IF(O396="","",ABS(O396-M396))</f>
        <v>17.4599999999991</v>
      </c>
      <c r="R396" s="31" t="n">
        <f aca="false">P396*L396*Summary!$C$6</f>
        <v>26.1999999999971</v>
      </c>
      <c r="S396" s="32" t="n">
        <v>14804.25</v>
      </c>
      <c r="T396" s="29" t="s">
        <v>249</v>
      </c>
      <c r="U396" s="45" t="n">
        <f aca="false">IF(J396="BUY",S396-M396,M396-S396)</f>
        <v>-6.59000000000015</v>
      </c>
      <c r="V396" s="46" t="n">
        <v>0</v>
      </c>
      <c r="W396" s="46" t="n">
        <v>0</v>
      </c>
      <c r="X396" s="46" t="n">
        <v>-26.36</v>
      </c>
      <c r="Y396" s="33" t="n">
        <f aca="false">IFERROR(X396/R396,0)</f>
        <v>-1.00610687022912</v>
      </c>
      <c r="Z396" s="29" t="str">
        <f aca="false">IF(X396&gt;0,"Win",IF(X396&lt;0,"Loss","Flat"))</f>
        <v>Loss</v>
      </c>
      <c r="AA396" s="29" t="n">
        <f aca="false">ROUND((C396-B396)*1440,1)</f>
        <v>2.7</v>
      </c>
      <c r="AB396" s="29" t="str">
        <f aca="false">IF(AA396&lt;1,"a) &lt;1 min",IF(AA396&lt;10,"b) 1-10 min",IF(AA396&lt;60,"c) 10-60 min",IF(AA396&lt;240,"d) 1-4 h","e) 4 h+"))))</f>
        <v>b) 1-10 min</v>
      </c>
      <c r="AC396" s="29" t="str">
        <f aca="false">IF(P396&lt;10,"a) &lt;10",IF(P396&lt;20,"b) 10-20",IF(P396&lt;40,"c) 20-40",IF(P396&lt;80,"d) 40-80","e) 80+"))))</f>
        <v>a) &lt;10</v>
      </c>
      <c r="AD396" s="31" t="n">
        <f aca="false">Summary!$C$5+SUM(X$2:X396)</f>
        <v>13180.56</v>
      </c>
      <c r="AE396" s="31" t="n">
        <f aca="false">MAX(AE395,AD396)</f>
        <v>13805.92</v>
      </c>
      <c r="AF396" s="31" t="n">
        <f aca="false">AE396-AD396</f>
        <v>625.360000000001</v>
      </c>
      <c r="AG396" s="30" t="n">
        <f aca="false">IFERROR(AF396/AE396,0)</f>
        <v>0.0452965104824597</v>
      </c>
    </row>
    <row r="397" customFormat="false" ht="15" hidden="false" customHeight="false" outlineLevel="0" collapsed="false">
      <c r="A397" s="29" t="n">
        <v>396</v>
      </c>
      <c r="B397" s="44" t="n">
        <v>45205.6479166667</v>
      </c>
      <c r="C397" s="44" t="n">
        <v>45205.682650463</v>
      </c>
      <c r="D397" s="43" t="n">
        <f aca="false">INT(C397)</f>
        <v>45205</v>
      </c>
      <c r="E397" s="43" t="n">
        <f aca="false">D397-WEEKDAY(D397,3)</f>
        <v>45201</v>
      </c>
      <c r="F397" s="29" t="s">
        <v>162</v>
      </c>
      <c r="G397" s="29" t="n">
        <v>2023</v>
      </c>
      <c r="H397" s="29" t="s">
        <v>254</v>
      </c>
      <c r="I397" s="29" t="n">
        <v>15</v>
      </c>
      <c r="J397" s="29" t="s">
        <v>250</v>
      </c>
      <c r="K397" s="29" t="s">
        <v>251</v>
      </c>
      <c r="L397" s="29" t="n">
        <v>0.04</v>
      </c>
      <c r="M397" s="32" t="n">
        <v>14559.75</v>
      </c>
      <c r="N397" s="32" t="n">
        <v>14619.53</v>
      </c>
      <c r="O397" s="32" t="n">
        <v>14413.47</v>
      </c>
      <c r="P397" s="45" t="n">
        <f aca="false">ABS(M397-N397)</f>
        <v>59.7800000000007</v>
      </c>
      <c r="Q397" s="45" t="n">
        <f aca="false">IF(O397="","",ABS(O397-M397))</f>
        <v>146.280000000001</v>
      </c>
      <c r="R397" s="31" t="n">
        <f aca="false">P397*L397*Summary!$C$6</f>
        <v>239.120000000003</v>
      </c>
      <c r="S397" s="32" t="n">
        <v>14621.12</v>
      </c>
      <c r="T397" s="29" t="s">
        <v>249</v>
      </c>
      <c r="U397" s="45" t="n">
        <f aca="false">IF(J397="BUY",S397-M397,M397-S397)</f>
        <v>-61.3700000000008</v>
      </c>
      <c r="V397" s="46" t="n">
        <v>0</v>
      </c>
      <c r="W397" s="46" t="n">
        <v>0</v>
      </c>
      <c r="X397" s="46" t="n">
        <v>-245.48</v>
      </c>
      <c r="Y397" s="33" t="n">
        <f aca="false">IFERROR(X397/R397,0)</f>
        <v>-1.02659752425559</v>
      </c>
      <c r="Z397" s="29" t="str">
        <f aca="false">IF(X397&gt;0,"Win",IF(X397&lt;0,"Loss","Flat"))</f>
        <v>Loss</v>
      </c>
      <c r="AA397" s="29" t="n">
        <f aca="false">ROUND((C397-B397)*1440,1)</f>
        <v>50</v>
      </c>
      <c r="AB397" s="29" t="str">
        <f aca="false">IF(AA397&lt;1,"a) &lt;1 min",IF(AA397&lt;10,"b) 1-10 min",IF(AA397&lt;60,"c) 10-60 min",IF(AA397&lt;240,"d) 1-4 h","e) 4 h+"))))</f>
        <v>c) 10-60 min</v>
      </c>
      <c r="AC397" s="29" t="str">
        <f aca="false">IF(P397&lt;10,"a) &lt;10",IF(P397&lt;20,"b) 10-20",IF(P397&lt;40,"c) 20-40",IF(P397&lt;80,"d) 40-80","e) 80+"))))</f>
        <v>d) 40-80</v>
      </c>
      <c r="AD397" s="31" t="n">
        <f aca="false">Summary!$C$5+SUM(X$2:X397)</f>
        <v>12935.08</v>
      </c>
      <c r="AE397" s="31" t="n">
        <f aca="false">MAX(AE396,AD397)</f>
        <v>13805.92</v>
      </c>
      <c r="AF397" s="31" t="n">
        <f aca="false">AE397-AD397</f>
        <v>870.84</v>
      </c>
      <c r="AG397" s="30" t="n">
        <f aca="false">IFERROR(AF397/AE397,0)</f>
        <v>0.0630772885834483</v>
      </c>
    </row>
    <row r="398" customFormat="false" ht="15" hidden="false" customHeight="false" outlineLevel="0" collapsed="false">
      <c r="A398" s="29" t="n">
        <v>397</v>
      </c>
      <c r="B398" s="44" t="n">
        <v>45205.7729166667</v>
      </c>
      <c r="C398" s="44" t="n">
        <v>45205.7784259259</v>
      </c>
      <c r="D398" s="43" t="n">
        <f aca="false">INT(C398)</f>
        <v>45205</v>
      </c>
      <c r="E398" s="43" t="n">
        <f aca="false">D398-WEEKDAY(D398,3)</f>
        <v>45201</v>
      </c>
      <c r="F398" s="29" t="s">
        <v>162</v>
      </c>
      <c r="G398" s="29" t="n">
        <v>2023</v>
      </c>
      <c r="H398" s="29" t="s">
        <v>254</v>
      </c>
      <c r="I398" s="29" t="n">
        <v>18</v>
      </c>
      <c r="J398" s="29" t="s">
        <v>246</v>
      </c>
      <c r="K398" s="29" t="s">
        <v>247</v>
      </c>
      <c r="L398" s="29" t="n">
        <v>0.04</v>
      </c>
      <c r="M398" s="32" t="n">
        <v>14817.57</v>
      </c>
      <c r="N398" s="32" t="n">
        <v>14798.71</v>
      </c>
      <c r="O398" s="32" t="n">
        <v>14863.7</v>
      </c>
      <c r="P398" s="45" t="n">
        <f aca="false">ABS(M398-N398)</f>
        <v>18.8600000000006</v>
      </c>
      <c r="Q398" s="45" t="n">
        <f aca="false">IF(O398="","",ABS(O398-M398))</f>
        <v>46.130000000001</v>
      </c>
      <c r="R398" s="31" t="n">
        <f aca="false">P398*L398*Summary!$C$6</f>
        <v>75.4400000000023</v>
      </c>
      <c r="S398" s="32" t="n">
        <v>14863.76</v>
      </c>
      <c r="T398" s="29" t="s">
        <v>227</v>
      </c>
      <c r="U398" s="45" t="n">
        <f aca="false">IF(J398="BUY",S398-M398,M398-S398)</f>
        <v>46.1900000000005</v>
      </c>
      <c r="V398" s="46" t="n">
        <v>0</v>
      </c>
      <c r="W398" s="46" t="n">
        <v>0</v>
      </c>
      <c r="X398" s="46" t="n">
        <v>184.76</v>
      </c>
      <c r="Y398" s="33" t="n">
        <f aca="false">IFERROR(X398/R398,0)</f>
        <v>2.44909862142092</v>
      </c>
      <c r="Z398" s="29" t="str">
        <f aca="false">IF(X398&gt;0,"Win",IF(X398&lt;0,"Loss","Flat"))</f>
        <v>Win</v>
      </c>
      <c r="AA398" s="29" t="n">
        <f aca="false">ROUND((C398-B398)*1440,1)</f>
        <v>7.9</v>
      </c>
      <c r="AB398" s="29" t="str">
        <f aca="false">IF(AA398&lt;1,"a) &lt;1 min",IF(AA398&lt;10,"b) 1-10 min",IF(AA398&lt;60,"c) 10-60 min",IF(AA398&lt;240,"d) 1-4 h","e) 4 h+"))))</f>
        <v>b) 1-10 min</v>
      </c>
      <c r="AC398" s="29" t="str">
        <f aca="false">IF(P398&lt;10,"a) &lt;10",IF(P398&lt;20,"b) 10-20",IF(P398&lt;40,"c) 20-40",IF(P398&lt;80,"d) 40-80","e) 80+"))))</f>
        <v>b) 10-20</v>
      </c>
      <c r="AD398" s="31" t="n">
        <f aca="false">Summary!$C$5+SUM(X$2:X398)</f>
        <v>13119.84</v>
      </c>
      <c r="AE398" s="31" t="n">
        <f aca="false">MAX(AE397,AD398)</f>
        <v>13805.92</v>
      </c>
      <c r="AF398" s="31" t="n">
        <f aca="false">AE398-AD398</f>
        <v>686.08</v>
      </c>
      <c r="AG398" s="30" t="n">
        <f aca="false">IFERROR(AF398/AE398,0)</f>
        <v>0.0496946237556063</v>
      </c>
    </row>
    <row r="399" customFormat="false" ht="15" hidden="false" customHeight="false" outlineLevel="0" collapsed="false">
      <c r="A399" s="29" t="n">
        <v>398</v>
      </c>
      <c r="B399" s="44" t="n">
        <v>45208.8638888889</v>
      </c>
      <c r="C399" s="44" t="n">
        <v>45208.8656365741</v>
      </c>
      <c r="D399" s="43" t="n">
        <f aca="false">INT(C399)</f>
        <v>45208</v>
      </c>
      <c r="E399" s="43" t="n">
        <f aca="false">D399-WEEKDAY(D399,3)</f>
        <v>45208</v>
      </c>
      <c r="F399" s="29" t="s">
        <v>162</v>
      </c>
      <c r="G399" s="29" t="n">
        <v>2023</v>
      </c>
      <c r="H399" s="29" t="s">
        <v>245</v>
      </c>
      <c r="I399" s="29" t="n">
        <v>20</v>
      </c>
      <c r="J399" s="29" t="s">
        <v>246</v>
      </c>
      <c r="K399" s="29" t="s">
        <v>247</v>
      </c>
      <c r="L399" s="29" t="n">
        <v>0.04</v>
      </c>
      <c r="M399" s="32" t="n">
        <v>15027.62</v>
      </c>
      <c r="N399" s="32" t="n">
        <v>15018.66</v>
      </c>
      <c r="O399" s="32" t="n">
        <v>15049.4</v>
      </c>
      <c r="P399" s="45" t="n">
        <f aca="false">ABS(M399-N399)</f>
        <v>8.96000000000095</v>
      </c>
      <c r="Q399" s="45" t="n">
        <f aca="false">IF(O399="","",ABS(O399-M399))</f>
        <v>21.7799999999988</v>
      </c>
      <c r="R399" s="31" t="n">
        <f aca="false">P399*L399*Summary!$C$6</f>
        <v>35.8400000000038</v>
      </c>
      <c r="S399" s="32" t="n">
        <v>15017.88</v>
      </c>
      <c r="T399" s="29" t="s">
        <v>249</v>
      </c>
      <c r="U399" s="45" t="n">
        <f aca="false">IF(J399="BUY",S399-M399,M399-S399)</f>
        <v>-9.7400000000016</v>
      </c>
      <c r="V399" s="46" t="n">
        <v>0</v>
      </c>
      <c r="W399" s="46" t="n">
        <v>0</v>
      </c>
      <c r="X399" s="46" t="n">
        <v>-38.96</v>
      </c>
      <c r="Y399" s="33" t="n">
        <f aca="false">IFERROR(X399/R399,0)</f>
        <v>-1.08705357142846</v>
      </c>
      <c r="Z399" s="29" t="str">
        <f aca="false">IF(X399&gt;0,"Win",IF(X399&lt;0,"Loss","Flat"))</f>
        <v>Loss</v>
      </c>
      <c r="AA399" s="29" t="n">
        <f aca="false">ROUND((C399-B399)*1440,1)</f>
        <v>2.5</v>
      </c>
      <c r="AB399" s="29" t="str">
        <f aca="false">IF(AA399&lt;1,"a) &lt;1 min",IF(AA399&lt;10,"b) 1-10 min",IF(AA399&lt;60,"c) 10-60 min",IF(AA399&lt;240,"d) 1-4 h","e) 4 h+"))))</f>
        <v>b) 1-10 min</v>
      </c>
      <c r="AC399" s="29" t="str">
        <f aca="false">IF(P399&lt;10,"a) &lt;10",IF(P399&lt;20,"b) 10-20",IF(P399&lt;40,"c) 20-40",IF(P399&lt;80,"d) 40-80","e) 80+"))))</f>
        <v>a) &lt;10</v>
      </c>
      <c r="AD399" s="31" t="n">
        <f aca="false">Summary!$C$5+SUM(X$2:X399)</f>
        <v>13080.88</v>
      </c>
      <c r="AE399" s="31" t="n">
        <f aca="false">MAX(AE398,AD399)</f>
        <v>13805.92</v>
      </c>
      <c r="AF399" s="31" t="n">
        <f aca="false">AE399-AD399</f>
        <v>725.039999999999</v>
      </c>
      <c r="AG399" s="30" t="n">
        <f aca="false">IFERROR(AF399/AE399,0)</f>
        <v>0.0525166015738175</v>
      </c>
    </row>
    <row r="400" customFormat="false" ht="15" hidden="false" customHeight="false" outlineLevel="0" collapsed="false">
      <c r="A400" s="29" t="n">
        <v>399</v>
      </c>
      <c r="B400" s="44" t="n">
        <v>45209.1458333333</v>
      </c>
      <c r="C400" s="44" t="n">
        <v>45209.1472800926</v>
      </c>
      <c r="D400" s="43" t="n">
        <f aca="false">INT(C400)</f>
        <v>45209</v>
      </c>
      <c r="E400" s="43" t="n">
        <f aca="false">D400-WEEKDAY(D400,3)</f>
        <v>45208</v>
      </c>
      <c r="F400" s="29" t="s">
        <v>162</v>
      </c>
      <c r="G400" s="29" t="n">
        <v>2023</v>
      </c>
      <c r="H400" s="29" t="s">
        <v>248</v>
      </c>
      <c r="I400" s="29" t="n">
        <v>3</v>
      </c>
      <c r="J400" s="29" t="s">
        <v>246</v>
      </c>
      <c r="K400" s="29" t="s">
        <v>247</v>
      </c>
      <c r="L400" s="29" t="n">
        <v>0.04</v>
      </c>
      <c r="M400" s="32" t="n">
        <v>15072.67</v>
      </c>
      <c r="N400" s="32" t="n">
        <v>15068.08</v>
      </c>
      <c r="O400" s="32" t="n">
        <v>15083.91</v>
      </c>
      <c r="P400" s="45" t="n">
        <f aca="false">ABS(M400-N400)</f>
        <v>4.59000000000015</v>
      </c>
      <c r="Q400" s="45" t="n">
        <f aca="false">IF(O400="","",ABS(O400-M400))</f>
        <v>11.2399999999998</v>
      </c>
      <c r="R400" s="31" t="n">
        <f aca="false">P400*L400*Summary!$C$6</f>
        <v>18.3600000000006</v>
      </c>
      <c r="S400" s="32" t="n">
        <v>15068.07</v>
      </c>
      <c r="T400" s="29" t="s">
        <v>249</v>
      </c>
      <c r="U400" s="45" t="n">
        <f aca="false">IF(J400="BUY",S400-M400,M400-S400)</f>
        <v>-4.60000000000036</v>
      </c>
      <c r="V400" s="46" t="n">
        <v>0</v>
      </c>
      <c r="W400" s="46" t="n">
        <v>0</v>
      </c>
      <c r="X400" s="46" t="n">
        <v>-18.4</v>
      </c>
      <c r="Y400" s="33" t="n">
        <f aca="false">IFERROR(X400/R400,0)</f>
        <v>-1.00217864923744</v>
      </c>
      <c r="Z400" s="29" t="str">
        <f aca="false">IF(X400&gt;0,"Win",IF(X400&lt;0,"Loss","Flat"))</f>
        <v>Loss</v>
      </c>
      <c r="AA400" s="29" t="n">
        <f aca="false">ROUND((C400-B400)*1440,1)</f>
        <v>2.1</v>
      </c>
      <c r="AB400" s="29" t="str">
        <f aca="false">IF(AA400&lt;1,"a) &lt;1 min",IF(AA400&lt;10,"b) 1-10 min",IF(AA400&lt;60,"c) 10-60 min",IF(AA400&lt;240,"d) 1-4 h","e) 4 h+"))))</f>
        <v>b) 1-10 min</v>
      </c>
      <c r="AC400" s="29" t="str">
        <f aca="false">IF(P400&lt;10,"a) &lt;10",IF(P400&lt;20,"b) 10-20",IF(P400&lt;40,"c) 20-40",IF(P400&lt;80,"d) 40-80","e) 80+"))))</f>
        <v>a) &lt;10</v>
      </c>
      <c r="AD400" s="31" t="n">
        <f aca="false">Summary!$C$5+SUM(X$2:X400)</f>
        <v>13062.48</v>
      </c>
      <c r="AE400" s="31" t="n">
        <f aca="false">MAX(AE399,AD400)</f>
        <v>13805.92</v>
      </c>
      <c r="AF400" s="31" t="n">
        <f aca="false">AE400-AD400</f>
        <v>743.440000000001</v>
      </c>
      <c r="AG400" s="30" t="n">
        <f aca="false">IFERROR(AF400/AE400,0)</f>
        <v>0.0538493631717409</v>
      </c>
    </row>
    <row r="401" customFormat="false" ht="15" hidden="false" customHeight="false" outlineLevel="0" collapsed="false">
      <c r="A401" s="29" t="n">
        <v>400</v>
      </c>
      <c r="B401" s="44" t="n">
        <v>45210.6930555556</v>
      </c>
      <c r="C401" s="44" t="n">
        <v>45210.6932986111</v>
      </c>
      <c r="D401" s="43" t="n">
        <f aca="false">INT(C401)</f>
        <v>45210</v>
      </c>
      <c r="E401" s="43" t="n">
        <f aca="false">D401-WEEKDAY(D401,3)</f>
        <v>45208</v>
      </c>
      <c r="F401" s="29" t="s">
        <v>162</v>
      </c>
      <c r="G401" s="29" t="n">
        <v>2023</v>
      </c>
      <c r="H401" s="29" t="s">
        <v>252</v>
      </c>
      <c r="I401" s="29" t="n">
        <v>16</v>
      </c>
      <c r="J401" s="29" t="s">
        <v>246</v>
      </c>
      <c r="K401" s="29" t="s">
        <v>247</v>
      </c>
      <c r="L401" s="29" t="n">
        <v>0.04</v>
      </c>
      <c r="M401" s="32" t="n">
        <v>15244.21</v>
      </c>
      <c r="N401" s="32" t="n">
        <v>15232.95</v>
      </c>
      <c r="O401" s="32" t="n">
        <v>15271.83</v>
      </c>
      <c r="P401" s="45" t="n">
        <f aca="false">ABS(M401-N401)</f>
        <v>11.2599999999984</v>
      </c>
      <c r="Q401" s="45" t="n">
        <f aca="false">IF(O401="","",ABS(O401-M401))</f>
        <v>27.6200000000008</v>
      </c>
      <c r="R401" s="31" t="n">
        <f aca="false">P401*L401*Summary!$C$6</f>
        <v>45.0399999999936</v>
      </c>
      <c r="S401" s="32" t="n">
        <v>15231.62</v>
      </c>
      <c r="T401" s="29" t="s">
        <v>249</v>
      </c>
      <c r="U401" s="45" t="n">
        <f aca="false">IF(J401="BUY",S401-M401,M401-S401)</f>
        <v>-12.5899999999983</v>
      </c>
      <c r="V401" s="46" t="n">
        <v>0</v>
      </c>
      <c r="W401" s="46" t="n">
        <v>0</v>
      </c>
      <c r="X401" s="46" t="n">
        <v>-50.36</v>
      </c>
      <c r="Y401" s="33" t="n">
        <f aca="false">IFERROR(X401/R401,0)</f>
        <v>-1.11811722912982</v>
      </c>
      <c r="Z401" s="29" t="str">
        <f aca="false">IF(X401&gt;0,"Win",IF(X401&lt;0,"Loss","Flat"))</f>
        <v>Loss</v>
      </c>
      <c r="AA401" s="29" t="n">
        <f aca="false">ROUND((C401-B401)*1440,1)</f>
        <v>0.4</v>
      </c>
      <c r="AB401" s="29" t="str">
        <f aca="false">IF(AA401&lt;1,"a) &lt;1 min",IF(AA401&lt;10,"b) 1-10 min",IF(AA401&lt;60,"c) 10-60 min",IF(AA401&lt;240,"d) 1-4 h","e) 4 h+"))))</f>
        <v>a) &lt;1 min</v>
      </c>
      <c r="AC401" s="29" t="str">
        <f aca="false">IF(P401&lt;10,"a) &lt;10",IF(P401&lt;20,"b) 10-20",IF(P401&lt;40,"c) 20-40",IF(P401&lt;80,"d) 40-80","e) 80+"))))</f>
        <v>b) 10-20</v>
      </c>
      <c r="AD401" s="31" t="n">
        <f aca="false">Summary!$C$5+SUM(X$2:X401)</f>
        <v>13012.12</v>
      </c>
      <c r="AE401" s="31" t="n">
        <f aca="false">MAX(AE400,AD401)</f>
        <v>13805.92</v>
      </c>
      <c r="AF401" s="31" t="n">
        <f aca="false">AE401-AD401</f>
        <v>793.800000000001</v>
      </c>
      <c r="AG401" s="30" t="n">
        <f aca="false">IFERROR(AF401/AE401,0)</f>
        <v>0.0574970737191003</v>
      </c>
    </row>
    <row r="402" customFormat="false" ht="15" hidden="false" customHeight="false" outlineLevel="0" collapsed="false">
      <c r="A402" s="29" t="n">
        <v>401</v>
      </c>
      <c r="B402" s="44" t="n">
        <v>45211.0958333333</v>
      </c>
      <c r="C402" s="44" t="n">
        <v>45211.0960763889</v>
      </c>
      <c r="D402" s="43" t="n">
        <f aca="false">INT(C402)</f>
        <v>45211</v>
      </c>
      <c r="E402" s="43" t="n">
        <f aca="false">D402-WEEKDAY(D402,3)</f>
        <v>45208</v>
      </c>
      <c r="F402" s="29" t="s">
        <v>162</v>
      </c>
      <c r="G402" s="29" t="n">
        <v>2023</v>
      </c>
      <c r="H402" s="29" t="s">
        <v>253</v>
      </c>
      <c r="I402" s="29" t="n">
        <v>2</v>
      </c>
      <c r="J402" s="29" t="s">
        <v>246</v>
      </c>
      <c r="K402" s="29" t="s">
        <v>247</v>
      </c>
      <c r="L402" s="29" t="n">
        <v>0.04</v>
      </c>
      <c r="M402" s="32" t="n">
        <v>15275.27</v>
      </c>
      <c r="N402" s="32" t="n">
        <v>15274.26</v>
      </c>
      <c r="O402" s="32" t="n">
        <v>15277.84</v>
      </c>
      <c r="P402" s="45" t="n">
        <f aca="false">ABS(M402-N402)</f>
        <v>1.01000000000022</v>
      </c>
      <c r="Q402" s="45" t="n">
        <f aca="false">IF(O402="","",ABS(O402-M402))</f>
        <v>2.56999999999971</v>
      </c>
      <c r="R402" s="31" t="n">
        <f aca="false">P402*L402*Summary!$C$6</f>
        <v>4.04000000000087</v>
      </c>
      <c r="S402" s="32" t="n">
        <v>15274.14</v>
      </c>
      <c r="T402" s="29" t="s">
        <v>249</v>
      </c>
      <c r="U402" s="45" t="n">
        <f aca="false">IF(J402="BUY",S402-M402,M402-S402)</f>
        <v>-1.13000000000102</v>
      </c>
      <c r="V402" s="46" t="n">
        <v>0</v>
      </c>
      <c r="W402" s="46" t="n">
        <v>0</v>
      </c>
      <c r="X402" s="46" t="n">
        <v>-4.52</v>
      </c>
      <c r="Y402" s="33" t="n">
        <f aca="false">IFERROR(X402/R402,0)</f>
        <v>-1.11881188118788</v>
      </c>
      <c r="Z402" s="29" t="str">
        <f aca="false">IF(X402&gt;0,"Win",IF(X402&lt;0,"Loss","Flat"))</f>
        <v>Loss</v>
      </c>
      <c r="AA402" s="29" t="n">
        <f aca="false">ROUND((C402-B402)*1440,1)</f>
        <v>0.4</v>
      </c>
      <c r="AB402" s="29" t="str">
        <f aca="false">IF(AA402&lt;1,"a) &lt;1 min",IF(AA402&lt;10,"b) 1-10 min",IF(AA402&lt;60,"c) 10-60 min",IF(AA402&lt;240,"d) 1-4 h","e) 4 h+"))))</f>
        <v>a) &lt;1 min</v>
      </c>
      <c r="AC402" s="29" t="str">
        <f aca="false">IF(P402&lt;10,"a) &lt;10",IF(P402&lt;20,"b) 10-20",IF(P402&lt;40,"c) 20-40",IF(P402&lt;80,"d) 40-80","e) 80+"))))</f>
        <v>a) &lt;10</v>
      </c>
      <c r="AD402" s="31" t="n">
        <f aca="false">Summary!$C$5+SUM(X$2:X402)</f>
        <v>13007.6</v>
      </c>
      <c r="AE402" s="31" t="n">
        <f aca="false">MAX(AE401,AD402)</f>
        <v>13805.92</v>
      </c>
      <c r="AF402" s="31" t="n">
        <f aca="false">AE402-AD402</f>
        <v>798.32</v>
      </c>
      <c r="AG402" s="30" t="n">
        <f aca="false">IFERROR(AF402/AE402,0)</f>
        <v>0.0578244695029379</v>
      </c>
    </row>
    <row r="403" customFormat="false" ht="15" hidden="false" customHeight="false" outlineLevel="0" collapsed="false">
      <c r="A403" s="29" t="n">
        <v>402</v>
      </c>
      <c r="B403" s="44" t="n">
        <v>45211.88125</v>
      </c>
      <c r="C403" s="44" t="n">
        <v>45211.8899305556</v>
      </c>
      <c r="D403" s="43" t="n">
        <f aca="false">INT(C403)</f>
        <v>45211</v>
      </c>
      <c r="E403" s="43" t="n">
        <f aca="false">D403-WEEKDAY(D403,3)</f>
        <v>45208</v>
      </c>
      <c r="F403" s="29" t="s">
        <v>162</v>
      </c>
      <c r="G403" s="29" t="n">
        <v>2023</v>
      </c>
      <c r="H403" s="29" t="s">
        <v>253</v>
      </c>
      <c r="I403" s="29" t="n">
        <v>21</v>
      </c>
      <c r="J403" s="29" t="s">
        <v>250</v>
      </c>
      <c r="K403" s="29" t="s">
        <v>251</v>
      </c>
      <c r="L403" s="29" t="n">
        <v>0.04</v>
      </c>
      <c r="M403" s="32" t="n">
        <v>15114.8</v>
      </c>
      <c r="N403" s="32" t="n">
        <v>15125.91</v>
      </c>
      <c r="O403" s="32" t="n">
        <v>15085.61</v>
      </c>
      <c r="P403" s="45" t="n">
        <f aca="false">ABS(M403-N403)</f>
        <v>11.1100000000006</v>
      </c>
      <c r="Q403" s="45" t="n">
        <f aca="false">IF(O403="","",ABS(O403-M403))</f>
        <v>29.1899999999987</v>
      </c>
      <c r="R403" s="31" t="n">
        <f aca="false">P403*L403*Summary!$C$6</f>
        <v>44.4400000000023</v>
      </c>
      <c r="S403" s="32" t="n">
        <v>15115.35</v>
      </c>
      <c r="T403" s="29" t="s">
        <v>255</v>
      </c>
      <c r="U403" s="45" t="n">
        <f aca="false">IF(J403="BUY",S403-M403,M403-S403)</f>
        <v>-0.550000000001091</v>
      </c>
      <c r="V403" s="46" t="n">
        <v>0</v>
      </c>
      <c r="W403" s="46" t="n">
        <v>0</v>
      </c>
      <c r="X403" s="46" t="n">
        <v>-2.2</v>
      </c>
      <c r="Y403" s="33" t="n">
        <f aca="false">IFERROR(X403/R403,0)</f>
        <v>-0.0495049504950469</v>
      </c>
      <c r="Z403" s="29" t="str">
        <f aca="false">IF(X403&gt;0,"Win",IF(X403&lt;0,"Loss","Flat"))</f>
        <v>Loss</v>
      </c>
      <c r="AA403" s="29" t="n">
        <f aca="false">ROUND((C403-B403)*1440,1)</f>
        <v>12.5</v>
      </c>
      <c r="AB403" s="29" t="str">
        <f aca="false">IF(AA403&lt;1,"a) &lt;1 min",IF(AA403&lt;10,"b) 1-10 min",IF(AA403&lt;60,"c) 10-60 min",IF(AA403&lt;240,"d) 1-4 h","e) 4 h+"))))</f>
        <v>c) 10-60 min</v>
      </c>
      <c r="AC403" s="29" t="str">
        <f aca="false">IF(P403&lt;10,"a) &lt;10",IF(P403&lt;20,"b) 10-20",IF(P403&lt;40,"c) 20-40",IF(P403&lt;80,"d) 40-80","e) 80+"))))</f>
        <v>b) 10-20</v>
      </c>
      <c r="AD403" s="31" t="n">
        <f aca="false">Summary!$C$5+SUM(X$2:X403)</f>
        <v>13005.4</v>
      </c>
      <c r="AE403" s="31" t="n">
        <f aca="false">MAX(AE402,AD403)</f>
        <v>13805.92</v>
      </c>
      <c r="AF403" s="31" t="n">
        <f aca="false">AE403-AD403</f>
        <v>800.52</v>
      </c>
      <c r="AG403" s="30" t="n">
        <f aca="false">IFERROR(AF403/AE403,0)</f>
        <v>0.0579838214331244</v>
      </c>
    </row>
    <row r="404" customFormat="false" ht="15" hidden="false" customHeight="false" outlineLevel="0" collapsed="false">
      <c r="A404" s="29" t="n">
        <v>403</v>
      </c>
      <c r="B404" s="44" t="n">
        <v>45212.7451388889</v>
      </c>
      <c r="C404" s="44" t="n">
        <v>45212.7464583333</v>
      </c>
      <c r="D404" s="43" t="n">
        <f aca="false">INT(C404)</f>
        <v>45212</v>
      </c>
      <c r="E404" s="43" t="n">
        <f aca="false">D404-WEEKDAY(D404,3)</f>
        <v>45208</v>
      </c>
      <c r="F404" s="29" t="s">
        <v>162</v>
      </c>
      <c r="G404" s="29" t="n">
        <v>2023</v>
      </c>
      <c r="H404" s="29" t="s">
        <v>254</v>
      </c>
      <c r="I404" s="29" t="n">
        <v>17</v>
      </c>
      <c r="J404" s="29" t="s">
        <v>250</v>
      </c>
      <c r="K404" s="29" t="s">
        <v>251</v>
      </c>
      <c r="L404" s="29" t="n">
        <v>0.04</v>
      </c>
      <c r="M404" s="32" t="n">
        <v>15078.05</v>
      </c>
      <c r="N404" s="32" t="n">
        <v>15093.96</v>
      </c>
      <c r="O404" s="32" t="n">
        <v>15037.16</v>
      </c>
      <c r="P404" s="45" t="n">
        <f aca="false">ABS(M404-N404)</f>
        <v>15.9099999999999</v>
      </c>
      <c r="Q404" s="45" t="n">
        <f aca="false">IF(O404="","",ABS(O404-M404))</f>
        <v>40.8899999999994</v>
      </c>
      <c r="R404" s="31" t="n">
        <f aca="false">P404*L404*Summary!$C$6</f>
        <v>63.6399999999994</v>
      </c>
      <c r="S404" s="32" t="n">
        <v>15078.71</v>
      </c>
      <c r="T404" s="29" t="s">
        <v>255</v>
      </c>
      <c r="U404" s="45" t="n">
        <f aca="false">IF(J404="BUY",S404-M404,M404-S404)</f>
        <v>-0.659999999999855</v>
      </c>
      <c r="V404" s="46" t="n">
        <v>0</v>
      </c>
      <c r="W404" s="46" t="n">
        <v>0</v>
      </c>
      <c r="X404" s="46" t="n">
        <v>-2.64</v>
      </c>
      <c r="Y404" s="33" t="n">
        <f aca="false">IFERROR(X404/R404,0)</f>
        <v>-0.0414833438089256</v>
      </c>
      <c r="Z404" s="29" t="str">
        <f aca="false">IF(X404&gt;0,"Win",IF(X404&lt;0,"Loss","Flat"))</f>
        <v>Loss</v>
      </c>
      <c r="AA404" s="29" t="n">
        <f aca="false">ROUND((C404-B404)*1440,1)</f>
        <v>1.9</v>
      </c>
      <c r="AB404" s="29" t="str">
        <f aca="false">IF(AA404&lt;1,"a) &lt;1 min",IF(AA404&lt;10,"b) 1-10 min",IF(AA404&lt;60,"c) 10-60 min",IF(AA404&lt;240,"d) 1-4 h","e) 4 h+"))))</f>
        <v>b) 1-10 min</v>
      </c>
      <c r="AC404" s="29" t="str">
        <f aca="false">IF(P404&lt;10,"a) &lt;10",IF(P404&lt;20,"b) 10-20",IF(P404&lt;40,"c) 20-40",IF(P404&lt;80,"d) 40-80","e) 80+"))))</f>
        <v>b) 10-20</v>
      </c>
      <c r="AD404" s="31" t="n">
        <f aca="false">Summary!$C$5+SUM(X$2:X404)</f>
        <v>13002.76</v>
      </c>
      <c r="AE404" s="31" t="n">
        <f aca="false">MAX(AE403,AD404)</f>
        <v>13805.92</v>
      </c>
      <c r="AF404" s="31" t="n">
        <f aca="false">AE404-AD404</f>
        <v>803.16</v>
      </c>
      <c r="AG404" s="30" t="n">
        <f aca="false">IFERROR(AF404/AE404,0)</f>
        <v>0.0581750437493481</v>
      </c>
    </row>
    <row r="405" customFormat="false" ht="15" hidden="false" customHeight="false" outlineLevel="0" collapsed="false">
      <c r="A405" s="29" t="n">
        <v>404</v>
      </c>
      <c r="B405" s="44" t="n">
        <v>45216.7</v>
      </c>
      <c r="C405" s="44" t="n">
        <v>45216.7052546296</v>
      </c>
      <c r="D405" s="43" t="n">
        <f aca="false">INT(C405)</f>
        <v>45216</v>
      </c>
      <c r="E405" s="43" t="n">
        <f aca="false">D405-WEEKDAY(D405,3)</f>
        <v>45215</v>
      </c>
      <c r="F405" s="29" t="s">
        <v>162</v>
      </c>
      <c r="G405" s="29" t="n">
        <v>2023</v>
      </c>
      <c r="H405" s="29" t="s">
        <v>248</v>
      </c>
      <c r="I405" s="29" t="n">
        <v>16</v>
      </c>
      <c r="J405" s="29" t="s">
        <v>250</v>
      </c>
      <c r="K405" s="29" t="s">
        <v>251</v>
      </c>
      <c r="L405" s="29" t="n">
        <v>0.04</v>
      </c>
      <c r="M405" s="32" t="n">
        <v>14952.72</v>
      </c>
      <c r="N405" s="32" t="n">
        <v>14971.06</v>
      </c>
      <c r="O405" s="32" t="n">
        <v>14907.67</v>
      </c>
      <c r="P405" s="45" t="n">
        <f aca="false">ABS(M405-N405)</f>
        <v>18.3400000000001</v>
      </c>
      <c r="Q405" s="45" t="n">
        <f aca="false">IF(O405="","",ABS(O405-M405))</f>
        <v>45.0499999999993</v>
      </c>
      <c r="R405" s="31" t="n">
        <f aca="false">P405*L405*Summary!$C$6</f>
        <v>73.3600000000006</v>
      </c>
      <c r="S405" s="32" t="n">
        <v>14952.79</v>
      </c>
      <c r="T405" s="29" t="s">
        <v>255</v>
      </c>
      <c r="U405" s="45" t="n">
        <f aca="false">IF(J405="BUY",S405-M405,M405-S405)</f>
        <v>-0.070000000001528</v>
      </c>
      <c r="V405" s="46" t="n">
        <v>0</v>
      </c>
      <c r="W405" s="46" t="n">
        <v>0</v>
      </c>
      <c r="X405" s="46" t="n">
        <v>-0.28</v>
      </c>
      <c r="Y405" s="33" t="n">
        <f aca="false">IFERROR(X405/R405,0)</f>
        <v>-0.00381679389312974</v>
      </c>
      <c r="Z405" s="29" t="str">
        <f aca="false">IF(X405&gt;0,"Win",IF(X405&lt;0,"Loss","Flat"))</f>
        <v>Loss</v>
      </c>
      <c r="AA405" s="29" t="n">
        <f aca="false">ROUND((C405-B405)*1440,1)</f>
        <v>7.6</v>
      </c>
      <c r="AB405" s="29" t="str">
        <f aca="false">IF(AA405&lt;1,"a) &lt;1 min",IF(AA405&lt;10,"b) 1-10 min",IF(AA405&lt;60,"c) 10-60 min",IF(AA405&lt;240,"d) 1-4 h","e) 4 h+"))))</f>
        <v>b) 1-10 min</v>
      </c>
      <c r="AC405" s="29" t="str">
        <f aca="false">IF(P405&lt;10,"a) &lt;10",IF(P405&lt;20,"b) 10-20",IF(P405&lt;40,"c) 20-40",IF(P405&lt;80,"d) 40-80","e) 80+"))))</f>
        <v>b) 10-20</v>
      </c>
      <c r="AD405" s="31" t="n">
        <f aca="false">Summary!$C$5+SUM(X$2:X405)</f>
        <v>13002.48</v>
      </c>
      <c r="AE405" s="31" t="n">
        <f aca="false">MAX(AE404,AD405)</f>
        <v>13805.92</v>
      </c>
      <c r="AF405" s="31" t="n">
        <f aca="false">AE405-AD405</f>
        <v>803.440000000001</v>
      </c>
      <c r="AG405" s="30" t="n">
        <f aca="false">IFERROR(AF405/AE405,0)</f>
        <v>0.0581953249040992</v>
      </c>
    </row>
    <row r="406" customFormat="false" ht="15" hidden="false" customHeight="false" outlineLevel="0" collapsed="false">
      <c r="A406" s="29" t="n">
        <v>405</v>
      </c>
      <c r="B406" s="44" t="n">
        <v>45217.91875</v>
      </c>
      <c r="C406" s="44" t="n">
        <v>45217.9285185185</v>
      </c>
      <c r="D406" s="43" t="n">
        <f aca="false">INT(C406)</f>
        <v>45217</v>
      </c>
      <c r="E406" s="43" t="n">
        <f aca="false">D406-WEEKDAY(D406,3)</f>
        <v>45215</v>
      </c>
      <c r="F406" s="29" t="s">
        <v>162</v>
      </c>
      <c r="G406" s="29" t="n">
        <v>2023</v>
      </c>
      <c r="H406" s="29" t="s">
        <v>252</v>
      </c>
      <c r="I406" s="29" t="n">
        <v>22</v>
      </c>
      <c r="J406" s="29" t="s">
        <v>250</v>
      </c>
      <c r="K406" s="29" t="s">
        <v>251</v>
      </c>
      <c r="L406" s="29" t="n">
        <v>0.04</v>
      </c>
      <c r="M406" s="32" t="n">
        <v>14927.32</v>
      </c>
      <c r="N406" s="32" t="n">
        <v>14935.33</v>
      </c>
      <c r="O406" s="32" t="n">
        <v>14907.01</v>
      </c>
      <c r="P406" s="45" t="n">
        <f aca="false">ABS(M406-N406)</f>
        <v>8.01000000000022</v>
      </c>
      <c r="Q406" s="45" t="n">
        <f aca="false">IF(O406="","",ABS(O406-M406))</f>
        <v>20.3099999999995</v>
      </c>
      <c r="R406" s="31" t="n">
        <f aca="false">P406*L406*Summary!$C$6</f>
        <v>32.0400000000009</v>
      </c>
      <c r="S406" s="32" t="n">
        <v>14928.16</v>
      </c>
      <c r="T406" s="29" t="s">
        <v>255</v>
      </c>
      <c r="U406" s="45" t="n">
        <f aca="false">IF(J406="BUY",S406-M406,M406-S406)</f>
        <v>-0.840000000000146</v>
      </c>
      <c r="V406" s="46" t="n">
        <v>0</v>
      </c>
      <c r="W406" s="46" t="n">
        <v>0</v>
      </c>
      <c r="X406" s="46" t="n">
        <v>-3.36</v>
      </c>
      <c r="Y406" s="33" t="n">
        <f aca="false">IFERROR(X406/R406,0)</f>
        <v>-0.104868913857675</v>
      </c>
      <c r="Z406" s="29" t="str">
        <f aca="false">IF(X406&gt;0,"Win",IF(X406&lt;0,"Loss","Flat"))</f>
        <v>Loss</v>
      </c>
      <c r="AA406" s="29" t="n">
        <f aca="false">ROUND((C406-B406)*1440,1)</f>
        <v>14.1</v>
      </c>
      <c r="AB406" s="29" t="str">
        <f aca="false">IF(AA406&lt;1,"a) &lt;1 min",IF(AA406&lt;10,"b) 1-10 min",IF(AA406&lt;60,"c) 10-60 min",IF(AA406&lt;240,"d) 1-4 h","e) 4 h+"))))</f>
        <v>c) 10-60 min</v>
      </c>
      <c r="AC406" s="29" t="str">
        <f aca="false">IF(P406&lt;10,"a) &lt;10",IF(P406&lt;20,"b) 10-20",IF(P406&lt;40,"c) 20-40",IF(P406&lt;80,"d) 40-80","e) 80+"))))</f>
        <v>a) &lt;10</v>
      </c>
      <c r="AD406" s="31" t="n">
        <f aca="false">Summary!$C$5+SUM(X$2:X406)</f>
        <v>12999.12</v>
      </c>
      <c r="AE406" s="31" t="n">
        <f aca="false">MAX(AE405,AD406)</f>
        <v>13805.92</v>
      </c>
      <c r="AF406" s="31" t="n">
        <f aca="false">AE406-AD406</f>
        <v>806.800000000001</v>
      </c>
      <c r="AG406" s="30" t="n">
        <f aca="false">IFERROR(AF406/AE406,0)</f>
        <v>0.0584386987611113</v>
      </c>
    </row>
    <row r="407" customFormat="false" ht="15" hidden="false" customHeight="false" outlineLevel="0" collapsed="false">
      <c r="A407" s="29" t="n">
        <v>406</v>
      </c>
      <c r="B407" s="44" t="n">
        <v>45218.4493055556</v>
      </c>
      <c r="C407" s="44" t="n">
        <v>45218.4528009259</v>
      </c>
      <c r="D407" s="43" t="n">
        <f aca="false">INT(C407)</f>
        <v>45218</v>
      </c>
      <c r="E407" s="43" t="n">
        <f aca="false">D407-WEEKDAY(D407,3)</f>
        <v>45215</v>
      </c>
      <c r="F407" s="29" t="s">
        <v>162</v>
      </c>
      <c r="G407" s="29" t="n">
        <v>2023</v>
      </c>
      <c r="H407" s="29" t="s">
        <v>253</v>
      </c>
      <c r="I407" s="29" t="n">
        <v>10</v>
      </c>
      <c r="J407" s="29" t="s">
        <v>250</v>
      </c>
      <c r="K407" s="29" t="s">
        <v>251</v>
      </c>
      <c r="L407" s="29" t="n">
        <v>0.04</v>
      </c>
      <c r="M407" s="32" t="n">
        <v>14860.03</v>
      </c>
      <c r="N407" s="32" t="n">
        <v>14869.87</v>
      </c>
      <c r="O407" s="32" t="n">
        <v>14836.09</v>
      </c>
      <c r="P407" s="45" t="n">
        <f aca="false">ABS(M407-N407)</f>
        <v>9.84000000000015</v>
      </c>
      <c r="Q407" s="45" t="n">
        <f aca="false">IF(O407="","",ABS(O407-M407))</f>
        <v>23.9400000000005</v>
      </c>
      <c r="R407" s="31" t="n">
        <f aca="false">P407*L407*Summary!$C$6</f>
        <v>39.3600000000006</v>
      </c>
      <c r="S407" s="32" t="n">
        <v>14833.33</v>
      </c>
      <c r="T407" s="29" t="s">
        <v>227</v>
      </c>
      <c r="U407" s="45" t="n">
        <f aca="false">IF(J407="BUY",S407-M407,M407-S407)</f>
        <v>26.7000000000007</v>
      </c>
      <c r="V407" s="46" t="n">
        <v>0</v>
      </c>
      <c r="W407" s="46" t="n">
        <v>0</v>
      </c>
      <c r="X407" s="46" t="n">
        <v>106.8</v>
      </c>
      <c r="Y407" s="33" t="n">
        <f aca="false">IFERROR(X407/R407,0)</f>
        <v>2.7134146341463</v>
      </c>
      <c r="Z407" s="29" t="str">
        <f aca="false">IF(X407&gt;0,"Win",IF(X407&lt;0,"Loss","Flat"))</f>
        <v>Win</v>
      </c>
      <c r="AA407" s="29" t="n">
        <f aca="false">ROUND((C407-B407)*1440,1)</f>
        <v>5</v>
      </c>
      <c r="AB407" s="29" t="str">
        <f aca="false">IF(AA407&lt;1,"a) &lt;1 min",IF(AA407&lt;10,"b) 1-10 min",IF(AA407&lt;60,"c) 10-60 min",IF(AA407&lt;240,"d) 1-4 h","e) 4 h+"))))</f>
        <v>b) 1-10 min</v>
      </c>
      <c r="AC407" s="29" t="str">
        <f aca="false">IF(P407&lt;10,"a) &lt;10",IF(P407&lt;20,"b) 10-20",IF(P407&lt;40,"c) 20-40",IF(P407&lt;80,"d) 40-80","e) 80+"))))</f>
        <v>a) &lt;10</v>
      </c>
      <c r="AD407" s="31" t="n">
        <f aca="false">Summary!$C$5+SUM(X$2:X407)</f>
        <v>13105.92</v>
      </c>
      <c r="AE407" s="31" t="n">
        <f aca="false">MAX(AE406,AD407)</f>
        <v>13805.92</v>
      </c>
      <c r="AF407" s="31" t="n">
        <f aca="false">AE407-AD407</f>
        <v>700</v>
      </c>
      <c r="AG407" s="30" t="n">
        <f aca="false">IFERROR(AF407/AE407,0)</f>
        <v>0.0507028868775134</v>
      </c>
    </row>
    <row r="408" customFormat="false" ht="15" hidden="false" customHeight="false" outlineLevel="0" collapsed="false">
      <c r="A408" s="29" t="n">
        <v>407</v>
      </c>
      <c r="B408" s="44" t="n">
        <v>45219.0458449074</v>
      </c>
      <c r="C408" s="44" t="n">
        <v>45219.0466087963</v>
      </c>
      <c r="D408" s="43" t="n">
        <f aca="false">INT(C408)</f>
        <v>45219</v>
      </c>
      <c r="E408" s="43" t="n">
        <f aca="false">D408-WEEKDAY(D408,3)</f>
        <v>45215</v>
      </c>
      <c r="F408" s="29" t="s">
        <v>162</v>
      </c>
      <c r="G408" s="29" t="n">
        <v>2023</v>
      </c>
      <c r="H408" s="29" t="s">
        <v>254</v>
      </c>
      <c r="I408" s="29" t="n">
        <v>1</v>
      </c>
      <c r="J408" s="29" t="s">
        <v>250</v>
      </c>
      <c r="K408" s="29" t="s">
        <v>251</v>
      </c>
      <c r="L408" s="29" t="n">
        <v>0.04</v>
      </c>
      <c r="M408" s="32" t="n">
        <v>14732.33</v>
      </c>
      <c r="N408" s="32" t="n">
        <v>14737.85</v>
      </c>
      <c r="O408" s="32" t="n">
        <v>14718.81</v>
      </c>
      <c r="P408" s="45" t="n">
        <f aca="false">ABS(M408-N408)</f>
        <v>5.52000000000044</v>
      </c>
      <c r="Q408" s="45" t="n">
        <f aca="false">IF(O408="","",ABS(O408-M408))</f>
        <v>13.5200000000004</v>
      </c>
      <c r="R408" s="31" t="n">
        <f aca="false">P408*L408*Summary!$C$6</f>
        <v>22.0800000000017</v>
      </c>
      <c r="S408" s="32" t="n">
        <v>14732.69</v>
      </c>
      <c r="T408" s="29" t="s">
        <v>255</v>
      </c>
      <c r="U408" s="45" t="n">
        <f aca="false">IF(J408="BUY",S408-M408,M408-S408)</f>
        <v>-0.360000000000582</v>
      </c>
      <c r="V408" s="46" t="n">
        <v>0</v>
      </c>
      <c r="W408" s="46" t="n">
        <v>0</v>
      </c>
      <c r="X408" s="46" t="n">
        <v>-1.44</v>
      </c>
      <c r="Y408" s="33" t="n">
        <f aca="false">IFERROR(X408/R408,0)</f>
        <v>-0.0652173913043427</v>
      </c>
      <c r="Z408" s="29" t="str">
        <f aca="false">IF(X408&gt;0,"Win",IF(X408&lt;0,"Loss","Flat"))</f>
        <v>Loss</v>
      </c>
      <c r="AA408" s="29" t="n">
        <f aca="false">ROUND((C408-B408)*1440,1)</f>
        <v>1.1</v>
      </c>
      <c r="AB408" s="29" t="str">
        <f aca="false">IF(AA408&lt;1,"a) &lt;1 min",IF(AA408&lt;10,"b) 1-10 min",IF(AA408&lt;60,"c) 10-60 min",IF(AA408&lt;240,"d) 1-4 h","e) 4 h+"))))</f>
        <v>b) 1-10 min</v>
      </c>
      <c r="AC408" s="29" t="str">
        <f aca="false">IF(P408&lt;10,"a) &lt;10",IF(P408&lt;20,"b) 10-20",IF(P408&lt;40,"c) 20-40",IF(P408&lt;80,"d) 40-80","e) 80+"))))</f>
        <v>a) &lt;10</v>
      </c>
      <c r="AD408" s="31" t="n">
        <f aca="false">Summary!$C$5+SUM(X$2:X408)</f>
        <v>13104.48</v>
      </c>
      <c r="AE408" s="31" t="n">
        <f aca="false">MAX(AE407,AD408)</f>
        <v>13805.92</v>
      </c>
      <c r="AF408" s="31" t="n">
        <f aca="false">AE408-AD408</f>
        <v>701.440000000001</v>
      </c>
      <c r="AG408" s="30" t="n">
        <f aca="false">IFERROR(AF408/AE408,0)</f>
        <v>0.0508071899590901</v>
      </c>
    </row>
    <row r="409" customFormat="false" ht="15" hidden="false" customHeight="false" outlineLevel="0" collapsed="false">
      <c r="A409" s="29" t="n">
        <v>408</v>
      </c>
      <c r="B409" s="44" t="n">
        <v>45222.4458333333</v>
      </c>
      <c r="C409" s="44" t="n">
        <v>45222.4489814815</v>
      </c>
      <c r="D409" s="43" t="n">
        <f aca="false">INT(C409)</f>
        <v>45222</v>
      </c>
      <c r="E409" s="43" t="n">
        <f aca="false">D409-WEEKDAY(D409,3)</f>
        <v>45222</v>
      </c>
      <c r="F409" s="29" t="s">
        <v>162</v>
      </c>
      <c r="G409" s="29" t="n">
        <v>2023</v>
      </c>
      <c r="H409" s="29" t="s">
        <v>245</v>
      </c>
      <c r="I409" s="29" t="n">
        <v>10</v>
      </c>
      <c r="J409" s="29" t="s">
        <v>250</v>
      </c>
      <c r="K409" s="29" t="s">
        <v>251</v>
      </c>
      <c r="L409" s="29" t="n">
        <v>0.04</v>
      </c>
      <c r="M409" s="32" t="n">
        <v>14544.21</v>
      </c>
      <c r="N409" s="32" t="n">
        <v>14551.28</v>
      </c>
      <c r="O409" s="32" t="n">
        <v>14527.07</v>
      </c>
      <c r="P409" s="45" t="n">
        <f aca="false">ABS(M409-N409)</f>
        <v>7.07000000000153</v>
      </c>
      <c r="Q409" s="45" t="n">
        <f aca="false">IF(O409="","",ABS(O409-M409))</f>
        <v>17.1399999999994</v>
      </c>
      <c r="R409" s="31" t="n">
        <f aca="false">P409*L409*Summary!$C$6</f>
        <v>28.2800000000061</v>
      </c>
      <c r="S409" s="32" t="n">
        <v>14544.3</v>
      </c>
      <c r="T409" s="29" t="s">
        <v>255</v>
      </c>
      <c r="U409" s="45" t="n">
        <f aca="false">IF(J409="BUY",S409-M409,M409-S409)</f>
        <v>-0.0900000000001455</v>
      </c>
      <c r="V409" s="46" t="n">
        <v>0</v>
      </c>
      <c r="W409" s="46" t="n">
        <v>0</v>
      </c>
      <c r="X409" s="46" t="n">
        <v>-0.36</v>
      </c>
      <c r="Y409" s="33" t="n">
        <f aca="false">IFERROR(X409/R409,0)</f>
        <v>-0.01272984441301</v>
      </c>
      <c r="Z409" s="29" t="str">
        <f aca="false">IF(X409&gt;0,"Win",IF(X409&lt;0,"Loss","Flat"))</f>
        <v>Loss</v>
      </c>
      <c r="AA409" s="29" t="n">
        <f aca="false">ROUND((C409-B409)*1440,1)</f>
        <v>4.5</v>
      </c>
      <c r="AB409" s="29" t="str">
        <f aca="false">IF(AA409&lt;1,"a) &lt;1 min",IF(AA409&lt;10,"b) 1-10 min",IF(AA409&lt;60,"c) 10-60 min",IF(AA409&lt;240,"d) 1-4 h","e) 4 h+"))))</f>
        <v>b) 1-10 min</v>
      </c>
      <c r="AC409" s="29" t="str">
        <f aca="false">IF(P409&lt;10,"a) &lt;10",IF(P409&lt;20,"b) 10-20",IF(P409&lt;40,"c) 20-40",IF(P409&lt;80,"d) 40-80","e) 80+"))))</f>
        <v>a) &lt;10</v>
      </c>
      <c r="AD409" s="31" t="n">
        <f aca="false">Summary!$C$5+SUM(X$2:X409)</f>
        <v>13104.12</v>
      </c>
      <c r="AE409" s="31" t="n">
        <f aca="false">MAX(AE408,AD409)</f>
        <v>13805.92</v>
      </c>
      <c r="AF409" s="31" t="n">
        <f aca="false">AE409-AD409</f>
        <v>701.800000000001</v>
      </c>
      <c r="AG409" s="30" t="n">
        <f aca="false">IFERROR(AF409/AE409,0)</f>
        <v>0.0508332657294842</v>
      </c>
    </row>
    <row r="410" customFormat="false" ht="15" hidden="false" customHeight="false" outlineLevel="0" collapsed="false">
      <c r="A410" s="29" t="n">
        <v>409</v>
      </c>
      <c r="B410" s="44" t="n">
        <v>45223.7347222222</v>
      </c>
      <c r="C410" s="44" t="n">
        <v>45223.7362268519</v>
      </c>
      <c r="D410" s="43" t="n">
        <f aca="false">INT(C410)</f>
        <v>45223</v>
      </c>
      <c r="E410" s="43" t="n">
        <f aca="false">D410-WEEKDAY(D410,3)</f>
        <v>45222</v>
      </c>
      <c r="F410" s="29" t="s">
        <v>162</v>
      </c>
      <c r="G410" s="29" t="n">
        <v>2023</v>
      </c>
      <c r="H410" s="29" t="s">
        <v>248</v>
      </c>
      <c r="I410" s="29" t="n">
        <v>17</v>
      </c>
      <c r="J410" s="29" t="s">
        <v>246</v>
      </c>
      <c r="K410" s="29" t="s">
        <v>247</v>
      </c>
      <c r="L410" s="29" t="n">
        <v>0.04</v>
      </c>
      <c r="M410" s="32" t="n">
        <v>14753.8</v>
      </c>
      <c r="N410" s="32" t="n">
        <v>14740.77</v>
      </c>
      <c r="O410" s="32" t="n">
        <v>14784.03</v>
      </c>
      <c r="P410" s="45" t="n">
        <f aca="false">ABS(M410-N410)</f>
        <v>13.0299999999988</v>
      </c>
      <c r="Q410" s="45" t="n">
        <f aca="false">IF(O410="","",ABS(O410-M410))</f>
        <v>30.2300000000014</v>
      </c>
      <c r="R410" s="31" t="n">
        <f aca="false">P410*L410*Summary!$C$6</f>
        <v>52.1199999999954</v>
      </c>
      <c r="S410" s="32" t="n">
        <v>14753.27</v>
      </c>
      <c r="T410" s="29" t="s">
        <v>255</v>
      </c>
      <c r="U410" s="45" t="n">
        <f aca="false">IF(J410="BUY",S410-M410,M410-S410)</f>
        <v>-0.529999999998836</v>
      </c>
      <c r="V410" s="46" t="n">
        <v>0</v>
      </c>
      <c r="W410" s="46" t="n">
        <v>0</v>
      </c>
      <c r="X410" s="46" t="n">
        <v>-2.12</v>
      </c>
      <c r="Y410" s="33" t="n">
        <f aca="false">IFERROR(X410/R410,0)</f>
        <v>-0.0406753645433651</v>
      </c>
      <c r="Z410" s="29" t="str">
        <f aca="false">IF(X410&gt;0,"Win",IF(X410&lt;0,"Loss","Flat"))</f>
        <v>Loss</v>
      </c>
      <c r="AA410" s="29" t="n">
        <f aca="false">ROUND((C410-B410)*1440,1)</f>
        <v>2.2</v>
      </c>
      <c r="AB410" s="29" t="str">
        <f aca="false">IF(AA410&lt;1,"a) &lt;1 min",IF(AA410&lt;10,"b) 1-10 min",IF(AA410&lt;60,"c) 10-60 min",IF(AA410&lt;240,"d) 1-4 h","e) 4 h+"))))</f>
        <v>b) 1-10 min</v>
      </c>
      <c r="AC410" s="29" t="str">
        <f aca="false">IF(P410&lt;10,"a) &lt;10",IF(P410&lt;20,"b) 10-20",IF(P410&lt;40,"c) 20-40",IF(P410&lt;80,"d) 40-80","e) 80+"))))</f>
        <v>b) 10-20</v>
      </c>
      <c r="AD410" s="31" t="n">
        <f aca="false">Summary!$C$5+SUM(X$2:X410)</f>
        <v>13102</v>
      </c>
      <c r="AE410" s="31" t="n">
        <f aca="false">MAX(AE409,AD410)</f>
        <v>13805.92</v>
      </c>
      <c r="AF410" s="31" t="n">
        <f aca="false">AE410-AD410</f>
        <v>703.92</v>
      </c>
      <c r="AG410" s="30" t="n">
        <f aca="false">IFERROR(AF410/AE410,0)</f>
        <v>0.0509868230440275</v>
      </c>
    </row>
    <row r="411" customFormat="false" ht="15" hidden="false" customHeight="false" outlineLevel="0" collapsed="false">
      <c r="A411" s="29" t="n">
        <v>410</v>
      </c>
      <c r="B411" s="44" t="n">
        <v>45224.6888888889</v>
      </c>
      <c r="C411" s="44" t="n">
        <v>45224.6910069444</v>
      </c>
      <c r="D411" s="43" t="n">
        <f aca="false">INT(C411)</f>
        <v>45224</v>
      </c>
      <c r="E411" s="43" t="n">
        <f aca="false">D411-WEEKDAY(D411,3)</f>
        <v>45222</v>
      </c>
      <c r="F411" s="29" t="s">
        <v>162</v>
      </c>
      <c r="G411" s="29" t="n">
        <v>2023</v>
      </c>
      <c r="H411" s="29" t="s">
        <v>252</v>
      </c>
      <c r="I411" s="29" t="n">
        <v>16</v>
      </c>
      <c r="J411" s="29" t="s">
        <v>250</v>
      </c>
      <c r="K411" s="29" t="s">
        <v>251</v>
      </c>
      <c r="L411" s="29" t="n">
        <v>0.04</v>
      </c>
      <c r="M411" s="32" t="n">
        <v>14606.35</v>
      </c>
      <c r="N411" s="32" t="n">
        <v>14621.36</v>
      </c>
      <c r="O411" s="32" t="n">
        <v>14570.43</v>
      </c>
      <c r="P411" s="45" t="n">
        <f aca="false">ABS(M411-N411)</f>
        <v>15.0100000000002</v>
      </c>
      <c r="Q411" s="45" t="n">
        <f aca="false">IF(O411="","",ABS(O411-M411))</f>
        <v>35.9200000000001</v>
      </c>
      <c r="R411" s="31" t="n">
        <f aca="false">P411*L411*Summary!$C$6</f>
        <v>60.0400000000009</v>
      </c>
      <c r="S411" s="32" t="n">
        <v>14570.18</v>
      </c>
      <c r="T411" s="29" t="s">
        <v>227</v>
      </c>
      <c r="U411" s="45" t="n">
        <f aca="false">IF(J411="BUY",S411-M411,M411-S411)</f>
        <v>36.1700000000001</v>
      </c>
      <c r="V411" s="46" t="n">
        <v>0</v>
      </c>
      <c r="W411" s="46" t="n">
        <v>0</v>
      </c>
      <c r="X411" s="46" t="n">
        <v>144.68</v>
      </c>
      <c r="Y411" s="33" t="n">
        <f aca="false">IFERROR(X411/R411,0)</f>
        <v>2.40972684876745</v>
      </c>
      <c r="Z411" s="29" t="str">
        <f aca="false">IF(X411&gt;0,"Win",IF(X411&lt;0,"Loss","Flat"))</f>
        <v>Win</v>
      </c>
      <c r="AA411" s="29" t="n">
        <f aca="false">ROUND((C411-B411)*1440,1)</f>
        <v>3.1</v>
      </c>
      <c r="AB411" s="29" t="str">
        <f aca="false">IF(AA411&lt;1,"a) &lt;1 min",IF(AA411&lt;10,"b) 1-10 min",IF(AA411&lt;60,"c) 10-60 min",IF(AA411&lt;240,"d) 1-4 h","e) 4 h+"))))</f>
        <v>b) 1-10 min</v>
      </c>
      <c r="AC411" s="29" t="str">
        <f aca="false">IF(P411&lt;10,"a) &lt;10",IF(P411&lt;20,"b) 10-20",IF(P411&lt;40,"c) 20-40",IF(P411&lt;80,"d) 40-80","e) 80+"))))</f>
        <v>b) 10-20</v>
      </c>
      <c r="AD411" s="31" t="n">
        <f aca="false">Summary!$C$5+SUM(X$2:X411)</f>
        <v>13246.68</v>
      </c>
      <c r="AE411" s="31" t="n">
        <f aca="false">MAX(AE410,AD411)</f>
        <v>13805.92</v>
      </c>
      <c r="AF411" s="31" t="n">
        <f aca="false">AE411-AD411</f>
        <v>559.24</v>
      </c>
      <c r="AG411" s="30" t="n">
        <f aca="false">IFERROR(AF411/AE411,0)</f>
        <v>0.0405072606534008</v>
      </c>
    </row>
    <row r="412" customFormat="false" ht="15" hidden="false" customHeight="false" outlineLevel="0" collapsed="false">
      <c r="A412" s="29" t="n">
        <v>411</v>
      </c>
      <c r="B412" s="44" t="n">
        <v>45225.0423611111</v>
      </c>
      <c r="C412" s="44" t="n">
        <v>45225.0448611111</v>
      </c>
      <c r="D412" s="43" t="n">
        <f aca="false">INT(C412)</f>
        <v>45225</v>
      </c>
      <c r="E412" s="43" t="n">
        <f aca="false">D412-WEEKDAY(D412,3)</f>
        <v>45222</v>
      </c>
      <c r="F412" s="29" t="s">
        <v>162</v>
      </c>
      <c r="G412" s="29" t="n">
        <v>2023</v>
      </c>
      <c r="H412" s="29" t="s">
        <v>253</v>
      </c>
      <c r="I412" s="29" t="n">
        <v>1</v>
      </c>
      <c r="J412" s="29" t="s">
        <v>250</v>
      </c>
      <c r="K412" s="29" t="s">
        <v>251</v>
      </c>
      <c r="L412" s="29" t="n">
        <v>0.04</v>
      </c>
      <c r="M412" s="32" t="n">
        <v>14338.52</v>
      </c>
      <c r="N412" s="32" t="n">
        <v>14357.44</v>
      </c>
      <c r="O412" s="32" t="n">
        <v>14292.17</v>
      </c>
      <c r="P412" s="45" t="n">
        <f aca="false">ABS(M412-N412)</f>
        <v>18.9200000000001</v>
      </c>
      <c r="Q412" s="45" t="n">
        <f aca="false">IF(O412="","",ABS(O412-M412))</f>
        <v>46.3500000000004</v>
      </c>
      <c r="R412" s="31" t="n">
        <f aca="false">P412*L412*Summary!$C$6</f>
        <v>75.6800000000003</v>
      </c>
      <c r="S412" s="32" t="n">
        <v>14292.17</v>
      </c>
      <c r="T412" s="29" t="s">
        <v>227</v>
      </c>
      <c r="U412" s="45" t="n">
        <f aca="false">IF(J412="BUY",S412-M412,M412-S412)</f>
        <v>46.3500000000004</v>
      </c>
      <c r="V412" s="46" t="n">
        <v>0</v>
      </c>
      <c r="W412" s="46" t="n">
        <v>0</v>
      </c>
      <c r="X412" s="46" t="n">
        <v>185.4</v>
      </c>
      <c r="Y412" s="33" t="n">
        <f aca="false">IFERROR(X412/R412,0)</f>
        <v>2.4497885835095</v>
      </c>
      <c r="Z412" s="29" t="str">
        <f aca="false">IF(X412&gt;0,"Win",IF(X412&lt;0,"Loss","Flat"))</f>
        <v>Win</v>
      </c>
      <c r="AA412" s="29" t="n">
        <f aca="false">ROUND((C412-B412)*1440,1)</f>
        <v>3.6</v>
      </c>
      <c r="AB412" s="29" t="str">
        <f aca="false">IF(AA412&lt;1,"a) &lt;1 min",IF(AA412&lt;10,"b) 1-10 min",IF(AA412&lt;60,"c) 10-60 min",IF(AA412&lt;240,"d) 1-4 h","e) 4 h+"))))</f>
        <v>b) 1-10 min</v>
      </c>
      <c r="AC412" s="29" t="str">
        <f aca="false">IF(P412&lt;10,"a) &lt;10",IF(P412&lt;20,"b) 10-20",IF(P412&lt;40,"c) 20-40",IF(P412&lt;80,"d) 40-80","e) 80+"))))</f>
        <v>b) 10-20</v>
      </c>
      <c r="AD412" s="31" t="n">
        <f aca="false">Summary!$C$5+SUM(X$2:X412)</f>
        <v>13432.08</v>
      </c>
      <c r="AE412" s="31" t="n">
        <f aca="false">MAX(AE411,AD412)</f>
        <v>13805.92</v>
      </c>
      <c r="AF412" s="31" t="n">
        <f aca="false">AE412-AD412</f>
        <v>373.84</v>
      </c>
      <c r="AG412" s="30" t="n">
        <f aca="false">IFERROR(AF412/AE412,0)</f>
        <v>0.0270782389004137</v>
      </c>
    </row>
    <row r="413" customFormat="false" ht="15" hidden="false" customHeight="false" outlineLevel="0" collapsed="false">
      <c r="A413" s="29" t="n">
        <v>412</v>
      </c>
      <c r="B413" s="44" t="n">
        <v>45229.6930555556</v>
      </c>
      <c r="C413" s="44" t="n">
        <v>45229.6993634259</v>
      </c>
      <c r="D413" s="43" t="n">
        <f aca="false">INT(C413)</f>
        <v>45229</v>
      </c>
      <c r="E413" s="43" t="n">
        <f aca="false">D413-WEEKDAY(D413,3)</f>
        <v>45229</v>
      </c>
      <c r="F413" s="29" t="s">
        <v>162</v>
      </c>
      <c r="G413" s="29" t="n">
        <v>2023</v>
      </c>
      <c r="H413" s="29" t="s">
        <v>245</v>
      </c>
      <c r="I413" s="29" t="n">
        <v>16</v>
      </c>
      <c r="J413" s="29" t="s">
        <v>246</v>
      </c>
      <c r="K413" s="29" t="s">
        <v>247</v>
      </c>
      <c r="L413" s="29" t="n">
        <v>0.04</v>
      </c>
      <c r="M413" s="32" t="n">
        <v>14332.65</v>
      </c>
      <c r="N413" s="32" t="n">
        <v>14316.56</v>
      </c>
      <c r="O413" s="32" t="n">
        <v>14372.14</v>
      </c>
      <c r="P413" s="45" t="n">
        <f aca="false">ABS(M413-N413)</f>
        <v>16.0900000000001</v>
      </c>
      <c r="Q413" s="45" t="n">
        <f aca="false">IF(O413="","",ABS(O413-M413))</f>
        <v>39.4899999999998</v>
      </c>
      <c r="R413" s="31" t="n">
        <f aca="false">P413*L413*Summary!$C$6</f>
        <v>64.3600000000006</v>
      </c>
      <c r="S413" s="32" t="n">
        <v>14373.14</v>
      </c>
      <c r="T413" s="29" t="s">
        <v>227</v>
      </c>
      <c r="U413" s="45" t="n">
        <f aca="false">IF(J413="BUY",S413-M413,M413-S413)</f>
        <v>40.4899999999998</v>
      </c>
      <c r="V413" s="46" t="n">
        <v>0</v>
      </c>
      <c r="W413" s="46" t="n">
        <v>0</v>
      </c>
      <c r="X413" s="46" t="n">
        <v>161.96</v>
      </c>
      <c r="Y413" s="33" t="n">
        <f aca="false">IFERROR(X413/R413,0)</f>
        <v>2.51646985705405</v>
      </c>
      <c r="Z413" s="29" t="str">
        <f aca="false">IF(X413&gt;0,"Win",IF(X413&lt;0,"Loss","Flat"))</f>
        <v>Win</v>
      </c>
      <c r="AA413" s="29" t="n">
        <f aca="false">ROUND((C413-B413)*1440,1)</f>
        <v>9.1</v>
      </c>
      <c r="AB413" s="29" t="str">
        <f aca="false">IF(AA413&lt;1,"a) &lt;1 min",IF(AA413&lt;10,"b) 1-10 min",IF(AA413&lt;60,"c) 10-60 min",IF(AA413&lt;240,"d) 1-4 h","e) 4 h+"))))</f>
        <v>b) 1-10 min</v>
      </c>
      <c r="AC413" s="29" t="str">
        <f aca="false">IF(P413&lt;10,"a) &lt;10",IF(P413&lt;20,"b) 10-20",IF(P413&lt;40,"c) 20-40",IF(P413&lt;80,"d) 40-80","e) 80+"))))</f>
        <v>b) 10-20</v>
      </c>
      <c r="AD413" s="31" t="n">
        <f aca="false">Summary!$C$5+SUM(X$2:X413)</f>
        <v>13594.04</v>
      </c>
      <c r="AE413" s="31" t="n">
        <f aca="false">MAX(AE412,AD413)</f>
        <v>13805.92</v>
      </c>
      <c r="AF413" s="31" t="n">
        <f aca="false">AE413-AD413</f>
        <v>211.879999999999</v>
      </c>
      <c r="AG413" s="30" t="n">
        <f aca="false">IFERROR(AF413/AE413,0)</f>
        <v>0.0153470395308679</v>
      </c>
    </row>
    <row r="414" customFormat="false" ht="15" hidden="false" customHeight="false" outlineLevel="0" collapsed="false">
      <c r="A414" s="29" t="n">
        <v>413</v>
      </c>
      <c r="B414" s="44" t="n">
        <v>45230.8708333333</v>
      </c>
      <c r="C414" s="44" t="n">
        <v>45230.875474537</v>
      </c>
      <c r="D414" s="43" t="n">
        <f aca="false">INT(C414)</f>
        <v>45230</v>
      </c>
      <c r="E414" s="43" t="n">
        <f aca="false">D414-WEEKDAY(D414,3)</f>
        <v>45229</v>
      </c>
      <c r="F414" s="29" t="s">
        <v>162</v>
      </c>
      <c r="G414" s="29" t="n">
        <v>2023</v>
      </c>
      <c r="H414" s="29" t="s">
        <v>248</v>
      </c>
      <c r="I414" s="29" t="n">
        <v>20</v>
      </c>
      <c r="J414" s="29" t="s">
        <v>246</v>
      </c>
      <c r="K414" s="29" t="s">
        <v>247</v>
      </c>
      <c r="L414" s="29" t="n">
        <v>0.04</v>
      </c>
      <c r="M414" s="32" t="n">
        <v>14394.81</v>
      </c>
      <c r="N414" s="32" t="n">
        <v>14386.78</v>
      </c>
      <c r="O414" s="32" t="n">
        <v>14414.49</v>
      </c>
      <c r="P414" s="45" t="n">
        <f aca="false">ABS(M414-N414)</f>
        <v>8.02999999999884</v>
      </c>
      <c r="Q414" s="45" t="n">
        <f aca="false">IF(O414="","",ABS(O414-M414))</f>
        <v>19.6800000000003</v>
      </c>
      <c r="R414" s="31" t="n">
        <f aca="false">P414*L414*Summary!$C$6</f>
        <v>32.1199999999953</v>
      </c>
      <c r="S414" s="32" t="n">
        <v>14394.37</v>
      </c>
      <c r="T414" s="29" t="s">
        <v>255</v>
      </c>
      <c r="U414" s="45" t="n">
        <f aca="false">IF(J414="BUY",S414-M414,M414-S414)</f>
        <v>-0.43999999999869</v>
      </c>
      <c r="V414" s="46" t="n">
        <v>0</v>
      </c>
      <c r="W414" s="46" t="n">
        <v>0</v>
      </c>
      <c r="X414" s="46" t="n">
        <v>-1.76</v>
      </c>
      <c r="Y414" s="33" t="n">
        <f aca="false">IFERROR(X414/R414,0)</f>
        <v>-0.0547945205479532</v>
      </c>
      <c r="Z414" s="29" t="str">
        <f aca="false">IF(X414&gt;0,"Win",IF(X414&lt;0,"Loss","Flat"))</f>
        <v>Loss</v>
      </c>
      <c r="AA414" s="29" t="n">
        <f aca="false">ROUND((C414-B414)*1440,1)</f>
        <v>6.7</v>
      </c>
      <c r="AB414" s="29" t="str">
        <f aca="false">IF(AA414&lt;1,"a) &lt;1 min",IF(AA414&lt;10,"b) 1-10 min",IF(AA414&lt;60,"c) 10-60 min",IF(AA414&lt;240,"d) 1-4 h","e) 4 h+"))))</f>
        <v>b) 1-10 min</v>
      </c>
      <c r="AC414" s="29" t="str">
        <f aca="false">IF(P414&lt;10,"a) &lt;10",IF(P414&lt;20,"b) 10-20",IF(P414&lt;40,"c) 20-40",IF(P414&lt;80,"d) 40-80","e) 80+"))))</f>
        <v>a) &lt;10</v>
      </c>
      <c r="AD414" s="31" t="n">
        <f aca="false">Summary!$C$5+SUM(X$2:X414)</f>
        <v>13592.28</v>
      </c>
      <c r="AE414" s="31" t="n">
        <f aca="false">MAX(AE413,AD414)</f>
        <v>13805.92</v>
      </c>
      <c r="AF414" s="31" t="n">
        <f aca="false">AE414-AD414</f>
        <v>213.639999999999</v>
      </c>
      <c r="AG414" s="30" t="n">
        <f aca="false">IFERROR(AF414/AE414,0)</f>
        <v>0.0154745210750171</v>
      </c>
    </row>
    <row r="415" customFormat="false" ht="15" hidden="false" customHeight="false" outlineLevel="0" collapsed="false">
      <c r="A415" s="29" t="n">
        <v>414</v>
      </c>
      <c r="B415" s="44" t="n">
        <v>45231.6506944444</v>
      </c>
      <c r="C415" s="44" t="n">
        <v>45231.6565162037</v>
      </c>
      <c r="D415" s="43" t="n">
        <f aca="false">INT(C415)</f>
        <v>45231</v>
      </c>
      <c r="E415" s="43" t="n">
        <f aca="false">D415-WEEKDAY(D415,3)</f>
        <v>45229</v>
      </c>
      <c r="F415" s="29" t="s">
        <v>163</v>
      </c>
      <c r="G415" s="29" t="n">
        <v>2023</v>
      </c>
      <c r="H415" s="29" t="s">
        <v>252</v>
      </c>
      <c r="I415" s="29" t="n">
        <v>15</v>
      </c>
      <c r="J415" s="29" t="s">
        <v>246</v>
      </c>
      <c r="K415" s="29" t="s">
        <v>247</v>
      </c>
      <c r="L415" s="29" t="n">
        <v>0.04</v>
      </c>
      <c r="M415" s="32" t="n">
        <v>14421.71</v>
      </c>
      <c r="N415" s="32" t="n">
        <v>14406.84</v>
      </c>
      <c r="O415" s="32" t="n">
        <v>14458.15</v>
      </c>
      <c r="P415" s="45" t="n">
        <f aca="false">ABS(M415-N415)</f>
        <v>14.869999999999</v>
      </c>
      <c r="Q415" s="45" t="n">
        <f aca="false">IF(O415="","",ABS(O415-M415))</f>
        <v>36.4400000000005</v>
      </c>
      <c r="R415" s="31" t="n">
        <f aca="false">P415*L415*Summary!$C$6</f>
        <v>59.4799999999959</v>
      </c>
      <c r="S415" s="32" t="n">
        <v>14406.76</v>
      </c>
      <c r="T415" s="29" t="s">
        <v>249</v>
      </c>
      <c r="U415" s="45" t="n">
        <f aca="false">IF(J415="BUY",S415-M415,M415-S415)</f>
        <v>-14.9499999999989</v>
      </c>
      <c r="V415" s="46" t="n">
        <v>0</v>
      </c>
      <c r="W415" s="46" t="n">
        <v>0</v>
      </c>
      <c r="X415" s="46" t="n">
        <v>-59.8</v>
      </c>
      <c r="Y415" s="33" t="n">
        <f aca="false">IFERROR(X415/R415,0)</f>
        <v>-1.00537995965037</v>
      </c>
      <c r="Z415" s="29" t="str">
        <f aca="false">IF(X415&gt;0,"Win",IF(X415&lt;0,"Loss","Flat"))</f>
        <v>Loss</v>
      </c>
      <c r="AA415" s="29" t="n">
        <f aca="false">ROUND((C415-B415)*1440,1)</f>
        <v>8.4</v>
      </c>
      <c r="AB415" s="29" t="str">
        <f aca="false">IF(AA415&lt;1,"a) &lt;1 min",IF(AA415&lt;10,"b) 1-10 min",IF(AA415&lt;60,"c) 10-60 min",IF(AA415&lt;240,"d) 1-4 h","e) 4 h+"))))</f>
        <v>b) 1-10 min</v>
      </c>
      <c r="AC415" s="29" t="str">
        <f aca="false">IF(P415&lt;10,"a) &lt;10",IF(P415&lt;20,"b) 10-20",IF(P415&lt;40,"c) 20-40",IF(P415&lt;80,"d) 40-80","e) 80+"))))</f>
        <v>b) 10-20</v>
      </c>
      <c r="AD415" s="31" t="n">
        <f aca="false">Summary!$C$5+SUM(X$2:X415)</f>
        <v>13532.48</v>
      </c>
      <c r="AE415" s="31" t="n">
        <f aca="false">MAX(AE414,AD415)</f>
        <v>13805.92</v>
      </c>
      <c r="AF415" s="31" t="n">
        <f aca="false">AE415-AD415</f>
        <v>273.440000000001</v>
      </c>
      <c r="AG415" s="30" t="n">
        <f aca="false">IFERROR(AF415/AE415,0)</f>
        <v>0.0198059962682676</v>
      </c>
    </row>
    <row r="416" customFormat="false" ht="15" hidden="false" customHeight="false" outlineLevel="0" collapsed="false">
      <c r="A416" s="29" t="n">
        <v>415</v>
      </c>
      <c r="B416" s="44" t="n">
        <v>45232.0423611111</v>
      </c>
      <c r="C416" s="44" t="n">
        <v>45232.0877777778</v>
      </c>
      <c r="D416" s="43" t="n">
        <f aca="false">INT(C416)</f>
        <v>45232</v>
      </c>
      <c r="E416" s="43" t="n">
        <f aca="false">D416-WEEKDAY(D416,3)</f>
        <v>45229</v>
      </c>
      <c r="F416" s="29" t="s">
        <v>163</v>
      </c>
      <c r="G416" s="29" t="n">
        <v>2023</v>
      </c>
      <c r="H416" s="29" t="s">
        <v>253</v>
      </c>
      <c r="I416" s="29" t="n">
        <v>1</v>
      </c>
      <c r="J416" s="29" t="s">
        <v>246</v>
      </c>
      <c r="K416" s="29" t="s">
        <v>247</v>
      </c>
      <c r="L416" s="29" t="n">
        <v>0.04</v>
      </c>
      <c r="M416" s="32" t="n">
        <v>14682.1</v>
      </c>
      <c r="N416" s="32" t="n">
        <v>14674.61</v>
      </c>
      <c r="O416" s="32" t="n">
        <v>14700.45</v>
      </c>
      <c r="P416" s="45" t="n">
        <f aca="false">ABS(M416-N416)</f>
        <v>7.48999999999978</v>
      </c>
      <c r="Q416" s="45" t="n">
        <f aca="false">IF(O416="","",ABS(O416-M416))</f>
        <v>18.3500000000004</v>
      </c>
      <c r="R416" s="31" t="n">
        <f aca="false">P416*L416*Summary!$C$6</f>
        <v>29.9599999999991</v>
      </c>
      <c r="S416" s="32" t="n">
        <v>14700.62</v>
      </c>
      <c r="T416" s="29" t="s">
        <v>227</v>
      </c>
      <c r="U416" s="45" t="n">
        <f aca="false">IF(J416="BUY",S416-M416,M416-S416)</f>
        <v>18.5200000000004</v>
      </c>
      <c r="V416" s="46" t="n">
        <v>0</v>
      </c>
      <c r="W416" s="46" t="n">
        <v>0</v>
      </c>
      <c r="X416" s="46" t="n">
        <v>74.08</v>
      </c>
      <c r="Y416" s="33" t="n">
        <f aca="false">IFERROR(X416/R416,0)</f>
        <v>2.47263017356483</v>
      </c>
      <c r="Z416" s="29" t="str">
        <f aca="false">IF(X416&gt;0,"Win",IF(X416&lt;0,"Loss","Flat"))</f>
        <v>Win</v>
      </c>
      <c r="AA416" s="29" t="n">
        <f aca="false">ROUND((C416-B416)*1440,1)</f>
        <v>65.4</v>
      </c>
      <c r="AB416" s="29" t="str">
        <f aca="false">IF(AA416&lt;1,"a) &lt;1 min",IF(AA416&lt;10,"b) 1-10 min",IF(AA416&lt;60,"c) 10-60 min",IF(AA416&lt;240,"d) 1-4 h","e) 4 h+"))))</f>
        <v>d) 1-4 h</v>
      </c>
      <c r="AC416" s="29" t="str">
        <f aca="false">IF(P416&lt;10,"a) &lt;10",IF(P416&lt;20,"b) 10-20",IF(P416&lt;40,"c) 20-40",IF(P416&lt;80,"d) 40-80","e) 80+"))))</f>
        <v>a) &lt;10</v>
      </c>
      <c r="AD416" s="31" t="n">
        <f aca="false">Summary!$C$5+SUM(X$2:X416)</f>
        <v>13606.56</v>
      </c>
      <c r="AE416" s="31" t="n">
        <f aca="false">MAX(AE415,AD416)</f>
        <v>13805.92</v>
      </c>
      <c r="AF416" s="31" t="n">
        <f aca="false">AE416-AD416</f>
        <v>199.360000000001</v>
      </c>
      <c r="AG416" s="30" t="n">
        <f aca="false">IFERROR(AF416/AE416,0)</f>
        <v>0.0144401821827159</v>
      </c>
    </row>
    <row r="417" customFormat="false" ht="15" hidden="false" customHeight="false" outlineLevel="0" collapsed="false">
      <c r="A417" s="29" t="n">
        <v>416</v>
      </c>
      <c r="B417" s="44" t="n">
        <v>45233.6465277778</v>
      </c>
      <c r="C417" s="44" t="n">
        <v>45233.6529166667</v>
      </c>
      <c r="D417" s="43" t="n">
        <f aca="false">INT(C417)</f>
        <v>45233</v>
      </c>
      <c r="E417" s="43" t="n">
        <f aca="false">D417-WEEKDAY(D417,3)</f>
        <v>45229</v>
      </c>
      <c r="F417" s="29" t="s">
        <v>163</v>
      </c>
      <c r="G417" s="29" t="n">
        <v>2023</v>
      </c>
      <c r="H417" s="29" t="s">
        <v>254</v>
      </c>
      <c r="I417" s="29" t="n">
        <v>15</v>
      </c>
      <c r="J417" s="29" t="s">
        <v>246</v>
      </c>
      <c r="K417" s="29" t="s">
        <v>247</v>
      </c>
      <c r="L417" s="29" t="n">
        <v>0.04</v>
      </c>
      <c r="M417" s="32" t="n">
        <v>14955.05</v>
      </c>
      <c r="N417" s="32" t="n">
        <v>14936.49</v>
      </c>
      <c r="O417" s="32" t="n">
        <v>15011.14</v>
      </c>
      <c r="P417" s="45" t="n">
        <f aca="false">ABS(M417-N417)</f>
        <v>18.5599999999995</v>
      </c>
      <c r="Q417" s="45" t="n">
        <f aca="false">IF(O417="","",ABS(O417-M417))</f>
        <v>56.0900000000001</v>
      </c>
      <c r="R417" s="31" t="n">
        <f aca="false">P417*L417*Summary!$C$6</f>
        <v>74.239999999998</v>
      </c>
      <c r="S417" s="32" t="n">
        <v>14955.02</v>
      </c>
      <c r="T417" s="29" t="s">
        <v>255</v>
      </c>
      <c r="U417" s="45" t="n">
        <f aca="false">IF(J417="BUY",S417-M417,M417-S417)</f>
        <v>-0.0299999999988358</v>
      </c>
      <c r="V417" s="46" t="n">
        <v>0</v>
      </c>
      <c r="W417" s="46" t="n">
        <v>0</v>
      </c>
      <c r="X417" s="46" t="n">
        <v>-0.12</v>
      </c>
      <c r="Y417" s="33" t="n">
        <f aca="false">IFERROR(X417/R417,0)</f>
        <v>-0.00161637931034487</v>
      </c>
      <c r="Z417" s="29" t="str">
        <f aca="false">IF(X417&gt;0,"Win",IF(X417&lt;0,"Loss","Flat"))</f>
        <v>Loss</v>
      </c>
      <c r="AA417" s="29" t="n">
        <f aca="false">ROUND((C417-B417)*1440,1)</f>
        <v>9.2</v>
      </c>
      <c r="AB417" s="29" t="str">
        <f aca="false">IF(AA417&lt;1,"a) &lt;1 min",IF(AA417&lt;10,"b) 1-10 min",IF(AA417&lt;60,"c) 10-60 min",IF(AA417&lt;240,"d) 1-4 h","e) 4 h+"))))</f>
        <v>b) 1-10 min</v>
      </c>
      <c r="AC417" s="29" t="str">
        <f aca="false">IF(P417&lt;10,"a) &lt;10",IF(P417&lt;20,"b) 10-20",IF(P417&lt;40,"c) 20-40",IF(P417&lt;80,"d) 40-80","e) 80+"))))</f>
        <v>b) 10-20</v>
      </c>
      <c r="AD417" s="31" t="n">
        <f aca="false">Summary!$C$5+SUM(X$2:X417)</f>
        <v>13606.44</v>
      </c>
      <c r="AE417" s="31" t="n">
        <f aca="false">MAX(AE416,AD417)</f>
        <v>13805.92</v>
      </c>
      <c r="AF417" s="31" t="n">
        <f aca="false">AE417-AD417</f>
        <v>199.48</v>
      </c>
      <c r="AG417" s="30" t="n">
        <f aca="false">IFERROR(AF417/AE417,0)</f>
        <v>0.0144488741061805</v>
      </c>
    </row>
    <row r="418" customFormat="false" ht="15" hidden="false" customHeight="false" outlineLevel="0" collapsed="false">
      <c r="A418" s="29" t="n">
        <v>417</v>
      </c>
      <c r="B418" s="44" t="n">
        <v>45236.6881944445</v>
      </c>
      <c r="C418" s="44" t="n">
        <v>45236.6895717593</v>
      </c>
      <c r="D418" s="43" t="n">
        <f aca="false">INT(C418)</f>
        <v>45236</v>
      </c>
      <c r="E418" s="43" t="n">
        <f aca="false">D418-WEEKDAY(D418,3)</f>
        <v>45236</v>
      </c>
      <c r="F418" s="29" t="s">
        <v>163</v>
      </c>
      <c r="G418" s="29" t="n">
        <v>2023</v>
      </c>
      <c r="H418" s="29" t="s">
        <v>245</v>
      </c>
      <c r="I418" s="29" t="n">
        <v>16</v>
      </c>
      <c r="J418" s="29" t="s">
        <v>246</v>
      </c>
      <c r="K418" s="29" t="s">
        <v>247</v>
      </c>
      <c r="L418" s="29" t="n">
        <v>0.04</v>
      </c>
      <c r="M418" s="32" t="n">
        <v>15155.59</v>
      </c>
      <c r="N418" s="32" t="n">
        <v>15146.04</v>
      </c>
      <c r="O418" s="32" t="n">
        <v>15178.98</v>
      </c>
      <c r="P418" s="45" t="n">
        <f aca="false">ABS(M418-N418)</f>
        <v>9.54999999999927</v>
      </c>
      <c r="Q418" s="45" t="n">
        <f aca="false">IF(O418="","",ABS(O418-M418))</f>
        <v>23.3899999999994</v>
      </c>
      <c r="R418" s="31" t="n">
        <f aca="false">P418*L418*Summary!$C$6</f>
        <v>38.1999999999971</v>
      </c>
      <c r="S418" s="32" t="n">
        <v>15145.84</v>
      </c>
      <c r="T418" s="29" t="s">
        <v>249</v>
      </c>
      <c r="U418" s="45" t="n">
        <f aca="false">IF(J418="BUY",S418-M418,M418-S418)</f>
        <v>-9.75</v>
      </c>
      <c r="V418" s="46" t="n">
        <v>0</v>
      </c>
      <c r="W418" s="46" t="n">
        <v>0</v>
      </c>
      <c r="X418" s="46" t="n">
        <v>-39</v>
      </c>
      <c r="Y418" s="33" t="n">
        <f aca="false">IFERROR(X418/R418,0)</f>
        <v>-1.02094240837704</v>
      </c>
      <c r="Z418" s="29" t="str">
        <f aca="false">IF(X418&gt;0,"Win",IF(X418&lt;0,"Loss","Flat"))</f>
        <v>Loss</v>
      </c>
      <c r="AA418" s="29" t="n">
        <f aca="false">ROUND((C418-B418)*1440,1)</f>
        <v>2</v>
      </c>
      <c r="AB418" s="29" t="str">
        <f aca="false">IF(AA418&lt;1,"a) &lt;1 min",IF(AA418&lt;10,"b) 1-10 min",IF(AA418&lt;60,"c) 10-60 min",IF(AA418&lt;240,"d) 1-4 h","e) 4 h+"))))</f>
        <v>b) 1-10 min</v>
      </c>
      <c r="AC418" s="29" t="str">
        <f aca="false">IF(P418&lt;10,"a) &lt;10",IF(P418&lt;20,"b) 10-20",IF(P418&lt;40,"c) 20-40",IF(P418&lt;80,"d) 40-80","e) 80+"))))</f>
        <v>a) &lt;10</v>
      </c>
      <c r="AD418" s="31" t="n">
        <f aca="false">Summary!$C$5+SUM(X$2:X418)</f>
        <v>13567.44</v>
      </c>
      <c r="AE418" s="31" t="n">
        <f aca="false">MAX(AE417,AD418)</f>
        <v>13805.92</v>
      </c>
      <c r="AF418" s="31" t="n">
        <f aca="false">AE418-AD418</f>
        <v>238.48</v>
      </c>
      <c r="AG418" s="30" t="n">
        <f aca="false">IFERROR(AF418/AE418,0)</f>
        <v>0.0172737492322134</v>
      </c>
    </row>
    <row r="419" customFormat="false" ht="15" hidden="false" customHeight="false" outlineLevel="0" collapsed="false">
      <c r="A419" s="29" t="n">
        <v>418</v>
      </c>
      <c r="B419" s="44" t="n">
        <v>45237.6777777778</v>
      </c>
      <c r="C419" s="44" t="n">
        <v>45237.6797916667</v>
      </c>
      <c r="D419" s="43" t="n">
        <f aca="false">INT(C419)</f>
        <v>45237</v>
      </c>
      <c r="E419" s="43" t="n">
        <f aca="false">D419-WEEKDAY(D419,3)</f>
        <v>45236</v>
      </c>
      <c r="F419" s="29" t="s">
        <v>163</v>
      </c>
      <c r="G419" s="29" t="n">
        <v>2023</v>
      </c>
      <c r="H419" s="29" t="s">
        <v>248</v>
      </c>
      <c r="I419" s="29" t="n">
        <v>16</v>
      </c>
      <c r="J419" s="29" t="s">
        <v>246</v>
      </c>
      <c r="K419" s="29" t="s">
        <v>247</v>
      </c>
      <c r="L419" s="29" t="n">
        <v>0.04</v>
      </c>
      <c r="M419" s="32" t="n">
        <v>15186.23</v>
      </c>
      <c r="N419" s="32" t="n">
        <v>15179.71</v>
      </c>
      <c r="O419" s="32" t="n">
        <v>15203.45</v>
      </c>
      <c r="P419" s="45" t="n">
        <f aca="false">ABS(M419-N419)</f>
        <v>6.52000000000044</v>
      </c>
      <c r="Q419" s="45" t="n">
        <f aca="false">IF(O419="","",ABS(O419-M419))</f>
        <v>17.2200000000012</v>
      </c>
      <c r="R419" s="31" t="n">
        <f aca="false">P419*L419*Summary!$C$6</f>
        <v>26.0800000000017</v>
      </c>
      <c r="S419" s="32" t="n">
        <v>15203.79</v>
      </c>
      <c r="T419" s="29" t="s">
        <v>227</v>
      </c>
      <c r="U419" s="45" t="n">
        <f aca="false">IF(J419="BUY",S419-M419,M419-S419)</f>
        <v>17.5600000000013</v>
      </c>
      <c r="V419" s="46" t="n">
        <v>0</v>
      </c>
      <c r="W419" s="46" t="n">
        <v>0</v>
      </c>
      <c r="X419" s="46" t="n">
        <v>70.24</v>
      </c>
      <c r="Y419" s="33" t="n">
        <f aca="false">IFERROR(X419/R419,0)</f>
        <v>2.69325153374215</v>
      </c>
      <c r="Z419" s="29" t="str">
        <f aca="false">IF(X419&gt;0,"Win",IF(X419&lt;0,"Loss","Flat"))</f>
        <v>Win</v>
      </c>
      <c r="AA419" s="29" t="n">
        <f aca="false">ROUND((C419-B419)*1440,1)</f>
        <v>2.9</v>
      </c>
      <c r="AB419" s="29" t="str">
        <f aca="false">IF(AA419&lt;1,"a) &lt;1 min",IF(AA419&lt;10,"b) 1-10 min",IF(AA419&lt;60,"c) 10-60 min",IF(AA419&lt;240,"d) 1-4 h","e) 4 h+"))))</f>
        <v>b) 1-10 min</v>
      </c>
      <c r="AC419" s="29" t="str">
        <f aca="false">IF(P419&lt;10,"a) &lt;10",IF(P419&lt;20,"b) 10-20",IF(P419&lt;40,"c) 20-40",IF(P419&lt;80,"d) 40-80","e) 80+"))))</f>
        <v>a) &lt;10</v>
      </c>
      <c r="AD419" s="31" t="n">
        <f aca="false">Summary!$C$5+SUM(X$2:X419)</f>
        <v>13637.68</v>
      </c>
      <c r="AE419" s="31" t="n">
        <f aca="false">MAX(AE418,AD419)</f>
        <v>13805.92</v>
      </c>
      <c r="AF419" s="31" t="n">
        <f aca="false">AE419-AD419</f>
        <v>168.24</v>
      </c>
      <c r="AG419" s="30" t="n">
        <f aca="false">IFERROR(AF419/AE419,0)</f>
        <v>0.0121860766975326</v>
      </c>
    </row>
    <row r="420" customFormat="false" ht="15" hidden="false" customHeight="false" outlineLevel="0" collapsed="false">
      <c r="A420" s="29" t="n">
        <v>419</v>
      </c>
      <c r="B420" s="44" t="n">
        <v>45238.7055555556</v>
      </c>
      <c r="C420" s="44" t="n">
        <v>45238.7060300926</v>
      </c>
      <c r="D420" s="43" t="n">
        <f aca="false">INT(C420)</f>
        <v>45238</v>
      </c>
      <c r="E420" s="43" t="n">
        <f aca="false">D420-WEEKDAY(D420,3)</f>
        <v>45236</v>
      </c>
      <c r="F420" s="29" t="s">
        <v>163</v>
      </c>
      <c r="G420" s="29" t="n">
        <v>2023</v>
      </c>
      <c r="H420" s="29" t="s">
        <v>252</v>
      </c>
      <c r="I420" s="29" t="n">
        <v>16</v>
      </c>
      <c r="J420" s="29" t="s">
        <v>246</v>
      </c>
      <c r="K420" s="29" t="s">
        <v>247</v>
      </c>
      <c r="L420" s="29" t="n">
        <v>0.04</v>
      </c>
      <c r="M420" s="32" t="n">
        <v>15340.9</v>
      </c>
      <c r="N420" s="32" t="n">
        <v>15333.7</v>
      </c>
      <c r="O420" s="32" t="n">
        <v>15358.85</v>
      </c>
      <c r="P420" s="45" t="n">
        <f aca="false">ABS(M420-N420)</f>
        <v>7.19999999999891</v>
      </c>
      <c r="Q420" s="45" t="n">
        <f aca="false">IF(O420="","",ABS(O420-M420))</f>
        <v>17.9500000000007</v>
      </c>
      <c r="R420" s="31" t="n">
        <f aca="false">P420*L420*Summary!$C$6</f>
        <v>28.7999999999956</v>
      </c>
      <c r="S420" s="32" t="n">
        <v>15332.87</v>
      </c>
      <c r="T420" s="29" t="s">
        <v>249</v>
      </c>
      <c r="U420" s="45" t="n">
        <f aca="false">IF(J420="BUY",S420-M420,M420-S420)</f>
        <v>-8.02999999999884</v>
      </c>
      <c r="V420" s="46" t="n">
        <v>0</v>
      </c>
      <c r="W420" s="46" t="n">
        <v>0</v>
      </c>
      <c r="X420" s="46" t="n">
        <v>-32.12</v>
      </c>
      <c r="Y420" s="33" t="n">
        <f aca="false">IFERROR(X420/R420,0)</f>
        <v>-1.11527777777795</v>
      </c>
      <c r="Z420" s="29" t="str">
        <f aca="false">IF(X420&gt;0,"Win",IF(X420&lt;0,"Loss","Flat"))</f>
        <v>Loss</v>
      </c>
      <c r="AA420" s="29" t="n">
        <f aca="false">ROUND((C420-B420)*1440,1)</f>
        <v>0.7</v>
      </c>
      <c r="AB420" s="29" t="str">
        <f aca="false">IF(AA420&lt;1,"a) &lt;1 min",IF(AA420&lt;10,"b) 1-10 min",IF(AA420&lt;60,"c) 10-60 min",IF(AA420&lt;240,"d) 1-4 h","e) 4 h+"))))</f>
        <v>a) &lt;1 min</v>
      </c>
      <c r="AC420" s="29" t="str">
        <f aca="false">IF(P420&lt;10,"a) &lt;10",IF(P420&lt;20,"b) 10-20",IF(P420&lt;40,"c) 20-40",IF(P420&lt;80,"d) 40-80","e) 80+"))))</f>
        <v>a) &lt;10</v>
      </c>
      <c r="AD420" s="31" t="n">
        <f aca="false">Summary!$C$5+SUM(X$2:X420)</f>
        <v>13605.56</v>
      </c>
      <c r="AE420" s="31" t="n">
        <f aca="false">MAX(AE419,AD420)</f>
        <v>13805.92</v>
      </c>
      <c r="AF420" s="31" t="n">
        <f aca="false">AE420-AD420</f>
        <v>200.360000000001</v>
      </c>
      <c r="AG420" s="30" t="n">
        <f aca="false">IFERROR(AF420/AE420,0)</f>
        <v>0.0145126148782552</v>
      </c>
    </row>
    <row r="421" customFormat="false" ht="15" hidden="false" customHeight="false" outlineLevel="0" collapsed="false">
      <c r="A421" s="29" t="n">
        <v>420</v>
      </c>
      <c r="B421" s="44" t="n">
        <v>45239.7069444444</v>
      </c>
      <c r="C421" s="44" t="n">
        <v>45239.7088657407</v>
      </c>
      <c r="D421" s="43" t="n">
        <f aca="false">INT(C421)</f>
        <v>45239</v>
      </c>
      <c r="E421" s="43" t="n">
        <f aca="false">D421-WEEKDAY(D421,3)</f>
        <v>45236</v>
      </c>
      <c r="F421" s="29" t="s">
        <v>163</v>
      </c>
      <c r="G421" s="29" t="n">
        <v>2023</v>
      </c>
      <c r="H421" s="29" t="s">
        <v>253</v>
      </c>
      <c r="I421" s="29" t="n">
        <v>16</v>
      </c>
      <c r="J421" s="29" t="s">
        <v>246</v>
      </c>
      <c r="K421" s="29" t="s">
        <v>247</v>
      </c>
      <c r="L421" s="29" t="n">
        <v>0.04</v>
      </c>
      <c r="M421" s="32" t="n">
        <v>15344.1</v>
      </c>
      <c r="N421" s="32" t="n">
        <v>15336.69</v>
      </c>
      <c r="O421" s="32" t="n">
        <v>15364.75</v>
      </c>
      <c r="P421" s="45" t="n">
        <f aca="false">ABS(M421-N421)</f>
        <v>7.40999999999985</v>
      </c>
      <c r="Q421" s="45" t="n">
        <f aca="false">IF(O421="","",ABS(O421-M421))</f>
        <v>20.6499999999996</v>
      </c>
      <c r="R421" s="31" t="n">
        <f aca="false">P421*L421*Summary!$C$6</f>
        <v>29.6399999999994</v>
      </c>
      <c r="S421" s="32" t="n">
        <v>15343.13</v>
      </c>
      <c r="T421" s="29" t="s">
        <v>255</v>
      </c>
      <c r="U421" s="45" t="n">
        <f aca="false">IF(J421="BUY",S421-M421,M421-S421)</f>
        <v>-0.970000000001164</v>
      </c>
      <c r="V421" s="46" t="n">
        <v>0</v>
      </c>
      <c r="W421" s="46" t="n">
        <v>0</v>
      </c>
      <c r="X421" s="46" t="n">
        <v>-3.88</v>
      </c>
      <c r="Y421" s="33" t="n">
        <f aca="false">IFERROR(X421/R421,0)</f>
        <v>-0.130904183535765</v>
      </c>
      <c r="Z421" s="29" t="str">
        <f aca="false">IF(X421&gt;0,"Win",IF(X421&lt;0,"Loss","Flat"))</f>
        <v>Loss</v>
      </c>
      <c r="AA421" s="29" t="n">
        <f aca="false">ROUND((C421-B421)*1440,1)</f>
        <v>2.8</v>
      </c>
      <c r="AB421" s="29" t="str">
        <f aca="false">IF(AA421&lt;1,"a) &lt;1 min",IF(AA421&lt;10,"b) 1-10 min",IF(AA421&lt;60,"c) 10-60 min",IF(AA421&lt;240,"d) 1-4 h","e) 4 h+"))))</f>
        <v>b) 1-10 min</v>
      </c>
      <c r="AC421" s="29" t="str">
        <f aca="false">IF(P421&lt;10,"a) &lt;10",IF(P421&lt;20,"b) 10-20",IF(P421&lt;40,"c) 20-40",IF(P421&lt;80,"d) 40-80","e) 80+"))))</f>
        <v>a) &lt;10</v>
      </c>
      <c r="AD421" s="31" t="n">
        <f aca="false">Summary!$C$5+SUM(X$2:X421)</f>
        <v>13601.68</v>
      </c>
      <c r="AE421" s="31" t="n">
        <f aca="false">MAX(AE420,AD421)</f>
        <v>13805.92</v>
      </c>
      <c r="AF421" s="31" t="n">
        <f aca="false">AE421-AD421</f>
        <v>204.24</v>
      </c>
      <c r="AG421" s="30" t="n">
        <f aca="false">IFERROR(AF421/AE421,0)</f>
        <v>0.0147936537369476</v>
      </c>
    </row>
    <row r="422" customFormat="false" ht="15" hidden="false" customHeight="false" outlineLevel="0" collapsed="false">
      <c r="A422" s="29" t="n">
        <v>421</v>
      </c>
      <c r="B422" s="44" t="n">
        <v>45239.8888888889</v>
      </c>
      <c r="C422" s="44" t="n">
        <v>45239.8894560185</v>
      </c>
      <c r="D422" s="43" t="n">
        <f aca="false">INT(C422)</f>
        <v>45239</v>
      </c>
      <c r="E422" s="43" t="n">
        <f aca="false">D422-WEEKDAY(D422,3)</f>
        <v>45236</v>
      </c>
      <c r="F422" s="29" t="s">
        <v>163</v>
      </c>
      <c r="G422" s="29" t="n">
        <v>2023</v>
      </c>
      <c r="H422" s="29" t="s">
        <v>253</v>
      </c>
      <c r="I422" s="29" t="n">
        <v>21</v>
      </c>
      <c r="J422" s="29" t="s">
        <v>250</v>
      </c>
      <c r="K422" s="29" t="s">
        <v>251</v>
      </c>
      <c r="L422" s="29" t="n">
        <v>0.04</v>
      </c>
      <c r="M422" s="32" t="n">
        <v>15213.61</v>
      </c>
      <c r="N422" s="32" t="n">
        <v>15225.73</v>
      </c>
      <c r="O422" s="32" t="n">
        <v>15183.96</v>
      </c>
      <c r="P422" s="45" t="n">
        <f aca="false">ABS(M422-N422)</f>
        <v>12.119999999999</v>
      </c>
      <c r="Q422" s="45" t="n">
        <f aca="false">IF(O422="","",ABS(O422-M422))</f>
        <v>29.6500000000015</v>
      </c>
      <c r="R422" s="31" t="n">
        <f aca="false">P422*L422*Summary!$C$6</f>
        <v>48.4799999999959</v>
      </c>
      <c r="S422" s="32" t="n">
        <v>15226.31</v>
      </c>
      <c r="T422" s="29" t="s">
        <v>249</v>
      </c>
      <c r="U422" s="45" t="n">
        <f aca="false">IF(J422="BUY",S422-M422,M422-S422)</f>
        <v>-12.6999999999989</v>
      </c>
      <c r="V422" s="46" t="n">
        <v>0</v>
      </c>
      <c r="W422" s="46" t="n">
        <v>0</v>
      </c>
      <c r="X422" s="46" t="n">
        <v>-50.8</v>
      </c>
      <c r="Y422" s="33" t="n">
        <f aca="false">IFERROR(X422/R422,0)</f>
        <v>-1.04785478547864</v>
      </c>
      <c r="Z422" s="29" t="str">
        <f aca="false">IF(X422&gt;0,"Win",IF(X422&lt;0,"Loss","Flat"))</f>
        <v>Loss</v>
      </c>
      <c r="AA422" s="29" t="n">
        <f aca="false">ROUND((C422-B422)*1440,1)</f>
        <v>0.8</v>
      </c>
      <c r="AB422" s="29" t="str">
        <f aca="false">IF(AA422&lt;1,"a) &lt;1 min",IF(AA422&lt;10,"b) 1-10 min",IF(AA422&lt;60,"c) 10-60 min",IF(AA422&lt;240,"d) 1-4 h","e) 4 h+"))))</f>
        <v>a) &lt;1 min</v>
      </c>
      <c r="AC422" s="29" t="str">
        <f aca="false">IF(P422&lt;10,"a) &lt;10",IF(P422&lt;20,"b) 10-20",IF(P422&lt;40,"c) 20-40",IF(P422&lt;80,"d) 40-80","e) 80+"))))</f>
        <v>b) 10-20</v>
      </c>
      <c r="AD422" s="31" t="n">
        <f aca="false">Summary!$C$5+SUM(X$2:X422)</f>
        <v>13550.88</v>
      </c>
      <c r="AE422" s="31" t="n">
        <f aca="false">MAX(AE421,AD422)</f>
        <v>13805.92</v>
      </c>
      <c r="AF422" s="31" t="n">
        <f aca="false">AE422-AD422</f>
        <v>255.039999999999</v>
      </c>
      <c r="AG422" s="30" t="n">
        <f aca="false">IFERROR(AF422/AE422,0)</f>
        <v>0.0184732346703442</v>
      </c>
    </row>
    <row r="423" customFormat="false" ht="15" hidden="false" customHeight="false" outlineLevel="0" collapsed="false">
      <c r="A423" s="29" t="n">
        <v>422</v>
      </c>
      <c r="B423" s="44" t="n">
        <v>45240.0548611111</v>
      </c>
      <c r="C423" s="44" t="n">
        <v>45240.0584027778</v>
      </c>
      <c r="D423" s="43" t="n">
        <f aca="false">INT(C423)</f>
        <v>45240</v>
      </c>
      <c r="E423" s="43" t="n">
        <f aca="false">D423-WEEKDAY(D423,3)</f>
        <v>45236</v>
      </c>
      <c r="F423" s="29" t="s">
        <v>163</v>
      </c>
      <c r="G423" s="29" t="n">
        <v>2023</v>
      </c>
      <c r="H423" s="29" t="s">
        <v>254</v>
      </c>
      <c r="I423" s="29" t="n">
        <v>1</v>
      </c>
      <c r="J423" s="29" t="s">
        <v>250</v>
      </c>
      <c r="K423" s="29" t="s">
        <v>251</v>
      </c>
      <c r="L423" s="29" t="n">
        <v>0.04</v>
      </c>
      <c r="M423" s="32" t="n">
        <v>15163.7</v>
      </c>
      <c r="N423" s="32" t="n">
        <v>15166.85</v>
      </c>
      <c r="O423" s="32" t="n">
        <v>15155.99</v>
      </c>
      <c r="P423" s="45" t="n">
        <f aca="false">ABS(M423-N423)</f>
        <v>3.14999999999964</v>
      </c>
      <c r="Q423" s="45" t="n">
        <f aca="false">IF(O423="","",ABS(O423-M423))</f>
        <v>7.71000000000095</v>
      </c>
      <c r="R423" s="31" t="n">
        <f aca="false">P423*L423*Summary!$C$6</f>
        <v>12.5999999999985</v>
      </c>
      <c r="S423" s="32" t="n">
        <v>15155.72</v>
      </c>
      <c r="T423" s="29" t="s">
        <v>227</v>
      </c>
      <c r="U423" s="45" t="n">
        <f aca="false">IF(J423="BUY",S423-M423,M423-S423)</f>
        <v>7.98000000000138</v>
      </c>
      <c r="V423" s="46" t="n">
        <v>0</v>
      </c>
      <c r="W423" s="46" t="n">
        <v>0</v>
      </c>
      <c r="X423" s="46" t="n">
        <v>31.92</v>
      </c>
      <c r="Y423" s="33" t="n">
        <f aca="false">IFERROR(X423/R423,0)</f>
        <v>2.53333333333363</v>
      </c>
      <c r="Z423" s="29" t="str">
        <f aca="false">IF(X423&gt;0,"Win",IF(X423&lt;0,"Loss","Flat"))</f>
        <v>Win</v>
      </c>
      <c r="AA423" s="29" t="n">
        <f aca="false">ROUND((C423-B423)*1440,1)</f>
        <v>5.1</v>
      </c>
      <c r="AB423" s="29" t="str">
        <f aca="false">IF(AA423&lt;1,"a) &lt;1 min",IF(AA423&lt;10,"b) 1-10 min",IF(AA423&lt;60,"c) 10-60 min",IF(AA423&lt;240,"d) 1-4 h","e) 4 h+"))))</f>
        <v>b) 1-10 min</v>
      </c>
      <c r="AC423" s="29" t="str">
        <f aca="false">IF(P423&lt;10,"a) &lt;10",IF(P423&lt;20,"b) 10-20",IF(P423&lt;40,"c) 20-40",IF(P423&lt;80,"d) 40-80","e) 80+"))))</f>
        <v>a) &lt;10</v>
      </c>
      <c r="AD423" s="31" t="n">
        <f aca="false">Summary!$C$5+SUM(X$2:X423)</f>
        <v>13582.8</v>
      </c>
      <c r="AE423" s="31" t="n">
        <f aca="false">MAX(AE422,AD423)</f>
        <v>13805.92</v>
      </c>
      <c r="AF423" s="31" t="n">
        <f aca="false">AE423-AD423</f>
        <v>223.120000000001</v>
      </c>
      <c r="AG423" s="30" t="n">
        <f aca="false">IFERROR(AF423/AE423,0)</f>
        <v>0.0161611830287298</v>
      </c>
    </row>
    <row r="424" customFormat="false" ht="15" hidden="false" customHeight="false" outlineLevel="0" collapsed="false">
      <c r="A424" s="29" t="n">
        <v>423</v>
      </c>
      <c r="B424" s="44" t="n">
        <v>45240.7930555556</v>
      </c>
      <c r="C424" s="44" t="n">
        <v>45240.8059259259</v>
      </c>
      <c r="D424" s="43" t="n">
        <f aca="false">INT(C424)</f>
        <v>45240</v>
      </c>
      <c r="E424" s="43" t="n">
        <f aca="false">D424-WEEKDAY(D424,3)</f>
        <v>45236</v>
      </c>
      <c r="F424" s="29" t="s">
        <v>163</v>
      </c>
      <c r="G424" s="29" t="n">
        <v>2023</v>
      </c>
      <c r="H424" s="29" t="s">
        <v>254</v>
      </c>
      <c r="I424" s="29" t="n">
        <v>19</v>
      </c>
      <c r="J424" s="29" t="s">
        <v>246</v>
      </c>
      <c r="K424" s="29" t="s">
        <v>247</v>
      </c>
      <c r="L424" s="29" t="n">
        <v>0.04</v>
      </c>
      <c r="M424" s="32" t="n">
        <v>15391.4</v>
      </c>
      <c r="N424" s="32" t="n">
        <v>15383.37</v>
      </c>
      <c r="O424" s="32" t="n">
        <v>15414.05</v>
      </c>
      <c r="P424" s="45" t="n">
        <f aca="false">ABS(M424-N424)</f>
        <v>8.02999999999884</v>
      </c>
      <c r="Q424" s="45" t="n">
        <f aca="false">IF(O424="","",ABS(O424-M424))</f>
        <v>22.6499999999996</v>
      </c>
      <c r="R424" s="31" t="n">
        <f aca="false">P424*L424*Summary!$C$6</f>
        <v>32.1199999999953</v>
      </c>
      <c r="S424" s="32" t="n">
        <v>15414.09</v>
      </c>
      <c r="T424" s="29" t="s">
        <v>227</v>
      </c>
      <c r="U424" s="45" t="n">
        <f aca="false">IF(J424="BUY",S424-M424,M424-S424)</f>
        <v>22.6900000000005</v>
      </c>
      <c r="V424" s="46" t="n">
        <v>0</v>
      </c>
      <c r="W424" s="46" t="n">
        <v>0</v>
      </c>
      <c r="X424" s="46" t="n">
        <v>90.76</v>
      </c>
      <c r="Y424" s="33" t="n">
        <f aca="false">IFERROR(X424/R424,0)</f>
        <v>2.82565379825695</v>
      </c>
      <c r="Z424" s="29" t="str">
        <f aca="false">IF(X424&gt;0,"Win",IF(X424&lt;0,"Loss","Flat"))</f>
        <v>Win</v>
      </c>
      <c r="AA424" s="29" t="n">
        <f aca="false">ROUND((C424-B424)*1440,1)</f>
        <v>18.5</v>
      </c>
      <c r="AB424" s="29" t="str">
        <f aca="false">IF(AA424&lt;1,"a) &lt;1 min",IF(AA424&lt;10,"b) 1-10 min",IF(AA424&lt;60,"c) 10-60 min",IF(AA424&lt;240,"d) 1-4 h","e) 4 h+"))))</f>
        <v>c) 10-60 min</v>
      </c>
      <c r="AC424" s="29" t="str">
        <f aca="false">IF(P424&lt;10,"a) &lt;10",IF(P424&lt;20,"b) 10-20",IF(P424&lt;40,"c) 20-40",IF(P424&lt;80,"d) 40-80","e) 80+"))))</f>
        <v>a) &lt;10</v>
      </c>
      <c r="AD424" s="31" t="n">
        <f aca="false">Summary!$C$5+SUM(X$2:X424)</f>
        <v>13673.56</v>
      </c>
      <c r="AE424" s="31" t="n">
        <f aca="false">MAX(AE423,AD424)</f>
        <v>13805.92</v>
      </c>
      <c r="AF424" s="31" t="n">
        <f aca="false">AE424-AD424</f>
        <v>132.360000000001</v>
      </c>
      <c r="AG424" s="30" t="n">
        <f aca="false">IFERROR(AF424/AE424,0)</f>
        <v>0.00958719158158244</v>
      </c>
    </row>
    <row r="425" customFormat="false" ht="15" hidden="false" customHeight="false" outlineLevel="0" collapsed="false">
      <c r="A425" s="29" t="n">
        <v>424</v>
      </c>
      <c r="B425" s="44" t="n">
        <v>45244.4638888889</v>
      </c>
      <c r="C425" s="44" t="n">
        <v>45244.4651273148</v>
      </c>
      <c r="D425" s="43" t="n">
        <f aca="false">INT(C425)</f>
        <v>45244</v>
      </c>
      <c r="E425" s="43" t="n">
        <f aca="false">D425-WEEKDAY(D425,3)</f>
        <v>45243</v>
      </c>
      <c r="F425" s="29" t="s">
        <v>163</v>
      </c>
      <c r="G425" s="29" t="n">
        <v>2023</v>
      </c>
      <c r="H425" s="29" t="s">
        <v>248</v>
      </c>
      <c r="I425" s="29" t="n">
        <v>11</v>
      </c>
      <c r="J425" s="29" t="s">
        <v>246</v>
      </c>
      <c r="K425" s="29" t="s">
        <v>247</v>
      </c>
      <c r="L425" s="29" t="n">
        <v>0.04</v>
      </c>
      <c r="M425" s="32" t="n">
        <v>15531.26</v>
      </c>
      <c r="N425" s="32" t="n">
        <v>15529.13</v>
      </c>
      <c r="O425" s="32" t="n">
        <v>15536.47</v>
      </c>
      <c r="P425" s="45" t="n">
        <f aca="false">ABS(M425-N425)</f>
        <v>2.13000000000102</v>
      </c>
      <c r="Q425" s="45" t="n">
        <f aca="false">IF(O425="","",ABS(O425-M425))</f>
        <v>5.20999999999913</v>
      </c>
      <c r="R425" s="31" t="n">
        <f aca="false">P425*L425*Summary!$C$6</f>
        <v>8.52000000000408</v>
      </c>
      <c r="S425" s="32" t="n">
        <v>15536.5</v>
      </c>
      <c r="T425" s="29" t="s">
        <v>227</v>
      </c>
      <c r="U425" s="45" t="n">
        <f aca="false">IF(J425="BUY",S425-M425,M425-S425)</f>
        <v>5.23999999999978</v>
      </c>
      <c r="V425" s="46" t="n">
        <v>0</v>
      </c>
      <c r="W425" s="46" t="n">
        <v>0</v>
      </c>
      <c r="X425" s="46" t="n">
        <v>20.96</v>
      </c>
      <c r="Y425" s="33" t="n">
        <f aca="false">IFERROR(X425/R425,0)</f>
        <v>2.46009389671244</v>
      </c>
      <c r="Z425" s="29" t="str">
        <f aca="false">IF(X425&gt;0,"Win",IF(X425&lt;0,"Loss","Flat"))</f>
        <v>Win</v>
      </c>
      <c r="AA425" s="29" t="n">
        <f aca="false">ROUND((C425-B425)*1440,1)</f>
        <v>1.8</v>
      </c>
      <c r="AB425" s="29" t="str">
        <f aca="false">IF(AA425&lt;1,"a) &lt;1 min",IF(AA425&lt;10,"b) 1-10 min",IF(AA425&lt;60,"c) 10-60 min",IF(AA425&lt;240,"d) 1-4 h","e) 4 h+"))))</f>
        <v>b) 1-10 min</v>
      </c>
      <c r="AC425" s="29" t="str">
        <f aca="false">IF(P425&lt;10,"a) &lt;10",IF(P425&lt;20,"b) 10-20",IF(P425&lt;40,"c) 20-40",IF(P425&lt;80,"d) 40-80","e) 80+"))))</f>
        <v>a) &lt;10</v>
      </c>
      <c r="AD425" s="31" t="n">
        <f aca="false">Summary!$C$5+SUM(X$2:X425)</f>
        <v>13694.52</v>
      </c>
      <c r="AE425" s="31" t="n">
        <f aca="false">MAX(AE424,AD425)</f>
        <v>13805.92</v>
      </c>
      <c r="AF425" s="31" t="n">
        <f aca="false">AE425-AD425</f>
        <v>111.4</v>
      </c>
      <c r="AG425" s="30" t="n">
        <f aca="false">IFERROR(AF425/AE425,0)</f>
        <v>0.00806900228307854</v>
      </c>
    </row>
    <row r="426" customFormat="false" ht="15" hidden="false" customHeight="false" outlineLevel="0" collapsed="false">
      <c r="A426" s="29" t="n">
        <v>425</v>
      </c>
      <c r="B426" s="44" t="n">
        <v>45245.1986226852</v>
      </c>
      <c r="C426" s="44" t="n">
        <v>45245.2196990741</v>
      </c>
      <c r="D426" s="43" t="n">
        <f aca="false">INT(C426)</f>
        <v>45245</v>
      </c>
      <c r="E426" s="43" t="n">
        <f aca="false">D426-WEEKDAY(D426,3)</f>
        <v>45243</v>
      </c>
      <c r="F426" s="29" t="s">
        <v>163</v>
      </c>
      <c r="G426" s="29" t="n">
        <v>2023</v>
      </c>
      <c r="H426" s="29" t="s">
        <v>252</v>
      </c>
      <c r="I426" s="29" t="n">
        <v>4</v>
      </c>
      <c r="J426" s="29" t="s">
        <v>246</v>
      </c>
      <c r="K426" s="29" t="s">
        <v>247</v>
      </c>
      <c r="L426" s="29" t="n">
        <v>0.04</v>
      </c>
      <c r="M426" s="32" t="n">
        <v>15850.94</v>
      </c>
      <c r="N426" s="32" t="n">
        <v>15848.16</v>
      </c>
      <c r="O426" s="32" t="n">
        <v>15857.91</v>
      </c>
      <c r="P426" s="45" t="n">
        <f aca="false">ABS(M426-N426)</f>
        <v>2.78000000000066</v>
      </c>
      <c r="Q426" s="45" t="n">
        <f aca="false">IF(O426="","",ABS(O426-M426))</f>
        <v>6.96999999999935</v>
      </c>
      <c r="R426" s="31" t="n">
        <f aca="false">P426*L426*Summary!$C$6</f>
        <v>11.1200000000026</v>
      </c>
      <c r="S426" s="32" t="n">
        <v>15859.1</v>
      </c>
      <c r="T426" s="29" t="s">
        <v>227</v>
      </c>
      <c r="U426" s="45" t="n">
        <f aca="false">IF(J426="BUY",S426-M426,M426-S426)</f>
        <v>8.15999999999985</v>
      </c>
      <c r="V426" s="46" t="n">
        <v>0</v>
      </c>
      <c r="W426" s="46" t="n">
        <v>0</v>
      </c>
      <c r="X426" s="46" t="n">
        <v>32.64</v>
      </c>
      <c r="Y426" s="33" t="n">
        <f aca="false">IFERROR(X426/R426,0)</f>
        <v>2.93525179856046</v>
      </c>
      <c r="Z426" s="29" t="str">
        <f aca="false">IF(X426&gt;0,"Win",IF(X426&lt;0,"Loss","Flat"))</f>
        <v>Win</v>
      </c>
      <c r="AA426" s="29" t="n">
        <f aca="false">ROUND((C426-B426)*1440,1)</f>
        <v>30.4</v>
      </c>
      <c r="AB426" s="29" t="str">
        <f aca="false">IF(AA426&lt;1,"a) &lt;1 min",IF(AA426&lt;10,"b) 1-10 min",IF(AA426&lt;60,"c) 10-60 min",IF(AA426&lt;240,"d) 1-4 h","e) 4 h+"))))</f>
        <v>c) 10-60 min</v>
      </c>
      <c r="AC426" s="29" t="str">
        <f aca="false">IF(P426&lt;10,"a) &lt;10",IF(P426&lt;20,"b) 10-20",IF(P426&lt;40,"c) 20-40",IF(P426&lt;80,"d) 40-80","e) 80+"))))</f>
        <v>a) &lt;10</v>
      </c>
      <c r="AD426" s="31" t="n">
        <f aca="false">Summary!$C$5+SUM(X$2:X426)</f>
        <v>13727.16</v>
      </c>
      <c r="AE426" s="31" t="n">
        <f aca="false">MAX(AE425,AD426)</f>
        <v>13805.92</v>
      </c>
      <c r="AF426" s="31" t="n">
        <f aca="false">AE426-AD426</f>
        <v>78.7600000000002</v>
      </c>
      <c r="AG426" s="30" t="n">
        <f aca="false">IFERROR(AF426/AE426,0)</f>
        <v>0.00570479910067567</v>
      </c>
    </row>
    <row r="427" customFormat="false" ht="15" hidden="false" customHeight="false" outlineLevel="0" collapsed="false">
      <c r="A427" s="29" t="n">
        <v>426</v>
      </c>
      <c r="B427" s="44" t="n">
        <v>45246.1680555556</v>
      </c>
      <c r="C427" s="44" t="n">
        <v>45246.1704398148</v>
      </c>
      <c r="D427" s="43" t="n">
        <f aca="false">INT(C427)</f>
        <v>45246</v>
      </c>
      <c r="E427" s="43" t="n">
        <f aca="false">D427-WEEKDAY(D427,3)</f>
        <v>45243</v>
      </c>
      <c r="F427" s="29" t="s">
        <v>163</v>
      </c>
      <c r="G427" s="29" t="n">
        <v>2023</v>
      </c>
      <c r="H427" s="29" t="s">
        <v>253</v>
      </c>
      <c r="I427" s="29" t="n">
        <v>4</v>
      </c>
      <c r="J427" s="29" t="s">
        <v>250</v>
      </c>
      <c r="K427" s="29" t="s">
        <v>251</v>
      </c>
      <c r="L427" s="29" t="n">
        <v>0.04</v>
      </c>
      <c r="M427" s="32" t="n">
        <v>15762.91</v>
      </c>
      <c r="N427" s="32" t="n">
        <v>15767.17</v>
      </c>
      <c r="O427" s="32" t="n">
        <v>15752.09</v>
      </c>
      <c r="P427" s="45" t="n">
        <f aca="false">ABS(M427-N427)</f>
        <v>4.26000000000022</v>
      </c>
      <c r="Q427" s="45" t="n">
        <f aca="false">IF(O427="","",ABS(O427-M427))</f>
        <v>10.8199999999997</v>
      </c>
      <c r="R427" s="31" t="n">
        <f aca="false">P427*L427*Summary!$C$6</f>
        <v>17.0400000000009</v>
      </c>
      <c r="S427" s="32" t="n">
        <v>15767.32</v>
      </c>
      <c r="T427" s="29" t="s">
        <v>249</v>
      </c>
      <c r="U427" s="45" t="n">
        <f aca="false">IF(J427="BUY",S427-M427,M427-S427)</f>
        <v>-4.40999999999985</v>
      </c>
      <c r="V427" s="46" t="n">
        <v>0</v>
      </c>
      <c r="W427" s="46" t="n">
        <v>0</v>
      </c>
      <c r="X427" s="46" t="n">
        <v>-17.64</v>
      </c>
      <c r="Y427" s="33" t="n">
        <f aca="false">IFERROR(X427/R427,0)</f>
        <v>-1.03521126760558</v>
      </c>
      <c r="Z427" s="29" t="str">
        <f aca="false">IF(X427&gt;0,"Win",IF(X427&lt;0,"Loss","Flat"))</f>
        <v>Loss</v>
      </c>
      <c r="AA427" s="29" t="n">
        <f aca="false">ROUND((C427-B427)*1440,1)</f>
        <v>3.4</v>
      </c>
      <c r="AB427" s="29" t="str">
        <f aca="false">IF(AA427&lt;1,"a) &lt;1 min",IF(AA427&lt;10,"b) 1-10 min",IF(AA427&lt;60,"c) 10-60 min",IF(AA427&lt;240,"d) 1-4 h","e) 4 h+"))))</f>
        <v>b) 1-10 min</v>
      </c>
      <c r="AC427" s="29" t="str">
        <f aca="false">IF(P427&lt;10,"a) &lt;10",IF(P427&lt;20,"b) 10-20",IF(P427&lt;40,"c) 20-40",IF(P427&lt;80,"d) 40-80","e) 80+"))))</f>
        <v>a) &lt;10</v>
      </c>
      <c r="AD427" s="31" t="n">
        <f aca="false">Summary!$C$5+SUM(X$2:X427)</f>
        <v>13709.52</v>
      </c>
      <c r="AE427" s="31" t="n">
        <f aca="false">MAX(AE426,AD427)</f>
        <v>13805.92</v>
      </c>
      <c r="AF427" s="31" t="n">
        <f aca="false">AE427-AD427</f>
        <v>96.3999999999996</v>
      </c>
      <c r="AG427" s="30" t="n">
        <f aca="false">IFERROR(AF427/AE427,0)</f>
        <v>0.00698251184998896</v>
      </c>
    </row>
    <row r="428" customFormat="false" ht="15" hidden="false" customHeight="false" outlineLevel="0" collapsed="false">
      <c r="A428" s="29" t="n">
        <v>427</v>
      </c>
      <c r="B428" s="44" t="n">
        <v>45247.4402777778</v>
      </c>
      <c r="C428" s="44" t="n">
        <v>45247.4425347222</v>
      </c>
      <c r="D428" s="43" t="n">
        <f aca="false">INT(C428)</f>
        <v>45247</v>
      </c>
      <c r="E428" s="43" t="n">
        <f aca="false">D428-WEEKDAY(D428,3)</f>
        <v>45243</v>
      </c>
      <c r="F428" s="29" t="s">
        <v>163</v>
      </c>
      <c r="G428" s="29" t="n">
        <v>2023</v>
      </c>
      <c r="H428" s="29" t="s">
        <v>254</v>
      </c>
      <c r="I428" s="29" t="n">
        <v>10</v>
      </c>
      <c r="J428" s="29" t="s">
        <v>246</v>
      </c>
      <c r="K428" s="29" t="s">
        <v>247</v>
      </c>
      <c r="L428" s="29" t="n">
        <v>0.04</v>
      </c>
      <c r="M428" s="32" t="n">
        <v>15844.03</v>
      </c>
      <c r="N428" s="32" t="n">
        <v>15840.06</v>
      </c>
      <c r="O428" s="32" t="n">
        <v>15853.77</v>
      </c>
      <c r="P428" s="45" t="n">
        <f aca="false">ABS(M428-N428)</f>
        <v>3.97000000000116</v>
      </c>
      <c r="Q428" s="45" t="n">
        <f aca="false">IF(O428="","",ABS(O428-M428))</f>
        <v>9.73999999999978</v>
      </c>
      <c r="R428" s="31" t="n">
        <f aca="false">P428*L428*Summary!$C$6</f>
        <v>15.8800000000047</v>
      </c>
      <c r="S428" s="32" t="n">
        <v>15843.56</v>
      </c>
      <c r="T428" s="29" t="s">
        <v>255</v>
      </c>
      <c r="U428" s="45" t="n">
        <f aca="false">IF(J428="BUY",S428-M428,M428-S428)</f>
        <v>-0.470000000001164</v>
      </c>
      <c r="V428" s="46" t="n">
        <v>0</v>
      </c>
      <c r="W428" s="46" t="n">
        <v>0</v>
      </c>
      <c r="X428" s="46" t="n">
        <v>-1.88</v>
      </c>
      <c r="Y428" s="33" t="n">
        <f aca="false">IFERROR(X428/R428,0)</f>
        <v>-0.118387909319865</v>
      </c>
      <c r="Z428" s="29" t="str">
        <f aca="false">IF(X428&gt;0,"Win",IF(X428&lt;0,"Loss","Flat"))</f>
        <v>Loss</v>
      </c>
      <c r="AA428" s="29" t="n">
        <f aca="false">ROUND((C428-B428)*1440,1)</f>
        <v>3.3</v>
      </c>
      <c r="AB428" s="29" t="str">
        <f aca="false">IF(AA428&lt;1,"a) &lt;1 min",IF(AA428&lt;10,"b) 1-10 min",IF(AA428&lt;60,"c) 10-60 min",IF(AA428&lt;240,"d) 1-4 h","e) 4 h+"))))</f>
        <v>b) 1-10 min</v>
      </c>
      <c r="AC428" s="29" t="str">
        <f aca="false">IF(P428&lt;10,"a) &lt;10",IF(P428&lt;20,"b) 10-20",IF(P428&lt;40,"c) 20-40",IF(P428&lt;80,"d) 40-80","e) 80+"))))</f>
        <v>a) &lt;10</v>
      </c>
      <c r="AD428" s="31" t="n">
        <f aca="false">Summary!$C$5+SUM(X$2:X428)</f>
        <v>13707.64</v>
      </c>
      <c r="AE428" s="31" t="n">
        <f aca="false">MAX(AE427,AD428)</f>
        <v>13805.92</v>
      </c>
      <c r="AF428" s="31" t="n">
        <f aca="false">AE428-AD428</f>
        <v>98.2800000000007</v>
      </c>
      <c r="AG428" s="30" t="n">
        <f aca="false">IFERROR(AF428/AE428,0)</f>
        <v>0.00711868531760293</v>
      </c>
    </row>
    <row r="429" customFormat="false" ht="15" hidden="false" customHeight="false" outlineLevel="0" collapsed="false">
      <c r="A429" s="29" t="n">
        <v>428</v>
      </c>
      <c r="B429" s="44" t="n">
        <v>45250.6888888889</v>
      </c>
      <c r="C429" s="44" t="n">
        <v>45250.6928240741</v>
      </c>
      <c r="D429" s="43" t="n">
        <f aca="false">INT(C429)</f>
        <v>45250</v>
      </c>
      <c r="E429" s="43" t="n">
        <f aca="false">D429-WEEKDAY(D429,3)</f>
        <v>45250</v>
      </c>
      <c r="F429" s="29" t="s">
        <v>163</v>
      </c>
      <c r="G429" s="29" t="n">
        <v>2023</v>
      </c>
      <c r="H429" s="29" t="s">
        <v>245</v>
      </c>
      <c r="I429" s="29" t="n">
        <v>16</v>
      </c>
      <c r="J429" s="29" t="s">
        <v>246</v>
      </c>
      <c r="K429" s="29" t="s">
        <v>247</v>
      </c>
      <c r="L429" s="29" t="n">
        <v>0.04</v>
      </c>
      <c r="M429" s="32" t="n">
        <v>15885.64</v>
      </c>
      <c r="N429" s="32" t="n">
        <v>15870.97</v>
      </c>
      <c r="O429" s="32" t="n">
        <v>15921.34</v>
      </c>
      <c r="P429" s="45" t="n">
        <f aca="false">ABS(M429-N429)</f>
        <v>14.6700000000001</v>
      </c>
      <c r="Q429" s="45" t="n">
        <f aca="false">IF(O429="","",ABS(O429-M429))</f>
        <v>35.7000000000007</v>
      </c>
      <c r="R429" s="31" t="n">
        <f aca="false">P429*L429*Summary!$C$6</f>
        <v>58.6800000000003</v>
      </c>
      <c r="S429" s="32" t="n">
        <v>15921.59</v>
      </c>
      <c r="T429" s="29" t="s">
        <v>227</v>
      </c>
      <c r="U429" s="45" t="n">
        <f aca="false">IF(J429="BUY",S429-M429,M429-S429)</f>
        <v>35.9500000000007</v>
      </c>
      <c r="V429" s="46" t="n">
        <v>0</v>
      </c>
      <c r="W429" s="46" t="n">
        <v>0</v>
      </c>
      <c r="X429" s="46" t="n">
        <v>143.8</v>
      </c>
      <c r="Y429" s="33" t="n">
        <f aca="false">IFERROR(X429/R429,0)</f>
        <v>2.45057941376959</v>
      </c>
      <c r="Z429" s="29" t="str">
        <f aca="false">IF(X429&gt;0,"Win",IF(X429&lt;0,"Loss","Flat"))</f>
        <v>Win</v>
      </c>
      <c r="AA429" s="29" t="n">
        <f aca="false">ROUND((C429-B429)*1440,1)</f>
        <v>5.7</v>
      </c>
      <c r="AB429" s="29" t="str">
        <f aca="false">IF(AA429&lt;1,"a) &lt;1 min",IF(AA429&lt;10,"b) 1-10 min",IF(AA429&lt;60,"c) 10-60 min",IF(AA429&lt;240,"d) 1-4 h","e) 4 h+"))))</f>
        <v>b) 1-10 min</v>
      </c>
      <c r="AC429" s="29" t="str">
        <f aca="false">IF(P429&lt;10,"a) &lt;10",IF(P429&lt;20,"b) 10-20",IF(P429&lt;40,"c) 20-40",IF(P429&lt;80,"d) 40-80","e) 80+"))))</f>
        <v>b) 10-20</v>
      </c>
      <c r="AD429" s="31" t="n">
        <f aca="false">Summary!$C$5+SUM(X$2:X429)</f>
        <v>13851.44</v>
      </c>
      <c r="AE429" s="31" t="n">
        <f aca="false">MAX(AE428,AD429)</f>
        <v>13851.44</v>
      </c>
      <c r="AF429" s="31" t="n">
        <f aca="false">AE429-AD429</f>
        <v>0</v>
      </c>
      <c r="AG429" s="30" t="n">
        <f aca="false">IFERROR(AF429/AE429,0)</f>
        <v>0</v>
      </c>
    </row>
    <row r="430" customFormat="false" ht="15" hidden="false" customHeight="false" outlineLevel="0" collapsed="false">
      <c r="A430" s="29" t="n">
        <v>429</v>
      </c>
      <c r="B430" s="44" t="n">
        <v>45251.2194444445</v>
      </c>
      <c r="C430" s="44" t="n">
        <v>45251.2196875</v>
      </c>
      <c r="D430" s="43" t="n">
        <f aca="false">INT(C430)</f>
        <v>45251</v>
      </c>
      <c r="E430" s="43" t="n">
        <f aca="false">D430-WEEKDAY(D430,3)</f>
        <v>45250</v>
      </c>
      <c r="F430" s="29" t="s">
        <v>163</v>
      </c>
      <c r="G430" s="29" t="n">
        <v>2023</v>
      </c>
      <c r="H430" s="29" t="s">
        <v>248</v>
      </c>
      <c r="I430" s="29" t="n">
        <v>5</v>
      </c>
      <c r="J430" s="29" t="s">
        <v>246</v>
      </c>
      <c r="K430" s="29" t="s">
        <v>247</v>
      </c>
      <c r="L430" s="29" t="n">
        <v>0.04</v>
      </c>
      <c r="M430" s="32" t="n">
        <v>16061.74</v>
      </c>
      <c r="N430" s="32" t="n">
        <v>16059.84</v>
      </c>
      <c r="O430" s="32" t="n">
        <v>16066.85</v>
      </c>
      <c r="P430" s="45" t="n">
        <f aca="false">ABS(M430-N430)</f>
        <v>1.89999999999964</v>
      </c>
      <c r="Q430" s="45" t="n">
        <f aca="false">IF(O430="","",ABS(O430-M430))</f>
        <v>5.11000000000058</v>
      </c>
      <c r="R430" s="31" t="n">
        <f aca="false">P430*L430*Summary!$C$6</f>
        <v>7.59999999999855</v>
      </c>
      <c r="S430" s="32" t="n">
        <v>16059.19</v>
      </c>
      <c r="T430" s="29" t="s">
        <v>249</v>
      </c>
      <c r="U430" s="45" t="n">
        <f aca="false">IF(J430="BUY",S430-M430,M430-S430)</f>
        <v>-2.54999999999927</v>
      </c>
      <c r="V430" s="46" t="n">
        <v>0</v>
      </c>
      <c r="W430" s="46" t="n">
        <v>0</v>
      </c>
      <c r="X430" s="46" t="n">
        <v>-10.2</v>
      </c>
      <c r="Y430" s="33" t="n">
        <f aca="false">IFERROR(X430/R430,0)</f>
        <v>-1.34210526315815</v>
      </c>
      <c r="Z430" s="29" t="str">
        <f aca="false">IF(X430&gt;0,"Win",IF(X430&lt;0,"Loss","Flat"))</f>
        <v>Loss</v>
      </c>
      <c r="AA430" s="29" t="n">
        <f aca="false">ROUND((C430-B430)*1440,1)</f>
        <v>0.4</v>
      </c>
      <c r="AB430" s="29" t="str">
        <f aca="false">IF(AA430&lt;1,"a) &lt;1 min",IF(AA430&lt;10,"b) 1-10 min",IF(AA430&lt;60,"c) 10-60 min",IF(AA430&lt;240,"d) 1-4 h","e) 4 h+"))))</f>
        <v>a) &lt;1 min</v>
      </c>
      <c r="AC430" s="29" t="str">
        <f aca="false">IF(P430&lt;10,"a) &lt;10",IF(P430&lt;20,"b) 10-20",IF(P430&lt;40,"c) 20-40",IF(P430&lt;80,"d) 40-80","e) 80+"))))</f>
        <v>a) &lt;10</v>
      </c>
      <c r="AD430" s="31" t="n">
        <f aca="false">Summary!$C$5+SUM(X$2:X430)</f>
        <v>13841.24</v>
      </c>
      <c r="AE430" s="31" t="n">
        <f aca="false">MAX(AE429,AD430)</f>
        <v>13851.44</v>
      </c>
      <c r="AF430" s="31" t="n">
        <f aca="false">AE430-AD430</f>
        <v>10.2000000000007</v>
      </c>
      <c r="AG430" s="30" t="n">
        <f aca="false">IFERROR(AF430/AE430,0)</f>
        <v>0.000736385531035093</v>
      </c>
    </row>
    <row r="431" customFormat="false" ht="15" hidden="false" customHeight="false" outlineLevel="0" collapsed="false">
      <c r="A431" s="29" t="n">
        <v>430</v>
      </c>
      <c r="B431" s="44" t="n">
        <v>45252.6895833333</v>
      </c>
      <c r="C431" s="44" t="n">
        <v>45252.6913657407</v>
      </c>
      <c r="D431" s="43" t="n">
        <f aca="false">INT(C431)</f>
        <v>45252</v>
      </c>
      <c r="E431" s="43" t="n">
        <f aca="false">D431-WEEKDAY(D431,3)</f>
        <v>45250</v>
      </c>
      <c r="F431" s="29" t="s">
        <v>163</v>
      </c>
      <c r="G431" s="29" t="n">
        <v>2023</v>
      </c>
      <c r="H431" s="29" t="s">
        <v>252</v>
      </c>
      <c r="I431" s="29" t="n">
        <v>16</v>
      </c>
      <c r="J431" s="29" t="s">
        <v>246</v>
      </c>
      <c r="K431" s="29" t="s">
        <v>247</v>
      </c>
      <c r="L431" s="29" t="n">
        <v>0.04</v>
      </c>
      <c r="M431" s="32" t="n">
        <v>16066.74</v>
      </c>
      <c r="N431" s="32" t="n">
        <v>16052.45</v>
      </c>
      <c r="O431" s="32" t="n">
        <v>16101.97</v>
      </c>
      <c r="P431" s="45" t="n">
        <f aca="false">ABS(M431-N431)</f>
        <v>14.2899999999991</v>
      </c>
      <c r="Q431" s="45" t="n">
        <f aca="false">IF(O431="","",ABS(O431-M431))</f>
        <v>35.2299999999996</v>
      </c>
      <c r="R431" s="31" t="n">
        <f aca="false">P431*L431*Summary!$C$6</f>
        <v>57.1599999999962</v>
      </c>
      <c r="S431" s="32" t="n">
        <v>16102.38</v>
      </c>
      <c r="T431" s="29" t="s">
        <v>227</v>
      </c>
      <c r="U431" s="45" t="n">
        <f aca="false">IF(J431="BUY",S431-M431,M431-S431)</f>
        <v>35.6399999999994</v>
      </c>
      <c r="V431" s="46" t="n">
        <v>0</v>
      </c>
      <c r="W431" s="46" t="n">
        <v>0</v>
      </c>
      <c r="X431" s="46" t="n">
        <v>142.56</v>
      </c>
      <c r="Y431" s="33" t="n">
        <f aca="false">IFERROR(X431/R431,0)</f>
        <v>2.49405178446483</v>
      </c>
      <c r="Z431" s="29" t="str">
        <f aca="false">IF(X431&gt;0,"Win",IF(X431&lt;0,"Loss","Flat"))</f>
        <v>Win</v>
      </c>
      <c r="AA431" s="29" t="n">
        <f aca="false">ROUND((C431-B431)*1440,1)</f>
        <v>2.6</v>
      </c>
      <c r="AB431" s="29" t="str">
        <f aca="false">IF(AA431&lt;1,"a) &lt;1 min",IF(AA431&lt;10,"b) 1-10 min",IF(AA431&lt;60,"c) 10-60 min",IF(AA431&lt;240,"d) 1-4 h","e) 4 h+"))))</f>
        <v>b) 1-10 min</v>
      </c>
      <c r="AC431" s="29" t="str">
        <f aca="false">IF(P431&lt;10,"a) &lt;10",IF(P431&lt;20,"b) 10-20",IF(P431&lt;40,"c) 20-40",IF(P431&lt;80,"d) 40-80","e) 80+"))))</f>
        <v>b) 10-20</v>
      </c>
      <c r="AD431" s="31" t="n">
        <f aca="false">Summary!$C$5+SUM(X$2:X431)</f>
        <v>13983.8</v>
      </c>
      <c r="AE431" s="31" t="n">
        <f aca="false">MAX(AE430,AD431)</f>
        <v>13983.8</v>
      </c>
      <c r="AF431" s="31" t="n">
        <f aca="false">AE431-AD431</f>
        <v>0</v>
      </c>
      <c r="AG431" s="30" t="n">
        <f aca="false">IFERROR(AF431/AE431,0)</f>
        <v>0</v>
      </c>
    </row>
    <row r="432" customFormat="false" ht="15" hidden="false" customHeight="false" outlineLevel="0" collapsed="false">
      <c r="A432" s="29" t="n">
        <v>431</v>
      </c>
      <c r="B432" s="44" t="n">
        <v>45254.3868055556</v>
      </c>
      <c r="C432" s="44" t="n">
        <v>45254.3898032407</v>
      </c>
      <c r="D432" s="43" t="n">
        <f aca="false">INT(C432)</f>
        <v>45254</v>
      </c>
      <c r="E432" s="43" t="n">
        <f aca="false">D432-WEEKDAY(D432,3)</f>
        <v>45250</v>
      </c>
      <c r="F432" s="29" t="s">
        <v>163</v>
      </c>
      <c r="G432" s="29" t="n">
        <v>2023</v>
      </c>
      <c r="H432" s="29" t="s">
        <v>254</v>
      </c>
      <c r="I432" s="29" t="n">
        <v>9</v>
      </c>
      <c r="J432" s="29" t="s">
        <v>250</v>
      </c>
      <c r="K432" s="29" t="s">
        <v>251</v>
      </c>
      <c r="L432" s="29" t="n">
        <v>0.04</v>
      </c>
      <c r="M432" s="32" t="n">
        <v>15989.72</v>
      </c>
      <c r="N432" s="32" t="n">
        <v>15992.1</v>
      </c>
      <c r="O432" s="32" t="n">
        <v>15983.9</v>
      </c>
      <c r="P432" s="45" t="n">
        <f aca="false">ABS(M432-N432)</f>
        <v>2.38000000000102</v>
      </c>
      <c r="Q432" s="45" t="n">
        <f aca="false">IF(O432="","",ABS(O432-M432))</f>
        <v>5.81999999999971</v>
      </c>
      <c r="R432" s="31" t="n">
        <f aca="false">P432*L432*Summary!$C$6</f>
        <v>9.52000000000408</v>
      </c>
      <c r="S432" s="32" t="n">
        <v>15989.74</v>
      </c>
      <c r="T432" s="29" t="s">
        <v>255</v>
      </c>
      <c r="U432" s="45" t="n">
        <f aca="false">IF(J432="BUY",S432-M432,M432-S432)</f>
        <v>-0.0200000000004366</v>
      </c>
      <c r="V432" s="46" t="n">
        <v>0</v>
      </c>
      <c r="W432" s="46" t="n">
        <v>0</v>
      </c>
      <c r="X432" s="46" t="n">
        <v>-0.08</v>
      </c>
      <c r="Y432" s="33" t="n">
        <f aca="false">IFERROR(X432/R432,0)</f>
        <v>-0.00840336134453422</v>
      </c>
      <c r="Z432" s="29" t="str">
        <f aca="false">IF(X432&gt;0,"Win",IF(X432&lt;0,"Loss","Flat"))</f>
        <v>Loss</v>
      </c>
      <c r="AA432" s="29" t="n">
        <f aca="false">ROUND((C432-B432)*1440,1)</f>
        <v>4.3</v>
      </c>
      <c r="AB432" s="29" t="str">
        <f aca="false">IF(AA432&lt;1,"a) &lt;1 min",IF(AA432&lt;10,"b) 1-10 min",IF(AA432&lt;60,"c) 10-60 min",IF(AA432&lt;240,"d) 1-4 h","e) 4 h+"))))</f>
        <v>b) 1-10 min</v>
      </c>
      <c r="AC432" s="29" t="str">
        <f aca="false">IF(P432&lt;10,"a) &lt;10",IF(P432&lt;20,"b) 10-20",IF(P432&lt;40,"c) 20-40",IF(P432&lt;80,"d) 40-80","e) 80+"))))</f>
        <v>a) &lt;10</v>
      </c>
      <c r="AD432" s="31" t="n">
        <f aca="false">Summary!$C$5+SUM(X$2:X432)</f>
        <v>13983.72</v>
      </c>
      <c r="AE432" s="31" t="n">
        <f aca="false">MAX(AE431,AD432)</f>
        <v>13983.8</v>
      </c>
      <c r="AF432" s="31" t="n">
        <f aca="false">AE432-AD432</f>
        <v>0.0799999999999272</v>
      </c>
      <c r="AG432" s="30" t="n">
        <f aca="false">IFERROR(AF432/AE432,0)</f>
        <v>5.72090561935434E-006</v>
      </c>
    </row>
    <row r="433" customFormat="false" ht="15" hidden="false" customHeight="false" outlineLevel="0" collapsed="false">
      <c r="A433" s="29" t="n">
        <v>432</v>
      </c>
      <c r="B433" s="44" t="n">
        <v>45257.0888888889</v>
      </c>
      <c r="C433" s="44" t="n">
        <v>45257.0897337963</v>
      </c>
      <c r="D433" s="43" t="n">
        <f aca="false">INT(C433)</f>
        <v>45257</v>
      </c>
      <c r="E433" s="43" t="n">
        <f aca="false">D433-WEEKDAY(D433,3)</f>
        <v>45257</v>
      </c>
      <c r="F433" s="29" t="s">
        <v>163</v>
      </c>
      <c r="G433" s="29" t="n">
        <v>2023</v>
      </c>
      <c r="H433" s="29" t="s">
        <v>245</v>
      </c>
      <c r="I433" s="29" t="n">
        <v>2</v>
      </c>
      <c r="J433" s="29" t="s">
        <v>250</v>
      </c>
      <c r="K433" s="29" t="s">
        <v>251</v>
      </c>
      <c r="L433" s="29" t="n">
        <v>0.04</v>
      </c>
      <c r="M433" s="32" t="n">
        <v>15932.32</v>
      </c>
      <c r="N433" s="32" t="n">
        <v>15935.25</v>
      </c>
      <c r="O433" s="32" t="n">
        <v>15925.15</v>
      </c>
      <c r="P433" s="45" t="n">
        <f aca="false">ABS(M433-N433)</f>
        <v>2.93000000000029</v>
      </c>
      <c r="Q433" s="45" t="n">
        <f aca="false">IF(O433="","",ABS(O433-M433))</f>
        <v>7.17000000000007</v>
      </c>
      <c r="R433" s="31" t="n">
        <f aca="false">P433*L433*Summary!$C$6</f>
        <v>11.7200000000012</v>
      </c>
      <c r="S433" s="32" t="n">
        <v>15935.54</v>
      </c>
      <c r="T433" s="29" t="s">
        <v>249</v>
      </c>
      <c r="U433" s="45" t="n">
        <f aca="false">IF(J433="BUY",S433-M433,M433-S433)</f>
        <v>-3.22000000000116</v>
      </c>
      <c r="V433" s="46" t="n">
        <v>0</v>
      </c>
      <c r="W433" s="46" t="n">
        <v>0</v>
      </c>
      <c r="X433" s="46" t="n">
        <v>-12.88</v>
      </c>
      <c r="Y433" s="33" t="n">
        <f aca="false">IFERROR(X433/R433,0)</f>
        <v>-1.09897610921491</v>
      </c>
      <c r="Z433" s="29" t="str">
        <f aca="false">IF(X433&gt;0,"Win",IF(X433&lt;0,"Loss","Flat"))</f>
        <v>Loss</v>
      </c>
      <c r="AA433" s="29" t="n">
        <f aca="false">ROUND((C433-B433)*1440,1)</f>
        <v>1.2</v>
      </c>
      <c r="AB433" s="29" t="str">
        <f aca="false">IF(AA433&lt;1,"a) &lt;1 min",IF(AA433&lt;10,"b) 1-10 min",IF(AA433&lt;60,"c) 10-60 min",IF(AA433&lt;240,"d) 1-4 h","e) 4 h+"))))</f>
        <v>b) 1-10 min</v>
      </c>
      <c r="AC433" s="29" t="str">
        <f aca="false">IF(P433&lt;10,"a) &lt;10",IF(P433&lt;20,"b) 10-20",IF(P433&lt;40,"c) 20-40",IF(P433&lt;80,"d) 40-80","e) 80+"))))</f>
        <v>a) &lt;10</v>
      </c>
      <c r="AD433" s="31" t="n">
        <f aca="false">Summary!$C$5+SUM(X$2:X433)</f>
        <v>13970.84</v>
      </c>
      <c r="AE433" s="31" t="n">
        <f aca="false">MAX(AE432,AD433)</f>
        <v>13983.8</v>
      </c>
      <c r="AF433" s="31" t="n">
        <f aca="false">AE433-AD433</f>
        <v>12.9599999999991</v>
      </c>
      <c r="AG433" s="30" t="n">
        <f aca="false">IFERROR(AF433/AE433,0)</f>
        <v>0.000926786710336184</v>
      </c>
    </row>
    <row r="434" customFormat="false" ht="15" hidden="false" customHeight="false" outlineLevel="0" collapsed="false">
      <c r="A434" s="29" t="n">
        <v>433</v>
      </c>
      <c r="B434" s="44" t="n">
        <v>45257.8326388889</v>
      </c>
      <c r="C434" s="44" t="n">
        <v>45257.8338773148</v>
      </c>
      <c r="D434" s="43" t="n">
        <f aca="false">INT(C434)</f>
        <v>45257</v>
      </c>
      <c r="E434" s="43" t="n">
        <f aca="false">D434-WEEKDAY(D434,3)</f>
        <v>45257</v>
      </c>
      <c r="F434" s="29" t="s">
        <v>163</v>
      </c>
      <c r="G434" s="29" t="n">
        <v>2023</v>
      </c>
      <c r="H434" s="29" t="s">
        <v>245</v>
      </c>
      <c r="I434" s="29" t="n">
        <v>19</v>
      </c>
      <c r="J434" s="29" t="s">
        <v>246</v>
      </c>
      <c r="K434" s="29" t="s">
        <v>247</v>
      </c>
      <c r="L434" s="29" t="n">
        <v>0.04</v>
      </c>
      <c r="M434" s="32" t="n">
        <v>16032.9</v>
      </c>
      <c r="N434" s="32" t="n">
        <v>16029.02</v>
      </c>
      <c r="O434" s="32" t="n">
        <v>16042.41</v>
      </c>
      <c r="P434" s="45" t="n">
        <f aca="false">ABS(M434-N434)</f>
        <v>3.8799999999992</v>
      </c>
      <c r="Q434" s="45" t="n">
        <f aca="false">IF(O434="","",ABS(O434-M434))</f>
        <v>9.51000000000022</v>
      </c>
      <c r="R434" s="31" t="n">
        <f aca="false">P434*L434*Summary!$C$6</f>
        <v>15.5199999999968</v>
      </c>
      <c r="S434" s="32" t="n">
        <v>16028.91</v>
      </c>
      <c r="T434" s="29" t="s">
        <v>249</v>
      </c>
      <c r="U434" s="45" t="n">
        <f aca="false">IF(J434="BUY",S434-M434,M434-S434)</f>
        <v>-3.98999999999978</v>
      </c>
      <c r="V434" s="46" t="n">
        <v>0</v>
      </c>
      <c r="W434" s="46" t="n">
        <v>0</v>
      </c>
      <c r="X434" s="46" t="n">
        <v>-15.96</v>
      </c>
      <c r="Y434" s="33" t="n">
        <f aca="false">IFERROR(X434/R434,0)</f>
        <v>-1.02835051546413</v>
      </c>
      <c r="Z434" s="29" t="str">
        <f aca="false">IF(X434&gt;0,"Win",IF(X434&lt;0,"Loss","Flat"))</f>
        <v>Loss</v>
      </c>
      <c r="AA434" s="29" t="n">
        <f aca="false">ROUND((C434-B434)*1440,1)</f>
        <v>1.8</v>
      </c>
      <c r="AB434" s="29" t="str">
        <f aca="false">IF(AA434&lt;1,"a) &lt;1 min",IF(AA434&lt;10,"b) 1-10 min",IF(AA434&lt;60,"c) 10-60 min",IF(AA434&lt;240,"d) 1-4 h","e) 4 h+"))))</f>
        <v>b) 1-10 min</v>
      </c>
      <c r="AC434" s="29" t="str">
        <f aca="false">IF(P434&lt;10,"a) &lt;10",IF(P434&lt;20,"b) 10-20",IF(P434&lt;40,"c) 20-40",IF(P434&lt;80,"d) 40-80","e) 80+"))))</f>
        <v>a) &lt;10</v>
      </c>
      <c r="AD434" s="31" t="n">
        <f aca="false">Summary!$C$5+SUM(X$2:X434)</f>
        <v>13954.88</v>
      </c>
      <c r="AE434" s="31" t="n">
        <f aca="false">MAX(AE433,AD434)</f>
        <v>13983.8</v>
      </c>
      <c r="AF434" s="31" t="n">
        <f aca="false">AE434-AD434</f>
        <v>28.9199999999983</v>
      </c>
      <c r="AG434" s="30" t="n">
        <f aca="false">IFERROR(AF434/AE434,0)</f>
        <v>0.00206810738139835</v>
      </c>
    </row>
    <row r="435" customFormat="false" ht="15" hidden="false" customHeight="false" outlineLevel="0" collapsed="false">
      <c r="A435" s="29" t="n">
        <v>434</v>
      </c>
      <c r="B435" s="44" t="n">
        <v>45259.1263888889</v>
      </c>
      <c r="C435" s="44" t="n">
        <v>45259.1275578704</v>
      </c>
      <c r="D435" s="43" t="n">
        <f aca="false">INT(C435)</f>
        <v>45259</v>
      </c>
      <c r="E435" s="43" t="n">
        <f aca="false">D435-WEEKDAY(D435,3)</f>
        <v>45257</v>
      </c>
      <c r="F435" s="29" t="s">
        <v>163</v>
      </c>
      <c r="G435" s="29" t="n">
        <v>2023</v>
      </c>
      <c r="H435" s="29" t="s">
        <v>252</v>
      </c>
      <c r="I435" s="29" t="n">
        <v>3</v>
      </c>
      <c r="J435" s="29" t="s">
        <v>246</v>
      </c>
      <c r="K435" s="29" t="s">
        <v>247</v>
      </c>
      <c r="L435" s="29" t="n">
        <v>0.04</v>
      </c>
      <c r="M435" s="32" t="n">
        <v>16039.18</v>
      </c>
      <c r="N435" s="32" t="n">
        <v>16035.33</v>
      </c>
      <c r="O435" s="32" t="n">
        <v>16048.61</v>
      </c>
      <c r="P435" s="45" t="n">
        <f aca="false">ABS(M435-N435)</f>
        <v>3.85000000000036</v>
      </c>
      <c r="Q435" s="45" t="n">
        <f aca="false">IF(O435="","",ABS(O435-M435))</f>
        <v>9.43000000000029</v>
      </c>
      <c r="R435" s="31" t="n">
        <f aca="false">P435*L435*Summary!$C$6</f>
        <v>15.4000000000015</v>
      </c>
      <c r="S435" s="32" t="n">
        <v>16038.96</v>
      </c>
      <c r="T435" s="29" t="s">
        <v>255</v>
      </c>
      <c r="U435" s="45" t="n">
        <f aca="false">IF(J435="BUY",S435-M435,M435-S435)</f>
        <v>-0.220000000001164</v>
      </c>
      <c r="V435" s="46" t="n">
        <v>0</v>
      </c>
      <c r="W435" s="46" t="n">
        <v>0</v>
      </c>
      <c r="X435" s="46" t="n">
        <v>-0.88</v>
      </c>
      <c r="Y435" s="33" t="n">
        <f aca="false">IFERROR(X435/R435,0)</f>
        <v>-0.0571428571428518</v>
      </c>
      <c r="Z435" s="29" t="str">
        <f aca="false">IF(X435&gt;0,"Win",IF(X435&lt;0,"Loss","Flat"))</f>
        <v>Loss</v>
      </c>
      <c r="AA435" s="29" t="n">
        <f aca="false">ROUND((C435-B435)*1440,1)</f>
        <v>1.7</v>
      </c>
      <c r="AB435" s="29" t="str">
        <f aca="false">IF(AA435&lt;1,"a) &lt;1 min",IF(AA435&lt;10,"b) 1-10 min",IF(AA435&lt;60,"c) 10-60 min",IF(AA435&lt;240,"d) 1-4 h","e) 4 h+"))))</f>
        <v>b) 1-10 min</v>
      </c>
      <c r="AC435" s="29" t="str">
        <f aca="false">IF(P435&lt;10,"a) &lt;10",IF(P435&lt;20,"b) 10-20",IF(P435&lt;40,"c) 20-40",IF(P435&lt;80,"d) 40-80","e) 80+"))))</f>
        <v>a) &lt;10</v>
      </c>
      <c r="AD435" s="31" t="n">
        <f aca="false">Summary!$C$5+SUM(X$2:X435)</f>
        <v>13954</v>
      </c>
      <c r="AE435" s="31" t="n">
        <f aca="false">MAX(AE434,AD435)</f>
        <v>13983.8</v>
      </c>
      <c r="AF435" s="31" t="n">
        <f aca="false">AE435-AD435</f>
        <v>29.7999999999993</v>
      </c>
      <c r="AG435" s="30" t="n">
        <f aca="false">IFERROR(AF435/AE435,0)</f>
        <v>0.00213103734321138</v>
      </c>
    </row>
    <row r="436" customFormat="false" ht="15" hidden="false" customHeight="false" outlineLevel="0" collapsed="false">
      <c r="A436" s="29" t="n">
        <v>435</v>
      </c>
      <c r="B436" s="44" t="n">
        <v>45260.69375</v>
      </c>
      <c r="C436" s="44" t="n">
        <v>45260.6992476852</v>
      </c>
      <c r="D436" s="43" t="n">
        <f aca="false">INT(C436)</f>
        <v>45260</v>
      </c>
      <c r="E436" s="43" t="n">
        <f aca="false">D436-WEEKDAY(D436,3)</f>
        <v>45257</v>
      </c>
      <c r="F436" s="29" t="s">
        <v>163</v>
      </c>
      <c r="G436" s="29" t="n">
        <v>2023</v>
      </c>
      <c r="H436" s="29" t="s">
        <v>253</v>
      </c>
      <c r="I436" s="29" t="n">
        <v>16</v>
      </c>
      <c r="J436" s="29" t="s">
        <v>250</v>
      </c>
      <c r="K436" s="29" t="s">
        <v>251</v>
      </c>
      <c r="L436" s="29" t="n">
        <v>0.04</v>
      </c>
      <c r="M436" s="32" t="n">
        <v>15961.49</v>
      </c>
      <c r="N436" s="32" t="n">
        <v>15980.15</v>
      </c>
      <c r="O436" s="32" t="n">
        <v>15917.5</v>
      </c>
      <c r="P436" s="45" t="n">
        <f aca="false">ABS(M436-N436)</f>
        <v>18.6599999999999</v>
      </c>
      <c r="Q436" s="45" t="n">
        <f aca="false">IF(O436="","",ABS(O436-M436))</f>
        <v>43.9899999999998</v>
      </c>
      <c r="R436" s="31" t="n">
        <f aca="false">P436*L436*Summary!$C$6</f>
        <v>74.6399999999994</v>
      </c>
      <c r="S436" s="32" t="n">
        <v>15917.48</v>
      </c>
      <c r="T436" s="29" t="s">
        <v>227</v>
      </c>
      <c r="U436" s="45" t="n">
        <f aca="false">IF(J436="BUY",S436-M436,M436-S436)</f>
        <v>44.0100000000002</v>
      </c>
      <c r="V436" s="46" t="n">
        <v>0</v>
      </c>
      <c r="W436" s="46" t="n">
        <v>0</v>
      </c>
      <c r="X436" s="46" t="n">
        <v>176.04</v>
      </c>
      <c r="Y436" s="33" t="n">
        <f aca="false">IFERROR(X436/R436,0)</f>
        <v>2.35852090032156</v>
      </c>
      <c r="Z436" s="29" t="str">
        <f aca="false">IF(X436&gt;0,"Win",IF(X436&lt;0,"Loss","Flat"))</f>
        <v>Win</v>
      </c>
      <c r="AA436" s="29" t="n">
        <f aca="false">ROUND((C436-B436)*1440,1)</f>
        <v>7.9</v>
      </c>
      <c r="AB436" s="29" t="str">
        <f aca="false">IF(AA436&lt;1,"a) &lt;1 min",IF(AA436&lt;10,"b) 1-10 min",IF(AA436&lt;60,"c) 10-60 min",IF(AA436&lt;240,"d) 1-4 h","e) 4 h+"))))</f>
        <v>b) 1-10 min</v>
      </c>
      <c r="AC436" s="29" t="str">
        <f aca="false">IF(P436&lt;10,"a) &lt;10",IF(P436&lt;20,"b) 10-20",IF(P436&lt;40,"c) 20-40",IF(P436&lt;80,"d) 40-80","e) 80+"))))</f>
        <v>b) 10-20</v>
      </c>
      <c r="AD436" s="31" t="n">
        <f aca="false">Summary!$C$5+SUM(X$2:X436)</f>
        <v>14130.04</v>
      </c>
      <c r="AE436" s="31" t="n">
        <f aca="false">MAX(AE435,AD436)</f>
        <v>14130.04</v>
      </c>
      <c r="AF436" s="31" t="n">
        <f aca="false">AE436-AD436</f>
        <v>0</v>
      </c>
      <c r="AG436" s="30" t="n">
        <f aca="false">IFERROR(AF436/AE436,0)</f>
        <v>0</v>
      </c>
    </row>
    <row r="437" customFormat="false" ht="15" hidden="false" customHeight="false" outlineLevel="0" collapsed="false">
      <c r="A437" s="29" t="n">
        <v>436</v>
      </c>
      <c r="B437" s="44" t="n">
        <v>45264.6840277778</v>
      </c>
      <c r="C437" s="44" t="n">
        <v>45264.6850578704</v>
      </c>
      <c r="D437" s="43" t="n">
        <f aca="false">INT(C437)</f>
        <v>45264</v>
      </c>
      <c r="E437" s="43" t="n">
        <f aca="false">D437-WEEKDAY(D437,3)</f>
        <v>45264</v>
      </c>
      <c r="F437" s="29" t="s">
        <v>164</v>
      </c>
      <c r="G437" s="29" t="n">
        <v>2023</v>
      </c>
      <c r="H437" s="29" t="s">
        <v>245</v>
      </c>
      <c r="I437" s="29" t="n">
        <v>16</v>
      </c>
      <c r="J437" s="29" t="s">
        <v>250</v>
      </c>
      <c r="K437" s="29" t="s">
        <v>251</v>
      </c>
      <c r="L437" s="29" t="n">
        <v>0.04</v>
      </c>
      <c r="M437" s="32" t="n">
        <v>15818.62</v>
      </c>
      <c r="N437" s="32" t="n">
        <v>15827.5</v>
      </c>
      <c r="O437" s="32" t="n">
        <v>15796.87</v>
      </c>
      <c r="P437" s="45" t="n">
        <f aca="false">ABS(M437-N437)</f>
        <v>8.8799999999992</v>
      </c>
      <c r="Q437" s="45" t="n">
        <f aca="false">IF(O437="","",ABS(O437-M437))</f>
        <v>21.75</v>
      </c>
      <c r="R437" s="31" t="n">
        <f aca="false">P437*L437*Summary!$C$6</f>
        <v>35.5199999999968</v>
      </c>
      <c r="S437" s="32" t="n">
        <v>15827.54</v>
      </c>
      <c r="T437" s="29" t="s">
        <v>249</v>
      </c>
      <c r="U437" s="45" t="n">
        <f aca="false">IF(J437="BUY",S437-M437,M437-S437)</f>
        <v>-8.92000000000007</v>
      </c>
      <c r="V437" s="46" t="n">
        <v>0</v>
      </c>
      <c r="W437" s="46" t="n">
        <v>0</v>
      </c>
      <c r="X437" s="46" t="n">
        <v>-35.68</v>
      </c>
      <c r="Y437" s="33" t="n">
        <f aca="false">IFERROR(X437/R437,0)</f>
        <v>-1.0045045045046</v>
      </c>
      <c r="Z437" s="29" t="str">
        <f aca="false">IF(X437&gt;0,"Win",IF(X437&lt;0,"Loss","Flat"))</f>
        <v>Loss</v>
      </c>
      <c r="AA437" s="29" t="n">
        <f aca="false">ROUND((C437-B437)*1440,1)</f>
        <v>1.5</v>
      </c>
      <c r="AB437" s="29" t="str">
        <f aca="false">IF(AA437&lt;1,"a) &lt;1 min",IF(AA437&lt;10,"b) 1-10 min",IF(AA437&lt;60,"c) 10-60 min",IF(AA437&lt;240,"d) 1-4 h","e) 4 h+"))))</f>
        <v>b) 1-10 min</v>
      </c>
      <c r="AC437" s="29" t="str">
        <f aca="false">IF(P437&lt;10,"a) &lt;10",IF(P437&lt;20,"b) 10-20",IF(P437&lt;40,"c) 20-40",IF(P437&lt;80,"d) 40-80","e) 80+"))))</f>
        <v>a) &lt;10</v>
      </c>
      <c r="AD437" s="31" t="n">
        <f aca="false">Summary!$C$5+SUM(X$2:X437)</f>
        <v>14094.36</v>
      </c>
      <c r="AE437" s="31" t="n">
        <f aca="false">MAX(AE436,AD437)</f>
        <v>14130.04</v>
      </c>
      <c r="AF437" s="31" t="n">
        <f aca="false">AE437-AD437</f>
        <v>35.6800000000003</v>
      </c>
      <c r="AG437" s="30" t="n">
        <f aca="false">IFERROR(AF437/AE437,0)</f>
        <v>0.00252511670172203</v>
      </c>
    </row>
    <row r="438" customFormat="false" ht="15" hidden="false" customHeight="false" outlineLevel="0" collapsed="false">
      <c r="A438" s="29" t="n">
        <v>437</v>
      </c>
      <c r="B438" s="44" t="n">
        <v>45266.1090277778</v>
      </c>
      <c r="C438" s="44" t="n">
        <v>45266.109375</v>
      </c>
      <c r="D438" s="43" t="n">
        <f aca="false">INT(C438)</f>
        <v>45266</v>
      </c>
      <c r="E438" s="43" t="n">
        <f aca="false">D438-WEEKDAY(D438,3)</f>
        <v>45264</v>
      </c>
      <c r="F438" s="29" t="s">
        <v>164</v>
      </c>
      <c r="G438" s="29" t="n">
        <v>2023</v>
      </c>
      <c r="H438" s="29" t="s">
        <v>252</v>
      </c>
      <c r="I438" s="29" t="n">
        <v>2</v>
      </c>
      <c r="J438" s="29" t="s">
        <v>246</v>
      </c>
      <c r="K438" s="29" t="s">
        <v>247</v>
      </c>
      <c r="L438" s="29" t="n">
        <v>0.04</v>
      </c>
      <c r="M438" s="32" t="n">
        <v>15934.91</v>
      </c>
      <c r="N438" s="32" t="n">
        <v>15932.1</v>
      </c>
      <c r="O438" s="32" t="n">
        <v>15941.79</v>
      </c>
      <c r="P438" s="45" t="n">
        <f aca="false">ABS(M438-N438)</f>
        <v>2.80999999999949</v>
      </c>
      <c r="Q438" s="45" t="n">
        <f aca="false">IF(O438="","",ABS(O438-M438))</f>
        <v>6.88000000000102</v>
      </c>
      <c r="R438" s="31" t="n">
        <f aca="false">P438*L438*Summary!$C$6</f>
        <v>11.239999999998</v>
      </c>
      <c r="S438" s="32" t="n">
        <v>15932.1</v>
      </c>
      <c r="T438" s="29" t="s">
        <v>249</v>
      </c>
      <c r="U438" s="45" t="n">
        <f aca="false">IF(J438="BUY",S438-M438,M438-S438)</f>
        <v>-2.80999999999949</v>
      </c>
      <c r="V438" s="46" t="n">
        <v>0</v>
      </c>
      <c r="W438" s="46" t="n">
        <v>0</v>
      </c>
      <c r="X438" s="46" t="n">
        <v>-11.24</v>
      </c>
      <c r="Y438" s="33" t="n">
        <f aca="false">IFERROR(X438/R438,0)</f>
        <v>-1.00000000000018</v>
      </c>
      <c r="Z438" s="29" t="str">
        <f aca="false">IF(X438&gt;0,"Win",IF(X438&lt;0,"Loss","Flat"))</f>
        <v>Loss</v>
      </c>
      <c r="AA438" s="29" t="n">
        <f aca="false">ROUND((C438-B438)*1440,1)</f>
        <v>0.5</v>
      </c>
      <c r="AB438" s="29" t="str">
        <f aca="false">IF(AA438&lt;1,"a) &lt;1 min",IF(AA438&lt;10,"b) 1-10 min",IF(AA438&lt;60,"c) 10-60 min",IF(AA438&lt;240,"d) 1-4 h","e) 4 h+"))))</f>
        <v>a) &lt;1 min</v>
      </c>
      <c r="AC438" s="29" t="str">
        <f aca="false">IF(P438&lt;10,"a) &lt;10",IF(P438&lt;20,"b) 10-20",IF(P438&lt;40,"c) 20-40",IF(P438&lt;80,"d) 40-80","e) 80+"))))</f>
        <v>a) &lt;10</v>
      </c>
      <c r="AD438" s="31" t="n">
        <f aca="false">Summary!$C$5+SUM(X$2:X438)</f>
        <v>14083.12</v>
      </c>
      <c r="AE438" s="31" t="n">
        <f aca="false">MAX(AE437,AD438)</f>
        <v>14130.04</v>
      </c>
      <c r="AF438" s="31" t="n">
        <f aca="false">AE438-AD438</f>
        <v>46.9200000000019</v>
      </c>
      <c r="AG438" s="30" t="n">
        <f aca="false">IFERROR(AF438/AE438,0)</f>
        <v>0.00332058507973098</v>
      </c>
    </row>
    <row r="439" customFormat="false" ht="15" hidden="false" customHeight="false" outlineLevel="0" collapsed="false">
      <c r="A439" s="29" t="n">
        <v>438</v>
      </c>
      <c r="B439" s="44" t="n">
        <v>45267.3159722222</v>
      </c>
      <c r="C439" s="44" t="n">
        <v>45267.3183912037</v>
      </c>
      <c r="D439" s="43" t="n">
        <f aca="false">INT(C439)</f>
        <v>45267</v>
      </c>
      <c r="E439" s="43" t="n">
        <f aca="false">D439-WEEKDAY(D439,3)</f>
        <v>45264</v>
      </c>
      <c r="F439" s="29" t="s">
        <v>164</v>
      </c>
      <c r="G439" s="29" t="n">
        <v>2023</v>
      </c>
      <c r="H439" s="29" t="s">
        <v>253</v>
      </c>
      <c r="I439" s="29" t="n">
        <v>7</v>
      </c>
      <c r="J439" s="29" t="s">
        <v>250</v>
      </c>
      <c r="K439" s="29" t="s">
        <v>251</v>
      </c>
      <c r="L439" s="29" t="n">
        <v>0.04</v>
      </c>
      <c r="M439" s="32" t="n">
        <v>15776.7</v>
      </c>
      <c r="N439" s="32" t="n">
        <v>15779.92</v>
      </c>
      <c r="O439" s="32" t="n">
        <v>15768.82</v>
      </c>
      <c r="P439" s="45" t="n">
        <f aca="false">ABS(M439-N439)</f>
        <v>3.21999999999935</v>
      </c>
      <c r="Q439" s="45" t="n">
        <f aca="false">IF(O439="","",ABS(O439-M439))</f>
        <v>7.88000000000102</v>
      </c>
      <c r="R439" s="31" t="n">
        <f aca="false">P439*L439*Summary!$C$6</f>
        <v>12.8799999999974</v>
      </c>
      <c r="S439" s="32" t="n">
        <v>15780</v>
      </c>
      <c r="T439" s="29" t="s">
        <v>249</v>
      </c>
      <c r="U439" s="45" t="n">
        <f aca="false">IF(J439="BUY",S439-M439,M439-S439)</f>
        <v>-3.29999999999927</v>
      </c>
      <c r="V439" s="46" t="n">
        <v>0</v>
      </c>
      <c r="W439" s="46" t="n">
        <v>0</v>
      </c>
      <c r="X439" s="46" t="n">
        <v>-13.2</v>
      </c>
      <c r="Y439" s="33" t="n">
        <f aca="false">IFERROR(X439/R439,0)</f>
        <v>-1.0248447204971</v>
      </c>
      <c r="Z439" s="29" t="str">
        <f aca="false">IF(X439&gt;0,"Win",IF(X439&lt;0,"Loss","Flat"))</f>
        <v>Loss</v>
      </c>
      <c r="AA439" s="29" t="n">
        <f aca="false">ROUND((C439-B439)*1440,1)</f>
        <v>3.5</v>
      </c>
      <c r="AB439" s="29" t="str">
        <f aca="false">IF(AA439&lt;1,"a) &lt;1 min",IF(AA439&lt;10,"b) 1-10 min",IF(AA439&lt;60,"c) 10-60 min",IF(AA439&lt;240,"d) 1-4 h","e) 4 h+"))))</f>
        <v>b) 1-10 min</v>
      </c>
      <c r="AC439" s="29" t="str">
        <f aca="false">IF(P439&lt;10,"a) &lt;10",IF(P439&lt;20,"b) 10-20",IF(P439&lt;40,"c) 20-40",IF(P439&lt;80,"d) 40-80","e) 80+"))))</f>
        <v>a) &lt;10</v>
      </c>
      <c r="AD439" s="31" t="n">
        <f aca="false">Summary!$C$5+SUM(X$2:X439)</f>
        <v>14069.92</v>
      </c>
      <c r="AE439" s="31" t="n">
        <f aca="false">MAX(AE438,AD439)</f>
        <v>14130.04</v>
      </c>
      <c r="AF439" s="31" t="n">
        <f aca="false">AE439-AD439</f>
        <v>60.1200000000008</v>
      </c>
      <c r="AG439" s="30" t="n">
        <f aca="false">IFERROR(AF439/AE439,0)</f>
        <v>0.00425476502543523</v>
      </c>
    </row>
    <row r="440" customFormat="false" ht="15" hidden="false" customHeight="false" outlineLevel="0" collapsed="false">
      <c r="A440" s="29" t="n">
        <v>439</v>
      </c>
      <c r="B440" s="44" t="n">
        <v>45267.8048611111</v>
      </c>
      <c r="C440" s="44" t="n">
        <v>45267.8072916667</v>
      </c>
      <c r="D440" s="43" t="n">
        <f aca="false">INT(C440)</f>
        <v>45267</v>
      </c>
      <c r="E440" s="43" t="n">
        <f aca="false">D440-WEEKDAY(D440,3)</f>
        <v>45264</v>
      </c>
      <c r="F440" s="29" t="s">
        <v>164</v>
      </c>
      <c r="G440" s="29" t="n">
        <v>2023</v>
      </c>
      <c r="H440" s="29" t="s">
        <v>253</v>
      </c>
      <c r="I440" s="29" t="n">
        <v>19</v>
      </c>
      <c r="J440" s="29" t="s">
        <v>246</v>
      </c>
      <c r="K440" s="29" t="s">
        <v>247</v>
      </c>
      <c r="L440" s="29" t="n">
        <v>0.04</v>
      </c>
      <c r="M440" s="32" t="n">
        <v>16022.52</v>
      </c>
      <c r="N440" s="32" t="n">
        <v>16013.99</v>
      </c>
      <c r="O440" s="32" t="n">
        <v>16043.41</v>
      </c>
      <c r="P440" s="45" t="n">
        <f aca="false">ABS(M440-N440)</f>
        <v>8.53000000000066</v>
      </c>
      <c r="Q440" s="45" t="n">
        <f aca="false">IF(O440="","",ABS(O440-M440))</f>
        <v>20.8899999999994</v>
      </c>
      <c r="R440" s="31" t="n">
        <f aca="false">P440*L440*Summary!$C$6</f>
        <v>34.1200000000026</v>
      </c>
      <c r="S440" s="32" t="n">
        <v>16021.48</v>
      </c>
      <c r="T440" s="29" t="s">
        <v>255</v>
      </c>
      <c r="U440" s="45" t="n">
        <f aca="false">IF(J440="BUY",S440-M440,M440-S440)</f>
        <v>-1.04000000000087</v>
      </c>
      <c r="V440" s="46" t="n">
        <v>0</v>
      </c>
      <c r="W440" s="46" t="n">
        <v>0</v>
      </c>
      <c r="X440" s="46" t="n">
        <v>-4.16</v>
      </c>
      <c r="Y440" s="33" t="n">
        <f aca="false">IFERROR(X440/R440,0)</f>
        <v>-0.121922626025782</v>
      </c>
      <c r="Z440" s="29" t="str">
        <f aca="false">IF(X440&gt;0,"Win",IF(X440&lt;0,"Loss","Flat"))</f>
        <v>Loss</v>
      </c>
      <c r="AA440" s="29" t="n">
        <f aca="false">ROUND((C440-B440)*1440,1)</f>
        <v>3.5</v>
      </c>
      <c r="AB440" s="29" t="str">
        <f aca="false">IF(AA440&lt;1,"a) &lt;1 min",IF(AA440&lt;10,"b) 1-10 min",IF(AA440&lt;60,"c) 10-60 min",IF(AA440&lt;240,"d) 1-4 h","e) 4 h+"))))</f>
        <v>b) 1-10 min</v>
      </c>
      <c r="AC440" s="29" t="str">
        <f aca="false">IF(P440&lt;10,"a) &lt;10",IF(P440&lt;20,"b) 10-20",IF(P440&lt;40,"c) 20-40",IF(P440&lt;80,"d) 40-80","e) 80+"))))</f>
        <v>a) &lt;10</v>
      </c>
      <c r="AD440" s="31" t="n">
        <f aca="false">Summary!$C$5+SUM(X$2:X440)</f>
        <v>14065.76</v>
      </c>
      <c r="AE440" s="31" t="n">
        <f aca="false">MAX(AE439,AD440)</f>
        <v>14130.04</v>
      </c>
      <c r="AF440" s="31" t="n">
        <f aca="false">AE440-AD440</f>
        <v>64.2800000000007</v>
      </c>
      <c r="AG440" s="30" t="n">
        <f aca="false">IFERROR(AF440/AE440,0)</f>
        <v>0.0045491732507481</v>
      </c>
    </row>
    <row r="441" customFormat="false" ht="15" hidden="false" customHeight="false" outlineLevel="0" collapsed="false">
      <c r="A441" s="29" t="n">
        <v>440</v>
      </c>
      <c r="B441" s="44" t="n">
        <v>45268.7138888889</v>
      </c>
      <c r="C441" s="44" t="n">
        <v>45268.7319097222</v>
      </c>
      <c r="D441" s="43" t="n">
        <f aca="false">INT(C441)</f>
        <v>45268</v>
      </c>
      <c r="E441" s="43" t="n">
        <f aca="false">D441-WEEKDAY(D441,3)</f>
        <v>45264</v>
      </c>
      <c r="F441" s="29" t="s">
        <v>164</v>
      </c>
      <c r="G441" s="29" t="n">
        <v>2023</v>
      </c>
      <c r="H441" s="29" t="s">
        <v>254</v>
      </c>
      <c r="I441" s="29" t="n">
        <v>17</v>
      </c>
      <c r="J441" s="29" t="s">
        <v>246</v>
      </c>
      <c r="K441" s="29" t="s">
        <v>247</v>
      </c>
      <c r="L441" s="29" t="n">
        <v>0.04</v>
      </c>
      <c r="M441" s="32" t="n">
        <v>16054.79</v>
      </c>
      <c r="N441" s="32" t="n">
        <v>16035.87</v>
      </c>
      <c r="O441" s="32" t="n">
        <v>16101.15</v>
      </c>
      <c r="P441" s="45" t="n">
        <f aca="false">ABS(M441-N441)</f>
        <v>18.9200000000001</v>
      </c>
      <c r="Q441" s="45" t="n">
        <f aca="false">IF(O441="","",ABS(O441-M441))</f>
        <v>46.3599999999988</v>
      </c>
      <c r="R441" s="31" t="n">
        <f aca="false">P441*L441*Summary!$C$6</f>
        <v>75.6800000000003</v>
      </c>
      <c r="S441" s="32" t="n">
        <v>16054.43</v>
      </c>
      <c r="T441" s="29" t="s">
        <v>255</v>
      </c>
      <c r="U441" s="45" t="n">
        <f aca="false">IF(J441="BUY",S441-M441,M441-S441)</f>
        <v>-0.360000000000582</v>
      </c>
      <c r="V441" s="46" t="n">
        <v>0</v>
      </c>
      <c r="W441" s="46" t="n">
        <v>0</v>
      </c>
      <c r="X441" s="46" t="n">
        <v>-1.44</v>
      </c>
      <c r="Y441" s="33" t="n">
        <f aca="false">IFERROR(X441/R441,0)</f>
        <v>-0.0190274841437631</v>
      </c>
      <c r="Z441" s="29" t="str">
        <f aca="false">IF(X441&gt;0,"Win",IF(X441&lt;0,"Loss","Flat"))</f>
        <v>Loss</v>
      </c>
      <c r="AA441" s="29" t="n">
        <f aca="false">ROUND((C441-B441)*1440,1)</f>
        <v>26</v>
      </c>
      <c r="AB441" s="29" t="str">
        <f aca="false">IF(AA441&lt;1,"a) &lt;1 min",IF(AA441&lt;10,"b) 1-10 min",IF(AA441&lt;60,"c) 10-60 min",IF(AA441&lt;240,"d) 1-4 h","e) 4 h+"))))</f>
        <v>c) 10-60 min</v>
      </c>
      <c r="AC441" s="29" t="str">
        <f aca="false">IF(P441&lt;10,"a) &lt;10",IF(P441&lt;20,"b) 10-20",IF(P441&lt;40,"c) 20-40",IF(P441&lt;80,"d) 40-80","e) 80+"))))</f>
        <v>b) 10-20</v>
      </c>
      <c r="AD441" s="31" t="n">
        <f aca="false">Summary!$C$5+SUM(X$2:X441)</f>
        <v>14064.32</v>
      </c>
      <c r="AE441" s="31" t="n">
        <f aca="false">MAX(AE440,AD441)</f>
        <v>14130.04</v>
      </c>
      <c r="AF441" s="31" t="n">
        <f aca="false">AE441-AD441</f>
        <v>65.7200000000012</v>
      </c>
      <c r="AG441" s="30" t="n">
        <f aca="false">IFERROR(AF441/AE441,0)</f>
        <v>0.00465108379027952</v>
      </c>
    </row>
    <row r="442" customFormat="false" ht="15" hidden="false" customHeight="false" outlineLevel="0" collapsed="false">
      <c r="A442" s="29" t="n">
        <v>441</v>
      </c>
      <c r="B442" s="44" t="n">
        <v>45271.6902777778</v>
      </c>
      <c r="C442" s="44" t="n">
        <v>45271.6913078704</v>
      </c>
      <c r="D442" s="43" t="n">
        <f aca="false">INT(C442)</f>
        <v>45271</v>
      </c>
      <c r="E442" s="43" t="n">
        <f aca="false">D442-WEEKDAY(D442,3)</f>
        <v>45271</v>
      </c>
      <c r="F442" s="29" t="s">
        <v>164</v>
      </c>
      <c r="G442" s="29" t="n">
        <v>2023</v>
      </c>
      <c r="H442" s="29" t="s">
        <v>245</v>
      </c>
      <c r="I442" s="29" t="n">
        <v>16</v>
      </c>
      <c r="J442" s="29" t="s">
        <v>246</v>
      </c>
      <c r="K442" s="29" t="s">
        <v>247</v>
      </c>
      <c r="L442" s="29" t="n">
        <v>0.04</v>
      </c>
      <c r="M442" s="32" t="n">
        <v>16104.42</v>
      </c>
      <c r="N442" s="32" t="n">
        <v>16082.86</v>
      </c>
      <c r="O442" s="32" t="n">
        <v>16150.68</v>
      </c>
      <c r="P442" s="45" t="n">
        <f aca="false">ABS(M442-N442)</f>
        <v>21.5599999999995</v>
      </c>
      <c r="Q442" s="45" t="n">
        <f aca="false">IF(O442="","",ABS(O442-M442))</f>
        <v>46.2600000000002</v>
      </c>
      <c r="R442" s="31" t="n">
        <f aca="false">P442*L442*Summary!$C$6</f>
        <v>86.239999999998</v>
      </c>
      <c r="S442" s="32" t="n">
        <v>16082.59</v>
      </c>
      <c r="T442" s="29" t="s">
        <v>249</v>
      </c>
      <c r="U442" s="45" t="n">
        <f aca="false">IF(J442="BUY",S442-M442,M442-S442)</f>
        <v>-21.8299999999999</v>
      </c>
      <c r="V442" s="46" t="n">
        <v>0</v>
      </c>
      <c r="W442" s="46" t="n">
        <v>0</v>
      </c>
      <c r="X442" s="46" t="n">
        <v>-87.32</v>
      </c>
      <c r="Y442" s="33" t="n">
        <f aca="false">IFERROR(X442/R442,0)</f>
        <v>-1.01252319109464</v>
      </c>
      <c r="Z442" s="29" t="str">
        <f aca="false">IF(X442&gt;0,"Win",IF(X442&lt;0,"Loss","Flat"))</f>
        <v>Loss</v>
      </c>
      <c r="AA442" s="29" t="n">
        <f aca="false">ROUND((C442-B442)*1440,1)</f>
        <v>1.5</v>
      </c>
      <c r="AB442" s="29" t="str">
        <f aca="false">IF(AA442&lt;1,"a) &lt;1 min",IF(AA442&lt;10,"b) 1-10 min",IF(AA442&lt;60,"c) 10-60 min",IF(AA442&lt;240,"d) 1-4 h","e) 4 h+"))))</f>
        <v>b) 1-10 min</v>
      </c>
      <c r="AC442" s="29" t="str">
        <f aca="false">IF(P442&lt;10,"a) &lt;10",IF(P442&lt;20,"b) 10-20",IF(P442&lt;40,"c) 20-40",IF(P442&lt;80,"d) 40-80","e) 80+"))))</f>
        <v>c) 20-40</v>
      </c>
      <c r="AD442" s="31" t="n">
        <f aca="false">Summary!$C$5+SUM(X$2:X442)</f>
        <v>13977</v>
      </c>
      <c r="AE442" s="31" t="n">
        <f aca="false">MAX(AE441,AD442)</f>
        <v>14130.04</v>
      </c>
      <c r="AF442" s="31" t="n">
        <f aca="false">AE442-AD442</f>
        <v>153.040000000001</v>
      </c>
      <c r="AG442" s="30" t="n">
        <f aca="false">IFERROR(AF442/AE442,0)</f>
        <v>0.0108308256735296</v>
      </c>
    </row>
    <row r="443" customFormat="false" ht="15" hidden="false" customHeight="false" outlineLevel="0" collapsed="false">
      <c r="A443" s="29" t="n">
        <v>442</v>
      </c>
      <c r="B443" s="44" t="n">
        <v>45272.0979166667</v>
      </c>
      <c r="C443" s="44" t="n">
        <v>45272.0982175926</v>
      </c>
      <c r="D443" s="43" t="n">
        <f aca="false">INT(C443)</f>
        <v>45272</v>
      </c>
      <c r="E443" s="43" t="n">
        <f aca="false">D443-WEEKDAY(D443,3)</f>
        <v>45271</v>
      </c>
      <c r="F443" s="29" t="s">
        <v>164</v>
      </c>
      <c r="G443" s="29" t="n">
        <v>2023</v>
      </c>
      <c r="H443" s="29" t="s">
        <v>248</v>
      </c>
      <c r="I443" s="29" t="n">
        <v>2</v>
      </c>
      <c r="J443" s="29" t="s">
        <v>246</v>
      </c>
      <c r="K443" s="29" t="s">
        <v>247</v>
      </c>
      <c r="L443" s="29" t="n">
        <v>0.04</v>
      </c>
      <c r="M443" s="32" t="n">
        <v>16242.01</v>
      </c>
      <c r="N443" s="32" t="n">
        <v>16238.41</v>
      </c>
      <c r="O443" s="32" t="n">
        <v>16250.83</v>
      </c>
      <c r="P443" s="45" t="n">
        <f aca="false">ABS(M443-N443)</f>
        <v>3.60000000000036</v>
      </c>
      <c r="Q443" s="45" t="n">
        <f aca="false">IF(O443="","",ABS(O443-M443))</f>
        <v>8.81999999999971</v>
      </c>
      <c r="R443" s="31" t="n">
        <f aca="false">P443*L443*Summary!$C$6</f>
        <v>14.4000000000015</v>
      </c>
      <c r="S443" s="32" t="n">
        <v>16251.09</v>
      </c>
      <c r="T443" s="29" t="s">
        <v>227</v>
      </c>
      <c r="U443" s="45" t="n">
        <f aca="false">IF(J443="BUY",S443-M443,M443-S443)</f>
        <v>9.07999999999993</v>
      </c>
      <c r="V443" s="46" t="n">
        <v>0</v>
      </c>
      <c r="W443" s="46" t="n">
        <v>0</v>
      </c>
      <c r="X443" s="46" t="n">
        <v>36.32</v>
      </c>
      <c r="Y443" s="33" t="n">
        <f aca="false">IFERROR(X443/R443,0)</f>
        <v>2.52222222222197</v>
      </c>
      <c r="Z443" s="29" t="str">
        <f aca="false">IF(X443&gt;0,"Win",IF(X443&lt;0,"Loss","Flat"))</f>
        <v>Win</v>
      </c>
      <c r="AA443" s="29" t="n">
        <f aca="false">ROUND((C443-B443)*1440,1)</f>
        <v>0.4</v>
      </c>
      <c r="AB443" s="29" t="str">
        <f aca="false">IF(AA443&lt;1,"a) &lt;1 min",IF(AA443&lt;10,"b) 1-10 min",IF(AA443&lt;60,"c) 10-60 min",IF(AA443&lt;240,"d) 1-4 h","e) 4 h+"))))</f>
        <v>a) &lt;1 min</v>
      </c>
      <c r="AC443" s="29" t="str">
        <f aca="false">IF(P443&lt;10,"a) &lt;10",IF(P443&lt;20,"b) 10-20",IF(P443&lt;40,"c) 20-40",IF(P443&lt;80,"d) 40-80","e) 80+"))))</f>
        <v>a) &lt;10</v>
      </c>
      <c r="AD443" s="31" t="n">
        <f aca="false">Summary!$C$5+SUM(X$2:X443)</f>
        <v>14013.32</v>
      </c>
      <c r="AE443" s="31" t="n">
        <f aca="false">MAX(AE442,AD443)</f>
        <v>14130.04</v>
      </c>
      <c r="AF443" s="31" t="n">
        <f aca="false">AE443-AD443</f>
        <v>116.720000000001</v>
      </c>
      <c r="AG443" s="30" t="n">
        <f aca="false">IFERROR(AF443/AE443,0)</f>
        <v>0.0082604153986826</v>
      </c>
    </row>
    <row r="444" customFormat="false" ht="15" hidden="false" customHeight="false" outlineLevel="0" collapsed="false">
      <c r="A444" s="29" t="n">
        <v>443</v>
      </c>
      <c r="B444" s="44" t="n">
        <v>45273.0430555556</v>
      </c>
      <c r="C444" s="44" t="n">
        <v>45273.0485648148</v>
      </c>
      <c r="D444" s="43" t="n">
        <f aca="false">INT(C444)</f>
        <v>45273</v>
      </c>
      <c r="E444" s="43" t="n">
        <f aca="false">D444-WEEKDAY(D444,3)</f>
        <v>45271</v>
      </c>
      <c r="F444" s="29" t="s">
        <v>164</v>
      </c>
      <c r="G444" s="29" t="n">
        <v>2023</v>
      </c>
      <c r="H444" s="29" t="s">
        <v>252</v>
      </c>
      <c r="I444" s="29" t="n">
        <v>1</v>
      </c>
      <c r="J444" s="29" t="s">
        <v>246</v>
      </c>
      <c r="K444" s="29" t="s">
        <v>247</v>
      </c>
      <c r="L444" s="29" t="n">
        <v>0.04</v>
      </c>
      <c r="M444" s="32" t="n">
        <v>16377.06</v>
      </c>
      <c r="N444" s="32" t="n">
        <v>16372.01</v>
      </c>
      <c r="O444" s="32" t="n">
        <v>16389.44</v>
      </c>
      <c r="P444" s="45" t="n">
        <f aca="false">ABS(M444-N444)</f>
        <v>5.04999999999927</v>
      </c>
      <c r="Q444" s="45" t="n">
        <f aca="false">IF(O444="","",ABS(O444-M444))</f>
        <v>12.3799999999992</v>
      </c>
      <c r="R444" s="31" t="n">
        <f aca="false">P444*L444*Summary!$C$6</f>
        <v>20.1999999999971</v>
      </c>
      <c r="S444" s="32" t="n">
        <v>16389.58</v>
      </c>
      <c r="T444" s="29" t="s">
        <v>227</v>
      </c>
      <c r="U444" s="45" t="n">
        <f aca="false">IF(J444="BUY",S444-M444,M444-S444)</f>
        <v>12.5200000000023</v>
      </c>
      <c r="V444" s="46" t="n">
        <v>0</v>
      </c>
      <c r="W444" s="46" t="n">
        <v>0</v>
      </c>
      <c r="X444" s="46" t="n">
        <v>50.08</v>
      </c>
      <c r="Y444" s="33" t="n">
        <f aca="false">IFERROR(X444/R444,0)</f>
        <v>2.47920792079244</v>
      </c>
      <c r="Z444" s="29" t="str">
        <f aca="false">IF(X444&gt;0,"Win",IF(X444&lt;0,"Loss","Flat"))</f>
        <v>Win</v>
      </c>
      <c r="AA444" s="29" t="n">
        <f aca="false">ROUND((C444-B444)*1440,1)</f>
        <v>7.9</v>
      </c>
      <c r="AB444" s="29" t="str">
        <f aca="false">IF(AA444&lt;1,"a) &lt;1 min",IF(AA444&lt;10,"b) 1-10 min",IF(AA444&lt;60,"c) 10-60 min",IF(AA444&lt;240,"d) 1-4 h","e) 4 h+"))))</f>
        <v>b) 1-10 min</v>
      </c>
      <c r="AC444" s="29" t="str">
        <f aca="false">IF(P444&lt;10,"a) &lt;10",IF(P444&lt;20,"b) 10-20",IF(P444&lt;40,"c) 20-40",IF(P444&lt;80,"d) 40-80","e) 80+"))))</f>
        <v>a) &lt;10</v>
      </c>
      <c r="AD444" s="31" t="n">
        <f aca="false">Summary!$C$5+SUM(X$2:X444)</f>
        <v>14063.4</v>
      </c>
      <c r="AE444" s="31" t="n">
        <f aca="false">MAX(AE443,AD444)</f>
        <v>14130.04</v>
      </c>
      <c r="AF444" s="31" t="n">
        <f aca="false">AE444-AD444</f>
        <v>66.6400000000012</v>
      </c>
      <c r="AG444" s="30" t="n">
        <f aca="false">IFERROR(AF444/AE444,0)</f>
        <v>0.00471619330164679</v>
      </c>
    </row>
    <row r="445" customFormat="false" ht="15" hidden="false" customHeight="false" outlineLevel="0" collapsed="false">
      <c r="A445" s="29" t="n">
        <v>444</v>
      </c>
      <c r="B445" s="44" t="n">
        <v>45274.0715509259</v>
      </c>
      <c r="C445" s="44" t="n">
        <v>45274.0727199074</v>
      </c>
      <c r="D445" s="43" t="n">
        <f aca="false">INT(C445)</f>
        <v>45274</v>
      </c>
      <c r="E445" s="43" t="n">
        <f aca="false">D445-WEEKDAY(D445,3)</f>
        <v>45271</v>
      </c>
      <c r="F445" s="29" t="s">
        <v>164</v>
      </c>
      <c r="G445" s="29" t="n">
        <v>2023</v>
      </c>
      <c r="H445" s="29" t="s">
        <v>253</v>
      </c>
      <c r="I445" s="29" t="n">
        <v>1</v>
      </c>
      <c r="J445" s="29" t="s">
        <v>246</v>
      </c>
      <c r="K445" s="29" t="s">
        <v>247</v>
      </c>
      <c r="L445" s="29" t="n">
        <v>0.04</v>
      </c>
      <c r="M445" s="32" t="n">
        <v>16585.52</v>
      </c>
      <c r="N445" s="32" t="n">
        <v>16583.76</v>
      </c>
      <c r="O445" s="32" t="n">
        <v>16589.83</v>
      </c>
      <c r="P445" s="45" t="n">
        <f aca="false">ABS(M445-N445)</f>
        <v>1.76000000000204</v>
      </c>
      <c r="Q445" s="45" t="n">
        <f aca="false">IF(O445="","",ABS(O445-M445))</f>
        <v>4.31000000000131</v>
      </c>
      <c r="R445" s="31" t="n">
        <f aca="false">P445*L445*Summary!$C$6</f>
        <v>7.04000000000815</v>
      </c>
      <c r="S445" s="32" t="n">
        <v>16590.23</v>
      </c>
      <c r="T445" s="29" t="s">
        <v>227</v>
      </c>
      <c r="U445" s="45" t="n">
        <f aca="false">IF(J445="BUY",S445-M445,M445-S445)</f>
        <v>4.70999999999913</v>
      </c>
      <c r="V445" s="46" t="n">
        <v>0</v>
      </c>
      <c r="W445" s="46" t="n">
        <v>0</v>
      </c>
      <c r="X445" s="46" t="n">
        <v>18.84</v>
      </c>
      <c r="Y445" s="33" t="n">
        <f aca="false">IFERROR(X445/R445,0)</f>
        <v>2.67613636363327</v>
      </c>
      <c r="Z445" s="29" t="str">
        <f aca="false">IF(X445&gt;0,"Win",IF(X445&lt;0,"Loss","Flat"))</f>
        <v>Win</v>
      </c>
      <c r="AA445" s="29" t="n">
        <f aca="false">ROUND((C445-B445)*1440,1)</f>
        <v>1.7</v>
      </c>
      <c r="AB445" s="29" t="str">
        <f aca="false">IF(AA445&lt;1,"a) &lt;1 min",IF(AA445&lt;10,"b) 1-10 min",IF(AA445&lt;60,"c) 10-60 min",IF(AA445&lt;240,"d) 1-4 h","e) 4 h+"))))</f>
        <v>b) 1-10 min</v>
      </c>
      <c r="AC445" s="29" t="str">
        <f aca="false">IF(P445&lt;10,"a) &lt;10",IF(P445&lt;20,"b) 10-20",IF(P445&lt;40,"c) 20-40",IF(P445&lt;80,"d) 40-80","e) 80+"))))</f>
        <v>a) &lt;10</v>
      </c>
      <c r="AD445" s="31" t="n">
        <f aca="false">Summary!$C$5+SUM(X$2:X445)</f>
        <v>14082.24</v>
      </c>
      <c r="AE445" s="31" t="n">
        <f aca="false">MAX(AE444,AD445)</f>
        <v>14130.04</v>
      </c>
      <c r="AF445" s="31" t="n">
        <f aca="false">AE445-AD445</f>
        <v>47.8000000000011</v>
      </c>
      <c r="AG445" s="30" t="n">
        <f aca="false">IFERROR(AF445/AE445,0)</f>
        <v>0.00338286374277788</v>
      </c>
    </row>
    <row r="446" customFormat="false" ht="15" hidden="false" customHeight="false" outlineLevel="0" collapsed="false">
      <c r="A446" s="29" t="n">
        <v>445</v>
      </c>
      <c r="B446" s="44" t="n">
        <v>45275.7715277778</v>
      </c>
      <c r="C446" s="44" t="n">
        <v>45275.7740972222</v>
      </c>
      <c r="D446" s="43" t="n">
        <f aca="false">INT(C446)</f>
        <v>45275</v>
      </c>
      <c r="E446" s="43" t="n">
        <f aca="false">D446-WEEKDAY(D446,3)</f>
        <v>45271</v>
      </c>
      <c r="F446" s="29" t="s">
        <v>164</v>
      </c>
      <c r="G446" s="29" t="n">
        <v>2023</v>
      </c>
      <c r="H446" s="29" t="s">
        <v>254</v>
      </c>
      <c r="I446" s="29" t="n">
        <v>18</v>
      </c>
      <c r="J446" s="29" t="s">
        <v>246</v>
      </c>
      <c r="K446" s="29" t="s">
        <v>247</v>
      </c>
      <c r="L446" s="29" t="n">
        <v>0.04</v>
      </c>
      <c r="M446" s="32" t="n">
        <v>16667.66</v>
      </c>
      <c r="N446" s="32" t="n">
        <v>16660.34</v>
      </c>
      <c r="O446" s="32" t="n">
        <v>16685.58</v>
      </c>
      <c r="P446" s="45" t="n">
        <f aca="false">ABS(M446-N446)</f>
        <v>7.31999999999971</v>
      </c>
      <c r="Q446" s="45" t="n">
        <f aca="false">IF(O446="","",ABS(O446-M446))</f>
        <v>17.9200000000019</v>
      </c>
      <c r="R446" s="31" t="n">
        <f aca="false">P446*L446*Summary!$C$6</f>
        <v>29.2799999999988</v>
      </c>
      <c r="S446" s="32" t="n">
        <v>16660.06</v>
      </c>
      <c r="T446" s="29" t="s">
        <v>249</v>
      </c>
      <c r="U446" s="45" t="n">
        <f aca="false">IF(J446="BUY",S446-M446,M446-S446)</f>
        <v>-7.59999999999855</v>
      </c>
      <c r="V446" s="46" t="n">
        <v>0</v>
      </c>
      <c r="W446" s="46" t="n">
        <v>0</v>
      </c>
      <c r="X446" s="46" t="n">
        <v>-30.4</v>
      </c>
      <c r="Y446" s="33" t="n">
        <f aca="false">IFERROR(X446/R446,0)</f>
        <v>-1.03825136612026</v>
      </c>
      <c r="Z446" s="29" t="str">
        <f aca="false">IF(X446&gt;0,"Win",IF(X446&lt;0,"Loss","Flat"))</f>
        <v>Loss</v>
      </c>
      <c r="AA446" s="29" t="n">
        <f aca="false">ROUND((C446-B446)*1440,1)</f>
        <v>3.7</v>
      </c>
      <c r="AB446" s="29" t="str">
        <f aca="false">IF(AA446&lt;1,"a) &lt;1 min",IF(AA446&lt;10,"b) 1-10 min",IF(AA446&lt;60,"c) 10-60 min",IF(AA446&lt;240,"d) 1-4 h","e) 4 h+"))))</f>
        <v>b) 1-10 min</v>
      </c>
      <c r="AC446" s="29" t="str">
        <f aca="false">IF(P446&lt;10,"a) &lt;10",IF(P446&lt;20,"b) 10-20",IF(P446&lt;40,"c) 20-40",IF(P446&lt;80,"d) 40-80","e) 80+"))))</f>
        <v>a) &lt;10</v>
      </c>
      <c r="AD446" s="31" t="n">
        <f aca="false">Summary!$C$5+SUM(X$2:X446)</f>
        <v>14051.84</v>
      </c>
      <c r="AE446" s="31" t="n">
        <f aca="false">MAX(AE445,AD446)</f>
        <v>14130.04</v>
      </c>
      <c r="AF446" s="31" t="n">
        <f aca="false">AE446-AD446</f>
        <v>78.2000000000007</v>
      </c>
      <c r="AG446" s="30" t="n">
        <f aca="false">IFERROR(AF446/AE446,0)</f>
        <v>0.00553430846621812</v>
      </c>
    </row>
    <row r="447" customFormat="false" ht="15" hidden="false" customHeight="false" outlineLevel="0" collapsed="false">
      <c r="A447" s="29" t="n">
        <v>446</v>
      </c>
      <c r="B447" s="44" t="n">
        <v>45278.7104166667</v>
      </c>
      <c r="C447" s="44" t="n">
        <v>45278.7145717593</v>
      </c>
      <c r="D447" s="43" t="n">
        <f aca="false">INT(C447)</f>
        <v>45278</v>
      </c>
      <c r="E447" s="43" t="n">
        <f aca="false">D447-WEEKDAY(D447,3)</f>
        <v>45278</v>
      </c>
      <c r="F447" s="29" t="s">
        <v>164</v>
      </c>
      <c r="G447" s="29" t="n">
        <v>2023</v>
      </c>
      <c r="H447" s="29" t="s">
        <v>245</v>
      </c>
      <c r="I447" s="29" t="n">
        <v>17</v>
      </c>
      <c r="J447" s="29" t="s">
        <v>246</v>
      </c>
      <c r="K447" s="29" t="s">
        <v>247</v>
      </c>
      <c r="L447" s="29" t="n">
        <v>0.04</v>
      </c>
      <c r="M447" s="32" t="n">
        <v>16678.59</v>
      </c>
      <c r="N447" s="32" t="n">
        <v>16669.61</v>
      </c>
      <c r="O447" s="32" t="n">
        <v>16700.59</v>
      </c>
      <c r="P447" s="45" t="n">
        <f aca="false">ABS(M447-N447)</f>
        <v>8.97999999999956</v>
      </c>
      <c r="Q447" s="45" t="n">
        <f aca="false">IF(O447="","",ABS(O447-M447))</f>
        <v>22</v>
      </c>
      <c r="R447" s="31" t="n">
        <f aca="false">P447*L447*Summary!$C$6</f>
        <v>35.9199999999983</v>
      </c>
      <c r="S447" s="32" t="n">
        <v>16678.38</v>
      </c>
      <c r="T447" s="29" t="s">
        <v>255</v>
      </c>
      <c r="U447" s="45" t="n">
        <f aca="false">IF(J447="BUY",S447-M447,M447-S447)</f>
        <v>-0.209999999999127</v>
      </c>
      <c r="V447" s="46" t="n">
        <v>0</v>
      </c>
      <c r="W447" s="46" t="n">
        <v>0</v>
      </c>
      <c r="X447" s="46" t="n">
        <v>-0.84</v>
      </c>
      <c r="Y447" s="33" t="n">
        <f aca="false">IFERROR(X447/R447,0)</f>
        <v>-0.0233853006681526</v>
      </c>
      <c r="Z447" s="29" t="str">
        <f aca="false">IF(X447&gt;0,"Win",IF(X447&lt;0,"Loss","Flat"))</f>
        <v>Loss</v>
      </c>
      <c r="AA447" s="29" t="n">
        <f aca="false">ROUND((C447-B447)*1440,1)</f>
        <v>6</v>
      </c>
      <c r="AB447" s="29" t="str">
        <f aca="false">IF(AA447&lt;1,"a) &lt;1 min",IF(AA447&lt;10,"b) 1-10 min",IF(AA447&lt;60,"c) 10-60 min",IF(AA447&lt;240,"d) 1-4 h","e) 4 h+"))))</f>
        <v>b) 1-10 min</v>
      </c>
      <c r="AC447" s="29" t="str">
        <f aca="false">IF(P447&lt;10,"a) &lt;10",IF(P447&lt;20,"b) 10-20",IF(P447&lt;40,"c) 20-40",IF(P447&lt;80,"d) 40-80","e) 80+"))))</f>
        <v>a) &lt;10</v>
      </c>
      <c r="AD447" s="31" t="n">
        <f aca="false">Summary!$C$5+SUM(X$2:X447)</f>
        <v>14051</v>
      </c>
      <c r="AE447" s="31" t="n">
        <f aca="false">MAX(AE446,AD447)</f>
        <v>14130.04</v>
      </c>
      <c r="AF447" s="31" t="n">
        <f aca="false">AE447-AD447</f>
        <v>79.0400000000009</v>
      </c>
      <c r="AG447" s="30" t="n">
        <f aca="false">IFERROR(AF447/AE447,0)</f>
        <v>0.00559375628094477</v>
      </c>
    </row>
    <row r="448" customFormat="false" ht="15" hidden="false" customHeight="false" outlineLevel="0" collapsed="false">
      <c r="A448" s="29" t="n">
        <v>447</v>
      </c>
      <c r="B448" s="44" t="n">
        <v>45279.5958333333</v>
      </c>
      <c r="C448" s="44" t="n">
        <v>45279.5964699074</v>
      </c>
      <c r="D448" s="43" t="n">
        <f aca="false">INT(C448)</f>
        <v>45279</v>
      </c>
      <c r="E448" s="43" t="n">
        <f aca="false">D448-WEEKDAY(D448,3)</f>
        <v>45278</v>
      </c>
      <c r="F448" s="29" t="s">
        <v>164</v>
      </c>
      <c r="G448" s="29" t="n">
        <v>2023</v>
      </c>
      <c r="H448" s="29" t="s">
        <v>248</v>
      </c>
      <c r="I448" s="29" t="n">
        <v>14</v>
      </c>
      <c r="J448" s="29" t="s">
        <v>246</v>
      </c>
      <c r="K448" s="29" t="s">
        <v>247</v>
      </c>
      <c r="L448" s="29" t="n">
        <v>0.04</v>
      </c>
      <c r="M448" s="32" t="n">
        <v>16770.5</v>
      </c>
      <c r="N448" s="32" t="n">
        <v>16764.42</v>
      </c>
      <c r="O448" s="32" t="n">
        <v>16785.39</v>
      </c>
      <c r="P448" s="45" t="n">
        <f aca="false">ABS(M448-N448)</f>
        <v>6.08000000000175</v>
      </c>
      <c r="Q448" s="45" t="n">
        <f aca="false">IF(O448="","",ABS(O448-M448))</f>
        <v>14.8899999999994</v>
      </c>
      <c r="R448" s="31" t="n">
        <f aca="false">P448*L448*Summary!$C$6</f>
        <v>24.320000000007</v>
      </c>
      <c r="S448" s="32" t="n">
        <v>16770.48</v>
      </c>
      <c r="T448" s="29" t="s">
        <v>255</v>
      </c>
      <c r="U448" s="45" t="n">
        <f aca="false">IF(J448="BUY",S448-M448,M448-S448)</f>
        <v>-0.0200000000004366</v>
      </c>
      <c r="V448" s="46" t="n">
        <v>0</v>
      </c>
      <c r="W448" s="46" t="n">
        <v>0</v>
      </c>
      <c r="X448" s="46" t="n">
        <v>-0.08</v>
      </c>
      <c r="Y448" s="33" t="n">
        <f aca="false">IFERROR(X448/R448,0)</f>
        <v>-0.00328947368420958</v>
      </c>
      <c r="Z448" s="29" t="str">
        <f aca="false">IF(X448&gt;0,"Win",IF(X448&lt;0,"Loss","Flat"))</f>
        <v>Loss</v>
      </c>
      <c r="AA448" s="29" t="n">
        <f aca="false">ROUND((C448-B448)*1440,1)</f>
        <v>0.9</v>
      </c>
      <c r="AB448" s="29" t="str">
        <f aca="false">IF(AA448&lt;1,"a) &lt;1 min",IF(AA448&lt;10,"b) 1-10 min",IF(AA448&lt;60,"c) 10-60 min",IF(AA448&lt;240,"d) 1-4 h","e) 4 h+"))))</f>
        <v>a) &lt;1 min</v>
      </c>
      <c r="AC448" s="29" t="str">
        <f aca="false">IF(P448&lt;10,"a) &lt;10",IF(P448&lt;20,"b) 10-20",IF(P448&lt;40,"c) 20-40",IF(P448&lt;80,"d) 40-80","e) 80+"))))</f>
        <v>a) &lt;10</v>
      </c>
      <c r="AD448" s="31" t="n">
        <f aca="false">Summary!$C$5+SUM(X$2:X448)</f>
        <v>14050.92</v>
      </c>
      <c r="AE448" s="31" t="n">
        <f aca="false">MAX(AE447,AD448)</f>
        <v>14130.04</v>
      </c>
      <c r="AF448" s="31" t="n">
        <f aca="false">AE448-AD448</f>
        <v>79.1200000000008</v>
      </c>
      <c r="AG448" s="30" t="n">
        <f aca="false">IFERROR(AF448/AE448,0)</f>
        <v>0.0055994179775854</v>
      </c>
    </row>
    <row r="449" customFormat="false" ht="15" hidden="false" customHeight="false" outlineLevel="0" collapsed="false">
      <c r="A449" s="29" t="n">
        <v>448</v>
      </c>
      <c r="B449" s="44" t="n">
        <v>45280.0569560185</v>
      </c>
      <c r="C449" s="44" t="n">
        <v>45280.0618287037</v>
      </c>
      <c r="D449" s="43" t="n">
        <f aca="false">INT(C449)</f>
        <v>45280</v>
      </c>
      <c r="E449" s="43" t="n">
        <f aca="false">D449-WEEKDAY(D449,3)</f>
        <v>45278</v>
      </c>
      <c r="F449" s="29" t="s">
        <v>164</v>
      </c>
      <c r="G449" s="29" t="n">
        <v>2023</v>
      </c>
      <c r="H449" s="29" t="s">
        <v>252</v>
      </c>
      <c r="I449" s="29" t="n">
        <v>1</v>
      </c>
      <c r="J449" s="29" t="s">
        <v>246</v>
      </c>
      <c r="K449" s="29" t="s">
        <v>247</v>
      </c>
      <c r="L449" s="29" t="n">
        <v>0.04</v>
      </c>
      <c r="M449" s="32" t="n">
        <v>16818.28</v>
      </c>
      <c r="N449" s="32" t="n">
        <v>16817.06</v>
      </c>
      <c r="O449" s="32" t="n">
        <v>16821.27</v>
      </c>
      <c r="P449" s="45" t="n">
        <f aca="false">ABS(M449-N449)</f>
        <v>1.21999999999753</v>
      </c>
      <c r="Q449" s="45" t="n">
        <f aca="false">IF(O449="","",ABS(O449-M449))</f>
        <v>2.9900000000016</v>
      </c>
      <c r="R449" s="31" t="n">
        <f aca="false">P449*L449*Summary!$C$6</f>
        <v>4.87999999999011</v>
      </c>
      <c r="S449" s="32" t="n">
        <v>16822.15</v>
      </c>
      <c r="T449" s="29" t="s">
        <v>227</v>
      </c>
      <c r="U449" s="45" t="n">
        <f aca="false">IF(J449="BUY",S449-M449,M449-S449)</f>
        <v>3.87000000000262</v>
      </c>
      <c r="V449" s="46" t="n">
        <v>0</v>
      </c>
      <c r="W449" s="46" t="n">
        <v>0</v>
      </c>
      <c r="X449" s="46" t="n">
        <v>15.48</v>
      </c>
      <c r="Y449" s="33" t="n">
        <f aca="false">IFERROR(X449/R449,0)</f>
        <v>3.17213114754742</v>
      </c>
      <c r="Z449" s="29" t="str">
        <f aca="false">IF(X449&gt;0,"Win",IF(X449&lt;0,"Loss","Flat"))</f>
        <v>Win</v>
      </c>
      <c r="AA449" s="29" t="n">
        <f aca="false">ROUND((C449-B449)*1440,1)</f>
        <v>7</v>
      </c>
      <c r="AB449" s="29" t="str">
        <f aca="false">IF(AA449&lt;1,"a) &lt;1 min",IF(AA449&lt;10,"b) 1-10 min",IF(AA449&lt;60,"c) 10-60 min",IF(AA449&lt;240,"d) 1-4 h","e) 4 h+"))))</f>
        <v>b) 1-10 min</v>
      </c>
      <c r="AC449" s="29" t="str">
        <f aca="false">IF(P449&lt;10,"a) &lt;10",IF(P449&lt;20,"b) 10-20",IF(P449&lt;40,"c) 20-40",IF(P449&lt;80,"d) 40-80","e) 80+"))))</f>
        <v>a) &lt;10</v>
      </c>
      <c r="AD449" s="31" t="n">
        <f aca="false">Summary!$C$5+SUM(X$2:X449)</f>
        <v>14066.4</v>
      </c>
      <c r="AE449" s="31" t="n">
        <f aca="false">MAX(AE448,AD449)</f>
        <v>14130.04</v>
      </c>
      <c r="AF449" s="31" t="n">
        <f aca="false">AE449-AD449</f>
        <v>63.6400000000012</v>
      </c>
      <c r="AG449" s="30" t="n">
        <f aca="false">IFERROR(AF449/AE449,0)</f>
        <v>0.00450387967762308</v>
      </c>
    </row>
    <row r="450" customFormat="false" ht="15" hidden="false" customHeight="false" outlineLevel="0" collapsed="false">
      <c r="A450" s="29" t="n">
        <v>449</v>
      </c>
      <c r="B450" s="44" t="n">
        <v>45280.9104166667</v>
      </c>
      <c r="C450" s="44" t="n">
        <v>45280.9115393519</v>
      </c>
      <c r="D450" s="43" t="n">
        <f aca="false">INT(C450)</f>
        <v>45280</v>
      </c>
      <c r="E450" s="43" t="n">
        <f aca="false">D450-WEEKDAY(D450,3)</f>
        <v>45278</v>
      </c>
      <c r="F450" s="29" t="s">
        <v>164</v>
      </c>
      <c r="G450" s="29" t="n">
        <v>2023</v>
      </c>
      <c r="H450" s="29" t="s">
        <v>252</v>
      </c>
      <c r="I450" s="29" t="n">
        <v>21</v>
      </c>
      <c r="J450" s="29" t="s">
        <v>250</v>
      </c>
      <c r="K450" s="29" t="s">
        <v>251</v>
      </c>
      <c r="L450" s="29" t="n">
        <v>0.04</v>
      </c>
      <c r="M450" s="32" t="n">
        <v>16698.12</v>
      </c>
      <c r="N450" s="32" t="n">
        <v>16712.19</v>
      </c>
      <c r="O450" s="32" t="n">
        <v>16664.96</v>
      </c>
      <c r="P450" s="45" t="n">
        <f aca="false">ABS(M450-N450)</f>
        <v>14.0699999999997</v>
      </c>
      <c r="Q450" s="45" t="n">
        <f aca="false">IF(O450="","",ABS(O450-M450))</f>
        <v>33.1599999999999</v>
      </c>
      <c r="R450" s="31" t="n">
        <f aca="false">P450*L450*Summary!$C$6</f>
        <v>56.2799999999988</v>
      </c>
      <c r="S450" s="32" t="n">
        <v>16664.82</v>
      </c>
      <c r="T450" s="29" t="s">
        <v>227</v>
      </c>
      <c r="U450" s="45" t="n">
        <f aca="false">IF(J450="BUY",S450-M450,M450-S450)</f>
        <v>33.2999999999993</v>
      </c>
      <c r="V450" s="46" t="n">
        <v>0</v>
      </c>
      <c r="W450" s="46" t="n">
        <v>0</v>
      </c>
      <c r="X450" s="46" t="n">
        <v>133.2</v>
      </c>
      <c r="Y450" s="33" t="n">
        <f aca="false">IFERROR(X450/R450,0)</f>
        <v>2.36673773987212</v>
      </c>
      <c r="Z450" s="29" t="str">
        <f aca="false">IF(X450&gt;0,"Win",IF(X450&lt;0,"Loss","Flat"))</f>
        <v>Win</v>
      </c>
      <c r="AA450" s="29" t="n">
        <f aca="false">ROUND((C450-B450)*1440,1)</f>
        <v>1.6</v>
      </c>
      <c r="AB450" s="29" t="str">
        <f aca="false">IF(AA450&lt;1,"a) &lt;1 min",IF(AA450&lt;10,"b) 1-10 min",IF(AA450&lt;60,"c) 10-60 min",IF(AA450&lt;240,"d) 1-4 h","e) 4 h+"))))</f>
        <v>b) 1-10 min</v>
      </c>
      <c r="AC450" s="29" t="str">
        <f aca="false">IF(P450&lt;10,"a) &lt;10",IF(P450&lt;20,"b) 10-20",IF(P450&lt;40,"c) 20-40",IF(P450&lt;80,"d) 40-80","e) 80+"))))</f>
        <v>b) 10-20</v>
      </c>
      <c r="AD450" s="31" t="n">
        <f aca="false">Summary!$C$5+SUM(X$2:X450)</f>
        <v>14199.6</v>
      </c>
      <c r="AE450" s="31" t="n">
        <f aca="false">MAX(AE449,AD450)</f>
        <v>14199.6</v>
      </c>
      <c r="AF450" s="31" t="n">
        <f aca="false">AE450-AD450</f>
        <v>0</v>
      </c>
      <c r="AG450" s="30" t="n">
        <f aca="false">IFERROR(AF450/AE450,0)</f>
        <v>0</v>
      </c>
    </row>
    <row r="451" customFormat="false" ht="15" hidden="false" customHeight="false" outlineLevel="0" collapsed="false">
      <c r="A451" s="29" t="n">
        <v>450</v>
      </c>
      <c r="B451" s="44" t="n">
        <v>45282.6444560185</v>
      </c>
      <c r="C451" s="44" t="n">
        <v>45282.6456597222</v>
      </c>
      <c r="D451" s="43" t="n">
        <f aca="false">INT(C451)</f>
        <v>45282</v>
      </c>
      <c r="E451" s="43" t="n">
        <f aca="false">D451-WEEKDAY(D451,3)</f>
        <v>45278</v>
      </c>
      <c r="F451" s="29" t="s">
        <v>164</v>
      </c>
      <c r="G451" s="29" t="n">
        <v>2023</v>
      </c>
      <c r="H451" s="29" t="s">
        <v>254</v>
      </c>
      <c r="I451" s="29" t="n">
        <v>15</v>
      </c>
      <c r="J451" s="29" t="s">
        <v>246</v>
      </c>
      <c r="K451" s="29" t="s">
        <v>247</v>
      </c>
      <c r="L451" s="29" t="n">
        <v>0.04</v>
      </c>
      <c r="M451" s="32" t="n">
        <v>16767.18</v>
      </c>
      <c r="N451" s="32" t="n">
        <v>16764.38</v>
      </c>
      <c r="O451" s="32" t="n">
        <v>16774.03</v>
      </c>
      <c r="P451" s="45" t="n">
        <f aca="false">ABS(M451-N451)</f>
        <v>2.79999999999927</v>
      </c>
      <c r="Q451" s="45" t="n">
        <f aca="false">IF(O451="","",ABS(O451-M451))</f>
        <v>6.84999999999855</v>
      </c>
      <c r="R451" s="31" t="n">
        <f aca="false">P451*L451*Summary!$C$6</f>
        <v>11.1999999999971</v>
      </c>
      <c r="S451" s="32" t="n">
        <v>16763.81</v>
      </c>
      <c r="T451" s="29" t="s">
        <v>249</v>
      </c>
      <c r="U451" s="45" t="n">
        <f aca="false">IF(J451="BUY",S451-M451,M451-S451)</f>
        <v>-3.36999999999898</v>
      </c>
      <c r="V451" s="46" t="n">
        <v>0</v>
      </c>
      <c r="W451" s="46" t="n">
        <v>0</v>
      </c>
      <c r="X451" s="46" t="n">
        <v>-13.48</v>
      </c>
      <c r="Y451" s="33" t="n">
        <f aca="false">IFERROR(X451/R451,0)</f>
        <v>-1.20357142857174</v>
      </c>
      <c r="Z451" s="29" t="str">
        <f aca="false">IF(X451&gt;0,"Win",IF(X451&lt;0,"Loss","Flat"))</f>
        <v>Loss</v>
      </c>
      <c r="AA451" s="29" t="n">
        <f aca="false">ROUND((C451-B451)*1440,1)</f>
        <v>1.7</v>
      </c>
      <c r="AB451" s="29" t="str">
        <f aca="false">IF(AA451&lt;1,"a) &lt;1 min",IF(AA451&lt;10,"b) 1-10 min",IF(AA451&lt;60,"c) 10-60 min",IF(AA451&lt;240,"d) 1-4 h","e) 4 h+"))))</f>
        <v>b) 1-10 min</v>
      </c>
      <c r="AC451" s="29" t="str">
        <f aca="false">IF(P451&lt;10,"a) &lt;10",IF(P451&lt;20,"b) 10-20",IF(P451&lt;40,"c) 20-40",IF(P451&lt;80,"d) 40-80","e) 80+"))))</f>
        <v>a) &lt;10</v>
      </c>
      <c r="AD451" s="31" t="n">
        <f aca="false">Summary!$C$5+SUM(X$2:X451)</f>
        <v>14186.12</v>
      </c>
      <c r="AE451" s="31" t="n">
        <f aca="false">MAX(AE450,AD451)</f>
        <v>14199.6</v>
      </c>
      <c r="AF451" s="31" t="n">
        <f aca="false">AE451-AD451</f>
        <v>13.4800000000014</v>
      </c>
      <c r="AG451" s="30" t="n">
        <f aca="false">IFERROR(AF451/AE451,0)</f>
        <v>0.000949322516127312</v>
      </c>
    </row>
    <row r="452" customFormat="false" ht="15" hidden="false" customHeight="false" outlineLevel="0" collapsed="false">
      <c r="A452" s="29" t="n">
        <v>451</v>
      </c>
      <c r="B452" s="44" t="n">
        <v>45286.6965277778</v>
      </c>
      <c r="C452" s="44" t="n">
        <v>45286.6976736111</v>
      </c>
      <c r="D452" s="43" t="n">
        <f aca="false">INT(C452)</f>
        <v>45286</v>
      </c>
      <c r="E452" s="43" t="n">
        <f aca="false">D452-WEEKDAY(D452,3)</f>
        <v>45285</v>
      </c>
      <c r="F452" s="29" t="s">
        <v>164</v>
      </c>
      <c r="G452" s="29" t="n">
        <v>2023</v>
      </c>
      <c r="H452" s="29" t="s">
        <v>248</v>
      </c>
      <c r="I452" s="29" t="n">
        <v>16</v>
      </c>
      <c r="J452" s="29" t="s">
        <v>246</v>
      </c>
      <c r="K452" s="29" t="s">
        <v>247</v>
      </c>
      <c r="L452" s="29" t="n">
        <v>0.04</v>
      </c>
      <c r="M452" s="32" t="n">
        <v>16844.55</v>
      </c>
      <c r="N452" s="32" t="n">
        <v>16837.58</v>
      </c>
      <c r="O452" s="32" t="n">
        <v>16861.84</v>
      </c>
      <c r="P452" s="45" t="n">
        <f aca="false">ABS(M452-N452)</f>
        <v>6.96999999999753</v>
      </c>
      <c r="Q452" s="45" t="n">
        <f aca="false">IF(O452="","",ABS(O452-M452))</f>
        <v>17.2900000000009</v>
      </c>
      <c r="R452" s="31" t="n">
        <f aca="false">P452*L452*Summary!$C$6</f>
        <v>27.8799999999901</v>
      </c>
      <c r="S452" s="32" t="n">
        <v>16844.39</v>
      </c>
      <c r="T452" s="29" t="s">
        <v>255</v>
      </c>
      <c r="U452" s="45" t="n">
        <f aca="false">IF(J452="BUY",S452-M452,M452-S452)</f>
        <v>-0.159999999999854</v>
      </c>
      <c r="V452" s="46" t="n">
        <v>0</v>
      </c>
      <c r="W452" s="46" t="n">
        <v>0</v>
      </c>
      <c r="X452" s="46" t="n">
        <v>-0.64</v>
      </c>
      <c r="Y452" s="33" t="n">
        <f aca="false">IFERROR(X452/R452,0)</f>
        <v>-0.0229555236728919</v>
      </c>
      <c r="Z452" s="29" t="str">
        <f aca="false">IF(X452&gt;0,"Win",IF(X452&lt;0,"Loss","Flat"))</f>
        <v>Loss</v>
      </c>
      <c r="AA452" s="29" t="n">
        <f aca="false">ROUND((C452-B452)*1440,1)</f>
        <v>1.7</v>
      </c>
      <c r="AB452" s="29" t="str">
        <f aca="false">IF(AA452&lt;1,"a) &lt;1 min",IF(AA452&lt;10,"b) 1-10 min",IF(AA452&lt;60,"c) 10-60 min",IF(AA452&lt;240,"d) 1-4 h","e) 4 h+"))))</f>
        <v>b) 1-10 min</v>
      </c>
      <c r="AC452" s="29" t="str">
        <f aca="false">IF(P452&lt;10,"a) &lt;10",IF(P452&lt;20,"b) 10-20",IF(P452&lt;40,"c) 20-40",IF(P452&lt;80,"d) 40-80","e) 80+"))))</f>
        <v>a) &lt;10</v>
      </c>
      <c r="AD452" s="31" t="n">
        <f aca="false">Summary!$C$5+SUM(X$2:X452)</f>
        <v>14185.48</v>
      </c>
      <c r="AE452" s="31" t="n">
        <f aca="false">MAX(AE451,AD452)</f>
        <v>14199.6</v>
      </c>
      <c r="AF452" s="31" t="n">
        <f aca="false">AE452-AD452</f>
        <v>14.1200000000008</v>
      </c>
      <c r="AG452" s="30" t="n">
        <f aca="false">IFERROR(AF452/AE452,0)</f>
        <v>0.000994394208287614</v>
      </c>
    </row>
    <row r="453" customFormat="false" ht="15" hidden="false" customHeight="false" outlineLevel="0" collapsed="false">
      <c r="A453" s="29" t="n">
        <v>452</v>
      </c>
      <c r="B453" s="44" t="n">
        <v>45287.6916666667</v>
      </c>
      <c r="C453" s="44" t="n">
        <v>45287.693599537</v>
      </c>
      <c r="D453" s="43" t="n">
        <f aca="false">INT(C453)</f>
        <v>45287</v>
      </c>
      <c r="E453" s="43" t="n">
        <f aca="false">D453-WEEKDAY(D453,3)</f>
        <v>45285</v>
      </c>
      <c r="F453" s="29" t="s">
        <v>164</v>
      </c>
      <c r="G453" s="29" t="n">
        <v>2023</v>
      </c>
      <c r="H453" s="29" t="s">
        <v>252</v>
      </c>
      <c r="I453" s="29" t="n">
        <v>16</v>
      </c>
      <c r="J453" s="29" t="s">
        <v>246</v>
      </c>
      <c r="K453" s="29" t="s">
        <v>247</v>
      </c>
      <c r="L453" s="29" t="n">
        <v>0.04</v>
      </c>
      <c r="M453" s="32" t="n">
        <v>16910.49</v>
      </c>
      <c r="N453" s="32" t="n">
        <v>16898.57</v>
      </c>
      <c r="O453" s="32" t="n">
        <v>16942.84</v>
      </c>
      <c r="P453" s="45" t="n">
        <f aca="false">ABS(M453-N453)</f>
        <v>11.9200000000019</v>
      </c>
      <c r="Q453" s="45" t="n">
        <f aca="false">IF(O453="","",ABS(O453-M453))</f>
        <v>32.3499999999985</v>
      </c>
      <c r="R453" s="31" t="n">
        <f aca="false">P453*L453*Summary!$C$6</f>
        <v>47.6800000000076</v>
      </c>
      <c r="S453" s="32" t="n">
        <v>16897.75</v>
      </c>
      <c r="T453" s="29" t="s">
        <v>249</v>
      </c>
      <c r="U453" s="45" t="n">
        <f aca="false">IF(J453="BUY",S453-M453,M453-S453)</f>
        <v>-12.7400000000016</v>
      </c>
      <c r="V453" s="46" t="n">
        <v>0</v>
      </c>
      <c r="W453" s="46" t="n">
        <v>0</v>
      </c>
      <c r="X453" s="46" t="n">
        <v>-50.96</v>
      </c>
      <c r="Y453" s="33" t="n">
        <f aca="false">IFERROR(X453/R453,0)</f>
        <v>-1.06879194630856</v>
      </c>
      <c r="Z453" s="29" t="str">
        <f aca="false">IF(X453&gt;0,"Win",IF(X453&lt;0,"Loss","Flat"))</f>
        <v>Loss</v>
      </c>
      <c r="AA453" s="29" t="n">
        <f aca="false">ROUND((C453-B453)*1440,1)</f>
        <v>2.8</v>
      </c>
      <c r="AB453" s="29" t="str">
        <f aca="false">IF(AA453&lt;1,"a) &lt;1 min",IF(AA453&lt;10,"b) 1-10 min",IF(AA453&lt;60,"c) 10-60 min",IF(AA453&lt;240,"d) 1-4 h","e) 4 h+"))))</f>
        <v>b) 1-10 min</v>
      </c>
      <c r="AC453" s="29" t="str">
        <f aca="false">IF(P453&lt;10,"a) &lt;10",IF(P453&lt;20,"b) 10-20",IF(P453&lt;40,"c) 20-40",IF(P453&lt;80,"d) 40-80","e) 80+"))))</f>
        <v>b) 10-20</v>
      </c>
      <c r="AD453" s="31" t="n">
        <f aca="false">Summary!$C$5+SUM(X$2:X453)</f>
        <v>14134.52</v>
      </c>
      <c r="AE453" s="31" t="n">
        <f aca="false">MAX(AE452,AD453)</f>
        <v>14199.6</v>
      </c>
      <c r="AF453" s="31" t="n">
        <f aca="false">AE453-AD453</f>
        <v>65.0799999999999</v>
      </c>
      <c r="AG453" s="30" t="n">
        <f aca="false">IFERROR(AF453/AE453,0)</f>
        <v>0.00458322769655483</v>
      </c>
    </row>
    <row r="454" customFormat="false" ht="15" hidden="false" customHeight="false" outlineLevel="0" collapsed="false">
      <c r="A454" s="29" t="n">
        <v>453</v>
      </c>
      <c r="B454" s="44" t="n">
        <v>45288.1159837963</v>
      </c>
      <c r="C454" s="44" t="n">
        <v>45288.1166666667</v>
      </c>
      <c r="D454" s="43" t="n">
        <f aca="false">INT(C454)</f>
        <v>45288</v>
      </c>
      <c r="E454" s="43" t="n">
        <f aca="false">D454-WEEKDAY(D454,3)</f>
        <v>45285</v>
      </c>
      <c r="F454" s="29" t="s">
        <v>164</v>
      </c>
      <c r="G454" s="29" t="n">
        <v>2023</v>
      </c>
      <c r="H454" s="29" t="s">
        <v>253</v>
      </c>
      <c r="I454" s="29" t="n">
        <v>2</v>
      </c>
      <c r="J454" s="29" t="s">
        <v>246</v>
      </c>
      <c r="K454" s="29" t="s">
        <v>247</v>
      </c>
      <c r="L454" s="29" t="n">
        <v>0.04</v>
      </c>
      <c r="M454" s="32" t="n">
        <v>16931.84</v>
      </c>
      <c r="N454" s="32" t="n">
        <v>16930.5</v>
      </c>
      <c r="O454" s="32" t="n">
        <v>16935.12</v>
      </c>
      <c r="P454" s="45" t="n">
        <f aca="false">ABS(M454-N454)</f>
        <v>1.34000000000015</v>
      </c>
      <c r="Q454" s="45" t="n">
        <f aca="false">IF(O454="","",ABS(O454-M454))</f>
        <v>3.27999999999884</v>
      </c>
      <c r="R454" s="31" t="n">
        <f aca="false">P454*L454*Summary!$C$6</f>
        <v>5.36000000000058</v>
      </c>
      <c r="S454" s="32" t="n">
        <v>16935.49</v>
      </c>
      <c r="T454" s="29" t="s">
        <v>227</v>
      </c>
      <c r="U454" s="45" t="n">
        <f aca="false">IF(J454="BUY",S454-M454,M454-S454)</f>
        <v>3.65000000000146</v>
      </c>
      <c r="V454" s="46" t="n">
        <v>0</v>
      </c>
      <c r="W454" s="46" t="n">
        <v>0</v>
      </c>
      <c r="X454" s="46" t="n">
        <v>14.6</v>
      </c>
      <c r="Y454" s="33" t="n">
        <f aca="false">IFERROR(X454/R454,0)</f>
        <v>2.72388059701463</v>
      </c>
      <c r="Z454" s="29" t="str">
        <f aca="false">IF(X454&gt;0,"Win",IF(X454&lt;0,"Loss","Flat"))</f>
        <v>Win</v>
      </c>
      <c r="AA454" s="29" t="n">
        <f aca="false">ROUND((C454-B454)*1440,1)</f>
        <v>1</v>
      </c>
      <c r="AB454" s="29" t="str">
        <f aca="false">IF(AA454&lt;1,"a) &lt;1 min",IF(AA454&lt;10,"b) 1-10 min",IF(AA454&lt;60,"c) 10-60 min",IF(AA454&lt;240,"d) 1-4 h","e) 4 h+"))))</f>
        <v>b) 1-10 min</v>
      </c>
      <c r="AC454" s="29" t="str">
        <f aca="false">IF(P454&lt;10,"a) &lt;10",IF(P454&lt;20,"b) 10-20",IF(P454&lt;40,"c) 20-40",IF(P454&lt;80,"d) 40-80","e) 80+"))))</f>
        <v>a) &lt;10</v>
      </c>
      <c r="AD454" s="31" t="n">
        <f aca="false">Summary!$C$5+SUM(X$2:X454)</f>
        <v>14149.12</v>
      </c>
      <c r="AE454" s="31" t="n">
        <f aca="false">MAX(AE453,AD454)</f>
        <v>14199.6</v>
      </c>
      <c r="AF454" s="31" t="n">
        <f aca="false">AE454-AD454</f>
        <v>50.4800000000014</v>
      </c>
      <c r="AG454" s="30" t="n">
        <f aca="false">IFERROR(AF454/AE454,0)</f>
        <v>0.00355502971914712</v>
      </c>
    </row>
    <row r="455" customFormat="false" ht="15" hidden="false" customHeight="false" outlineLevel="0" collapsed="false">
      <c r="A455" s="29" t="n">
        <v>454</v>
      </c>
      <c r="B455" s="44" t="n">
        <v>45289.6368055556</v>
      </c>
      <c r="C455" s="44" t="n">
        <v>45289.6391087963</v>
      </c>
      <c r="D455" s="43" t="n">
        <f aca="false">INT(C455)</f>
        <v>45289</v>
      </c>
      <c r="E455" s="43" t="n">
        <f aca="false">D455-WEEKDAY(D455,3)</f>
        <v>45285</v>
      </c>
      <c r="F455" s="29" t="s">
        <v>164</v>
      </c>
      <c r="G455" s="29" t="n">
        <v>2023</v>
      </c>
      <c r="H455" s="29" t="s">
        <v>254</v>
      </c>
      <c r="I455" s="29" t="n">
        <v>15</v>
      </c>
      <c r="J455" s="29" t="s">
        <v>250</v>
      </c>
      <c r="K455" s="29" t="s">
        <v>251</v>
      </c>
      <c r="L455" s="29" t="n">
        <v>0.04</v>
      </c>
      <c r="M455" s="32" t="n">
        <v>16884.41</v>
      </c>
      <c r="N455" s="32" t="n">
        <v>16890.97</v>
      </c>
      <c r="O455" s="32" t="n">
        <v>16868.33</v>
      </c>
      <c r="P455" s="45" t="n">
        <f aca="false">ABS(M455-N455)</f>
        <v>6.56000000000131</v>
      </c>
      <c r="Q455" s="45" t="n">
        <f aca="false">IF(O455="","",ABS(O455-M455))</f>
        <v>16.0799999999981</v>
      </c>
      <c r="R455" s="31" t="n">
        <f aca="false">P455*L455*Summary!$C$6</f>
        <v>26.2400000000052</v>
      </c>
      <c r="S455" s="32" t="n">
        <v>16891.34</v>
      </c>
      <c r="T455" s="29" t="s">
        <v>249</v>
      </c>
      <c r="U455" s="45" t="n">
        <f aca="false">IF(J455="BUY",S455-M455,M455-S455)</f>
        <v>-6.93000000000029</v>
      </c>
      <c r="V455" s="46" t="n">
        <v>0</v>
      </c>
      <c r="W455" s="46" t="n">
        <v>0</v>
      </c>
      <c r="X455" s="46" t="n">
        <v>-27.72</v>
      </c>
      <c r="Y455" s="33" t="n">
        <f aca="false">IFERROR(X455/R455,0)</f>
        <v>-1.05640243902418</v>
      </c>
      <c r="Z455" s="29" t="str">
        <f aca="false">IF(X455&gt;0,"Win",IF(X455&lt;0,"Loss","Flat"))</f>
        <v>Loss</v>
      </c>
      <c r="AA455" s="29" t="n">
        <f aca="false">ROUND((C455-B455)*1440,1)</f>
        <v>3.3</v>
      </c>
      <c r="AB455" s="29" t="str">
        <f aca="false">IF(AA455&lt;1,"a) &lt;1 min",IF(AA455&lt;10,"b) 1-10 min",IF(AA455&lt;60,"c) 10-60 min",IF(AA455&lt;240,"d) 1-4 h","e) 4 h+"))))</f>
        <v>b) 1-10 min</v>
      </c>
      <c r="AC455" s="29" t="str">
        <f aca="false">IF(P455&lt;10,"a) &lt;10",IF(P455&lt;20,"b) 10-20",IF(P455&lt;40,"c) 20-40",IF(P455&lt;80,"d) 40-80","e) 80+"))))</f>
        <v>a) &lt;10</v>
      </c>
      <c r="AD455" s="31" t="n">
        <f aca="false">Summary!$C$5+SUM(X$2:X455)</f>
        <v>14121.4</v>
      </c>
      <c r="AE455" s="31" t="n">
        <f aca="false">MAX(AE454,AD455)</f>
        <v>14199.6</v>
      </c>
      <c r="AF455" s="31" t="n">
        <f aca="false">AE455-AD455</f>
        <v>78.2000000000007</v>
      </c>
      <c r="AG455" s="30" t="n">
        <f aca="false">IFERROR(AF455/AE455,0)</f>
        <v>0.00550719738584191</v>
      </c>
    </row>
    <row r="456" customFormat="false" ht="15" hidden="false" customHeight="false" outlineLevel="0" collapsed="false">
      <c r="A456" s="29" t="n">
        <v>455</v>
      </c>
      <c r="B456" s="44" t="n">
        <v>45293.5520833333</v>
      </c>
      <c r="C456" s="44" t="n">
        <v>45293.5534722222</v>
      </c>
      <c r="D456" s="43" t="n">
        <f aca="false">INT(C456)</f>
        <v>45293</v>
      </c>
      <c r="E456" s="43" t="n">
        <f aca="false">D456-WEEKDAY(D456,3)</f>
        <v>45292</v>
      </c>
      <c r="F456" s="29" t="s">
        <v>165</v>
      </c>
      <c r="G456" s="29" t="n">
        <v>2024</v>
      </c>
      <c r="H456" s="29" t="s">
        <v>248</v>
      </c>
      <c r="I456" s="29" t="n">
        <v>13</v>
      </c>
      <c r="J456" s="29" t="s">
        <v>250</v>
      </c>
      <c r="K456" s="29" t="s">
        <v>251</v>
      </c>
      <c r="L456" s="29" t="n">
        <v>0.04</v>
      </c>
      <c r="M456" s="32" t="n">
        <v>16745.33</v>
      </c>
      <c r="N456" s="32" t="n">
        <v>16751.66</v>
      </c>
      <c r="O456" s="32" t="n">
        <v>16729.83</v>
      </c>
      <c r="P456" s="45" t="n">
        <f aca="false">ABS(M456-N456)</f>
        <v>6.32999999999811</v>
      </c>
      <c r="Q456" s="45" t="n">
        <f aca="false">IF(O456="","",ABS(O456-M456))</f>
        <v>15.5</v>
      </c>
      <c r="R456" s="31" t="n">
        <f aca="false">P456*L456*Summary!$C$6</f>
        <v>25.3199999999924</v>
      </c>
      <c r="S456" s="32" t="n">
        <v>16728.92</v>
      </c>
      <c r="T456" s="29" t="s">
        <v>227</v>
      </c>
      <c r="U456" s="45" t="n">
        <f aca="false">IF(J456="BUY",S456-M456,M456-S456)</f>
        <v>16.4100000000035</v>
      </c>
      <c r="V456" s="46" t="n">
        <v>0</v>
      </c>
      <c r="W456" s="46" t="n">
        <v>0</v>
      </c>
      <c r="X456" s="46" t="n">
        <v>65.64</v>
      </c>
      <c r="Y456" s="33" t="n">
        <f aca="false">IFERROR(X456/R456,0)</f>
        <v>2.59241706161215</v>
      </c>
      <c r="Z456" s="29" t="str">
        <f aca="false">IF(X456&gt;0,"Win",IF(X456&lt;0,"Loss","Flat"))</f>
        <v>Win</v>
      </c>
      <c r="AA456" s="29" t="n">
        <f aca="false">ROUND((C456-B456)*1440,1)</f>
        <v>2</v>
      </c>
      <c r="AB456" s="29" t="str">
        <f aca="false">IF(AA456&lt;1,"a) &lt;1 min",IF(AA456&lt;10,"b) 1-10 min",IF(AA456&lt;60,"c) 10-60 min",IF(AA456&lt;240,"d) 1-4 h","e) 4 h+"))))</f>
        <v>b) 1-10 min</v>
      </c>
      <c r="AC456" s="29" t="str">
        <f aca="false">IF(P456&lt;10,"a) &lt;10",IF(P456&lt;20,"b) 10-20",IF(P456&lt;40,"c) 20-40",IF(P456&lt;80,"d) 40-80","e) 80+"))))</f>
        <v>a) &lt;10</v>
      </c>
      <c r="AD456" s="31" t="n">
        <f aca="false">Summary!$C$5+SUM(X$2:X456)</f>
        <v>14187.04</v>
      </c>
      <c r="AE456" s="31" t="n">
        <f aca="false">MAX(AE455,AD456)</f>
        <v>14199.6</v>
      </c>
      <c r="AF456" s="31" t="n">
        <f aca="false">AE456-AD456</f>
        <v>12.5599999999995</v>
      </c>
      <c r="AG456" s="30" t="n">
        <f aca="false">IFERROR(AF456/AE456,0)</f>
        <v>0.000884531958646687</v>
      </c>
    </row>
    <row r="457" customFormat="false" ht="15" hidden="false" customHeight="false" outlineLevel="0" collapsed="false">
      <c r="A457" s="29" t="n">
        <v>456</v>
      </c>
      <c r="B457" s="44" t="n">
        <v>45294.5993055556</v>
      </c>
      <c r="C457" s="44" t="n">
        <v>45294.601400463</v>
      </c>
      <c r="D457" s="43" t="n">
        <f aca="false">INT(C457)</f>
        <v>45294</v>
      </c>
      <c r="E457" s="43" t="n">
        <f aca="false">D457-WEEKDAY(D457,3)</f>
        <v>45292</v>
      </c>
      <c r="F457" s="29" t="s">
        <v>165</v>
      </c>
      <c r="G457" s="29" t="n">
        <v>2024</v>
      </c>
      <c r="H457" s="29" t="s">
        <v>252</v>
      </c>
      <c r="I457" s="29" t="n">
        <v>14</v>
      </c>
      <c r="J457" s="29" t="s">
        <v>250</v>
      </c>
      <c r="K457" s="29" t="s">
        <v>251</v>
      </c>
      <c r="L457" s="29" t="n">
        <v>0.04</v>
      </c>
      <c r="M457" s="32" t="n">
        <v>16447.59</v>
      </c>
      <c r="N457" s="32" t="n">
        <v>16452.48</v>
      </c>
      <c r="O457" s="32" t="n">
        <v>16435.62</v>
      </c>
      <c r="P457" s="45" t="n">
        <f aca="false">ABS(M457-N457)</f>
        <v>4.88999999999942</v>
      </c>
      <c r="Q457" s="45" t="n">
        <f aca="false">IF(O457="","",ABS(O457-M457))</f>
        <v>11.9700000000012</v>
      </c>
      <c r="R457" s="31" t="n">
        <f aca="false">P457*L457*Summary!$C$6</f>
        <v>19.5599999999977</v>
      </c>
      <c r="S457" s="32" t="n">
        <v>16435.61</v>
      </c>
      <c r="T457" s="29" t="s">
        <v>227</v>
      </c>
      <c r="U457" s="45" t="n">
        <f aca="false">IF(J457="BUY",S457-M457,M457-S457)</f>
        <v>11.9799999999996</v>
      </c>
      <c r="V457" s="46" t="n">
        <v>0</v>
      </c>
      <c r="W457" s="46" t="n">
        <v>0</v>
      </c>
      <c r="X457" s="46" t="n">
        <v>47.92</v>
      </c>
      <c r="Y457" s="33" t="n">
        <f aca="false">IFERROR(X457/R457,0)</f>
        <v>2.44989775051154</v>
      </c>
      <c r="Z457" s="29" t="str">
        <f aca="false">IF(X457&gt;0,"Win",IF(X457&lt;0,"Loss","Flat"))</f>
        <v>Win</v>
      </c>
      <c r="AA457" s="29" t="n">
        <f aca="false">ROUND((C457-B457)*1440,1)</f>
        <v>3</v>
      </c>
      <c r="AB457" s="29" t="str">
        <f aca="false">IF(AA457&lt;1,"a) &lt;1 min",IF(AA457&lt;10,"b) 1-10 min",IF(AA457&lt;60,"c) 10-60 min",IF(AA457&lt;240,"d) 1-4 h","e) 4 h+"))))</f>
        <v>b) 1-10 min</v>
      </c>
      <c r="AC457" s="29" t="str">
        <f aca="false">IF(P457&lt;10,"a) &lt;10",IF(P457&lt;20,"b) 10-20",IF(P457&lt;40,"c) 20-40",IF(P457&lt;80,"d) 40-80","e) 80+"))))</f>
        <v>a) &lt;10</v>
      </c>
      <c r="AD457" s="31" t="n">
        <f aca="false">Summary!$C$5+SUM(X$2:X457)</f>
        <v>14234.96</v>
      </c>
      <c r="AE457" s="31" t="n">
        <f aca="false">MAX(AE456,AD457)</f>
        <v>14234.96</v>
      </c>
      <c r="AF457" s="31" t="n">
        <f aca="false">AE457-AD457</f>
        <v>0</v>
      </c>
      <c r="AG457" s="30" t="n">
        <f aca="false">IFERROR(AF457/AE457,0)</f>
        <v>0</v>
      </c>
    </row>
    <row r="458" customFormat="false" ht="15" hidden="false" customHeight="false" outlineLevel="0" collapsed="false">
      <c r="A458" s="29" t="n">
        <v>457</v>
      </c>
      <c r="B458" s="44" t="n">
        <v>45295.5854166667</v>
      </c>
      <c r="C458" s="44" t="n">
        <v>45295.5903587963</v>
      </c>
      <c r="D458" s="43" t="n">
        <f aca="false">INT(C458)</f>
        <v>45295</v>
      </c>
      <c r="E458" s="43" t="n">
        <f aca="false">D458-WEEKDAY(D458,3)</f>
        <v>45292</v>
      </c>
      <c r="F458" s="29" t="s">
        <v>165</v>
      </c>
      <c r="G458" s="29" t="n">
        <v>2024</v>
      </c>
      <c r="H458" s="29" t="s">
        <v>253</v>
      </c>
      <c r="I458" s="29" t="n">
        <v>14</v>
      </c>
      <c r="J458" s="29" t="s">
        <v>250</v>
      </c>
      <c r="K458" s="29" t="s">
        <v>251</v>
      </c>
      <c r="L458" s="29" t="n">
        <v>0.04</v>
      </c>
      <c r="M458" s="32" t="n">
        <v>16349.14</v>
      </c>
      <c r="N458" s="32" t="n">
        <v>16356.45</v>
      </c>
      <c r="O458" s="32" t="n">
        <v>16331.23</v>
      </c>
      <c r="P458" s="45" t="n">
        <f aca="false">ABS(M458-N458)</f>
        <v>7.31000000000131</v>
      </c>
      <c r="Q458" s="45" t="n">
        <f aca="false">IF(O458="","",ABS(O458-M458))</f>
        <v>17.9099999999999</v>
      </c>
      <c r="R458" s="31" t="n">
        <f aca="false">P458*L458*Summary!$C$6</f>
        <v>29.2400000000052</v>
      </c>
      <c r="S458" s="32" t="n">
        <v>16349.3</v>
      </c>
      <c r="T458" s="29" t="s">
        <v>255</v>
      </c>
      <c r="U458" s="45" t="n">
        <f aca="false">IF(J458="BUY",S458-M458,M458-S458)</f>
        <v>-0.159999999999854</v>
      </c>
      <c r="V458" s="46" t="n">
        <v>0</v>
      </c>
      <c r="W458" s="46" t="n">
        <v>0</v>
      </c>
      <c r="X458" s="46" t="n">
        <v>-0.64</v>
      </c>
      <c r="Y458" s="33" t="n">
        <f aca="false">IFERROR(X458/R458,0)</f>
        <v>-0.0218878248973969</v>
      </c>
      <c r="Z458" s="29" t="str">
        <f aca="false">IF(X458&gt;0,"Win",IF(X458&lt;0,"Loss","Flat"))</f>
        <v>Loss</v>
      </c>
      <c r="AA458" s="29" t="n">
        <f aca="false">ROUND((C458-B458)*1440,1)</f>
        <v>7.1</v>
      </c>
      <c r="AB458" s="29" t="str">
        <f aca="false">IF(AA458&lt;1,"a) &lt;1 min",IF(AA458&lt;10,"b) 1-10 min",IF(AA458&lt;60,"c) 10-60 min",IF(AA458&lt;240,"d) 1-4 h","e) 4 h+"))))</f>
        <v>b) 1-10 min</v>
      </c>
      <c r="AC458" s="29" t="str">
        <f aca="false">IF(P458&lt;10,"a) &lt;10",IF(P458&lt;20,"b) 10-20",IF(P458&lt;40,"c) 20-40",IF(P458&lt;80,"d) 40-80","e) 80+"))))</f>
        <v>a) &lt;10</v>
      </c>
      <c r="AD458" s="31" t="n">
        <f aca="false">Summary!$C$5+SUM(X$2:X458)</f>
        <v>14234.32</v>
      </c>
      <c r="AE458" s="31" t="n">
        <f aca="false">MAX(AE457,AD458)</f>
        <v>14234.96</v>
      </c>
      <c r="AF458" s="31" t="n">
        <f aca="false">AE458-AD458</f>
        <v>0.639999999999418</v>
      </c>
      <c r="AG458" s="30" t="n">
        <f aca="false">IFERROR(AF458/AE458,0)</f>
        <v>4.49597329391455E-005</v>
      </c>
    </row>
    <row r="459" customFormat="false" ht="15" hidden="false" customHeight="false" outlineLevel="0" collapsed="false">
      <c r="A459" s="29" t="n">
        <v>458</v>
      </c>
      <c r="B459" s="44" t="n">
        <v>45296.30625</v>
      </c>
      <c r="C459" s="44" t="n">
        <v>45296.3076157407</v>
      </c>
      <c r="D459" s="43" t="n">
        <f aca="false">INT(C459)</f>
        <v>45296</v>
      </c>
      <c r="E459" s="43" t="n">
        <f aca="false">D459-WEEKDAY(D459,3)</f>
        <v>45292</v>
      </c>
      <c r="F459" s="29" t="s">
        <v>165</v>
      </c>
      <c r="G459" s="29" t="n">
        <v>2024</v>
      </c>
      <c r="H459" s="29" t="s">
        <v>254</v>
      </c>
      <c r="I459" s="29" t="n">
        <v>7</v>
      </c>
      <c r="J459" s="29" t="s">
        <v>250</v>
      </c>
      <c r="K459" s="29" t="s">
        <v>251</v>
      </c>
      <c r="L459" s="29" t="n">
        <v>0.04</v>
      </c>
      <c r="M459" s="32" t="n">
        <v>16272.88</v>
      </c>
      <c r="N459" s="32" t="n">
        <v>16275.14</v>
      </c>
      <c r="O459" s="32" t="n">
        <v>16267.35</v>
      </c>
      <c r="P459" s="45" t="n">
        <f aca="false">ABS(M459-N459)</f>
        <v>2.26000000000022</v>
      </c>
      <c r="Q459" s="45" t="n">
        <f aca="false">IF(O459="","",ABS(O459-M459))</f>
        <v>5.52999999999884</v>
      </c>
      <c r="R459" s="31" t="n">
        <f aca="false">P459*L459*Summary!$C$6</f>
        <v>9.04000000000087</v>
      </c>
      <c r="S459" s="32" t="n">
        <v>16267.33</v>
      </c>
      <c r="T459" s="29" t="s">
        <v>227</v>
      </c>
      <c r="U459" s="45" t="n">
        <f aca="false">IF(J459="BUY",S459-M459,M459-S459)</f>
        <v>5.54999999999927</v>
      </c>
      <c r="V459" s="46" t="n">
        <v>0</v>
      </c>
      <c r="W459" s="46" t="n">
        <v>0</v>
      </c>
      <c r="X459" s="46" t="n">
        <v>22.2</v>
      </c>
      <c r="Y459" s="33" t="n">
        <f aca="false">IFERROR(X459/R459,0)</f>
        <v>2.45575221238914</v>
      </c>
      <c r="Z459" s="29" t="str">
        <f aca="false">IF(X459&gt;0,"Win",IF(X459&lt;0,"Loss","Flat"))</f>
        <v>Win</v>
      </c>
      <c r="AA459" s="29" t="n">
        <f aca="false">ROUND((C459-B459)*1440,1)</f>
        <v>2</v>
      </c>
      <c r="AB459" s="29" t="str">
        <f aca="false">IF(AA459&lt;1,"a) &lt;1 min",IF(AA459&lt;10,"b) 1-10 min",IF(AA459&lt;60,"c) 10-60 min",IF(AA459&lt;240,"d) 1-4 h","e) 4 h+"))))</f>
        <v>b) 1-10 min</v>
      </c>
      <c r="AC459" s="29" t="str">
        <f aca="false">IF(P459&lt;10,"a) &lt;10",IF(P459&lt;20,"b) 10-20",IF(P459&lt;40,"c) 20-40",IF(P459&lt;80,"d) 40-80","e) 80+"))))</f>
        <v>a) &lt;10</v>
      </c>
      <c r="AD459" s="31" t="n">
        <f aca="false">Summary!$C$5+SUM(X$2:X459)</f>
        <v>14256.52</v>
      </c>
      <c r="AE459" s="31" t="n">
        <f aca="false">MAX(AE458,AD459)</f>
        <v>14256.52</v>
      </c>
      <c r="AF459" s="31" t="n">
        <f aca="false">AE459-AD459</f>
        <v>0</v>
      </c>
      <c r="AG459" s="30" t="n">
        <f aca="false">IFERROR(AF459/AE459,0)</f>
        <v>0</v>
      </c>
    </row>
    <row r="460" customFormat="false" ht="15" hidden="false" customHeight="false" outlineLevel="0" collapsed="false">
      <c r="A460" s="29" t="n">
        <v>459</v>
      </c>
      <c r="B460" s="44" t="n">
        <v>45299.6979166667</v>
      </c>
      <c r="C460" s="44" t="n">
        <v>45299.7065393519</v>
      </c>
      <c r="D460" s="43" t="n">
        <f aca="false">INT(C460)</f>
        <v>45299</v>
      </c>
      <c r="E460" s="43" t="n">
        <f aca="false">D460-WEEKDAY(D460,3)</f>
        <v>45299</v>
      </c>
      <c r="F460" s="29" t="s">
        <v>165</v>
      </c>
      <c r="G460" s="29" t="n">
        <v>2024</v>
      </c>
      <c r="H460" s="29" t="s">
        <v>245</v>
      </c>
      <c r="I460" s="29" t="n">
        <v>16</v>
      </c>
      <c r="J460" s="29" t="s">
        <v>246</v>
      </c>
      <c r="K460" s="29" t="s">
        <v>247</v>
      </c>
      <c r="L460" s="29" t="n">
        <v>0.04</v>
      </c>
      <c r="M460" s="32" t="n">
        <v>16417.77</v>
      </c>
      <c r="N460" s="32" t="n">
        <v>16408.16</v>
      </c>
      <c r="O460" s="32" t="n">
        <v>16441.3</v>
      </c>
      <c r="P460" s="45" t="n">
        <f aca="false">ABS(M460-N460)</f>
        <v>9.61000000000058</v>
      </c>
      <c r="Q460" s="45" t="n">
        <f aca="false">IF(O460="","",ABS(O460-M460))</f>
        <v>23.5299999999988</v>
      </c>
      <c r="R460" s="31" t="n">
        <f aca="false">P460*L460*Summary!$C$6</f>
        <v>38.4400000000023</v>
      </c>
      <c r="S460" s="32" t="n">
        <v>16441.69</v>
      </c>
      <c r="T460" s="29" t="s">
        <v>227</v>
      </c>
      <c r="U460" s="45" t="n">
        <f aca="false">IF(J460="BUY",S460-M460,M460-S460)</f>
        <v>23.9199999999983</v>
      </c>
      <c r="V460" s="46" t="n">
        <v>0</v>
      </c>
      <c r="W460" s="46" t="n">
        <v>0</v>
      </c>
      <c r="X460" s="46" t="n">
        <v>95.68</v>
      </c>
      <c r="Y460" s="33" t="n">
        <f aca="false">IFERROR(X460/R460,0)</f>
        <v>2.48907388137342</v>
      </c>
      <c r="Z460" s="29" t="str">
        <f aca="false">IF(X460&gt;0,"Win",IF(X460&lt;0,"Loss","Flat"))</f>
        <v>Win</v>
      </c>
      <c r="AA460" s="29" t="n">
        <f aca="false">ROUND((C460-B460)*1440,1)</f>
        <v>12.4</v>
      </c>
      <c r="AB460" s="29" t="str">
        <f aca="false">IF(AA460&lt;1,"a) &lt;1 min",IF(AA460&lt;10,"b) 1-10 min",IF(AA460&lt;60,"c) 10-60 min",IF(AA460&lt;240,"d) 1-4 h","e) 4 h+"))))</f>
        <v>c) 10-60 min</v>
      </c>
      <c r="AC460" s="29" t="str">
        <f aca="false">IF(P460&lt;10,"a) &lt;10",IF(P460&lt;20,"b) 10-20",IF(P460&lt;40,"c) 20-40",IF(P460&lt;80,"d) 40-80","e) 80+"))))</f>
        <v>a) &lt;10</v>
      </c>
      <c r="AD460" s="31" t="n">
        <f aca="false">Summary!$C$5+SUM(X$2:X460)</f>
        <v>14352.2</v>
      </c>
      <c r="AE460" s="31" t="n">
        <f aca="false">MAX(AE459,AD460)</f>
        <v>14352.2</v>
      </c>
      <c r="AF460" s="31" t="n">
        <f aca="false">AE460-AD460</f>
        <v>0</v>
      </c>
      <c r="AG460" s="30" t="n">
        <f aca="false">IFERROR(AF460/AE460,0)</f>
        <v>0</v>
      </c>
    </row>
    <row r="461" customFormat="false" ht="15" hidden="false" customHeight="false" outlineLevel="0" collapsed="false">
      <c r="A461" s="29" t="n">
        <v>460</v>
      </c>
      <c r="B461" s="44" t="n">
        <v>45300.7868055556</v>
      </c>
      <c r="C461" s="44" t="n">
        <v>45300.7870949074</v>
      </c>
      <c r="D461" s="43" t="n">
        <f aca="false">INT(C461)</f>
        <v>45300</v>
      </c>
      <c r="E461" s="43" t="n">
        <f aca="false">D461-WEEKDAY(D461,3)</f>
        <v>45299</v>
      </c>
      <c r="F461" s="29" t="s">
        <v>165</v>
      </c>
      <c r="G461" s="29" t="n">
        <v>2024</v>
      </c>
      <c r="H461" s="29" t="s">
        <v>248</v>
      </c>
      <c r="I461" s="29" t="n">
        <v>18</v>
      </c>
      <c r="J461" s="29" t="s">
        <v>246</v>
      </c>
      <c r="K461" s="29" t="s">
        <v>247</v>
      </c>
      <c r="L461" s="29" t="n">
        <v>0.04</v>
      </c>
      <c r="M461" s="32" t="n">
        <v>16655.29</v>
      </c>
      <c r="N461" s="32" t="n">
        <v>16649.62</v>
      </c>
      <c r="O461" s="32" t="n">
        <v>16669.17</v>
      </c>
      <c r="P461" s="45" t="n">
        <f aca="false">ABS(M461-N461)</f>
        <v>5.67000000000189</v>
      </c>
      <c r="Q461" s="45" t="n">
        <f aca="false">IF(O461="","",ABS(O461-M461))</f>
        <v>13.8799999999974</v>
      </c>
      <c r="R461" s="31" t="n">
        <f aca="false">P461*L461*Summary!$C$6</f>
        <v>22.6800000000076</v>
      </c>
      <c r="S461" s="32" t="n">
        <v>16655.21</v>
      </c>
      <c r="T461" s="29" t="s">
        <v>255</v>
      </c>
      <c r="U461" s="45" t="n">
        <f aca="false">IF(J461="BUY",S461-M461,M461-S461)</f>
        <v>-0.0800000000017462</v>
      </c>
      <c r="V461" s="46" t="n">
        <v>0</v>
      </c>
      <c r="W461" s="46" t="n">
        <v>0</v>
      </c>
      <c r="X461" s="46" t="n">
        <v>-0.32</v>
      </c>
      <c r="Y461" s="33" t="n">
        <f aca="false">IFERROR(X461/R461,0)</f>
        <v>-0.0141093474426761</v>
      </c>
      <c r="Z461" s="29" t="str">
        <f aca="false">IF(X461&gt;0,"Win",IF(X461&lt;0,"Loss","Flat"))</f>
        <v>Loss</v>
      </c>
      <c r="AA461" s="29" t="n">
        <f aca="false">ROUND((C461-B461)*1440,1)</f>
        <v>0.4</v>
      </c>
      <c r="AB461" s="29" t="str">
        <f aca="false">IF(AA461&lt;1,"a) &lt;1 min",IF(AA461&lt;10,"b) 1-10 min",IF(AA461&lt;60,"c) 10-60 min",IF(AA461&lt;240,"d) 1-4 h","e) 4 h+"))))</f>
        <v>a) &lt;1 min</v>
      </c>
      <c r="AC461" s="29" t="str">
        <f aca="false">IF(P461&lt;10,"a) &lt;10",IF(P461&lt;20,"b) 10-20",IF(P461&lt;40,"c) 20-40",IF(P461&lt;80,"d) 40-80","e) 80+"))))</f>
        <v>a) &lt;10</v>
      </c>
      <c r="AD461" s="31" t="n">
        <f aca="false">Summary!$C$5+SUM(X$2:X461)</f>
        <v>14351.88</v>
      </c>
      <c r="AE461" s="31" t="n">
        <f aca="false">MAX(AE460,AD461)</f>
        <v>14352.2</v>
      </c>
      <c r="AF461" s="31" t="n">
        <f aca="false">AE461-AD461</f>
        <v>0.319999999999709</v>
      </c>
      <c r="AG461" s="30" t="n">
        <f aca="false">IFERROR(AF461/AE461,0)</f>
        <v>2.22962333300615E-005</v>
      </c>
    </row>
    <row r="462" customFormat="false" ht="15" hidden="false" customHeight="false" outlineLevel="0" collapsed="false">
      <c r="A462" s="29" t="n">
        <v>461</v>
      </c>
      <c r="B462" s="44" t="n">
        <v>45301.4631944444</v>
      </c>
      <c r="C462" s="44" t="n">
        <v>45301.4655439815</v>
      </c>
      <c r="D462" s="43" t="n">
        <f aca="false">INT(C462)</f>
        <v>45301</v>
      </c>
      <c r="E462" s="43" t="n">
        <f aca="false">D462-WEEKDAY(D462,3)</f>
        <v>45299</v>
      </c>
      <c r="F462" s="29" t="s">
        <v>165</v>
      </c>
      <c r="G462" s="29" t="n">
        <v>2024</v>
      </c>
      <c r="H462" s="29" t="s">
        <v>252</v>
      </c>
      <c r="I462" s="29" t="n">
        <v>11</v>
      </c>
      <c r="J462" s="29" t="s">
        <v>246</v>
      </c>
      <c r="K462" s="29" t="s">
        <v>247</v>
      </c>
      <c r="L462" s="29" t="n">
        <v>0.04</v>
      </c>
      <c r="M462" s="32" t="n">
        <v>16722.17</v>
      </c>
      <c r="N462" s="32" t="n">
        <v>16717.42</v>
      </c>
      <c r="O462" s="32" t="n">
        <v>16733.8</v>
      </c>
      <c r="P462" s="45" t="n">
        <f aca="false">ABS(M462-N462)</f>
        <v>4.75</v>
      </c>
      <c r="Q462" s="45" t="n">
        <f aca="false">IF(O462="","",ABS(O462-M462))</f>
        <v>11.630000000001</v>
      </c>
      <c r="R462" s="31" t="n">
        <f aca="false">P462*L462*Summary!$C$6</f>
        <v>19</v>
      </c>
      <c r="S462" s="32" t="n">
        <v>16739.88</v>
      </c>
      <c r="T462" s="29" t="s">
        <v>227</v>
      </c>
      <c r="U462" s="45" t="n">
        <f aca="false">IF(J462="BUY",S462-M462,M462-S462)</f>
        <v>17.7100000000028</v>
      </c>
      <c r="V462" s="46" t="n">
        <v>0</v>
      </c>
      <c r="W462" s="46" t="n">
        <v>0</v>
      </c>
      <c r="X462" s="46" t="n">
        <v>70.84</v>
      </c>
      <c r="Y462" s="33" t="n">
        <f aca="false">IFERROR(X462/R462,0)</f>
        <v>3.72842105263158</v>
      </c>
      <c r="Z462" s="29" t="str">
        <f aca="false">IF(X462&gt;0,"Win",IF(X462&lt;0,"Loss","Flat"))</f>
        <v>Win</v>
      </c>
      <c r="AA462" s="29" t="n">
        <f aca="false">ROUND((C462-B462)*1440,1)</f>
        <v>3.4</v>
      </c>
      <c r="AB462" s="29" t="str">
        <f aca="false">IF(AA462&lt;1,"a) &lt;1 min",IF(AA462&lt;10,"b) 1-10 min",IF(AA462&lt;60,"c) 10-60 min",IF(AA462&lt;240,"d) 1-4 h","e) 4 h+"))))</f>
        <v>b) 1-10 min</v>
      </c>
      <c r="AC462" s="29" t="str">
        <f aca="false">IF(P462&lt;10,"a) &lt;10",IF(P462&lt;20,"b) 10-20",IF(P462&lt;40,"c) 20-40",IF(P462&lt;80,"d) 40-80","e) 80+"))))</f>
        <v>a) &lt;10</v>
      </c>
      <c r="AD462" s="31" t="n">
        <f aca="false">Summary!$C$5+SUM(X$2:X462)</f>
        <v>14422.72</v>
      </c>
      <c r="AE462" s="31" t="n">
        <f aca="false">MAX(AE461,AD462)</f>
        <v>14422.72</v>
      </c>
      <c r="AF462" s="31" t="n">
        <f aca="false">AE462-AD462</f>
        <v>0</v>
      </c>
      <c r="AG462" s="30" t="n">
        <f aca="false">IFERROR(AF462/AE462,0)</f>
        <v>0</v>
      </c>
    </row>
    <row r="463" customFormat="false" ht="15" hidden="false" customHeight="false" outlineLevel="0" collapsed="false">
      <c r="A463" s="29" t="n">
        <v>462</v>
      </c>
      <c r="B463" s="44" t="n">
        <v>45302.1152777778</v>
      </c>
      <c r="C463" s="44" t="n">
        <v>45302.1166782407</v>
      </c>
      <c r="D463" s="43" t="n">
        <f aca="false">INT(C463)</f>
        <v>45302</v>
      </c>
      <c r="E463" s="43" t="n">
        <f aca="false">D463-WEEKDAY(D463,3)</f>
        <v>45299</v>
      </c>
      <c r="F463" s="29" t="s">
        <v>165</v>
      </c>
      <c r="G463" s="29" t="n">
        <v>2024</v>
      </c>
      <c r="H463" s="29" t="s">
        <v>253</v>
      </c>
      <c r="I463" s="29" t="n">
        <v>2</v>
      </c>
      <c r="J463" s="29" t="s">
        <v>246</v>
      </c>
      <c r="K463" s="29" t="s">
        <v>247</v>
      </c>
      <c r="L463" s="29" t="n">
        <v>0.04</v>
      </c>
      <c r="M463" s="32" t="n">
        <v>16834.1</v>
      </c>
      <c r="N463" s="32" t="n">
        <v>16829.76</v>
      </c>
      <c r="O463" s="32" t="n">
        <v>16844.72</v>
      </c>
      <c r="P463" s="45" t="n">
        <f aca="false">ABS(M463-N463)</f>
        <v>4.34000000000015</v>
      </c>
      <c r="Q463" s="45" t="n">
        <f aca="false">IF(O463="","",ABS(O463-M463))</f>
        <v>10.6200000000026</v>
      </c>
      <c r="R463" s="31" t="n">
        <f aca="false">P463*L463*Summary!$C$6</f>
        <v>17.3600000000006</v>
      </c>
      <c r="S463" s="32" t="n">
        <v>16829.71</v>
      </c>
      <c r="T463" s="29" t="s">
        <v>249</v>
      </c>
      <c r="U463" s="45" t="n">
        <f aca="false">IF(J463="BUY",S463-M463,M463-S463)</f>
        <v>-4.38999999999942</v>
      </c>
      <c r="V463" s="46" t="n">
        <v>0</v>
      </c>
      <c r="W463" s="46" t="n">
        <v>0</v>
      </c>
      <c r="X463" s="46" t="n">
        <v>-17.56</v>
      </c>
      <c r="Y463" s="33" t="n">
        <f aca="false">IFERROR(X463/R463,0)</f>
        <v>-1.01152073732715</v>
      </c>
      <c r="Z463" s="29" t="str">
        <f aca="false">IF(X463&gt;0,"Win",IF(X463&lt;0,"Loss","Flat"))</f>
        <v>Loss</v>
      </c>
      <c r="AA463" s="29" t="n">
        <f aca="false">ROUND((C463-B463)*1440,1)</f>
        <v>2</v>
      </c>
      <c r="AB463" s="29" t="str">
        <f aca="false">IF(AA463&lt;1,"a) &lt;1 min",IF(AA463&lt;10,"b) 1-10 min",IF(AA463&lt;60,"c) 10-60 min",IF(AA463&lt;240,"d) 1-4 h","e) 4 h+"))))</f>
        <v>b) 1-10 min</v>
      </c>
      <c r="AC463" s="29" t="str">
        <f aca="false">IF(P463&lt;10,"a) &lt;10",IF(P463&lt;20,"b) 10-20",IF(P463&lt;40,"c) 20-40",IF(P463&lt;80,"d) 40-80","e) 80+"))))</f>
        <v>a) &lt;10</v>
      </c>
      <c r="AD463" s="31" t="n">
        <f aca="false">Summary!$C$5+SUM(X$2:X463)</f>
        <v>14405.16</v>
      </c>
      <c r="AE463" s="31" t="n">
        <f aca="false">MAX(AE462,AD463)</f>
        <v>14422.72</v>
      </c>
      <c r="AF463" s="31" t="n">
        <f aca="false">AE463-AD463</f>
        <v>17.5600000000013</v>
      </c>
      <c r="AG463" s="30" t="n">
        <f aca="false">IFERROR(AF463/AE463,0)</f>
        <v>0.00121752346298072</v>
      </c>
    </row>
    <row r="464" customFormat="false" ht="15" hidden="false" customHeight="false" outlineLevel="0" collapsed="false">
      <c r="A464" s="29" t="n">
        <v>463</v>
      </c>
      <c r="B464" s="44" t="n">
        <v>45302.7604166667</v>
      </c>
      <c r="C464" s="44" t="n">
        <v>45302.7639930556</v>
      </c>
      <c r="D464" s="43" t="n">
        <f aca="false">INT(C464)</f>
        <v>45302</v>
      </c>
      <c r="E464" s="43" t="n">
        <f aca="false">D464-WEEKDAY(D464,3)</f>
        <v>45299</v>
      </c>
      <c r="F464" s="29" t="s">
        <v>165</v>
      </c>
      <c r="G464" s="29" t="n">
        <v>2024</v>
      </c>
      <c r="H464" s="29" t="s">
        <v>253</v>
      </c>
      <c r="I464" s="29" t="n">
        <v>18</v>
      </c>
      <c r="J464" s="29" t="s">
        <v>250</v>
      </c>
      <c r="K464" s="29" t="s">
        <v>251</v>
      </c>
      <c r="L464" s="29" t="n">
        <v>0.04</v>
      </c>
      <c r="M464" s="32" t="n">
        <v>16647.03</v>
      </c>
      <c r="N464" s="32" t="n">
        <v>16664.39</v>
      </c>
      <c r="O464" s="32" t="n">
        <v>16604.49</v>
      </c>
      <c r="P464" s="45" t="n">
        <f aca="false">ABS(M464-N464)</f>
        <v>17.3600000000006</v>
      </c>
      <c r="Q464" s="45" t="n">
        <f aca="false">IF(O464="","",ABS(O464-M464))</f>
        <v>42.5399999999972</v>
      </c>
      <c r="R464" s="31" t="n">
        <f aca="false">P464*L464*Summary!$C$6</f>
        <v>69.4400000000023</v>
      </c>
      <c r="S464" s="32" t="n">
        <v>16665.72</v>
      </c>
      <c r="T464" s="29" t="s">
        <v>249</v>
      </c>
      <c r="U464" s="45" t="n">
        <f aca="false">IF(J464="BUY",S464-M464,M464-S464)</f>
        <v>-18.6900000000023</v>
      </c>
      <c r="V464" s="46" t="n">
        <v>0</v>
      </c>
      <c r="W464" s="46" t="n">
        <v>0</v>
      </c>
      <c r="X464" s="46" t="n">
        <v>-74.76</v>
      </c>
      <c r="Y464" s="33" t="n">
        <f aca="false">IFERROR(X464/R464,0)</f>
        <v>-1.07661290322577</v>
      </c>
      <c r="Z464" s="29" t="str">
        <f aca="false">IF(X464&gt;0,"Win",IF(X464&lt;0,"Loss","Flat"))</f>
        <v>Loss</v>
      </c>
      <c r="AA464" s="29" t="n">
        <f aca="false">ROUND((C464-B464)*1440,1)</f>
        <v>5.2</v>
      </c>
      <c r="AB464" s="29" t="str">
        <f aca="false">IF(AA464&lt;1,"a) &lt;1 min",IF(AA464&lt;10,"b) 1-10 min",IF(AA464&lt;60,"c) 10-60 min",IF(AA464&lt;240,"d) 1-4 h","e) 4 h+"))))</f>
        <v>b) 1-10 min</v>
      </c>
      <c r="AC464" s="29" t="str">
        <f aca="false">IF(P464&lt;10,"a) &lt;10",IF(P464&lt;20,"b) 10-20",IF(P464&lt;40,"c) 20-40",IF(P464&lt;80,"d) 40-80","e) 80+"))))</f>
        <v>b) 10-20</v>
      </c>
      <c r="AD464" s="31" t="n">
        <f aca="false">Summary!$C$5+SUM(X$2:X464)</f>
        <v>14330.4</v>
      </c>
      <c r="AE464" s="31" t="n">
        <f aca="false">MAX(AE463,AD464)</f>
        <v>14422.72</v>
      </c>
      <c r="AF464" s="31" t="n">
        <f aca="false">AE464-AD464</f>
        <v>92.3200000000015</v>
      </c>
      <c r="AG464" s="30" t="n">
        <f aca="false">IFERROR(AF464/AE464,0)</f>
        <v>0.00640101173703722</v>
      </c>
    </row>
    <row r="465" customFormat="false" ht="15" hidden="false" customHeight="false" outlineLevel="0" collapsed="false">
      <c r="A465" s="29" t="n">
        <v>464</v>
      </c>
      <c r="B465" s="44" t="n">
        <v>45307.0708333333</v>
      </c>
      <c r="C465" s="44" t="n">
        <v>45307.0726967593</v>
      </c>
      <c r="D465" s="43" t="n">
        <f aca="false">INT(C465)</f>
        <v>45307</v>
      </c>
      <c r="E465" s="43" t="n">
        <f aca="false">D465-WEEKDAY(D465,3)</f>
        <v>45306</v>
      </c>
      <c r="F465" s="29" t="s">
        <v>165</v>
      </c>
      <c r="G465" s="29" t="n">
        <v>2024</v>
      </c>
      <c r="H465" s="29" t="s">
        <v>248</v>
      </c>
      <c r="I465" s="29" t="n">
        <v>1</v>
      </c>
      <c r="J465" s="29" t="s">
        <v>250</v>
      </c>
      <c r="K465" s="29" t="s">
        <v>251</v>
      </c>
      <c r="L465" s="29" t="n">
        <v>0.04</v>
      </c>
      <c r="M465" s="32" t="n">
        <v>16799.34</v>
      </c>
      <c r="N465" s="32" t="n">
        <v>16802.53</v>
      </c>
      <c r="O465" s="32" t="n">
        <v>16791.52</v>
      </c>
      <c r="P465" s="45" t="n">
        <f aca="false">ABS(M465-N465)</f>
        <v>3.18999999999869</v>
      </c>
      <c r="Q465" s="45" t="n">
        <f aca="false">IF(O465="","",ABS(O465-M465))</f>
        <v>7.81999999999971</v>
      </c>
      <c r="R465" s="31" t="n">
        <f aca="false">P465*L465*Summary!$C$6</f>
        <v>12.7599999999948</v>
      </c>
      <c r="S465" s="32" t="n">
        <v>16799.4</v>
      </c>
      <c r="T465" s="29" t="s">
        <v>255</v>
      </c>
      <c r="U465" s="45" t="n">
        <f aca="false">IF(J465="BUY",S465-M465,M465-S465)</f>
        <v>-0.0600000000013097</v>
      </c>
      <c r="V465" s="46" t="n">
        <v>0</v>
      </c>
      <c r="W465" s="46" t="n">
        <v>0</v>
      </c>
      <c r="X465" s="46" t="n">
        <v>-0.24</v>
      </c>
      <c r="Y465" s="33" t="n">
        <f aca="false">IFERROR(X465/R465,0)</f>
        <v>-0.0188087774294748</v>
      </c>
      <c r="Z465" s="29" t="str">
        <f aca="false">IF(X465&gt;0,"Win",IF(X465&lt;0,"Loss","Flat"))</f>
        <v>Loss</v>
      </c>
      <c r="AA465" s="29" t="n">
        <f aca="false">ROUND((C465-B465)*1440,1)</f>
        <v>2.7</v>
      </c>
      <c r="AB465" s="29" t="str">
        <f aca="false">IF(AA465&lt;1,"a) &lt;1 min",IF(AA465&lt;10,"b) 1-10 min",IF(AA465&lt;60,"c) 10-60 min",IF(AA465&lt;240,"d) 1-4 h","e) 4 h+"))))</f>
        <v>b) 1-10 min</v>
      </c>
      <c r="AC465" s="29" t="str">
        <f aca="false">IF(P465&lt;10,"a) &lt;10",IF(P465&lt;20,"b) 10-20",IF(P465&lt;40,"c) 20-40",IF(P465&lt;80,"d) 40-80","e) 80+"))))</f>
        <v>a) &lt;10</v>
      </c>
      <c r="AD465" s="31" t="n">
        <f aca="false">Summary!$C$5+SUM(X$2:X465)</f>
        <v>14330.16</v>
      </c>
      <c r="AE465" s="31" t="n">
        <f aca="false">MAX(AE464,AD465)</f>
        <v>14422.72</v>
      </c>
      <c r="AF465" s="31" t="n">
        <f aca="false">AE465-AD465</f>
        <v>92.5600000000013</v>
      </c>
      <c r="AG465" s="30" t="n">
        <f aca="false">IFERROR(AF465/AE465,0)</f>
        <v>0.00641765214883193</v>
      </c>
    </row>
    <row r="466" customFormat="false" ht="15" hidden="false" customHeight="false" outlineLevel="0" collapsed="false">
      <c r="A466" s="29" t="n">
        <v>465</v>
      </c>
      <c r="B466" s="44" t="n">
        <v>45307.7416666667</v>
      </c>
      <c r="C466" s="44" t="n">
        <v>45307.7433564815</v>
      </c>
      <c r="D466" s="43" t="n">
        <f aca="false">INT(C466)</f>
        <v>45307</v>
      </c>
      <c r="E466" s="43" t="n">
        <f aca="false">D466-WEEKDAY(D466,3)</f>
        <v>45306</v>
      </c>
      <c r="F466" s="29" t="s">
        <v>165</v>
      </c>
      <c r="G466" s="29" t="n">
        <v>2024</v>
      </c>
      <c r="H466" s="29" t="s">
        <v>248</v>
      </c>
      <c r="I466" s="29" t="n">
        <v>17</v>
      </c>
      <c r="J466" s="29" t="s">
        <v>246</v>
      </c>
      <c r="K466" s="29" t="s">
        <v>247</v>
      </c>
      <c r="L466" s="29" t="n">
        <v>0.04</v>
      </c>
      <c r="M466" s="32" t="n">
        <v>16889.22</v>
      </c>
      <c r="N466" s="32" t="n">
        <v>16880.91</v>
      </c>
      <c r="O466" s="32" t="n">
        <v>16909.83</v>
      </c>
      <c r="P466" s="45" t="n">
        <f aca="false">ABS(M466-N466)</f>
        <v>8.31000000000131</v>
      </c>
      <c r="Q466" s="45" t="n">
        <f aca="false">IF(O466="","",ABS(O466-M466))</f>
        <v>20.6100000000006</v>
      </c>
      <c r="R466" s="31" t="n">
        <f aca="false">P466*L466*Summary!$C$6</f>
        <v>33.2400000000052</v>
      </c>
      <c r="S466" s="32" t="n">
        <v>16889.2</v>
      </c>
      <c r="T466" s="29" t="s">
        <v>255</v>
      </c>
      <c r="U466" s="45" t="n">
        <f aca="false">IF(J466="BUY",S466-M466,M466-S466)</f>
        <v>-0.0200000000004366</v>
      </c>
      <c r="V466" s="46" t="n">
        <v>0</v>
      </c>
      <c r="W466" s="46" t="n">
        <v>0</v>
      </c>
      <c r="X466" s="46" t="n">
        <v>-0.08</v>
      </c>
      <c r="Y466" s="33" t="n">
        <f aca="false">IFERROR(X466/R466,0)</f>
        <v>-0.00240673886883235</v>
      </c>
      <c r="Z466" s="29" t="str">
        <f aca="false">IF(X466&gt;0,"Win",IF(X466&lt;0,"Loss","Flat"))</f>
        <v>Loss</v>
      </c>
      <c r="AA466" s="29" t="n">
        <f aca="false">ROUND((C466-B466)*1440,1)</f>
        <v>2.4</v>
      </c>
      <c r="AB466" s="29" t="str">
        <f aca="false">IF(AA466&lt;1,"a) &lt;1 min",IF(AA466&lt;10,"b) 1-10 min",IF(AA466&lt;60,"c) 10-60 min",IF(AA466&lt;240,"d) 1-4 h","e) 4 h+"))))</f>
        <v>b) 1-10 min</v>
      </c>
      <c r="AC466" s="29" t="str">
        <f aca="false">IF(P466&lt;10,"a) &lt;10",IF(P466&lt;20,"b) 10-20",IF(P466&lt;40,"c) 20-40",IF(P466&lt;80,"d) 40-80","e) 80+"))))</f>
        <v>a) &lt;10</v>
      </c>
      <c r="AD466" s="31" t="n">
        <f aca="false">Summary!$C$5+SUM(X$2:X466)</f>
        <v>14330.08</v>
      </c>
      <c r="AE466" s="31" t="n">
        <f aca="false">MAX(AE465,AD466)</f>
        <v>14422.72</v>
      </c>
      <c r="AF466" s="31" t="n">
        <f aca="false">AE466-AD466</f>
        <v>92.6400000000012</v>
      </c>
      <c r="AG466" s="30" t="n">
        <f aca="false">IFERROR(AF466/AE466,0)</f>
        <v>0.0064231989527635</v>
      </c>
    </row>
    <row r="467" customFormat="false" ht="15" hidden="false" customHeight="false" outlineLevel="0" collapsed="false">
      <c r="A467" s="29" t="n">
        <v>466</v>
      </c>
      <c r="B467" s="44" t="n">
        <v>45308.6618055556</v>
      </c>
      <c r="C467" s="44" t="n">
        <v>45308.6623032407</v>
      </c>
      <c r="D467" s="43" t="n">
        <f aca="false">INT(C467)</f>
        <v>45308</v>
      </c>
      <c r="E467" s="43" t="n">
        <f aca="false">D467-WEEKDAY(D467,3)</f>
        <v>45306</v>
      </c>
      <c r="F467" s="29" t="s">
        <v>165</v>
      </c>
      <c r="G467" s="29" t="n">
        <v>2024</v>
      </c>
      <c r="H467" s="29" t="s">
        <v>252</v>
      </c>
      <c r="I467" s="29" t="n">
        <v>15</v>
      </c>
      <c r="J467" s="29" t="s">
        <v>250</v>
      </c>
      <c r="K467" s="29" t="s">
        <v>251</v>
      </c>
      <c r="L467" s="29" t="n">
        <v>0.04</v>
      </c>
      <c r="M467" s="32" t="n">
        <v>16673.9</v>
      </c>
      <c r="N467" s="32" t="n">
        <v>16679.55</v>
      </c>
      <c r="O467" s="32" t="n">
        <v>16660.07</v>
      </c>
      <c r="P467" s="45" t="n">
        <f aca="false">ABS(M467-N467)</f>
        <v>5.64999999999782</v>
      </c>
      <c r="Q467" s="45" t="n">
        <f aca="false">IF(O467="","",ABS(O467-M467))</f>
        <v>13.8300000000017</v>
      </c>
      <c r="R467" s="31" t="n">
        <f aca="false">P467*L467*Summary!$C$6</f>
        <v>22.5999999999913</v>
      </c>
      <c r="S467" s="32" t="n">
        <v>16679.57</v>
      </c>
      <c r="T467" s="29" t="s">
        <v>249</v>
      </c>
      <c r="U467" s="45" t="n">
        <f aca="false">IF(J467="BUY",S467-M467,M467-S467)</f>
        <v>-5.66999999999825</v>
      </c>
      <c r="V467" s="46" t="n">
        <v>0</v>
      </c>
      <c r="W467" s="46" t="n">
        <v>0</v>
      </c>
      <c r="X467" s="46" t="n">
        <v>-22.68</v>
      </c>
      <c r="Y467" s="33" t="n">
        <f aca="false">IFERROR(X467/R467,0)</f>
        <v>-1.00353982300924</v>
      </c>
      <c r="Z467" s="29" t="str">
        <f aca="false">IF(X467&gt;0,"Win",IF(X467&lt;0,"Loss","Flat"))</f>
        <v>Loss</v>
      </c>
      <c r="AA467" s="29" t="n">
        <f aca="false">ROUND((C467-B467)*1440,1)</f>
        <v>0.7</v>
      </c>
      <c r="AB467" s="29" t="str">
        <f aca="false">IF(AA467&lt;1,"a) &lt;1 min",IF(AA467&lt;10,"b) 1-10 min",IF(AA467&lt;60,"c) 10-60 min",IF(AA467&lt;240,"d) 1-4 h","e) 4 h+"))))</f>
        <v>a) &lt;1 min</v>
      </c>
      <c r="AC467" s="29" t="str">
        <f aca="false">IF(P467&lt;10,"a) &lt;10",IF(P467&lt;20,"b) 10-20",IF(P467&lt;40,"c) 20-40",IF(P467&lt;80,"d) 40-80","e) 80+"))))</f>
        <v>a) &lt;10</v>
      </c>
      <c r="AD467" s="31" t="n">
        <f aca="false">Summary!$C$5+SUM(X$2:X467)</f>
        <v>14307.4</v>
      </c>
      <c r="AE467" s="31" t="n">
        <f aca="false">MAX(AE466,AD467)</f>
        <v>14422.72</v>
      </c>
      <c r="AF467" s="31" t="n">
        <f aca="false">AE467-AD467</f>
        <v>115.320000000002</v>
      </c>
      <c r="AG467" s="30" t="n">
        <f aca="false">IFERROR(AF467/AE467,0)</f>
        <v>0.00799571786736493</v>
      </c>
    </row>
    <row r="468" customFormat="false" ht="15" hidden="false" customHeight="false" outlineLevel="0" collapsed="false">
      <c r="A468" s="29" t="n">
        <v>467</v>
      </c>
      <c r="B468" s="44" t="n">
        <v>45309.5666666667</v>
      </c>
      <c r="C468" s="44" t="n">
        <v>45309.5691435185</v>
      </c>
      <c r="D468" s="43" t="n">
        <f aca="false">INT(C468)</f>
        <v>45309</v>
      </c>
      <c r="E468" s="43" t="n">
        <f aca="false">D468-WEEKDAY(D468,3)</f>
        <v>45306</v>
      </c>
      <c r="F468" s="29" t="s">
        <v>165</v>
      </c>
      <c r="G468" s="29" t="n">
        <v>2024</v>
      </c>
      <c r="H468" s="29" t="s">
        <v>253</v>
      </c>
      <c r="I468" s="29" t="n">
        <v>13</v>
      </c>
      <c r="J468" s="29" t="s">
        <v>246</v>
      </c>
      <c r="K468" s="29" t="s">
        <v>247</v>
      </c>
      <c r="L468" s="29" t="n">
        <v>0.04</v>
      </c>
      <c r="M468" s="32" t="n">
        <v>16847.79</v>
      </c>
      <c r="N468" s="32" t="n">
        <v>16843.41</v>
      </c>
      <c r="O468" s="32" t="n">
        <v>16858.53</v>
      </c>
      <c r="P468" s="45" t="n">
        <f aca="false">ABS(M468-N468)</f>
        <v>4.38000000000102</v>
      </c>
      <c r="Q468" s="45" t="n">
        <f aca="false">IF(O468="","",ABS(O468-M468))</f>
        <v>10.739999999998</v>
      </c>
      <c r="R468" s="31" t="n">
        <f aca="false">P468*L468*Summary!$C$6</f>
        <v>17.5200000000041</v>
      </c>
      <c r="S468" s="32" t="n">
        <v>16843.14</v>
      </c>
      <c r="T468" s="29" t="s">
        <v>249</v>
      </c>
      <c r="U468" s="45" t="n">
        <f aca="false">IF(J468="BUY",S468-M468,M468-S468)</f>
        <v>-4.65000000000146</v>
      </c>
      <c r="V468" s="46" t="n">
        <v>0</v>
      </c>
      <c r="W468" s="46" t="n">
        <v>0</v>
      </c>
      <c r="X468" s="46" t="n">
        <v>-18.6</v>
      </c>
      <c r="Y468" s="33" t="n">
        <f aca="false">IFERROR(X468/R468,0)</f>
        <v>-1.06164383561619</v>
      </c>
      <c r="Z468" s="29" t="str">
        <f aca="false">IF(X468&gt;0,"Win",IF(X468&lt;0,"Loss","Flat"))</f>
        <v>Loss</v>
      </c>
      <c r="AA468" s="29" t="n">
        <f aca="false">ROUND((C468-B468)*1440,1)</f>
        <v>3.6</v>
      </c>
      <c r="AB468" s="29" t="str">
        <f aca="false">IF(AA468&lt;1,"a) &lt;1 min",IF(AA468&lt;10,"b) 1-10 min",IF(AA468&lt;60,"c) 10-60 min",IF(AA468&lt;240,"d) 1-4 h","e) 4 h+"))))</f>
        <v>b) 1-10 min</v>
      </c>
      <c r="AC468" s="29" t="str">
        <f aca="false">IF(P468&lt;10,"a) &lt;10",IF(P468&lt;20,"b) 10-20",IF(P468&lt;40,"c) 20-40",IF(P468&lt;80,"d) 40-80","e) 80+"))))</f>
        <v>a) &lt;10</v>
      </c>
      <c r="AD468" s="31" t="n">
        <f aca="false">Summary!$C$5+SUM(X$2:X468)</f>
        <v>14288.8</v>
      </c>
      <c r="AE468" s="31" t="n">
        <f aca="false">MAX(AE467,AD468)</f>
        <v>14422.72</v>
      </c>
      <c r="AF468" s="31" t="n">
        <f aca="false">AE468-AD468</f>
        <v>133.920000000002</v>
      </c>
      <c r="AG468" s="30" t="n">
        <f aca="false">IFERROR(AF468/AE468,0)</f>
        <v>0.00928534978145606</v>
      </c>
    </row>
    <row r="469" customFormat="false" ht="15" hidden="false" customHeight="false" outlineLevel="0" collapsed="false">
      <c r="A469" s="29" t="n">
        <v>468</v>
      </c>
      <c r="B469" s="44" t="n">
        <v>45310.0701388889</v>
      </c>
      <c r="C469" s="44" t="n">
        <v>45310.0705555556</v>
      </c>
      <c r="D469" s="43" t="n">
        <f aca="false">INT(C469)</f>
        <v>45310</v>
      </c>
      <c r="E469" s="43" t="n">
        <f aca="false">D469-WEEKDAY(D469,3)</f>
        <v>45306</v>
      </c>
      <c r="F469" s="29" t="s">
        <v>165</v>
      </c>
      <c r="G469" s="29" t="n">
        <v>2024</v>
      </c>
      <c r="H469" s="29" t="s">
        <v>254</v>
      </c>
      <c r="I469" s="29" t="n">
        <v>1</v>
      </c>
      <c r="J469" s="29" t="s">
        <v>246</v>
      </c>
      <c r="K469" s="29" t="s">
        <v>247</v>
      </c>
      <c r="L469" s="29" t="n">
        <v>0.04</v>
      </c>
      <c r="M469" s="32" t="n">
        <v>16997.54</v>
      </c>
      <c r="N469" s="32" t="n">
        <v>16995.8</v>
      </c>
      <c r="O469" s="32" t="n">
        <v>17001.8</v>
      </c>
      <c r="P469" s="45" t="n">
        <f aca="false">ABS(M469-N469)</f>
        <v>1.7400000000016</v>
      </c>
      <c r="Q469" s="45" t="n">
        <f aca="false">IF(O469="","",ABS(O469-M469))</f>
        <v>4.2599999999984</v>
      </c>
      <c r="R469" s="31" t="n">
        <f aca="false">P469*L469*Summary!$C$6</f>
        <v>6.9600000000064</v>
      </c>
      <c r="S469" s="32" t="n">
        <v>16995.72</v>
      </c>
      <c r="T469" s="29" t="s">
        <v>249</v>
      </c>
      <c r="U469" s="45" t="n">
        <f aca="false">IF(J469="BUY",S469-M469,M469-S469)</f>
        <v>-1.81999999999971</v>
      </c>
      <c r="V469" s="46" t="n">
        <v>0</v>
      </c>
      <c r="W469" s="46" t="n">
        <v>0</v>
      </c>
      <c r="X469" s="46" t="n">
        <v>-7.28</v>
      </c>
      <c r="Y469" s="33" t="n">
        <f aca="false">IFERROR(X469/R469,0)</f>
        <v>-1.04597701149329</v>
      </c>
      <c r="Z469" s="29" t="str">
        <f aca="false">IF(X469&gt;0,"Win",IF(X469&lt;0,"Loss","Flat"))</f>
        <v>Loss</v>
      </c>
      <c r="AA469" s="29" t="n">
        <f aca="false">ROUND((C469-B469)*1440,1)</f>
        <v>0.6</v>
      </c>
      <c r="AB469" s="29" t="str">
        <f aca="false">IF(AA469&lt;1,"a) &lt;1 min",IF(AA469&lt;10,"b) 1-10 min",IF(AA469&lt;60,"c) 10-60 min",IF(AA469&lt;240,"d) 1-4 h","e) 4 h+"))))</f>
        <v>a) &lt;1 min</v>
      </c>
      <c r="AC469" s="29" t="str">
        <f aca="false">IF(P469&lt;10,"a) &lt;10",IF(P469&lt;20,"b) 10-20",IF(P469&lt;40,"c) 20-40",IF(P469&lt;80,"d) 40-80","e) 80+"))))</f>
        <v>a) &lt;10</v>
      </c>
      <c r="AD469" s="31" t="n">
        <f aca="false">Summary!$C$5+SUM(X$2:X469)</f>
        <v>14281.52</v>
      </c>
      <c r="AE469" s="31" t="n">
        <f aca="false">MAX(AE468,AD469)</f>
        <v>14422.72</v>
      </c>
      <c r="AF469" s="31" t="n">
        <f aca="false">AE469-AD469</f>
        <v>141.200000000001</v>
      </c>
      <c r="AG469" s="30" t="n">
        <f aca="false">IFERROR(AF469/AE469,0)</f>
        <v>0.00979010893922927</v>
      </c>
    </row>
    <row r="470" customFormat="false" ht="15" hidden="false" customHeight="false" outlineLevel="0" collapsed="false">
      <c r="A470" s="29" t="n">
        <v>469</v>
      </c>
      <c r="B470" s="44" t="n">
        <v>45313.0423611111</v>
      </c>
      <c r="C470" s="44" t="n">
        <v>45313.0558912037</v>
      </c>
      <c r="D470" s="43" t="n">
        <f aca="false">INT(C470)</f>
        <v>45313</v>
      </c>
      <c r="E470" s="43" t="n">
        <f aca="false">D470-WEEKDAY(D470,3)</f>
        <v>45313</v>
      </c>
      <c r="F470" s="29" t="s">
        <v>165</v>
      </c>
      <c r="G470" s="29" t="n">
        <v>2024</v>
      </c>
      <c r="H470" s="29" t="s">
        <v>245</v>
      </c>
      <c r="I470" s="29" t="n">
        <v>1</v>
      </c>
      <c r="J470" s="29" t="s">
        <v>246</v>
      </c>
      <c r="K470" s="29" t="s">
        <v>247</v>
      </c>
      <c r="L470" s="29" t="n">
        <v>0.04</v>
      </c>
      <c r="M470" s="32" t="n">
        <v>17361.22</v>
      </c>
      <c r="N470" s="32" t="n">
        <v>17351.71</v>
      </c>
      <c r="O470" s="32" t="n">
        <v>17384.52</v>
      </c>
      <c r="P470" s="45" t="n">
        <f aca="false">ABS(M470-N470)</f>
        <v>9.51000000000204</v>
      </c>
      <c r="Q470" s="45" t="n">
        <f aca="false">IF(O470="","",ABS(O470-M470))</f>
        <v>23.2999999999993</v>
      </c>
      <c r="R470" s="31" t="n">
        <f aca="false">P470*L470*Summary!$C$6</f>
        <v>38.0400000000082</v>
      </c>
      <c r="S470" s="32" t="n">
        <v>17360.82</v>
      </c>
      <c r="T470" s="29" t="s">
        <v>255</v>
      </c>
      <c r="U470" s="45" t="n">
        <f aca="false">IF(J470="BUY",S470-M470,M470-S470)</f>
        <v>-0.400000000001455</v>
      </c>
      <c r="V470" s="46" t="n">
        <v>0</v>
      </c>
      <c r="W470" s="46" t="n">
        <v>0</v>
      </c>
      <c r="X470" s="46" t="n">
        <v>-1.6</v>
      </c>
      <c r="Y470" s="33" t="n">
        <f aca="false">IFERROR(X470/R470,0)</f>
        <v>-0.0420609884332192</v>
      </c>
      <c r="Z470" s="29" t="str">
        <f aca="false">IF(X470&gt;0,"Win",IF(X470&lt;0,"Loss","Flat"))</f>
        <v>Loss</v>
      </c>
      <c r="AA470" s="29" t="n">
        <f aca="false">ROUND((C470-B470)*1440,1)</f>
        <v>19.5</v>
      </c>
      <c r="AB470" s="29" t="str">
        <f aca="false">IF(AA470&lt;1,"a) &lt;1 min",IF(AA470&lt;10,"b) 1-10 min",IF(AA470&lt;60,"c) 10-60 min",IF(AA470&lt;240,"d) 1-4 h","e) 4 h+"))))</f>
        <v>c) 10-60 min</v>
      </c>
      <c r="AC470" s="29" t="str">
        <f aca="false">IF(P470&lt;10,"a) &lt;10",IF(P470&lt;20,"b) 10-20",IF(P470&lt;40,"c) 20-40",IF(P470&lt;80,"d) 40-80","e) 80+"))))</f>
        <v>a) &lt;10</v>
      </c>
      <c r="AD470" s="31" t="n">
        <f aca="false">Summary!$C$5+SUM(X$2:X470)</f>
        <v>14279.92</v>
      </c>
      <c r="AE470" s="31" t="n">
        <f aca="false">MAX(AE469,AD470)</f>
        <v>14422.72</v>
      </c>
      <c r="AF470" s="31" t="n">
        <f aca="false">AE470-AD470</f>
        <v>142.800000000001</v>
      </c>
      <c r="AG470" s="30" t="n">
        <f aca="false">IFERROR(AF470/AE470,0)</f>
        <v>0.00990104501786078</v>
      </c>
    </row>
    <row r="471" customFormat="false" ht="15" hidden="false" customHeight="false" outlineLevel="0" collapsed="false">
      <c r="A471" s="29" t="n">
        <v>470</v>
      </c>
      <c r="B471" s="44" t="n">
        <v>45314.4451388889</v>
      </c>
      <c r="C471" s="44" t="n">
        <v>45314.446087963</v>
      </c>
      <c r="D471" s="43" t="n">
        <f aca="false">INT(C471)</f>
        <v>45314</v>
      </c>
      <c r="E471" s="43" t="n">
        <f aca="false">D471-WEEKDAY(D471,3)</f>
        <v>45313</v>
      </c>
      <c r="F471" s="29" t="s">
        <v>165</v>
      </c>
      <c r="G471" s="29" t="n">
        <v>2024</v>
      </c>
      <c r="H471" s="29" t="s">
        <v>248</v>
      </c>
      <c r="I471" s="29" t="n">
        <v>10</v>
      </c>
      <c r="J471" s="29" t="s">
        <v>250</v>
      </c>
      <c r="K471" s="29" t="s">
        <v>251</v>
      </c>
      <c r="L471" s="29" t="n">
        <v>0.04</v>
      </c>
      <c r="M471" s="32" t="n">
        <v>17298.61</v>
      </c>
      <c r="N471" s="32" t="n">
        <v>17303.77</v>
      </c>
      <c r="O471" s="32" t="n">
        <v>17285.96</v>
      </c>
      <c r="P471" s="45" t="n">
        <f aca="false">ABS(M471-N471)</f>
        <v>5.15999999999985</v>
      </c>
      <c r="Q471" s="45" t="n">
        <f aca="false">IF(O471="","",ABS(O471-M471))</f>
        <v>12.6500000000015</v>
      </c>
      <c r="R471" s="31" t="n">
        <f aca="false">P471*L471*Summary!$C$6</f>
        <v>20.6399999999994</v>
      </c>
      <c r="S471" s="32" t="n">
        <v>17303.81</v>
      </c>
      <c r="T471" s="29" t="s">
        <v>249</v>
      </c>
      <c r="U471" s="45" t="n">
        <f aca="false">IF(J471="BUY",S471-M471,M471-S471)</f>
        <v>-5.20000000000073</v>
      </c>
      <c r="V471" s="46" t="n">
        <v>0</v>
      </c>
      <c r="W471" s="46" t="n">
        <v>0</v>
      </c>
      <c r="X471" s="46" t="n">
        <v>-20.8</v>
      </c>
      <c r="Y471" s="33" t="n">
        <f aca="false">IFERROR(X471/R471,0)</f>
        <v>-1.00775193798452</v>
      </c>
      <c r="Z471" s="29" t="str">
        <f aca="false">IF(X471&gt;0,"Win",IF(X471&lt;0,"Loss","Flat"))</f>
        <v>Loss</v>
      </c>
      <c r="AA471" s="29" t="n">
        <f aca="false">ROUND((C471-B471)*1440,1)</f>
        <v>1.4</v>
      </c>
      <c r="AB471" s="29" t="str">
        <f aca="false">IF(AA471&lt;1,"a) &lt;1 min",IF(AA471&lt;10,"b) 1-10 min",IF(AA471&lt;60,"c) 10-60 min",IF(AA471&lt;240,"d) 1-4 h","e) 4 h+"))))</f>
        <v>b) 1-10 min</v>
      </c>
      <c r="AC471" s="29" t="str">
        <f aca="false">IF(P471&lt;10,"a) &lt;10",IF(P471&lt;20,"b) 10-20",IF(P471&lt;40,"c) 20-40",IF(P471&lt;80,"d) 40-80","e) 80+"))))</f>
        <v>a) &lt;10</v>
      </c>
      <c r="AD471" s="31" t="n">
        <f aca="false">Summary!$C$5+SUM(X$2:X471)</f>
        <v>14259.12</v>
      </c>
      <c r="AE471" s="31" t="n">
        <f aca="false">MAX(AE470,AD471)</f>
        <v>14422.72</v>
      </c>
      <c r="AF471" s="31" t="n">
        <f aca="false">AE471-AD471</f>
        <v>163.600000000002</v>
      </c>
      <c r="AG471" s="30" t="n">
        <f aca="false">IFERROR(AF471/AE471,0)</f>
        <v>0.0113432140400703</v>
      </c>
    </row>
    <row r="472" customFormat="false" ht="15" hidden="false" customHeight="false" outlineLevel="0" collapsed="false">
      <c r="A472" s="29" t="n">
        <v>471</v>
      </c>
      <c r="B472" s="44" t="n">
        <v>45315.0423611111</v>
      </c>
      <c r="C472" s="44" t="n">
        <v>45315.1241203704</v>
      </c>
      <c r="D472" s="43" t="n">
        <f aca="false">INT(C472)</f>
        <v>45315</v>
      </c>
      <c r="E472" s="43" t="n">
        <f aca="false">D472-WEEKDAY(D472,3)</f>
        <v>45313</v>
      </c>
      <c r="F472" s="29" t="s">
        <v>165</v>
      </c>
      <c r="G472" s="29" t="n">
        <v>2024</v>
      </c>
      <c r="H472" s="29" t="s">
        <v>252</v>
      </c>
      <c r="I472" s="29" t="n">
        <v>1</v>
      </c>
      <c r="J472" s="29" t="s">
        <v>246</v>
      </c>
      <c r="K472" s="29" t="s">
        <v>247</v>
      </c>
      <c r="L472" s="29" t="n">
        <v>0.04</v>
      </c>
      <c r="M472" s="32" t="n">
        <v>17437.9</v>
      </c>
      <c r="N472" s="32" t="n">
        <v>17427.21</v>
      </c>
      <c r="O472" s="32" t="n">
        <v>17464.1</v>
      </c>
      <c r="P472" s="45" t="n">
        <f aca="false">ABS(M472-N472)</f>
        <v>10.6900000000023</v>
      </c>
      <c r="Q472" s="45" t="n">
        <f aca="false">IF(O472="","",ABS(O472-M472))</f>
        <v>26.1999999999971</v>
      </c>
      <c r="R472" s="31" t="n">
        <f aca="false">P472*L472*Summary!$C$6</f>
        <v>42.7600000000093</v>
      </c>
      <c r="S472" s="32" t="n">
        <v>17464.11</v>
      </c>
      <c r="T472" s="29" t="s">
        <v>227</v>
      </c>
      <c r="U472" s="45" t="n">
        <f aca="false">IF(J472="BUY",S472-M472,M472-S472)</f>
        <v>26.2099999999991</v>
      </c>
      <c r="V472" s="46" t="n">
        <v>0</v>
      </c>
      <c r="W472" s="46" t="n">
        <v>0</v>
      </c>
      <c r="X472" s="46" t="n">
        <v>104.84</v>
      </c>
      <c r="Y472" s="33" t="n">
        <f aca="false">IFERROR(X472/R472,0)</f>
        <v>2.4518241347048</v>
      </c>
      <c r="Z472" s="29" t="str">
        <f aca="false">IF(X472&gt;0,"Win",IF(X472&lt;0,"Loss","Flat"))</f>
        <v>Win</v>
      </c>
      <c r="AA472" s="29" t="n">
        <f aca="false">ROUND((C472-B472)*1440,1)</f>
        <v>117.7</v>
      </c>
      <c r="AB472" s="29" t="str">
        <f aca="false">IF(AA472&lt;1,"a) &lt;1 min",IF(AA472&lt;10,"b) 1-10 min",IF(AA472&lt;60,"c) 10-60 min",IF(AA472&lt;240,"d) 1-4 h","e) 4 h+"))))</f>
        <v>d) 1-4 h</v>
      </c>
      <c r="AC472" s="29" t="str">
        <f aca="false">IF(P472&lt;10,"a) &lt;10",IF(P472&lt;20,"b) 10-20",IF(P472&lt;40,"c) 20-40",IF(P472&lt;80,"d) 40-80","e) 80+"))))</f>
        <v>b) 10-20</v>
      </c>
      <c r="AD472" s="31" t="n">
        <f aca="false">Summary!$C$5+SUM(X$2:X472)</f>
        <v>14363.96</v>
      </c>
      <c r="AE472" s="31" t="n">
        <f aca="false">MAX(AE471,AD472)</f>
        <v>14422.72</v>
      </c>
      <c r="AF472" s="31" t="n">
        <f aca="false">AE472-AD472</f>
        <v>58.760000000002</v>
      </c>
      <c r="AG472" s="30" t="n">
        <f aca="false">IFERROR(AF472/AE472,0)</f>
        <v>0.0040741274877417</v>
      </c>
    </row>
    <row r="473" customFormat="false" ht="15" hidden="false" customHeight="false" outlineLevel="0" collapsed="false">
      <c r="A473" s="29" t="n">
        <v>472</v>
      </c>
      <c r="B473" s="44" t="n">
        <v>45316.88125</v>
      </c>
      <c r="C473" s="44" t="n">
        <v>45316.8829513889</v>
      </c>
      <c r="D473" s="43" t="n">
        <f aca="false">INT(C473)</f>
        <v>45316</v>
      </c>
      <c r="E473" s="43" t="n">
        <f aca="false">D473-WEEKDAY(D473,3)</f>
        <v>45313</v>
      </c>
      <c r="F473" s="29" t="s">
        <v>165</v>
      </c>
      <c r="G473" s="29" t="n">
        <v>2024</v>
      </c>
      <c r="H473" s="29" t="s">
        <v>253</v>
      </c>
      <c r="I473" s="29" t="n">
        <v>21</v>
      </c>
      <c r="J473" s="29" t="s">
        <v>250</v>
      </c>
      <c r="K473" s="29" t="s">
        <v>251</v>
      </c>
      <c r="L473" s="29" t="n">
        <v>0.04</v>
      </c>
      <c r="M473" s="32" t="n">
        <v>17429.15</v>
      </c>
      <c r="N473" s="32" t="n">
        <v>17443.55</v>
      </c>
      <c r="O473" s="32" t="n">
        <v>17393.88</v>
      </c>
      <c r="P473" s="45" t="n">
        <f aca="false">ABS(M473-N473)</f>
        <v>14.3999999999978</v>
      </c>
      <c r="Q473" s="45" t="n">
        <f aca="false">IF(O473="","",ABS(O473-M473))</f>
        <v>35.2700000000004</v>
      </c>
      <c r="R473" s="31" t="n">
        <f aca="false">P473*L473*Summary!$C$6</f>
        <v>57.5999999999913</v>
      </c>
      <c r="S473" s="32" t="n">
        <v>17443.61</v>
      </c>
      <c r="T473" s="29" t="s">
        <v>249</v>
      </c>
      <c r="U473" s="45" t="n">
        <f aca="false">IF(J473="BUY",S473-M473,M473-S473)</f>
        <v>-14.4599999999991</v>
      </c>
      <c r="V473" s="46" t="n">
        <v>0</v>
      </c>
      <c r="W473" s="46" t="n">
        <v>0</v>
      </c>
      <c r="X473" s="46" t="n">
        <v>-57.84</v>
      </c>
      <c r="Y473" s="33" t="n">
        <f aca="false">IFERROR(X473/R473,0)</f>
        <v>-1.00416666666682</v>
      </c>
      <c r="Z473" s="29" t="str">
        <f aca="false">IF(X473&gt;0,"Win",IF(X473&lt;0,"Loss","Flat"))</f>
        <v>Loss</v>
      </c>
      <c r="AA473" s="29" t="n">
        <f aca="false">ROUND((C473-B473)*1440,1)</f>
        <v>2.5</v>
      </c>
      <c r="AB473" s="29" t="str">
        <f aca="false">IF(AA473&lt;1,"a) &lt;1 min",IF(AA473&lt;10,"b) 1-10 min",IF(AA473&lt;60,"c) 10-60 min",IF(AA473&lt;240,"d) 1-4 h","e) 4 h+"))))</f>
        <v>b) 1-10 min</v>
      </c>
      <c r="AC473" s="29" t="str">
        <f aca="false">IF(P473&lt;10,"a) &lt;10",IF(P473&lt;20,"b) 10-20",IF(P473&lt;40,"c) 20-40",IF(P473&lt;80,"d) 40-80","e) 80+"))))</f>
        <v>b) 10-20</v>
      </c>
      <c r="AD473" s="31" t="n">
        <f aca="false">Summary!$C$5+SUM(X$2:X473)</f>
        <v>14306.12</v>
      </c>
      <c r="AE473" s="31" t="n">
        <f aca="false">MAX(AE472,AD473)</f>
        <v>14422.72</v>
      </c>
      <c r="AF473" s="31" t="n">
        <f aca="false">AE473-AD473</f>
        <v>116.600000000002</v>
      </c>
      <c r="AG473" s="30" t="n">
        <f aca="false">IFERROR(AF473/AE473,0)</f>
        <v>0.00808446673027017</v>
      </c>
    </row>
    <row r="474" customFormat="false" ht="15" hidden="false" customHeight="false" outlineLevel="0" collapsed="false">
      <c r="A474" s="29" t="n">
        <v>473</v>
      </c>
      <c r="B474" s="44" t="n">
        <v>45317.0611111111</v>
      </c>
      <c r="C474" s="44" t="n">
        <v>45317.064837963</v>
      </c>
      <c r="D474" s="43" t="n">
        <f aca="false">INT(C474)</f>
        <v>45317</v>
      </c>
      <c r="E474" s="43" t="n">
        <f aca="false">D474-WEEKDAY(D474,3)</f>
        <v>45313</v>
      </c>
      <c r="F474" s="29" t="s">
        <v>165</v>
      </c>
      <c r="G474" s="29" t="n">
        <v>2024</v>
      </c>
      <c r="H474" s="29" t="s">
        <v>254</v>
      </c>
      <c r="I474" s="29" t="n">
        <v>1</v>
      </c>
      <c r="J474" s="29" t="s">
        <v>250</v>
      </c>
      <c r="K474" s="29" t="s">
        <v>251</v>
      </c>
      <c r="L474" s="29" t="n">
        <v>0.04</v>
      </c>
      <c r="M474" s="32" t="n">
        <v>17421.24</v>
      </c>
      <c r="N474" s="32" t="n">
        <v>17426.11</v>
      </c>
      <c r="O474" s="32" t="n">
        <v>17409.31</v>
      </c>
      <c r="P474" s="45" t="n">
        <f aca="false">ABS(M474-N474)</f>
        <v>4.86999999999898</v>
      </c>
      <c r="Q474" s="45" t="n">
        <f aca="false">IF(O474="","",ABS(O474-M474))</f>
        <v>11.9300000000003</v>
      </c>
      <c r="R474" s="31" t="n">
        <f aca="false">P474*L474*Summary!$C$6</f>
        <v>19.4799999999959</v>
      </c>
      <c r="S474" s="32" t="n">
        <v>17421.8</v>
      </c>
      <c r="T474" s="29" t="s">
        <v>255</v>
      </c>
      <c r="U474" s="45" t="n">
        <f aca="false">IF(J474="BUY",S474-M474,M474-S474)</f>
        <v>-0.559999999997672</v>
      </c>
      <c r="V474" s="46" t="n">
        <v>0</v>
      </c>
      <c r="W474" s="46" t="n">
        <v>0</v>
      </c>
      <c r="X474" s="46" t="n">
        <v>-2.24</v>
      </c>
      <c r="Y474" s="33" t="n">
        <f aca="false">IFERROR(X474/R474,0)</f>
        <v>-0.114989733059572</v>
      </c>
      <c r="Z474" s="29" t="str">
        <f aca="false">IF(X474&gt;0,"Win",IF(X474&lt;0,"Loss","Flat"))</f>
        <v>Loss</v>
      </c>
      <c r="AA474" s="29" t="n">
        <f aca="false">ROUND((C474-B474)*1440,1)</f>
        <v>5.4</v>
      </c>
      <c r="AB474" s="29" t="str">
        <f aca="false">IF(AA474&lt;1,"a) &lt;1 min",IF(AA474&lt;10,"b) 1-10 min",IF(AA474&lt;60,"c) 10-60 min",IF(AA474&lt;240,"d) 1-4 h","e) 4 h+"))))</f>
        <v>b) 1-10 min</v>
      </c>
      <c r="AC474" s="29" t="str">
        <f aca="false">IF(P474&lt;10,"a) &lt;10",IF(P474&lt;20,"b) 10-20",IF(P474&lt;40,"c) 20-40",IF(P474&lt;80,"d) 40-80","e) 80+"))))</f>
        <v>a) &lt;10</v>
      </c>
      <c r="AD474" s="31" t="n">
        <f aca="false">Summary!$C$5+SUM(X$2:X474)</f>
        <v>14303.88</v>
      </c>
      <c r="AE474" s="31" t="n">
        <f aca="false">MAX(AE473,AD474)</f>
        <v>14422.72</v>
      </c>
      <c r="AF474" s="31" t="n">
        <f aca="false">AE474-AD474</f>
        <v>118.84</v>
      </c>
      <c r="AG474" s="30" t="n">
        <f aca="false">IFERROR(AF474/AE474,0)</f>
        <v>0.00823977724035412</v>
      </c>
    </row>
    <row r="475" customFormat="false" ht="15" hidden="false" customHeight="false" outlineLevel="0" collapsed="false">
      <c r="A475" s="29" t="n">
        <v>474</v>
      </c>
      <c r="B475" s="44" t="n">
        <v>45320.9034722222</v>
      </c>
      <c r="C475" s="44" t="n">
        <v>45320.9042824074</v>
      </c>
      <c r="D475" s="43" t="n">
        <f aca="false">INT(C475)</f>
        <v>45320</v>
      </c>
      <c r="E475" s="43" t="n">
        <f aca="false">D475-WEEKDAY(D475,3)</f>
        <v>45320</v>
      </c>
      <c r="F475" s="29" t="s">
        <v>165</v>
      </c>
      <c r="G475" s="29" t="n">
        <v>2024</v>
      </c>
      <c r="H475" s="29" t="s">
        <v>245</v>
      </c>
      <c r="I475" s="29" t="n">
        <v>21</v>
      </c>
      <c r="J475" s="29" t="s">
        <v>246</v>
      </c>
      <c r="K475" s="29" t="s">
        <v>247</v>
      </c>
      <c r="L475" s="29" t="n">
        <v>0.04</v>
      </c>
      <c r="M475" s="32" t="n">
        <v>17518.81</v>
      </c>
      <c r="N475" s="32" t="n">
        <v>17514.94</v>
      </c>
      <c r="O475" s="32" t="n">
        <v>17528.29</v>
      </c>
      <c r="P475" s="45" t="n">
        <f aca="false">ABS(M475-N475)</f>
        <v>3.87000000000262</v>
      </c>
      <c r="Q475" s="45" t="n">
        <f aca="false">IF(O475="","",ABS(O475-M475))</f>
        <v>9.47999999999956</v>
      </c>
      <c r="R475" s="31" t="n">
        <f aca="false">P475*L475*Summary!$C$6</f>
        <v>15.4800000000105</v>
      </c>
      <c r="S475" s="32" t="n">
        <v>17514.85</v>
      </c>
      <c r="T475" s="29" t="s">
        <v>249</v>
      </c>
      <c r="U475" s="45" t="n">
        <f aca="false">IF(J475="BUY",S475-M475,M475-S475)</f>
        <v>-3.96000000000277</v>
      </c>
      <c r="V475" s="46" t="n">
        <v>0</v>
      </c>
      <c r="W475" s="46" t="n">
        <v>0</v>
      </c>
      <c r="X475" s="46" t="n">
        <v>-15.84</v>
      </c>
      <c r="Y475" s="33" t="n">
        <f aca="false">IFERROR(X475/R475,0)</f>
        <v>-1.0232558139528</v>
      </c>
      <c r="Z475" s="29" t="str">
        <f aca="false">IF(X475&gt;0,"Win",IF(X475&lt;0,"Loss","Flat"))</f>
        <v>Loss</v>
      </c>
      <c r="AA475" s="29" t="n">
        <f aca="false">ROUND((C475-B475)*1440,1)</f>
        <v>1.2</v>
      </c>
      <c r="AB475" s="29" t="str">
        <f aca="false">IF(AA475&lt;1,"a) &lt;1 min",IF(AA475&lt;10,"b) 1-10 min",IF(AA475&lt;60,"c) 10-60 min",IF(AA475&lt;240,"d) 1-4 h","e) 4 h+"))))</f>
        <v>b) 1-10 min</v>
      </c>
      <c r="AC475" s="29" t="str">
        <f aca="false">IF(P475&lt;10,"a) &lt;10",IF(P475&lt;20,"b) 10-20",IF(P475&lt;40,"c) 20-40",IF(P475&lt;80,"d) 40-80","e) 80+"))))</f>
        <v>a) &lt;10</v>
      </c>
      <c r="AD475" s="31" t="n">
        <f aca="false">Summary!$C$5+SUM(X$2:X475)</f>
        <v>14288.04</v>
      </c>
      <c r="AE475" s="31" t="n">
        <f aca="false">MAX(AE474,AD475)</f>
        <v>14422.72</v>
      </c>
      <c r="AF475" s="31" t="n">
        <f aca="false">AE475-AD475</f>
        <v>134.68</v>
      </c>
      <c r="AG475" s="30" t="n">
        <f aca="false">IFERROR(AF475/AE475,0)</f>
        <v>0.0093380444188059</v>
      </c>
    </row>
    <row r="476" customFormat="false" ht="15" hidden="false" customHeight="false" outlineLevel="0" collapsed="false">
      <c r="A476" s="29" t="n">
        <v>475</v>
      </c>
      <c r="B476" s="44" t="n">
        <v>45321.0444675926</v>
      </c>
      <c r="C476" s="44" t="n">
        <v>45321.0498032407</v>
      </c>
      <c r="D476" s="43" t="n">
        <f aca="false">INT(C476)</f>
        <v>45321</v>
      </c>
      <c r="E476" s="43" t="n">
        <f aca="false">D476-WEEKDAY(D476,3)</f>
        <v>45320</v>
      </c>
      <c r="F476" s="29" t="s">
        <v>165</v>
      </c>
      <c r="G476" s="29" t="n">
        <v>2024</v>
      </c>
      <c r="H476" s="29" t="s">
        <v>248</v>
      </c>
      <c r="I476" s="29" t="n">
        <v>1</v>
      </c>
      <c r="J476" s="29" t="s">
        <v>246</v>
      </c>
      <c r="K476" s="29" t="s">
        <v>247</v>
      </c>
      <c r="L476" s="29" t="n">
        <v>0.04</v>
      </c>
      <c r="M476" s="32" t="n">
        <v>17605.71</v>
      </c>
      <c r="N476" s="32" t="n">
        <v>17600.22</v>
      </c>
      <c r="O476" s="32" t="n">
        <v>17619.17</v>
      </c>
      <c r="P476" s="45" t="n">
        <f aca="false">ABS(M476-N476)</f>
        <v>5.48999999999796</v>
      </c>
      <c r="Q476" s="45" t="n">
        <f aca="false">IF(O476="","",ABS(O476-M476))</f>
        <v>13.4599999999991</v>
      </c>
      <c r="R476" s="31" t="n">
        <f aca="false">P476*L476*Summary!$C$6</f>
        <v>21.9599999999919</v>
      </c>
      <c r="S476" s="32" t="n">
        <v>17605.68</v>
      </c>
      <c r="T476" s="29" t="s">
        <v>255</v>
      </c>
      <c r="U476" s="45" t="n">
        <f aca="false">IF(J476="BUY",S476-M476,M476-S476)</f>
        <v>-0.0299999999988358</v>
      </c>
      <c r="V476" s="46" t="n">
        <v>0</v>
      </c>
      <c r="W476" s="46" t="n">
        <v>0</v>
      </c>
      <c r="X476" s="46" t="n">
        <v>-0.12</v>
      </c>
      <c r="Y476" s="33" t="n">
        <f aca="false">IFERROR(X476/R476,0)</f>
        <v>-0.00546448087431897</v>
      </c>
      <c r="Z476" s="29" t="str">
        <f aca="false">IF(X476&gt;0,"Win",IF(X476&lt;0,"Loss","Flat"))</f>
        <v>Loss</v>
      </c>
      <c r="AA476" s="29" t="n">
        <f aca="false">ROUND((C476-B476)*1440,1)</f>
        <v>7.7</v>
      </c>
      <c r="AB476" s="29" t="str">
        <f aca="false">IF(AA476&lt;1,"a) &lt;1 min",IF(AA476&lt;10,"b) 1-10 min",IF(AA476&lt;60,"c) 10-60 min",IF(AA476&lt;240,"d) 1-4 h","e) 4 h+"))))</f>
        <v>b) 1-10 min</v>
      </c>
      <c r="AC476" s="29" t="str">
        <f aca="false">IF(P476&lt;10,"a) &lt;10",IF(P476&lt;20,"b) 10-20",IF(P476&lt;40,"c) 20-40",IF(P476&lt;80,"d) 40-80","e) 80+"))))</f>
        <v>a) &lt;10</v>
      </c>
      <c r="AD476" s="31" t="n">
        <f aca="false">Summary!$C$5+SUM(X$2:X476)</f>
        <v>14287.92</v>
      </c>
      <c r="AE476" s="31" t="n">
        <f aca="false">MAX(AE475,AD476)</f>
        <v>14422.72</v>
      </c>
      <c r="AF476" s="31" t="n">
        <f aca="false">AE476-AD476</f>
        <v>134.800000000001</v>
      </c>
      <c r="AG476" s="30" t="n">
        <f aca="false">IFERROR(AF476/AE476,0)</f>
        <v>0.00934636462470332</v>
      </c>
    </row>
    <row r="477" customFormat="false" ht="15" hidden="false" customHeight="false" outlineLevel="0" collapsed="false">
      <c r="A477" s="29" t="n">
        <v>476</v>
      </c>
      <c r="B477" s="44" t="n">
        <v>45322.0423611111</v>
      </c>
      <c r="C477" s="44" t="n">
        <v>45322.4824305556</v>
      </c>
      <c r="D477" s="43" t="n">
        <f aca="false">INT(C477)</f>
        <v>45322</v>
      </c>
      <c r="E477" s="43" t="n">
        <f aca="false">D477-WEEKDAY(D477,3)</f>
        <v>45320</v>
      </c>
      <c r="F477" s="29" t="s">
        <v>165</v>
      </c>
      <c r="G477" s="29" t="n">
        <v>2024</v>
      </c>
      <c r="H477" s="29" t="s">
        <v>252</v>
      </c>
      <c r="I477" s="29" t="n">
        <v>1</v>
      </c>
      <c r="J477" s="29" t="s">
        <v>250</v>
      </c>
      <c r="K477" s="29" t="s">
        <v>251</v>
      </c>
      <c r="L477" s="29" t="n">
        <v>0.04</v>
      </c>
      <c r="M477" s="32" t="n">
        <v>17332.3</v>
      </c>
      <c r="N477" s="32" t="n">
        <v>17370.88</v>
      </c>
      <c r="O477" s="32" t="n">
        <v>17237.77</v>
      </c>
      <c r="P477" s="45" t="n">
        <f aca="false">ABS(M477-N477)</f>
        <v>38.5800000000017</v>
      </c>
      <c r="Q477" s="45" t="n">
        <f aca="false">IF(O477="","",ABS(O477-M477))</f>
        <v>94.5299999999988</v>
      </c>
      <c r="R477" s="31" t="n">
        <f aca="false">P477*L477*Summary!$C$6</f>
        <v>154.320000000007</v>
      </c>
      <c r="S477" s="32" t="n">
        <v>17237.74</v>
      </c>
      <c r="T477" s="29" t="s">
        <v>227</v>
      </c>
      <c r="U477" s="45" t="n">
        <f aca="false">IF(J477="BUY",S477-M477,M477-S477)</f>
        <v>94.5599999999977</v>
      </c>
      <c r="V477" s="46" t="n">
        <v>0</v>
      </c>
      <c r="W477" s="46" t="n">
        <v>0</v>
      </c>
      <c r="X477" s="46" t="n">
        <v>378.24</v>
      </c>
      <c r="Y477" s="33" t="n">
        <f aca="false">IFERROR(X477/R477,0)</f>
        <v>2.45101088646956</v>
      </c>
      <c r="Z477" s="29" t="str">
        <f aca="false">IF(X477&gt;0,"Win",IF(X477&lt;0,"Loss","Flat"))</f>
        <v>Win</v>
      </c>
      <c r="AA477" s="29" t="n">
        <f aca="false">ROUND((C477-B477)*1440,1)</f>
        <v>633.7</v>
      </c>
      <c r="AB477" s="29" t="str">
        <f aca="false">IF(AA477&lt;1,"a) &lt;1 min",IF(AA477&lt;10,"b) 1-10 min",IF(AA477&lt;60,"c) 10-60 min",IF(AA477&lt;240,"d) 1-4 h","e) 4 h+"))))</f>
        <v>e) 4 h+</v>
      </c>
      <c r="AC477" s="29" t="str">
        <f aca="false">IF(P477&lt;10,"a) &lt;10",IF(P477&lt;20,"b) 10-20",IF(P477&lt;40,"c) 20-40",IF(P477&lt;80,"d) 40-80","e) 80+"))))</f>
        <v>c) 20-40</v>
      </c>
      <c r="AD477" s="31" t="n">
        <f aca="false">Summary!$C$5+SUM(X$2:X477)</f>
        <v>14666.16</v>
      </c>
      <c r="AE477" s="31" t="n">
        <f aca="false">MAX(AE476,AD477)</f>
        <v>14666.16</v>
      </c>
      <c r="AF477" s="31" t="n">
        <f aca="false">AE477-AD477</f>
        <v>0</v>
      </c>
      <c r="AG477" s="30" t="n">
        <f aca="false">IFERROR(AF477/AE477,0)</f>
        <v>0</v>
      </c>
    </row>
    <row r="478" customFormat="false" ht="15" hidden="false" customHeight="false" outlineLevel="0" collapsed="false">
      <c r="A478" s="29" t="n">
        <v>477</v>
      </c>
      <c r="B478" s="44" t="n">
        <v>45323.9625</v>
      </c>
      <c r="C478" s="44" t="n">
        <v>45324.0416666667</v>
      </c>
      <c r="D478" s="43" t="n">
        <f aca="false">INT(C478)</f>
        <v>45324</v>
      </c>
      <c r="E478" s="43" t="n">
        <f aca="false">D478-WEEKDAY(D478,3)</f>
        <v>45320</v>
      </c>
      <c r="F478" s="29" t="s">
        <v>166</v>
      </c>
      <c r="G478" s="29" t="n">
        <v>2024</v>
      </c>
      <c r="H478" s="29" t="s">
        <v>253</v>
      </c>
      <c r="I478" s="29" t="n">
        <v>23</v>
      </c>
      <c r="J478" s="29" t="s">
        <v>246</v>
      </c>
      <c r="K478" s="29" t="s">
        <v>247</v>
      </c>
      <c r="L478" s="29" t="n">
        <v>0.04</v>
      </c>
      <c r="M478" s="32" t="n">
        <v>17397.19</v>
      </c>
      <c r="N478" s="32" t="n">
        <v>17370.4</v>
      </c>
      <c r="O478" s="32" t="n">
        <v>17462.89</v>
      </c>
      <c r="P478" s="45" t="n">
        <f aca="false">ABS(M478-N478)</f>
        <v>26.7899999999972</v>
      </c>
      <c r="Q478" s="45" t="n">
        <f aca="false">IF(O478="","",ABS(O478-M478))</f>
        <v>65.7000000000007</v>
      </c>
      <c r="R478" s="31" t="n">
        <f aca="false">P478*L478*Summary!$C$6</f>
        <v>107.159999999989</v>
      </c>
      <c r="S478" s="32" t="n">
        <v>17490.22</v>
      </c>
      <c r="T478" s="29" t="s">
        <v>227</v>
      </c>
      <c r="U478" s="45" t="n">
        <f aca="false">IF(J478="BUY",S478-M478,M478-S478)</f>
        <v>93.0300000000025</v>
      </c>
      <c r="V478" s="46" t="n">
        <v>0</v>
      </c>
      <c r="W478" s="46" t="n">
        <v>0</v>
      </c>
      <c r="X478" s="46" t="n">
        <v>372.12</v>
      </c>
      <c r="Y478" s="33" t="n">
        <f aca="false">IFERROR(X478/R478,0)</f>
        <v>3.47256438969801</v>
      </c>
      <c r="Z478" s="29" t="str">
        <f aca="false">IF(X478&gt;0,"Win",IF(X478&lt;0,"Loss","Flat"))</f>
        <v>Win</v>
      </c>
      <c r="AA478" s="29" t="n">
        <f aca="false">ROUND((C478-B478)*1440,1)</f>
        <v>114</v>
      </c>
      <c r="AB478" s="29" t="str">
        <f aca="false">IF(AA478&lt;1,"a) &lt;1 min",IF(AA478&lt;10,"b) 1-10 min",IF(AA478&lt;60,"c) 10-60 min",IF(AA478&lt;240,"d) 1-4 h","e) 4 h+"))))</f>
        <v>d) 1-4 h</v>
      </c>
      <c r="AC478" s="29" t="str">
        <f aca="false">IF(P478&lt;10,"a) &lt;10",IF(P478&lt;20,"b) 10-20",IF(P478&lt;40,"c) 20-40",IF(P478&lt;80,"d) 40-80","e) 80+"))))</f>
        <v>c) 20-40</v>
      </c>
      <c r="AD478" s="31" t="n">
        <f aca="false">Summary!$C$5+SUM(X$2:X478)</f>
        <v>15038.28</v>
      </c>
      <c r="AE478" s="31" t="n">
        <f aca="false">MAX(AE477,AD478)</f>
        <v>15038.28</v>
      </c>
      <c r="AF478" s="31" t="n">
        <f aca="false">AE478-AD478</f>
        <v>0</v>
      </c>
      <c r="AG478" s="30" t="n">
        <f aca="false">IFERROR(AF478/AE478,0)</f>
        <v>0</v>
      </c>
    </row>
    <row r="479" customFormat="false" ht="15" hidden="false" customHeight="false" outlineLevel="0" collapsed="false">
      <c r="A479" s="29" t="n">
        <v>478</v>
      </c>
      <c r="B479" s="44" t="n">
        <v>45324.0423611111</v>
      </c>
      <c r="C479" s="44" t="n">
        <v>45324.3493402778</v>
      </c>
      <c r="D479" s="43" t="n">
        <f aca="false">INT(C479)</f>
        <v>45324</v>
      </c>
      <c r="E479" s="43" t="n">
        <f aca="false">D479-WEEKDAY(D479,3)</f>
        <v>45320</v>
      </c>
      <c r="F479" s="29" t="s">
        <v>166</v>
      </c>
      <c r="G479" s="29" t="n">
        <v>2024</v>
      </c>
      <c r="H479" s="29" t="s">
        <v>254</v>
      </c>
      <c r="I479" s="29" t="n">
        <v>1</v>
      </c>
      <c r="J479" s="29" t="s">
        <v>246</v>
      </c>
      <c r="K479" s="29" t="s">
        <v>247</v>
      </c>
      <c r="L479" s="29" t="n">
        <v>0.04</v>
      </c>
      <c r="M479" s="32" t="n">
        <v>17500.94</v>
      </c>
      <c r="N479" s="32" t="n">
        <v>17479.77</v>
      </c>
      <c r="O479" s="32" t="n">
        <v>17552.94</v>
      </c>
      <c r="P479" s="45" t="n">
        <f aca="false">ABS(M479-N479)</f>
        <v>21.1699999999983</v>
      </c>
      <c r="Q479" s="45" t="n">
        <f aca="false">IF(O479="","",ABS(O479-M479))</f>
        <v>52</v>
      </c>
      <c r="R479" s="31" t="n">
        <f aca="false">P479*L479*Summary!$C$6</f>
        <v>84.679999999993</v>
      </c>
      <c r="S479" s="32" t="n">
        <v>17500.93</v>
      </c>
      <c r="T479" s="29" t="s">
        <v>255</v>
      </c>
      <c r="U479" s="45" t="n">
        <f aca="false">IF(J479="BUY",S479-M479,M479-S479)</f>
        <v>-0.00999999999839929</v>
      </c>
      <c r="V479" s="46" t="n">
        <v>0</v>
      </c>
      <c r="W479" s="46" t="n">
        <v>0</v>
      </c>
      <c r="X479" s="46" t="n">
        <v>-0.04</v>
      </c>
      <c r="Y479" s="33" t="n">
        <f aca="false">IFERROR(X479/R479,0)</f>
        <v>-0.000472366556447842</v>
      </c>
      <c r="Z479" s="29" t="str">
        <f aca="false">IF(X479&gt;0,"Win",IF(X479&lt;0,"Loss","Flat"))</f>
        <v>Loss</v>
      </c>
      <c r="AA479" s="29" t="n">
        <f aca="false">ROUND((C479-B479)*1440,1)</f>
        <v>442.1</v>
      </c>
      <c r="AB479" s="29" t="str">
        <f aca="false">IF(AA479&lt;1,"a) &lt;1 min",IF(AA479&lt;10,"b) 1-10 min",IF(AA479&lt;60,"c) 10-60 min",IF(AA479&lt;240,"d) 1-4 h","e) 4 h+"))))</f>
        <v>e) 4 h+</v>
      </c>
      <c r="AC479" s="29" t="str">
        <f aca="false">IF(P479&lt;10,"a) &lt;10",IF(P479&lt;20,"b) 10-20",IF(P479&lt;40,"c) 20-40",IF(P479&lt;80,"d) 40-80","e) 80+"))))</f>
        <v>c) 20-40</v>
      </c>
      <c r="AD479" s="31" t="n">
        <f aca="false">Summary!$C$5+SUM(X$2:X479)</f>
        <v>15038.24</v>
      </c>
      <c r="AE479" s="31" t="n">
        <f aca="false">MAX(AE478,AD479)</f>
        <v>15038.28</v>
      </c>
      <c r="AF479" s="31" t="n">
        <f aca="false">AE479-AD479</f>
        <v>0.0399999999990541</v>
      </c>
      <c r="AG479" s="30" t="n">
        <f aca="false">IFERROR(AF479/AE479,0)</f>
        <v>2.6598786562728E-006</v>
      </c>
    </row>
    <row r="480" customFormat="false" ht="15" hidden="false" customHeight="false" outlineLevel="0" collapsed="false">
      <c r="A480" s="29" t="n">
        <v>479</v>
      </c>
      <c r="B480" s="44" t="n">
        <v>45328.2930555556</v>
      </c>
      <c r="C480" s="44" t="n">
        <v>45328.2995833333</v>
      </c>
      <c r="D480" s="43" t="n">
        <f aca="false">INT(C480)</f>
        <v>45328</v>
      </c>
      <c r="E480" s="43" t="n">
        <f aca="false">D480-WEEKDAY(D480,3)</f>
        <v>45327</v>
      </c>
      <c r="F480" s="29" t="s">
        <v>166</v>
      </c>
      <c r="G480" s="29" t="n">
        <v>2024</v>
      </c>
      <c r="H480" s="29" t="s">
        <v>248</v>
      </c>
      <c r="I480" s="29" t="n">
        <v>7</v>
      </c>
      <c r="J480" s="29" t="s">
        <v>246</v>
      </c>
      <c r="K480" s="29" t="s">
        <v>247</v>
      </c>
      <c r="L480" s="29" t="n">
        <v>0.04</v>
      </c>
      <c r="M480" s="32" t="n">
        <v>17657.38</v>
      </c>
      <c r="N480" s="32" t="n">
        <v>17654.43</v>
      </c>
      <c r="O480" s="32" t="n">
        <v>17664.6</v>
      </c>
      <c r="P480" s="45" t="n">
        <f aca="false">ABS(M480-N480)</f>
        <v>2.95000000000073</v>
      </c>
      <c r="Q480" s="45" t="n">
        <f aca="false">IF(O480="","",ABS(O480-M480))</f>
        <v>7.21999999999753</v>
      </c>
      <c r="R480" s="31" t="n">
        <f aca="false">P480*L480*Summary!$C$6</f>
        <v>11.8000000000029</v>
      </c>
      <c r="S480" s="32" t="n">
        <v>17657.33</v>
      </c>
      <c r="T480" s="29" t="s">
        <v>255</v>
      </c>
      <c r="U480" s="45" t="n">
        <f aca="false">IF(J480="BUY",S480-M480,M480-S480)</f>
        <v>-0.0499999999992724</v>
      </c>
      <c r="V480" s="46" t="n">
        <v>0</v>
      </c>
      <c r="W480" s="46" t="n">
        <v>0</v>
      </c>
      <c r="X480" s="46" t="n">
        <v>-0.2</v>
      </c>
      <c r="Y480" s="33" t="n">
        <f aca="false">IFERROR(X480/R480,0)</f>
        <v>-0.0169491525423687</v>
      </c>
      <c r="Z480" s="29" t="str">
        <f aca="false">IF(X480&gt;0,"Win",IF(X480&lt;0,"Loss","Flat"))</f>
        <v>Loss</v>
      </c>
      <c r="AA480" s="29" t="n">
        <f aca="false">ROUND((C480-B480)*1440,1)</f>
        <v>9.4</v>
      </c>
      <c r="AB480" s="29" t="str">
        <f aca="false">IF(AA480&lt;1,"a) &lt;1 min",IF(AA480&lt;10,"b) 1-10 min",IF(AA480&lt;60,"c) 10-60 min",IF(AA480&lt;240,"d) 1-4 h","e) 4 h+"))))</f>
        <v>b) 1-10 min</v>
      </c>
      <c r="AC480" s="29" t="str">
        <f aca="false">IF(P480&lt;10,"a) &lt;10",IF(P480&lt;20,"b) 10-20",IF(P480&lt;40,"c) 20-40",IF(P480&lt;80,"d) 40-80","e) 80+"))))</f>
        <v>a) &lt;10</v>
      </c>
      <c r="AD480" s="31" t="n">
        <f aca="false">Summary!$C$5+SUM(X$2:X480)</f>
        <v>15038.04</v>
      </c>
      <c r="AE480" s="31" t="n">
        <f aca="false">MAX(AE479,AD480)</f>
        <v>15038.28</v>
      </c>
      <c r="AF480" s="31" t="n">
        <f aca="false">AE480-AD480</f>
        <v>0.239999999997963</v>
      </c>
      <c r="AG480" s="30" t="n">
        <f aca="false">IFERROR(AF480/AE480,0)</f>
        <v>1.59592719378787E-005</v>
      </c>
    </row>
    <row r="481" customFormat="false" ht="15" hidden="false" customHeight="false" outlineLevel="0" collapsed="false">
      <c r="A481" s="29" t="n">
        <v>480</v>
      </c>
      <c r="B481" s="44" t="n">
        <v>45329.6840277778</v>
      </c>
      <c r="C481" s="44" t="n">
        <v>45329.6876041667</v>
      </c>
      <c r="D481" s="43" t="n">
        <f aca="false">INT(C481)</f>
        <v>45329</v>
      </c>
      <c r="E481" s="43" t="n">
        <f aca="false">D481-WEEKDAY(D481,3)</f>
        <v>45327</v>
      </c>
      <c r="F481" s="29" t="s">
        <v>166</v>
      </c>
      <c r="G481" s="29" t="n">
        <v>2024</v>
      </c>
      <c r="H481" s="29" t="s">
        <v>252</v>
      </c>
      <c r="I481" s="29" t="n">
        <v>16</v>
      </c>
      <c r="J481" s="29" t="s">
        <v>246</v>
      </c>
      <c r="K481" s="29" t="s">
        <v>247</v>
      </c>
      <c r="L481" s="29" t="n">
        <v>0.04</v>
      </c>
      <c r="M481" s="32" t="n">
        <v>17681.05</v>
      </c>
      <c r="N481" s="32" t="n">
        <v>17675.88</v>
      </c>
      <c r="O481" s="32" t="n">
        <v>17693.71</v>
      </c>
      <c r="P481" s="45" t="n">
        <f aca="false">ABS(M481-N481)</f>
        <v>5.16999999999825</v>
      </c>
      <c r="Q481" s="45" t="n">
        <f aca="false">IF(O481="","",ABS(O481-M481))</f>
        <v>12.6599999999999</v>
      </c>
      <c r="R481" s="31" t="n">
        <f aca="false">P481*L481*Summary!$C$6</f>
        <v>20.679999999993</v>
      </c>
      <c r="S481" s="32" t="n">
        <v>17680.75</v>
      </c>
      <c r="T481" s="29" t="s">
        <v>255</v>
      </c>
      <c r="U481" s="45" t="n">
        <f aca="false">IF(J481="BUY",S481-M481,M481-S481)</f>
        <v>-0.299999999999272</v>
      </c>
      <c r="V481" s="46" t="n">
        <v>0</v>
      </c>
      <c r="W481" s="46" t="n">
        <v>0</v>
      </c>
      <c r="X481" s="46" t="n">
        <v>-1.2</v>
      </c>
      <c r="Y481" s="33" t="n">
        <f aca="false">IFERROR(X481/R481,0)</f>
        <v>-0.0580270793036947</v>
      </c>
      <c r="Z481" s="29" t="str">
        <f aca="false">IF(X481&gt;0,"Win",IF(X481&lt;0,"Loss","Flat"))</f>
        <v>Loss</v>
      </c>
      <c r="AA481" s="29" t="n">
        <f aca="false">ROUND((C481-B481)*1440,1)</f>
        <v>5.2</v>
      </c>
      <c r="AB481" s="29" t="str">
        <f aca="false">IF(AA481&lt;1,"a) &lt;1 min",IF(AA481&lt;10,"b) 1-10 min",IF(AA481&lt;60,"c) 10-60 min",IF(AA481&lt;240,"d) 1-4 h","e) 4 h+"))))</f>
        <v>b) 1-10 min</v>
      </c>
      <c r="AC481" s="29" t="str">
        <f aca="false">IF(P481&lt;10,"a) &lt;10",IF(P481&lt;20,"b) 10-20",IF(P481&lt;40,"c) 20-40",IF(P481&lt;80,"d) 40-80","e) 80+"))))</f>
        <v>a) &lt;10</v>
      </c>
      <c r="AD481" s="31" t="n">
        <f aca="false">Summary!$C$5+SUM(X$2:X481)</f>
        <v>15036.84</v>
      </c>
      <c r="AE481" s="31" t="n">
        <f aca="false">MAX(AE480,AD481)</f>
        <v>15038.28</v>
      </c>
      <c r="AF481" s="31" t="n">
        <f aca="false">AE481-AD481</f>
        <v>1.43999999999869</v>
      </c>
      <c r="AG481" s="30" t="n">
        <f aca="false">IFERROR(AF481/AE481,0)</f>
        <v>9.5755631627998E-005</v>
      </c>
    </row>
    <row r="482" customFormat="false" ht="15" hidden="false" customHeight="false" outlineLevel="0" collapsed="false">
      <c r="A482" s="29" t="n">
        <v>481</v>
      </c>
      <c r="B482" s="44" t="n">
        <v>45330.7423611111</v>
      </c>
      <c r="C482" s="44" t="n">
        <v>45330.7549652778</v>
      </c>
      <c r="D482" s="43" t="n">
        <f aca="false">INT(C482)</f>
        <v>45330</v>
      </c>
      <c r="E482" s="43" t="n">
        <f aca="false">D482-WEEKDAY(D482,3)</f>
        <v>45327</v>
      </c>
      <c r="F482" s="29" t="s">
        <v>166</v>
      </c>
      <c r="G482" s="29" t="n">
        <v>2024</v>
      </c>
      <c r="H482" s="29" t="s">
        <v>253</v>
      </c>
      <c r="I482" s="29" t="n">
        <v>17</v>
      </c>
      <c r="J482" s="29" t="s">
        <v>246</v>
      </c>
      <c r="K482" s="29" t="s">
        <v>247</v>
      </c>
      <c r="L482" s="29" t="n">
        <v>0.04</v>
      </c>
      <c r="M482" s="32" t="n">
        <v>17792.53</v>
      </c>
      <c r="N482" s="32" t="n">
        <v>17782.79</v>
      </c>
      <c r="O482" s="32" t="n">
        <v>17816.39</v>
      </c>
      <c r="P482" s="45" t="n">
        <f aca="false">ABS(M482-N482)</f>
        <v>9.73999999999796</v>
      </c>
      <c r="Q482" s="45" t="n">
        <f aca="false">IF(O482="","",ABS(O482-M482))</f>
        <v>23.8600000000006</v>
      </c>
      <c r="R482" s="31" t="n">
        <f aca="false">P482*L482*Summary!$C$6</f>
        <v>38.9599999999919</v>
      </c>
      <c r="S482" s="32" t="n">
        <v>17792.16</v>
      </c>
      <c r="T482" s="29" t="s">
        <v>255</v>
      </c>
      <c r="U482" s="45" t="n">
        <f aca="false">IF(J482="BUY",S482-M482,M482-S482)</f>
        <v>-0.369999999998981</v>
      </c>
      <c r="V482" s="46" t="n">
        <v>0</v>
      </c>
      <c r="W482" s="46" t="n">
        <v>0</v>
      </c>
      <c r="X482" s="46" t="n">
        <v>-1.48</v>
      </c>
      <c r="Y482" s="33" t="n">
        <f aca="false">IFERROR(X482/R482,0)</f>
        <v>-0.0379876796714659</v>
      </c>
      <c r="Z482" s="29" t="str">
        <f aca="false">IF(X482&gt;0,"Win",IF(X482&lt;0,"Loss","Flat"))</f>
        <v>Loss</v>
      </c>
      <c r="AA482" s="29" t="n">
        <f aca="false">ROUND((C482-B482)*1440,1)</f>
        <v>18.2</v>
      </c>
      <c r="AB482" s="29" t="str">
        <f aca="false">IF(AA482&lt;1,"a) &lt;1 min",IF(AA482&lt;10,"b) 1-10 min",IF(AA482&lt;60,"c) 10-60 min",IF(AA482&lt;240,"d) 1-4 h","e) 4 h+"))))</f>
        <v>c) 10-60 min</v>
      </c>
      <c r="AC482" s="29" t="str">
        <f aca="false">IF(P482&lt;10,"a) &lt;10",IF(P482&lt;20,"b) 10-20",IF(P482&lt;40,"c) 20-40",IF(P482&lt;80,"d) 40-80","e) 80+"))))</f>
        <v>a) &lt;10</v>
      </c>
      <c r="AD482" s="31" t="n">
        <f aca="false">Summary!$C$5+SUM(X$2:X482)</f>
        <v>15035.36</v>
      </c>
      <c r="AE482" s="31" t="n">
        <f aca="false">MAX(AE481,AD482)</f>
        <v>15038.28</v>
      </c>
      <c r="AF482" s="31" t="n">
        <f aca="false">AE482-AD482</f>
        <v>2.91999999999825</v>
      </c>
      <c r="AG482" s="30" t="n">
        <f aca="false">IFERROR(AF482/AE482,0)</f>
        <v>0.00019417114191239</v>
      </c>
    </row>
    <row r="483" customFormat="false" ht="15" hidden="false" customHeight="false" outlineLevel="0" collapsed="false">
      <c r="A483" s="29" t="n">
        <v>482</v>
      </c>
      <c r="B483" s="44" t="n">
        <v>45331.41875</v>
      </c>
      <c r="C483" s="44" t="n">
        <v>45331.4207175926</v>
      </c>
      <c r="D483" s="43" t="n">
        <f aca="false">INT(C483)</f>
        <v>45331</v>
      </c>
      <c r="E483" s="43" t="n">
        <f aca="false">D483-WEEKDAY(D483,3)</f>
        <v>45327</v>
      </c>
      <c r="F483" s="29" t="s">
        <v>166</v>
      </c>
      <c r="G483" s="29" t="n">
        <v>2024</v>
      </c>
      <c r="H483" s="29" t="s">
        <v>254</v>
      </c>
      <c r="I483" s="29" t="n">
        <v>10</v>
      </c>
      <c r="J483" s="29" t="s">
        <v>246</v>
      </c>
      <c r="K483" s="29" t="s">
        <v>247</v>
      </c>
      <c r="L483" s="29" t="n">
        <v>0.04</v>
      </c>
      <c r="M483" s="32" t="n">
        <v>17821.65</v>
      </c>
      <c r="N483" s="32" t="n">
        <v>17816.42</v>
      </c>
      <c r="O483" s="32" t="n">
        <v>17834.45</v>
      </c>
      <c r="P483" s="45" t="n">
        <f aca="false">ABS(M483-N483)</f>
        <v>5.2300000000032</v>
      </c>
      <c r="Q483" s="45" t="n">
        <f aca="false">IF(O483="","",ABS(O483-M483))</f>
        <v>12.7999999999993</v>
      </c>
      <c r="R483" s="31" t="n">
        <f aca="false">P483*L483*Summary!$C$6</f>
        <v>20.9200000000128</v>
      </c>
      <c r="S483" s="32" t="n">
        <v>17821.48</v>
      </c>
      <c r="T483" s="29" t="s">
        <v>255</v>
      </c>
      <c r="U483" s="45" t="n">
        <f aca="false">IF(J483="BUY",S483-M483,M483-S483)</f>
        <v>-0.170000000001892</v>
      </c>
      <c r="V483" s="46" t="n">
        <v>0</v>
      </c>
      <c r="W483" s="46" t="n">
        <v>0</v>
      </c>
      <c r="X483" s="46" t="n">
        <v>-0.68</v>
      </c>
      <c r="Y483" s="33" t="n">
        <f aca="false">IFERROR(X483/R483,0)</f>
        <v>-0.0325047801147029</v>
      </c>
      <c r="Z483" s="29" t="str">
        <f aca="false">IF(X483&gt;0,"Win",IF(X483&lt;0,"Loss","Flat"))</f>
        <v>Loss</v>
      </c>
      <c r="AA483" s="29" t="n">
        <f aca="false">ROUND((C483-B483)*1440,1)</f>
        <v>2.8</v>
      </c>
      <c r="AB483" s="29" t="str">
        <f aca="false">IF(AA483&lt;1,"a) &lt;1 min",IF(AA483&lt;10,"b) 1-10 min",IF(AA483&lt;60,"c) 10-60 min",IF(AA483&lt;240,"d) 1-4 h","e) 4 h+"))))</f>
        <v>b) 1-10 min</v>
      </c>
      <c r="AC483" s="29" t="str">
        <f aca="false">IF(P483&lt;10,"a) &lt;10",IF(P483&lt;20,"b) 10-20",IF(P483&lt;40,"c) 20-40",IF(P483&lt;80,"d) 40-80","e) 80+"))))</f>
        <v>a) &lt;10</v>
      </c>
      <c r="AD483" s="31" t="n">
        <f aca="false">Summary!$C$5+SUM(X$2:X483)</f>
        <v>15034.68</v>
      </c>
      <c r="AE483" s="31" t="n">
        <f aca="false">MAX(AE482,AD483)</f>
        <v>15038.28</v>
      </c>
      <c r="AF483" s="31" t="n">
        <f aca="false">AE483-AD483</f>
        <v>3.59999999999855</v>
      </c>
      <c r="AG483" s="30" t="n">
        <f aca="false">IFERROR(AF483/AE483,0)</f>
        <v>0.000239389079070116</v>
      </c>
    </row>
    <row r="484" customFormat="false" ht="15" hidden="false" customHeight="false" outlineLevel="0" collapsed="false">
      <c r="A484" s="29" t="n">
        <v>483</v>
      </c>
      <c r="B484" s="44" t="n">
        <v>45334.7451388889</v>
      </c>
      <c r="C484" s="44" t="n">
        <v>45334.7507291667</v>
      </c>
      <c r="D484" s="43" t="n">
        <f aca="false">INT(C484)</f>
        <v>45334</v>
      </c>
      <c r="E484" s="43" t="n">
        <f aca="false">D484-WEEKDAY(D484,3)</f>
        <v>45334</v>
      </c>
      <c r="F484" s="29" t="s">
        <v>166</v>
      </c>
      <c r="G484" s="29" t="n">
        <v>2024</v>
      </c>
      <c r="H484" s="29" t="s">
        <v>245</v>
      </c>
      <c r="I484" s="29" t="n">
        <v>17</v>
      </c>
      <c r="J484" s="29" t="s">
        <v>246</v>
      </c>
      <c r="K484" s="29" t="s">
        <v>247</v>
      </c>
      <c r="L484" s="29" t="n">
        <v>0.04</v>
      </c>
      <c r="M484" s="32" t="n">
        <v>17994.85</v>
      </c>
      <c r="N484" s="32" t="n">
        <v>17987.95</v>
      </c>
      <c r="O484" s="32" t="n">
        <v>18011.97</v>
      </c>
      <c r="P484" s="45" t="n">
        <f aca="false">ABS(M484-N484)</f>
        <v>6.89999999999782</v>
      </c>
      <c r="Q484" s="45" t="n">
        <f aca="false">IF(O484="","",ABS(O484-M484))</f>
        <v>17.1200000000026</v>
      </c>
      <c r="R484" s="31" t="n">
        <f aca="false">P484*L484*Summary!$C$6</f>
        <v>27.5999999999913</v>
      </c>
      <c r="S484" s="32" t="n">
        <v>17994.59</v>
      </c>
      <c r="T484" s="29" t="s">
        <v>255</v>
      </c>
      <c r="U484" s="45" t="n">
        <f aca="false">IF(J484="BUY",S484-M484,M484-S484)</f>
        <v>-0.259999999998399</v>
      </c>
      <c r="V484" s="46" t="n">
        <v>0</v>
      </c>
      <c r="W484" s="46" t="n">
        <v>0</v>
      </c>
      <c r="X484" s="46" t="n">
        <v>-1.04</v>
      </c>
      <c r="Y484" s="33" t="n">
        <f aca="false">IFERROR(X484/R484,0)</f>
        <v>-0.0376811594203018</v>
      </c>
      <c r="Z484" s="29" t="str">
        <f aca="false">IF(X484&gt;0,"Win",IF(X484&lt;0,"Loss","Flat"))</f>
        <v>Loss</v>
      </c>
      <c r="AA484" s="29" t="n">
        <f aca="false">ROUND((C484-B484)*1440,1)</f>
        <v>8.1</v>
      </c>
      <c r="AB484" s="29" t="str">
        <f aca="false">IF(AA484&lt;1,"a) &lt;1 min",IF(AA484&lt;10,"b) 1-10 min",IF(AA484&lt;60,"c) 10-60 min",IF(AA484&lt;240,"d) 1-4 h","e) 4 h+"))))</f>
        <v>b) 1-10 min</v>
      </c>
      <c r="AC484" s="29" t="str">
        <f aca="false">IF(P484&lt;10,"a) &lt;10",IF(P484&lt;20,"b) 10-20",IF(P484&lt;40,"c) 20-40",IF(P484&lt;80,"d) 40-80","e) 80+"))))</f>
        <v>a) &lt;10</v>
      </c>
      <c r="AD484" s="31" t="n">
        <f aca="false">Summary!$C$5+SUM(X$2:X484)</f>
        <v>15033.64</v>
      </c>
      <c r="AE484" s="31" t="n">
        <f aca="false">MAX(AE483,AD484)</f>
        <v>15038.28</v>
      </c>
      <c r="AF484" s="31" t="n">
        <f aca="false">AE484-AD484</f>
        <v>4.63999999999942</v>
      </c>
      <c r="AG484" s="30" t="n">
        <f aca="false">IFERROR(AF484/AE484,0)</f>
        <v>0.000308545924134902</v>
      </c>
    </row>
    <row r="485" customFormat="false" ht="15" hidden="false" customHeight="false" outlineLevel="0" collapsed="false">
      <c r="A485" s="29" t="n">
        <v>484</v>
      </c>
      <c r="B485" s="44" t="n">
        <v>45335.0507060185</v>
      </c>
      <c r="C485" s="44" t="n">
        <v>45335.0509259259</v>
      </c>
      <c r="D485" s="43" t="n">
        <f aca="false">INT(C485)</f>
        <v>45335</v>
      </c>
      <c r="E485" s="43" t="n">
        <f aca="false">D485-WEEKDAY(D485,3)</f>
        <v>45334</v>
      </c>
      <c r="F485" s="29" t="s">
        <v>166</v>
      </c>
      <c r="G485" s="29" t="n">
        <v>2024</v>
      </c>
      <c r="H485" s="29" t="s">
        <v>248</v>
      </c>
      <c r="I485" s="29" t="n">
        <v>1</v>
      </c>
      <c r="J485" s="29" t="s">
        <v>250</v>
      </c>
      <c r="K485" s="29" t="s">
        <v>251</v>
      </c>
      <c r="L485" s="29" t="n">
        <v>0.04</v>
      </c>
      <c r="M485" s="32" t="n">
        <v>17842.98</v>
      </c>
      <c r="N485" s="32" t="n">
        <v>17846.09</v>
      </c>
      <c r="O485" s="32" t="n">
        <v>17835.36</v>
      </c>
      <c r="P485" s="45" t="n">
        <f aca="false">ABS(M485-N485)</f>
        <v>3.11000000000058</v>
      </c>
      <c r="Q485" s="45" t="n">
        <f aca="false">IF(O485="","",ABS(O485-M485))</f>
        <v>7.61999999999898</v>
      </c>
      <c r="R485" s="31" t="n">
        <f aca="false">P485*L485*Summary!$C$6</f>
        <v>12.4400000000023</v>
      </c>
      <c r="S485" s="32" t="n">
        <v>17846.11</v>
      </c>
      <c r="T485" s="29" t="s">
        <v>249</v>
      </c>
      <c r="U485" s="45" t="n">
        <f aca="false">IF(J485="BUY",S485-M485,M485-S485)</f>
        <v>-3.13000000000102</v>
      </c>
      <c r="V485" s="46" t="n">
        <v>0</v>
      </c>
      <c r="W485" s="46" t="n">
        <v>0</v>
      </c>
      <c r="X485" s="46" t="n">
        <v>-12.52</v>
      </c>
      <c r="Y485" s="33" t="n">
        <f aca="false">IFERROR(X485/R485,0)</f>
        <v>-1.00643086816701</v>
      </c>
      <c r="Z485" s="29" t="str">
        <f aca="false">IF(X485&gt;0,"Win",IF(X485&lt;0,"Loss","Flat"))</f>
        <v>Loss</v>
      </c>
      <c r="AA485" s="29" t="n">
        <f aca="false">ROUND((C485-B485)*1440,1)</f>
        <v>0.3</v>
      </c>
      <c r="AB485" s="29" t="str">
        <f aca="false">IF(AA485&lt;1,"a) &lt;1 min",IF(AA485&lt;10,"b) 1-10 min",IF(AA485&lt;60,"c) 10-60 min",IF(AA485&lt;240,"d) 1-4 h","e) 4 h+"))))</f>
        <v>a) &lt;1 min</v>
      </c>
      <c r="AC485" s="29" t="str">
        <f aca="false">IF(P485&lt;10,"a) &lt;10",IF(P485&lt;20,"b) 10-20",IF(P485&lt;40,"c) 20-40",IF(P485&lt;80,"d) 40-80","e) 80+"))))</f>
        <v>a) &lt;10</v>
      </c>
      <c r="AD485" s="31" t="n">
        <f aca="false">Summary!$C$5+SUM(X$2:X485)</f>
        <v>15021.12</v>
      </c>
      <c r="AE485" s="31" t="n">
        <f aca="false">MAX(AE484,AD485)</f>
        <v>15038.28</v>
      </c>
      <c r="AF485" s="31" t="n">
        <f aca="false">AE485-AD485</f>
        <v>17.1599999999999</v>
      </c>
      <c r="AG485" s="30" t="n">
        <f aca="false">IFERROR(AF485/AE485,0)</f>
        <v>0.001141087943568</v>
      </c>
    </row>
    <row r="486" customFormat="false" ht="15" hidden="false" customHeight="false" outlineLevel="0" collapsed="false">
      <c r="A486" s="29" t="n">
        <v>485</v>
      </c>
      <c r="B486" s="44" t="n">
        <v>45337.3631944444</v>
      </c>
      <c r="C486" s="44" t="n">
        <v>45337.3720833333</v>
      </c>
      <c r="D486" s="43" t="n">
        <f aca="false">INT(C486)</f>
        <v>45337</v>
      </c>
      <c r="E486" s="43" t="n">
        <f aca="false">D486-WEEKDAY(D486,3)</f>
        <v>45334</v>
      </c>
      <c r="F486" s="29" t="s">
        <v>166</v>
      </c>
      <c r="G486" s="29" t="n">
        <v>2024</v>
      </c>
      <c r="H486" s="29" t="s">
        <v>253</v>
      </c>
      <c r="I486" s="29" t="n">
        <v>8</v>
      </c>
      <c r="J486" s="29" t="s">
        <v>246</v>
      </c>
      <c r="K486" s="29" t="s">
        <v>247</v>
      </c>
      <c r="L486" s="29" t="n">
        <v>0.04</v>
      </c>
      <c r="M486" s="32" t="n">
        <v>17823.42</v>
      </c>
      <c r="N486" s="32" t="n">
        <v>17819.4</v>
      </c>
      <c r="O486" s="32" t="n">
        <v>17833.26</v>
      </c>
      <c r="P486" s="45" t="n">
        <f aca="false">ABS(M486-N486)</f>
        <v>4.0199999999968</v>
      </c>
      <c r="Q486" s="45" t="n">
        <f aca="false">IF(O486="","",ABS(O486-M486))</f>
        <v>9.84000000000015</v>
      </c>
      <c r="R486" s="31" t="n">
        <f aca="false">P486*L486*Summary!$C$6</f>
        <v>16.0799999999872</v>
      </c>
      <c r="S486" s="32" t="n">
        <v>17823.35</v>
      </c>
      <c r="T486" s="29" t="s">
        <v>255</v>
      </c>
      <c r="U486" s="45" t="n">
        <f aca="false">IF(J486="BUY",S486-M486,M486-S486)</f>
        <v>-0.069999999999709</v>
      </c>
      <c r="V486" s="46" t="n">
        <v>0</v>
      </c>
      <c r="W486" s="46" t="n">
        <v>0</v>
      </c>
      <c r="X486" s="46" t="n">
        <v>-0.28</v>
      </c>
      <c r="Y486" s="33" t="n">
        <f aca="false">IFERROR(X486/R486,0)</f>
        <v>-0.017412935323397</v>
      </c>
      <c r="Z486" s="29" t="str">
        <f aca="false">IF(X486&gt;0,"Win",IF(X486&lt;0,"Loss","Flat"))</f>
        <v>Loss</v>
      </c>
      <c r="AA486" s="29" t="n">
        <f aca="false">ROUND((C486-B486)*1440,1)</f>
        <v>12.8</v>
      </c>
      <c r="AB486" s="29" t="str">
        <f aca="false">IF(AA486&lt;1,"a) &lt;1 min",IF(AA486&lt;10,"b) 1-10 min",IF(AA486&lt;60,"c) 10-60 min",IF(AA486&lt;240,"d) 1-4 h","e) 4 h+"))))</f>
        <v>c) 10-60 min</v>
      </c>
      <c r="AC486" s="29" t="str">
        <f aca="false">IF(P486&lt;10,"a) &lt;10",IF(P486&lt;20,"b) 10-20",IF(P486&lt;40,"c) 20-40",IF(P486&lt;80,"d) 40-80","e) 80+"))))</f>
        <v>a) &lt;10</v>
      </c>
      <c r="AD486" s="31" t="n">
        <f aca="false">Summary!$C$5+SUM(X$2:X486)</f>
        <v>15020.84</v>
      </c>
      <c r="AE486" s="31" t="n">
        <f aca="false">MAX(AE485,AD486)</f>
        <v>15038.28</v>
      </c>
      <c r="AF486" s="31" t="n">
        <f aca="false">AE486-AD486</f>
        <v>17.4399999999987</v>
      </c>
      <c r="AG486" s="30" t="n">
        <f aca="false">IFERROR(AF486/AE486,0)</f>
        <v>0.00115970709416228</v>
      </c>
    </row>
    <row r="487" customFormat="false" ht="15" hidden="false" customHeight="false" outlineLevel="0" collapsed="false">
      <c r="A487" s="29" t="n">
        <v>486</v>
      </c>
      <c r="B487" s="44" t="n">
        <v>45338.4125</v>
      </c>
      <c r="C487" s="44" t="n">
        <v>45338.4154861111</v>
      </c>
      <c r="D487" s="43" t="n">
        <f aca="false">INT(C487)</f>
        <v>45338</v>
      </c>
      <c r="E487" s="43" t="n">
        <f aca="false">D487-WEEKDAY(D487,3)</f>
        <v>45334</v>
      </c>
      <c r="F487" s="29" t="s">
        <v>166</v>
      </c>
      <c r="G487" s="29" t="n">
        <v>2024</v>
      </c>
      <c r="H487" s="29" t="s">
        <v>254</v>
      </c>
      <c r="I487" s="29" t="n">
        <v>9</v>
      </c>
      <c r="J487" s="29" t="s">
        <v>246</v>
      </c>
      <c r="K487" s="29" t="s">
        <v>247</v>
      </c>
      <c r="L487" s="29" t="n">
        <v>0.04</v>
      </c>
      <c r="M487" s="32" t="n">
        <v>17902.64</v>
      </c>
      <c r="N487" s="32" t="n">
        <v>17899.7</v>
      </c>
      <c r="O487" s="32" t="n">
        <v>17909.85</v>
      </c>
      <c r="P487" s="45" t="n">
        <f aca="false">ABS(M487-N487)</f>
        <v>2.93999999999869</v>
      </c>
      <c r="Q487" s="45" t="n">
        <f aca="false">IF(O487="","",ABS(O487-M487))</f>
        <v>7.20999999999913</v>
      </c>
      <c r="R487" s="31" t="n">
        <f aca="false">P487*L487*Summary!$C$6</f>
        <v>11.7599999999948</v>
      </c>
      <c r="S487" s="32" t="n">
        <v>17902.38</v>
      </c>
      <c r="T487" s="29" t="s">
        <v>255</v>
      </c>
      <c r="U487" s="45" t="n">
        <f aca="false">IF(J487="BUY",S487-M487,M487-S487)</f>
        <v>-0.259999999998399</v>
      </c>
      <c r="V487" s="46" t="n">
        <v>0</v>
      </c>
      <c r="W487" s="46" t="n">
        <v>0</v>
      </c>
      <c r="X487" s="46" t="n">
        <v>-1.04</v>
      </c>
      <c r="Y487" s="33" t="n">
        <f aca="false">IFERROR(X487/R487,0)</f>
        <v>-0.0884353741496993</v>
      </c>
      <c r="Z487" s="29" t="str">
        <f aca="false">IF(X487&gt;0,"Win",IF(X487&lt;0,"Loss","Flat"))</f>
        <v>Loss</v>
      </c>
      <c r="AA487" s="29" t="n">
        <f aca="false">ROUND((C487-B487)*1440,1)</f>
        <v>4.3</v>
      </c>
      <c r="AB487" s="29" t="str">
        <f aca="false">IF(AA487&lt;1,"a) &lt;1 min",IF(AA487&lt;10,"b) 1-10 min",IF(AA487&lt;60,"c) 10-60 min",IF(AA487&lt;240,"d) 1-4 h","e) 4 h+"))))</f>
        <v>b) 1-10 min</v>
      </c>
      <c r="AC487" s="29" t="str">
        <f aca="false">IF(P487&lt;10,"a) &lt;10",IF(P487&lt;20,"b) 10-20",IF(P487&lt;40,"c) 20-40",IF(P487&lt;80,"d) 40-80","e) 80+"))))</f>
        <v>a) &lt;10</v>
      </c>
      <c r="AD487" s="31" t="n">
        <f aca="false">Summary!$C$5+SUM(X$2:X487)</f>
        <v>15019.8</v>
      </c>
      <c r="AE487" s="31" t="n">
        <f aca="false">MAX(AE486,AD487)</f>
        <v>15038.28</v>
      </c>
      <c r="AF487" s="31" t="n">
        <f aca="false">AE487-AD487</f>
        <v>18.4799999999996</v>
      </c>
      <c r="AG487" s="30" t="n">
        <f aca="false">IFERROR(AF487/AE487,0)</f>
        <v>0.00122886393922706</v>
      </c>
    </row>
    <row r="488" customFormat="false" ht="15" hidden="false" customHeight="false" outlineLevel="0" collapsed="false">
      <c r="A488" s="29" t="n">
        <v>487</v>
      </c>
      <c r="B488" s="44" t="n">
        <v>45338.7048611111</v>
      </c>
      <c r="C488" s="44" t="n">
        <v>45338.7084606482</v>
      </c>
      <c r="D488" s="43" t="n">
        <f aca="false">INT(C488)</f>
        <v>45338</v>
      </c>
      <c r="E488" s="43" t="n">
        <f aca="false">D488-WEEKDAY(D488,3)</f>
        <v>45334</v>
      </c>
      <c r="F488" s="29" t="s">
        <v>166</v>
      </c>
      <c r="G488" s="29" t="n">
        <v>2024</v>
      </c>
      <c r="H488" s="29" t="s">
        <v>254</v>
      </c>
      <c r="I488" s="29" t="n">
        <v>16</v>
      </c>
      <c r="J488" s="29" t="s">
        <v>250</v>
      </c>
      <c r="K488" s="29" t="s">
        <v>251</v>
      </c>
      <c r="L488" s="29" t="n">
        <v>0.04</v>
      </c>
      <c r="M488" s="32" t="n">
        <v>17710.43</v>
      </c>
      <c r="N488" s="32" t="n">
        <v>17733.07</v>
      </c>
      <c r="O488" s="32" t="n">
        <v>17654.96</v>
      </c>
      <c r="P488" s="45" t="n">
        <f aca="false">ABS(M488-N488)</f>
        <v>22.6399999999994</v>
      </c>
      <c r="Q488" s="45" t="n">
        <f aca="false">IF(O488="","",ABS(O488-M488))</f>
        <v>55.4700000000012</v>
      </c>
      <c r="R488" s="31" t="n">
        <f aca="false">P488*L488*Summary!$C$6</f>
        <v>90.5599999999977</v>
      </c>
      <c r="S488" s="32" t="n">
        <v>17653.22</v>
      </c>
      <c r="T488" s="29" t="s">
        <v>227</v>
      </c>
      <c r="U488" s="45" t="n">
        <f aca="false">IF(J488="BUY",S488-M488,M488-S488)</f>
        <v>57.2099999999991</v>
      </c>
      <c r="V488" s="46" t="n">
        <v>0</v>
      </c>
      <c r="W488" s="46" t="n">
        <v>0</v>
      </c>
      <c r="X488" s="46" t="n">
        <v>228.84</v>
      </c>
      <c r="Y488" s="33" t="n">
        <f aca="false">IFERROR(X488/R488,0)</f>
        <v>2.52694346289759</v>
      </c>
      <c r="Z488" s="29" t="str">
        <f aca="false">IF(X488&gt;0,"Win",IF(X488&lt;0,"Loss","Flat"))</f>
        <v>Win</v>
      </c>
      <c r="AA488" s="29" t="n">
        <f aca="false">ROUND((C488-B488)*1440,1)</f>
        <v>5.2</v>
      </c>
      <c r="AB488" s="29" t="str">
        <f aca="false">IF(AA488&lt;1,"a) &lt;1 min",IF(AA488&lt;10,"b) 1-10 min",IF(AA488&lt;60,"c) 10-60 min",IF(AA488&lt;240,"d) 1-4 h","e) 4 h+"))))</f>
        <v>b) 1-10 min</v>
      </c>
      <c r="AC488" s="29" t="str">
        <f aca="false">IF(P488&lt;10,"a) &lt;10",IF(P488&lt;20,"b) 10-20",IF(P488&lt;40,"c) 20-40",IF(P488&lt;80,"d) 40-80","e) 80+"))))</f>
        <v>c) 20-40</v>
      </c>
      <c r="AD488" s="31" t="n">
        <f aca="false">Summary!$C$5+SUM(X$2:X488)</f>
        <v>15248.64</v>
      </c>
      <c r="AE488" s="31" t="n">
        <f aca="false">MAX(AE487,AD488)</f>
        <v>15248.64</v>
      </c>
      <c r="AF488" s="31" t="n">
        <f aca="false">AE488-AD488</f>
        <v>0</v>
      </c>
      <c r="AG488" s="30" t="n">
        <f aca="false">IFERROR(AF488/AE488,0)</f>
        <v>0</v>
      </c>
    </row>
    <row r="489" customFormat="false" ht="15" hidden="false" customHeight="false" outlineLevel="0" collapsed="false">
      <c r="A489" s="29" t="n">
        <v>488</v>
      </c>
      <c r="B489" s="44" t="n">
        <v>45342.1</v>
      </c>
      <c r="C489" s="44" t="n">
        <v>45342.1021064815</v>
      </c>
      <c r="D489" s="43" t="n">
        <f aca="false">INT(C489)</f>
        <v>45342</v>
      </c>
      <c r="E489" s="43" t="n">
        <f aca="false">D489-WEEKDAY(D489,3)</f>
        <v>45341</v>
      </c>
      <c r="F489" s="29" t="s">
        <v>166</v>
      </c>
      <c r="G489" s="29" t="n">
        <v>2024</v>
      </c>
      <c r="H489" s="29" t="s">
        <v>248</v>
      </c>
      <c r="I489" s="29" t="n">
        <v>2</v>
      </c>
      <c r="J489" s="29" t="s">
        <v>250</v>
      </c>
      <c r="K489" s="29" t="s">
        <v>251</v>
      </c>
      <c r="L489" s="29" t="n">
        <v>0.04</v>
      </c>
      <c r="M489" s="32" t="n">
        <v>17666.4</v>
      </c>
      <c r="N489" s="32" t="n">
        <v>17672.18</v>
      </c>
      <c r="O489" s="32" t="n">
        <v>17652.23</v>
      </c>
      <c r="P489" s="45" t="n">
        <f aca="false">ABS(M489-N489)</f>
        <v>5.77999999999884</v>
      </c>
      <c r="Q489" s="45" t="n">
        <f aca="false">IF(O489="","",ABS(O489-M489))</f>
        <v>14.1700000000019</v>
      </c>
      <c r="R489" s="31" t="n">
        <f aca="false">P489*L489*Summary!$C$6</f>
        <v>23.1199999999953</v>
      </c>
      <c r="S489" s="32" t="n">
        <v>17666.5</v>
      </c>
      <c r="T489" s="29" t="s">
        <v>255</v>
      </c>
      <c r="U489" s="45" t="n">
        <f aca="false">IF(J489="BUY",S489-M489,M489-S489)</f>
        <v>-0.0999999999985448</v>
      </c>
      <c r="V489" s="46" t="n">
        <v>0</v>
      </c>
      <c r="W489" s="46" t="n">
        <v>0</v>
      </c>
      <c r="X489" s="46" t="n">
        <v>-0.4</v>
      </c>
      <c r="Y489" s="33" t="n">
        <f aca="false">IFERROR(X489/R489,0)</f>
        <v>-0.0173010380622872</v>
      </c>
      <c r="Z489" s="29" t="str">
        <f aca="false">IF(X489&gt;0,"Win",IF(X489&lt;0,"Loss","Flat"))</f>
        <v>Loss</v>
      </c>
      <c r="AA489" s="29" t="n">
        <f aca="false">ROUND((C489-B489)*1440,1)</f>
        <v>3</v>
      </c>
      <c r="AB489" s="29" t="str">
        <f aca="false">IF(AA489&lt;1,"a) &lt;1 min",IF(AA489&lt;10,"b) 1-10 min",IF(AA489&lt;60,"c) 10-60 min",IF(AA489&lt;240,"d) 1-4 h","e) 4 h+"))))</f>
        <v>b) 1-10 min</v>
      </c>
      <c r="AC489" s="29" t="str">
        <f aca="false">IF(P489&lt;10,"a) &lt;10",IF(P489&lt;20,"b) 10-20",IF(P489&lt;40,"c) 20-40",IF(P489&lt;80,"d) 40-80","e) 80+"))))</f>
        <v>a) &lt;10</v>
      </c>
      <c r="AD489" s="31" t="n">
        <f aca="false">Summary!$C$5+SUM(X$2:X489)</f>
        <v>15248.24</v>
      </c>
      <c r="AE489" s="31" t="n">
        <f aca="false">MAX(AE488,AD489)</f>
        <v>15248.64</v>
      </c>
      <c r="AF489" s="31" t="n">
        <f aca="false">AE489-AD489</f>
        <v>0.399999999999636</v>
      </c>
      <c r="AG489" s="30" t="n">
        <f aca="false">IFERROR(AF489/AE489,0)</f>
        <v>2.62318475614636E-005</v>
      </c>
    </row>
    <row r="490" customFormat="false" ht="15" hidden="false" customHeight="false" outlineLevel="0" collapsed="false">
      <c r="A490" s="29" t="n">
        <v>489</v>
      </c>
      <c r="B490" s="44" t="n">
        <v>45343.7993055556</v>
      </c>
      <c r="C490" s="44" t="n">
        <v>45343.8057291667</v>
      </c>
      <c r="D490" s="43" t="n">
        <f aca="false">INT(C490)</f>
        <v>45343</v>
      </c>
      <c r="E490" s="43" t="n">
        <f aca="false">D490-WEEKDAY(D490,3)</f>
        <v>45341</v>
      </c>
      <c r="F490" s="29" t="s">
        <v>166</v>
      </c>
      <c r="G490" s="29" t="n">
        <v>2024</v>
      </c>
      <c r="H490" s="29" t="s">
        <v>252</v>
      </c>
      <c r="I490" s="29" t="n">
        <v>19</v>
      </c>
      <c r="J490" s="29" t="s">
        <v>250</v>
      </c>
      <c r="K490" s="29" t="s">
        <v>251</v>
      </c>
      <c r="L490" s="29" t="n">
        <v>0.04</v>
      </c>
      <c r="M490" s="32" t="n">
        <v>17385.02</v>
      </c>
      <c r="N490" s="32" t="n">
        <v>17397.01</v>
      </c>
      <c r="O490" s="32" t="n">
        <v>17355.64</v>
      </c>
      <c r="P490" s="45" t="n">
        <f aca="false">ABS(M490-N490)</f>
        <v>11.989999999998</v>
      </c>
      <c r="Q490" s="45" t="n">
        <f aca="false">IF(O490="","",ABS(O490-M490))</f>
        <v>29.380000000001</v>
      </c>
      <c r="R490" s="31" t="n">
        <f aca="false">P490*L490*Summary!$C$6</f>
        <v>47.9599999999919</v>
      </c>
      <c r="S490" s="32" t="n">
        <v>17397.1</v>
      </c>
      <c r="T490" s="29" t="s">
        <v>249</v>
      </c>
      <c r="U490" s="45" t="n">
        <f aca="false">IF(J490="BUY",S490-M490,M490-S490)</f>
        <v>-12.0799999999981</v>
      </c>
      <c r="V490" s="46" t="n">
        <v>0</v>
      </c>
      <c r="W490" s="46" t="n">
        <v>0</v>
      </c>
      <c r="X490" s="46" t="n">
        <v>-48.32</v>
      </c>
      <c r="Y490" s="33" t="n">
        <f aca="false">IFERROR(X490/R490,0)</f>
        <v>-1.00750625521285</v>
      </c>
      <c r="Z490" s="29" t="str">
        <f aca="false">IF(X490&gt;0,"Win",IF(X490&lt;0,"Loss","Flat"))</f>
        <v>Loss</v>
      </c>
      <c r="AA490" s="29" t="n">
        <f aca="false">ROUND((C490-B490)*1440,1)</f>
        <v>9.3</v>
      </c>
      <c r="AB490" s="29" t="str">
        <f aca="false">IF(AA490&lt;1,"a) &lt;1 min",IF(AA490&lt;10,"b) 1-10 min",IF(AA490&lt;60,"c) 10-60 min",IF(AA490&lt;240,"d) 1-4 h","e) 4 h+"))))</f>
        <v>b) 1-10 min</v>
      </c>
      <c r="AC490" s="29" t="str">
        <f aca="false">IF(P490&lt;10,"a) &lt;10",IF(P490&lt;20,"b) 10-20",IF(P490&lt;40,"c) 20-40",IF(P490&lt;80,"d) 40-80","e) 80+"))))</f>
        <v>b) 10-20</v>
      </c>
      <c r="AD490" s="31" t="n">
        <f aca="false">Summary!$C$5+SUM(X$2:X490)</f>
        <v>15199.92</v>
      </c>
      <c r="AE490" s="31" t="n">
        <f aca="false">MAX(AE489,AD490)</f>
        <v>15248.64</v>
      </c>
      <c r="AF490" s="31" t="n">
        <f aca="false">AE490-AD490</f>
        <v>48.7199999999993</v>
      </c>
      <c r="AG490" s="30" t="n">
        <f aca="false">IFERROR(AF490/AE490,0)</f>
        <v>0.00319503903298913</v>
      </c>
    </row>
    <row r="491" customFormat="false" ht="15" hidden="false" customHeight="false" outlineLevel="0" collapsed="false">
      <c r="A491" s="29" t="n">
        <v>490</v>
      </c>
      <c r="B491" s="44" t="n">
        <v>45344.0423611111</v>
      </c>
      <c r="C491" s="44" t="n">
        <v>45344.2210185185</v>
      </c>
      <c r="D491" s="43" t="n">
        <f aca="false">INT(C491)</f>
        <v>45344</v>
      </c>
      <c r="E491" s="43" t="n">
        <f aca="false">D491-WEEKDAY(D491,3)</f>
        <v>45341</v>
      </c>
      <c r="F491" s="29" t="s">
        <v>166</v>
      </c>
      <c r="G491" s="29" t="n">
        <v>2024</v>
      </c>
      <c r="H491" s="29" t="s">
        <v>253</v>
      </c>
      <c r="I491" s="29" t="n">
        <v>1</v>
      </c>
      <c r="J491" s="29" t="s">
        <v>246</v>
      </c>
      <c r="K491" s="29" t="s">
        <v>247</v>
      </c>
      <c r="L491" s="29" t="n">
        <v>0.04</v>
      </c>
      <c r="M491" s="32" t="n">
        <v>17636.9</v>
      </c>
      <c r="N491" s="32" t="n">
        <v>17593.96</v>
      </c>
      <c r="O491" s="32" t="n">
        <v>17742.09</v>
      </c>
      <c r="P491" s="45" t="n">
        <f aca="false">ABS(M491-N491)</f>
        <v>42.9400000000023</v>
      </c>
      <c r="Q491" s="45" t="n">
        <f aca="false">IF(O491="","",ABS(O491-M491))</f>
        <v>105.189999999999</v>
      </c>
      <c r="R491" s="31" t="n">
        <f aca="false">P491*L491*Summary!$C$6</f>
        <v>171.760000000009</v>
      </c>
      <c r="S491" s="32" t="n">
        <v>17742.09</v>
      </c>
      <c r="T491" s="29" t="s">
        <v>227</v>
      </c>
      <c r="U491" s="45" t="n">
        <f aca="false">IF(J491="BUY",S491-M491,M491-S491)</f>
        <v>105.189999999999</v>
      </c>
      <c r="V491" s="46" t="n">
        <v>0</v>
      </c>
      <c r="W491" s="46" t="n">
        <v>0</v>
      </c>
      <c r="X491" s="46" t="n">
        <v>420.76</v>
      </c>
      <c r="Y491" s="33" t="n">
        <f aca="false">IFERROR(X491/R491,0)</f>
        <v>2.44969725197937</v>
      </c>
      <c r="Z491" s="29" t="str">
        <f aca="false">IF(X491&gt;0,"Win",IF(X491&lt;0,"Loss","Flat"))</f>
        <v>Win</v>
      </c>
      <c r="AA491" s="29" t="n">
        <f aca="false">ROUND((C491-B491)*1440,1)</f>
        <v>257.3</v>
      </c>
      <c r="AB491" s="29" t="str">
        <f aca="false">IF(AA491&lt;1,"a) &lt;1 min",IF(AA491&lt;10,"b) 1-10 min",IF(AA491&lt;60,"c) 10-60 min",IF(AA491&lt;240,"d) 1-4 h","e) 4 h+"))))</f>
        <v>e) 4 h+</v>
      </c>
      <c r="AC491" s="29" t="str">
        <f aca="false">IF(P491&lt;10,"a) &lt;10",IF(P491&lt;20,"b) 10-20",IF(P491&lt;40,"c) 20-40",IF(P491&lt;80,"d) 40-80","e) 80+"))))</f>
        <v>d) 40-80</v>
      </c>
      <c r="AD491" s="31" t="n">
        <f aca="false">Summary!$C$5+SUM(X$2:X491)</f>
        <v>15620.68</v>
      </c>
      <c r="AE491" s="31" t="n">
        <f aca="false">MAX(AE490,AD491)</f>
        <v>15620.68</v>
      </c>
      <c r="AF491" s="31" t="n">
        <f aca="false">AE491-AD491</f>
        <v>0</v>
      </c>
      <c r="AG491" s="30" t="n">
        <f aca="false">IFERROR(AF491/AE491,0)</f>
        <v>0</v>
      </c>
    </row>
    <row r="492" customFormat="false" ht="15" hidden="false" customHeight="false" outlineLevel="0" collapsed="false">
      <c r="A492" s="29" t="n">
        <v>491</v>
      </c>
      <c r="B492" s="44" t="n">
        <v>45345.6729166667</v>
      </c>
      <c r="C492" s="44" t="n">
        <v>45345.6808564815</v>
      </c>
      <c r="D492" s="43" t="n">
        <f aca="false">INT(C492)</f>
        <v>45345</v>
      </c>
      <c r="E492" s="43" t="n">
        <f aca="false">D492-WEEKDAY(D492,3)</f>
        <v>45341</v>
      </c>
      <c r="F492" s="29" t="s">
        <v>166</v>
      </c>
      <c r="G492" s="29" t="n">
        <v>2024</v>
      </c>
      <c r="H492" s="29" t="s">
        <v>254</v>
      </c>
      <c r="I492" s="29" t="n">
        <v>16</v>
      </c>
      <c r="J492" s="29" t="s">
        <v>246</v>
      </c>
      <c r="K492" s="29" t="s">
        <v>247</v>
      </c>
      <c r="L492" s="29" t="n">
        <v>0.04</v>
      </c>
      <c r="M492" s="32" t="n">
        <v>18035.52</v>
      </c>
      <c r="N492" s="32" t="n">
        <v>18029.65</v>
      </c>
      <c r="O492" s="32" t="n">
        <v>18049.91</v>
      </c>
      <c r="P492" s="45" t="n">
        <f aca="false">ABS(M492-N492)</f>
        <v>5.86999999999898</v>
      </c>
      <c r="Q492" s="45" t="n">
        <f aca="false">IF(O492="","",ABS(O492-M492))</f>
        <v>14.3899999999994</v>
      </c>
      <c r="R492" s="31" t="n">
        <f aca="false">P492*L492*Summary!$C$6</f>
        <v>23.4799999999959</v>
      </c>
      <c r="S492" s="32" t="n">
        <v>18051.6</v>
      </c>
      <c r="T492" s="29" t="s">
        <v>227</v>
      </c>
      <c r="U492" s="45" t="n">
        <f aca="false">IF(J492="BUY",S492-M492,M492-S492)</f>
        <v>16.0799999999981</v>
      </c>
      <c r="V492" s="46" t="n">
        <v>0</v>
      </c>
      <c r="W492" s="46" t="n">
        <v>0</v>
      </c>
      <c r="X492" s="46" t="n">
        <v>64.32</v>
      </c>
      <c r="Y492" s="33" t="n">
        <f aca="false">IFERROR(X492/R492,0)</f>
        <v>2.73935264054562</v>
      </c>
      <c r="Z492" s="29" t="str">
        <f aca="false">IF(X492&gt;0,"Win",IF(X492&lt;0,"Loss","Flat"))</f>
        <v>Win</v>
      </c>
      <c r="AA492" s="29" t="n">
        <f aca="false">ROUND((C492-B492)*1440,1)</f>
        <v>11.4</v>
      </c>
      <c r="AB492" s="29" t="str">
        <f aca="false">IF(AA492&lt;1,"a) &lt;1 min",IF(AA492&lt;10,"b) 1-10 min",IF(AA492&lt;60,"c) 10-60 min",IF(AA492&lt;240,"d) 1-4 h","e) 4 h+"))))</f>
        <v>c) 10-60 min</v>
      </c>
      <c r="AC492" s="29" t="str">
        <f aca="false">IF(P492&lt;10,"a) &lt;10",IF(P492&lt;20,"b) 10-20",IF(P492&lt;40,"c) 20-40",IF(P492&lt;80,"d) 40-80","e) 80+"))))</f>
        <v>a) &lt;10</v>
      </c>
      <c r="AD492" s="31" t="n">
        <f aca="false">Summary!$C$5+SUM(X$2:X492)</f>
        <v>15685</v>
      </c>
      <c r="AE492" s="31" t="n">
        <f aca="false">MAX(AE491,AD492)</f>
        <v>15685</v>
      </c>
      <c r="AF492" s="31" t="n">
        <f aca="false">AE492-AD492</f>
        <v>0</v>
      </c>
      <c r="AG492" s="30" t="n">
        <f aca="false">IFERROR(AF492/AE492,0)</f>
        <v>0</v>
      </c>
    </row>
    <row r="493" customFormat="false" ht="15" hidden="false" customHeight="false" outlineLevel="0" collapsed="false">
      <c r="A493" s="29" t="n">
        <v>492</v>
      </c>
      <c r="B493" s="44" t="n">
        <v>45348.1166666667</v>
      </c>
      <c r="C493" s="44" t="n">
        <v>45348.1207523148</v>
      </c>
      <c r="D493" s="43" t="n">
        <f aca="false">INT(C493)</f>
        <v>45348</v>
      </c>
      <c r="E493" s="43" t="n">
        <f aca="false">D493-WEEKDAY(D493,3)</f>
        <v>45348</v>
      </c>
      <c r="F493" s="29" t="s">
        <v>166</v>
      </c>
      <c r="G493" s="29" t="n">
        <v>2024</v>
      </c>
      <c r="H493" s="29" t="s">
        <v>245</v>
      </c>
      <c r="I493" s="29" t="n">
        <v>2</v>
      </c>
      <c r="J493" s="29" t="s">
        <v>250</v>
      </c>
      <c r="K493" s="29" t="s">
        <v>251</v>
      </c>
      <c r="L493" s="29" t="n">
        <v>0.04</v>
      </c>
      <c r="M493" s="32" t="n">
        <v>17890.64</v>
      </c>
      <c r="N493" s="32" t="n">
        <v>17897.32</v>
      </c>
      <c r="O493" s="32" t="n">
        <v>17874.27</v>
      </c>
      <c r="P493" s="45" t="n">
        <f aca="false">ABS(M493-N493)</f>
        <v>6.68000000000029</v>
      </c>
      <c r="Q493" s="45" t="n">
        <f aca="false">IF(O493="","",ABS(O493-M493))</f>
        <v>16.369999999999</v>
      </c>
      <c r="R493" s="31" t="n">
        <f aca="false">P493*L493*Summary!$C$6</f>
        <v>26.7200000000012</v>
      </c>
      <c r="S493" s="32" t="n">
        <v>17891.1</v>
      </c>
      <c r="T493" s="29" t="s">
        <v>255</v>
      </c>
      <c r="U493" s="45" t="n">
        <f aca="false">IF(J493="BUY",S493-M493,M493-S493)</f>
        <v>-0.459999999999127</v>
      </c>
      <c r="V493" s="46" t="n">
        <v>0</v>
      </c>
      <c r="W493" s="46" t="n">
        <v>0</v>
      </c>
      <c r="X493" s="46" t="n">
        <v>-1.84</v>
      </c>
      <c r="Y493" s="33" t="n">
        <f aca="false">IFERROR(X493/R493,0)</f>
        <v>-0.0688622754490988</v>
      </c>
      <c r="Z493" s="29" t="str">
        <f aca="false">IF(X493&gt;0,"Win",IF(X493&lt;0,"Loss","Flat"))</f>
        <v>Loss</v>
      </c>
      <c r="AA493" s="29" t="n">
        <f aca="false">ROUND((C493-B493)*1440,1)</f>
        <v>5.9</v>
      </c>
      <c r="AB493" s="29" t="str">
        <f aca="false">IF(AA493&lt;1,"a) &lt;1 min",IF(AA493&lt;10,"b) 1-10 min",IF(AA493&lt;60,"c) 10-60 min",IF(AA493&lt;240,"d) 1-4 h","e) 4 h+"))))</f>
        <v>b) 1-10 min</v>
      </c>
      <c r="AC493" s="29" t="str">
        <f aca="false">IF(P493&lt;10,"a) &lt;10",IF(P493&lt;20,"b) 10-20",IF(P493&lt;40,"c) 20-40",IF(P493&lt;80,"d) 40-80","e) 80+"))))</f>
        <v>a) &lt;10</v>
      </c>
      <c r="AD493" s="31" t="n">
        <f aca="false">Summary!$C$5+SUM(X$2:X493)</f>
        <v>15683.16</v>
      </c>
      <c r="AE493" s="31" t="n">
        <f aca="false">MAX(AE492,AD493)</f>
        <v>15685</v>
      </c>
      <c r="AF493" s="31" t="n">
        <f aca="false">AE493-AD493</f>
        <v>1.84000000000015</v>
      </c>
      <c r="AG493" s="30" t="n">
        <f aca="false">IFERROR(AF493/AE493,0)</f>
        <v>0.000117309531399435</v>
      </c>
    </row>
    <row r="494" customFormat="false" ht="15" hidden="false" customHeight="false" outlineLevel="0" collapsed="false">
      <c r="A494" s="29" t="n">
        <v>493</v>
      </c>
      <c r="B494" s="44" t="n">
        <v>45350.4875</v>
      </c>
      <c r="C494" s="44" t="n">
        <v>45350.4878009259</v>
      </c>
      <c r="D494" s="43" t="n">
        <f aca="false">INT(C494)</f>
        <v>45350</v>
      </c>
      <c r="E494" s="43" t="n">
        <f aca="false">D494-WEEKDAY(D494,3)</f>
        <v>45348</v>
      </c>
      <c r="F494" s="29" t="s">
        <v>166</v>
      </c>
      <c r="G494" s="29" t="n">
        <v>2024</v>
      </c>
      <c r="H494" s="29" t="s">
        <v>252</v>
      </c>
      <c r="I494" s="29" t="n">
        <v>11</v>
      </c>
      <c r="J494" s="29" t="s">
        <v>250</v>
      </c>
      <c r="K494" s="29" t="s">
        <v>251</v>
      </c>
      <c r="L494" s="29" t="n">
        <v>0.04</v>
      </c>
      <c r="M494" s="32" t="n">
        <v>17852.31</v>
      </c>
      <c r="N494" s="32" t="n">
        <v>17860.75</v>
      </c>
      <c r="O494" s="32" t="n">
        <v>17831.64</v>
      </c>
      <c r="P494" s="45" t="n">
        <f aca="false">ABS(M494-N494)</f>
        <v>8.43999999999869</v>
      </c>
      <c r="Q494" s="45" t="n">
        <f aca="false">IF(O494="","",ABS(O494-M494))</f>
        <v>20.6700000000019</v>
      </c>
      <c r="R494" s="31" t="n">
        <f aca="false">P494*L494*Summary!$C$6</f>
        <v>33.7599999999948</v>
      </c>
      <c r="S494" s="32" t="n">
        <v>17861.34</v>
      </c>
      <c r="T494" s="29" t="s">
        <v>249</v>
      </c>
      <c r="U494" s="45" t="n">
        <f aca="false">IF(J494="BUY",S494-M494,M494-S494)</f>
        <v>-9.02999999999884</v>
      </c>
      <c r="V494" s="46" t="n">
        <v>0</v>
      </c>
      <c r="W494" s="46" t="n">
        <v>0</v>
      </c>
      <c r="X494" s="46" t="n">
        <v>-36.12</v>
      </c>
      <c r="Y494" s="33" t="n">
        <f aca="false">IFERROR(X494/R494,0)</f>
        <v>-1.06990521327031</v>
      </c>
      <c r="Z494" s="29" t="str">
        <f aca="false">IF(X494&gt;0,"Win",IF(X494&lt;0,"Loss","Flat"))</f>
        <v>Loss</v>
      </c>
      <c r="AA494" s="29" t="n">
        <f aca="false">ROUND((C494-B494)*1440,1)</f>
        <v>0.4</v>
      </c>
      <c r="AB494" s="29" t="str">
        <f aca="false">IF(AA494&lt;1,"a) &lt;1 min",IF(AA494&lt;10,"b) 1-10 min",IF(AA494&lt;60,"c) 10-60 min",IF(AA494&lt;240,"d) 1-4 h","e) 4 h+"))))</f>
        <v>a) &lt;1 min</v>
      </c>
      <c r="AC494" s="29" t="str">
        <f aca="false">IF(P494&lt;10,"a) &lt;10",IF(P494&lt;20,"b) 10-20",IF(P494&lt;40,"c) 20-40",IF(P494&lt;80,"d) 40-80","e) 80+"))))</f>
        <v>a) &lt;10</v>
      </c>
      <c r="AD494" s="31" t="n">
        <f aca="false">Summary!$C$5+SUM(X$2:X494)</f>
        <v>15647.04</v>
      </c>
      <c r="AE494" s="31" t="n">
        <f aca="false">MAX(AE493,AD494)</f>
        <v>15685</v>
      </c>
      <c r="AF494" s="31" t="n">
        <f aca="false">AE494-AD494</f>
        <v>37.9599999999991</v>
      </c>
      <c r="AG494" s="30" t="n">
        <f aca="false">IFERROR(AF494/AE494,0)</f>
        <v>0.00242014663691419</v>
      </c>
    </row>
    <row r="495" customFormat="false" ht="15" hidden="false" customHeight="false" outlineLevel="0" collapsed="false">
      <c r="A495" s="29" t="n">
        <v>494</v>
      </c>
      <c r="B495" s="44" t="n">
        <v>45351.0784722222</v>
      </c>
      <c r="C495" s="44" t="n">
        <v>45351.0803472222</v>
      </c>
      <c r="D495" s="43" t="n">
        <f aca="false">INT(C495)</f>
        <v>45351</v>
      </c>
      <c r="E495" s="43" t="n">
        <f aca="false">D495-WEEKDAY(D495,3)</f>
        <v>45348</v>
      </c>
      <c r="F495" s="29" t="s">
        <v>166</v>
      </c>
      <c r="G495" s="29" t="n">
        <v>2024</v>
      </c>
      <c r="H495" s="29" t="s">
        <v>253</v>
      </c>
      <c r="I495" s="29" t="n">
        <v>1</v>
      </c>
      <c r="J495" s="29" t="s">
        <v>250</v>
      </c>
      <c r="K495" s="29" t="s">
        <v>251</v>
      </c>
      <c r="L495" s="29" t="n">
        <v>0.04</v>
      </c>
      <c r="M495" s="32" t="n">
        <v>17827.03</v>
      </c>
      <c r="N495" s="32" t="n">
        <v>17829.4</v>
      </c>
      <c r="O495" s="32" t="n">
        <v>17821.22</v>
      </c>
      <c r="P495" s="45" t="n">
        <f aca="false">ABS(M495-N495)</f>
        <v>2.37000000000262</v>
      </c>
      <c r="Q495" s="45" t="n">
        <f aca="false">IF(O495="","",ABS(O495-M495))</f>
        <v>5.80999999999767</v>
      </c>
      <c r="R495" s="31" t="n">
        <f aca="false">P495*L495*Summary!$C$6</f>
        <v>9.48000000001048</v>
      </c>
      <c r="S495" s="32" t="n">
        <v>17827.03</v>
      </c>
      <c r="T495" s="29" t="s">
        <v>255</v>
      </c>
      <c r="U495" s="45" t="n">
        <f aca="false">IF(J495="BUY",S495-M495,M495-S495)</f>
        <v>0</v>
      </c>
      <c r="V495" s="46" t="n">
        <v>0</v>
      </c>
      <c r="W495" s="46" t="n">
        <v>0</v>
      </c>
      <c r="X495" s="46" t="n">
        <v>0</v>
      </c>
      <c r="Y495" s="33" t="n">
        <f aca="false">IFERROR(X495/R495,0)</f>
        <v>0</v>
      </c>
      <c r="Z495" s="29" t="str">
        <f aca="false">IF(X495&gt;0,"Win",IF(X495&lt;0,"Loss","Flat"))</f>
        <v>Flat</v>
      </c>
      <c r="AA495" s="29" t="n">
        <f aca="false">ROUND((C495-B495)*1440,1)</f>
        <v>2.7</v>
      </c>
      <c r="AB495" s="29" t="str">
        <f aca="false">IF(AA495&lt;1,"a) &lt;1 min",IF(AA495&lt;10,"b) 1-10 min",IF(AA495&lt;60,"c) 10-60 min",IF(AA495&lt;240,"d) 1-4 h","e) 4 h+"))))</f>
        <v>b) 1-10 min</v>
      </c>
      <c r="AC495" s="29" t="str">
        <f aca="false">IF(P495&lt;10,"a) &lt;10",IF(P495&lt;20,"b) 10-20",IF(P495&lt;40,"c) 20-40",IF(P495&lt;80,"d) 40-80","e) 80+"))))</f>
        <v>a) &lt;10</v>
      </c>
      <c r="AD495" s="31" t="n">
        <f aca="false">Summary!$C$5+SUM(X$2:X495)</f>
        <v>15647.04</v>
      </c>
      <c r="AE495" s="31" t="n">
        <f aca="false">MAX(AE494,AD495)</f>
        <v>15685</v>
      </c>
      <c r="AF495" s="31" t="n">
        <f aca="false">AE495-AD495</f>
        <v>37.9599999999991</v>
      </c>
      <c r="AG495" s="30" t="n">
        <f aca="false">IFERROR(AF495/AE495,0)</f>
        <v>0.00242014663691419</v>
      </c>
    </row>
    <row r="496" customFormat="false" ht="15" hidden="false" customHeight="false" outlineLevel="0" collapsed="false">
      <c r="A496" s="29" t="n">
        <v>495</v>
      </c>
      <c r="B496" s="44" t="n">
        <v>45351.6576388889</v>
      </c>
      <c r="C496" s="44" t="n">
        <v>45351.6635763889</v>
      </c>
      <c r="D496" s="43" t="n">
        <f aca="false">INT(C496)</f>
        <v>45351</v>
      </c>
      <c r="E496" s="43" t="n">
        <f aca="false">D496-WEEKDAY(D496,3)</f>
        <v>45348</v>
      </c>
      <c r="F496" s="29" t="s">
        <v>166</v>
      </c>
      <c r="G496" s="29" t="n">
        <v>2024</v>
      </c>
      <c r="H496" s="29" t="s">
        <v>253</v>
      </c>
      <c r="I496" s="29" t="n">
        <v>15</v>
      </c>
      <c r="J496" s="29" t="s">
        <v>246</v>
      </c>
      <c r="K496" s="29" t="s">
        <v>247</v>
      </c>
      <c r="L496" s="29" t="n">
        <v>0.04</v>
      </c>
      <c r="M496" s="32" t="n">
        <v>17974.92</v>
      </c>
      <c r="N496" s="32" t="n">
        <v>17966.73</v>
      </c>
      <c r="O496" s="32" t="n">
        <v>17994.98</v>
      </c>
      <c r="P496" s="45" t="n">
        <f aca="false">ABS(M496-N496)</f>
        <v>8.18999999999869</v>
      </c>
      <c r="Q496" s="45" t="n">
        <f aca="false">IF(O496="","",ABS(O496-M496))</f>
        <v>20.0600000000013</v>
      </c>
      <c r="R496" s="31" t="n">
        <f aca="false">P496*L496*Summary!$C$6</f>
        <v>32.7599999999948</v>
      </c>
      <c r="S496" s="32" t="n">
        <v>17974.78</v>
      </c>
      <c r="T496" s="29" t="s">
        <v>255</v>
      </c>
      <c r="U496" s="45" t="n">
        <f aca="false">IF(J496="BUY",S496-M496,M496-S496)</f>
        <v>-0.139999999999418</v>
      </c>
      <c r="V496" s="46" t="n">
        <v>0</v>
      </c>
      <c r="W496" s="46" t="n">
        <v>0</v>
      </c>
      <c r="X496" s="46" t="n">
        <v>-0.56</v>
      </c>
      <c r="Y496" s="33" t="n">
        <f aca="false">IFERROR(X496/R496,0)</f>
        <v>-0.0170940170940198</v>
      </c>
      <c r="Z496" s="29" t="str">
        <f aca="false">IF(X496&gt;0,"Win",IF(X496&lt;0,"Loss","Flat"))</f>
        <v>Loss</v>
      </c>
      <c r="AA496" s="29" t="n">
        <f aca="false">ROUND((C496-B496)*1440,1)</f>
        <v>8.6</v>
      </c>
      <c r="AB496" s="29" t="str">
        <f aca="false">IF(AA496&lt;1,"a) &lt;1 min",IF(AA496&lt;10,"b) 1-10 min",IF(AA496&lt;60,"c) 10-60 min",IF(AA496&lt;240,"d) 1-4 h","e) 4 h+"))))</f>
        <v>b) 1-10 min</v>
      </c>
      <c r="AC496" s="29" t="str">
        <f aca="false">IF(P496&lt;10,"a) &lt;10",IF(P496&lt;20,"b) 10-20",IF(P496&lt;40,"c) 20-40",IF(P496&lt;80,"d) 40-80","e) 80+"))))</f>
        <v>a) &lt;10</v>
      </c>
      <c r="AD496" s="31" t="n">
        <f aca="false">Summary!$C$5+SUM(X$2:X496)</f>
        <v>15646.48</v>
      </c>
      <c r="AE496" s="31" t="n">
        <f aca="false">MAX(AE495,AD496)</f>
        <v>15685</v>
      </c>
      <c r="AF496" s="31" t="n">
        <f aca="false">AE496-AD496</f>
        <v>38.5200000000004</v>
      </c>
      <c r="AG496" s="30" t="n">
        <f aca="false">IFERROR(AF496/AE496,0)</f>
        <v>0.00245584953777497</v>
      </c>
    </row>
    <row r="497" customFormat="false" ht="15" hidden="false" customHeight="false" outlineLevel="0" collapsed="false">
      <c r="A497" s="29" t="n">
        <v>496</v>
      </c>
      <c r="B497" s="44" t="n">
        <v>45352.1638888889</v>
      </c>
      <c r="C497" s="44" t="n">
        <v>45352.167974537</v>
      </c>
      <c r="D497" s="43" t="n">
        <f aca="false">INT(C497)</f>
        <v>45352</v>
      </c>
      <c r="E497" s="43" t="n">
        <f aca="false">D497-WEEKDAY(D497,3)</f>
        <v>45348</v>
      </c>
      <c r="F497" s="29" t="s">
        <v>167</v>
      </c>
      <c r="G497" s="29" t="n">
        <v>2024</v>
      </c>
      <c r="H497" s="29" t="s">
        <v>254</v>
      </c>
      <c r="I497" s="29" t="n">
        <v>3</v>
      </c>
      <c r="J497" s="29" t="s">
        <v>246</v>
      </c>
      <c r="K497" s="29" t="s">
        <v>247</v>
      </c>
      <c r="L497" s="29" t="n">
        <v>0.04</v>
      </c>
      <c r="M497" s="32" t="n">
        <v>18072.82</v>
      </c>
      <c r="N497" s="32" t="n">
        <v>18068.55</v>
      </c>
      <c r="O497" s="32" t="n">
        <v>18083.28</v>
      </c>
      <c r="P497" s="45" t="n">
        <f aca="false">ABS(M497-N497)</f>
        <v>4.27000000000044</v>
      </c>
      <c r="Q497" s="45" t="n">
        <f aca="false">IF(O497="","",ABS(O497-M497))</f>
        <v>10.4599999999991</v>
      </c>
      <c r="R497" s="31" t="n">
        <f aca="false">P497*L497*Summary!$C$6</f>
        <v>17.0800000000017</v>
      </c>
      <c r="S497" s="32" t="n">
        <v>18072.42</v>
      </c>
      <c r="T497" s="29" t="s">
        <v>255</v>
      </c>
      <c r="U497" s="45" t="n">
        <f aca="false">IF(J497="BUY",S497-M497,M497-S497)</f>
        <v>-0.400000000001455</v>
      </c>
      <c r="V497" s="46" t="n">
        <v>0</v>
      </c>
      <c r="W497" s="46" t="n">
        <v>0</v>
      </c>
      <c r="X497" s="46" t="n">
        <v>-1.6</v>
      </c>
      <c r="Y497" s="33" t="n">
        <f aca="false">IFERROR(X497/R497,0)</f>
        <v>-0.0936768149882808</v>
      </c>
      <c r="Z497" s="29" t="str">
        <f aca="false">IF(X497&gt;0,"Win",IF(X497&lt;0,"Loss","Flat"))</f>
        <v>Loss</v>
      </c>
      <c r="AA497" s="29" t="n">
        <f aca="false">ROUND((C497-B497)*1440,1)</f>
        <v>5.9</v>
      </c>
      <c r="AB497" s="29" t="str">
        <f aca="false">IF(AA497&lt;1,"a) &lt;1 min",IF(AA497&lt;10,"b) 1-10 min",IF(AA497&lt;60,"c) 10-60 min",IF(AA497&lt;240,"d) 1-4 h","e) 4 h+"))))</f>
        <v>b) 1-10 min</v>
      </c>
      <c r="AC497" s="29" t="str">
        <f aca="false">IF(P497&lt;10,"a) &lt;10",IF(P497&lt;20,"b) 10-20",IF(P497&lt;40,"c) 20-40",IF(P497&lt;80,"d) 40-80","e) 80+"))))</f>
        <v>a) &lt;10</v>
      </c>
      <c r="AD497" s="31" t="n">
        <f aca="false">Summary!$C$5+SUM(X$2:X497)</f>
        <v>15644.88</v>
      </c>
      <c r="AE497" s="31" t="n">
        <f aca="false">MAX(AE496,AD497)</f>
        <v>15685</v>
      </c>
      <c r="AF497" s="31" t="n">
        <f aca="false">AE497-AD497</f>
        <v>40.119999999999</v>
      </c>
      <c r="AG497" s="30" t="n">
        <f aca="false">IFERROR(AF497/AE497,0)</f>
        <v>0.00255785782594829</v>
      </c>
    </row>
    <row r="498" customFormat="false" ht="15" hidden="false" customHeight="false" outlineLevel="0" collapsed="false">
      <c r="A498" s="29" t="n">
        <v>497</v>
      </c>
      <c r="B498" s="44" t="n">
        <v>45355.4631944444</v>
      </c>
      <c r="C498" s="44" t="n">
        <v>45355.4638194444</v>
      </c>
      <c r="D498" s="43" t="n">
        <f aca="false">INT(C498)</f>
        <v>45355</v>
      </c>
      <c r="E498" s="43" t="n">
        <f aca="false">D498-WEEKDAY(D498,3)</f>
        <v>45355</v>
      </c>
      <c r="F498" s="29" t="s">
        <v>167</v>
      </c>
      <c r="G498" s="29" t="n">
        <v>2024</v>
      </c>
      <c r="H498" s="29" t="s">
        <v>245</v>
      </c>
      <c r="I498" s="29" t="n">
        <v>11</v>
      </c>
      <c r="J498" s="29" t="s">
        <v>246</v>
      </c>
      <c r="K498" s="29" t="s">
        <v>247</v>
      </c>
      <c r="L498" s="29" t="n">
        <v>0.04</v>
      </c>
      <c r="M498" s="32" t="n">
        <v>18337.25</v>
      </c>
      <c r="N498" s="32" t="n">
        <v>18331.45</v>
      </c>
      <c r="O498" s="32" t="n">
        <v>18351.46</v>
      </c>
      <c r="P498" s="45" t="n">
        <f aca="false">ABS(M498-N498)</f>
        <v>5.79999999999927</v>
      </c>
      <c r="Q498" s="45" t="n">
        <f aca="false">IF(O498="","",ABS(O498-M498))</f>
        <v>14.2099999999991</v>
      </c>
      <c r="R498" s="31" t="n">
        <f aca="false">P498*L498*Summary!$C$6</f>
        <v>23.1999999999971</v>
      </c>
      <c r="S498" s="32" t="n">
        <v>18330.19</v>
      </c>
      <c r="T498" s="29" t="s">
        <v>249</v>
      </c>
      <c r="U498" s="45" t="n">
        <f aca="false">IF(J498="BUY",S498-M498,M498-S498)</f>
        <v>-7.06000000000131</v>
      </c>
      <c r="V498" s="46" t="n">
        <v>0</v>
      </c>
      <c r="W498" s="46" t="n">
        <v>0</v>
      </c>
      <c r="X498" s="46" t="n">
        <v>-28.24</v>
      </c>
      <c r="Y498" s="33" t="n">
        <f aca="false">IFERROR(X498/R498,0)</f>
        <v>-1.2172413793105</v>
      </c>
      <c r="Z498" s="29" t="str">
        <f aca="false">IF(X498&gt;0,"Win",IF(X498&lt;0,"Loss","Flat"))</f>
        <v>Loss</v>
      </c>
      <c r="AA498" s="29" t="n">
        <f aca="false">ROUND((C498-B498)*1440,1)</f>
        <v>0.9</v>
      </c>
      <c r="AB498" s="29" t="str">
        <f aca="false">IF(AA498&lt;1,"a) &lt;1 min",IF(AA498&lt;10,"b) 1-10 min",IF(AA498&lt;60,"c) 10-60 min",IF(AA498&lt;240,"d) 1-4 h","e) 4 h+"))))</f>
        <v>a) &lt;1 min</v>
      </c>
      <c r="AC498" s="29" t="str">
        <f aca="false">IF(P498&lt;10,"a) &lt;10",IF(P498&lt;20,"b) 10-20",IF(P498&lt;40,"c) 20-40",IF(P498&lt;80,"d) 40-80","e) 80+"))))</f>
        <v>a) &lt;10</v>
      </c>
      <c r="AD498" s="31" t="n">
        <f aca="false">Summary!$C$5+SUM(X$2:X498)</f>
        <v>15616.64</v>
      </c>
      <c r="AE498" s="31" t="n">
        <f aca="false">MAX(AE497,AD498)</f>
        <v>15685</v>
      </c>
      <c r="AF498" s="31" t="n">
        <f aca="false">AE498-AD498</f>
        <v>68.3600000000006</v>
      </c>
      <c r="AG498" s="30" t="n">
        <f aca="false">IFERROR(AF498/AE498,0)</f>
        <v>0.00435830411220915</v>
      </c>
    </row>
    <row r="499" customFormat="false" ht="15" hidden="false" customHeight="false" outlineLevel="0" collapsed="false">
      <c r="A499" s="29" t="n">
        <v>498</v>
      </c>
      <c r="B499" s="44" t="n">
        <v>45356.0479166667</v>
      </c>
      <c r="C499" s="44" t="n">
        <v>45356.047974537</v>
      </c>
      <c r="D499" s="43" t="n">
        <f aca="false">INT(C499)</f>
        <v>45356</v>
      </c>
      <c r="E499" s="43" t="n">
        <f aca="false">D499-WEEKDAY(D499,3)</f>
        <v>45355</v>
      </c>
      <c r="F499" s="29" t="s">
        <v>167</v>
      </c>
      <c r="G499" s="29" t="n">
        <v>2024</v>
      </c>
      <c r="H499" s="29" t="s">
        <v>248</v>
      </c>
      <c r="I499" s="29" t="n">
        <v>1</v>
      </c>
      <c r="J499" s="29" t="s">
        <v>250</v>
      </c>
      <c r="K499" s="29" t="s">
        <v>251</v>
      </c>
      <c r="L499" s="29" t="n">
        <v>0.04</v>
      </c>
      <c r="M499" s="32" t="n">
        <v>18200.83</v>
      </c>
      <c r="N499" s="32" t="n">
        <v>18205.51</v>
      </c>
      <c r="O499" s="32" t="n">
        <v>18189.35</v>
      </c>
      <c r="P499" s="45" t="n">
        <f aca="false">ABS(M499-N499)</f>
        <v>4.67999999999665</v>
      </c>
      <c r="Q499" s="45" t="n">
        <f aca="false">IF(O499="","",ABS(O499-M499))</f>
        <v>11.4800000000032</v>
      </c>
      <c r="R499" s="31" t="n">
        <f aca="false">P499*L499*Summary!$C$6</f>
        <v>18.7199999999866</v>
      </c>
      <c r="S499" s="32" t="n">
        <v>18205.61</v>
      </c>
      <c r="T499" s="29" t="s">
        <v>249</v>
      </c>
      <c r="U499" s="45" t="n">
        <f aca="false">IF(J499="BUY",S499-M499,M499-S499)</f>
        <v>-4.77999999999884</v>
      </c>
      <c r="V499" s="46" t="n">
        <v>0</v>
      </c>
      <c r="W499" s="46" t="n">
        <v>0</v>
      </c>
      <c r="X499" s="46" t="n">
        <v>-19.12</v>
      </c>
      <c r="Y499" s="33" t="n">
        <f aca="false">IFERROR(X499/R499,0)</f>
        <v>-1.02136752136825</v>
      </c>
      <c r="Z499" s="29" t="str">
        <f aca="false">IF(X499&gt;0,"Win",IF(X499&lt;0,"Loss","Flat"))</f>
        <v>Loss</v>
      </c>
      <c r="AA499" s="29" t="n">
        <f aca="false">ROUND((C499-B499)*1440,1)</f>
        <v>0.1</v>
      </c>
      <c r="AB499" s="29" t="str">
        <f aca="false">IF(AA499&lt;1,"a) &lt;1 min",IF(AA499&lt;10,"b) 1-10 min",IF(AA499&lt;60,"c) 10-60 min",IF(AA499&lt;240,"d) 1-4 h","e) 4 h+"))))</f>
        <v>a) &lt;1 min</v>
      </c>
      <c r="AC499" s="29" t="str">
        <f aca="false">IF(P499&lt;10,"a) &lt;10",IF(P499&lt;20,"b) 10-20",IF(P499&lt;40,"c) 20-40",IF(P499&lt;80,"d) 40-80","e) 80+"))))</f>
        <v>a) &lt;10</v>
      </c>
      <c r="AD499" s="31" t="n">
        <f aca="false">Summary!$C$5+SUM(X$2:X499)</f>
        <v>15597.52</v>
      </c>
      <c r="AE499" s="31" t="n">
        <f aca="false">MAX(AE498,AD499)</f>
        <v>15685</v>
      </c>
      <c r="AF499" s="31" t="n">
        <f aca="false">AE499-AD499</f>
        <v>87.4799999999996</v>
      </c>
      <c r="AG499" s="30" t="n">
        <f aca="false">IFERROR(AF499/AE499,0)</f>
        <v>0.00557730315588139</v>
      </c>
    </row>
    <row r="500" customFormat="false" ht="15" hidden="false" customHeight="false" outlineLevel="0" collapsed="false">
      <c r="A500" s="29" t="n">
        <v>499</v>
      </c>
      <c r="B500" s="44" t="n">
        <v>45358.1840277778</v>
      </c>
      <c r="C500" s="44" t="n">
        <v>45358.1855208333</v>
      </c>
      <c r="D500" s="43" t="n">
        <f aca="false">INT(C500)</f>
        <v>45358</v>
      </c>
      <c r="E500" s="43" t="n">
        <f aca="false">D500-WEEKDAY(D500,3)</f>
        <v>45355</v>
      </c>
      <c r="F500" s="29" t="s">
        <v>167</v>
      </c>
      <c r="G500" s="29" t="n">
        <v>2024</v>
      </c>
      <c r="H500" s="29" t="s">
        <v>253</v>
      </c>
      <c r="I500" s="29" t="n">
        <v>4</v>
      </c>
      <c r="J500" s="29" t="s">
        <v>250</v>
      </c>
      <c r="K500" s="29" t="s">
        <v>251</v>
      </c>
      <c r="L500" s="29" t="n">
        <v>0.04</v>
      </c>
      <c r="M500" s="32" t="n">
        <v>17912.56</v>
      </c>
      <c r="N500" s="32" t="n">
        <v>17920.26</v>
      </c>
      <c r="O500" s="32" t="n">
        <v>17893.69</v>
      </c>
      <c r="P500" s="45" t="n">
        <f aca="false">ABS(M500-N500)</f>
        <v>7.69999999999709</v>
      </c>
      <c r="Q500" s="45" t="n">
        <f aca="false">IF(O500="","",ABS(O500-M500))</f>
        <v>18.8700000000026</v>
      </c>
      <c r="R500" s="31" t="n">
        <f aca="false">P500*L500*Summary!$C$6</f>
        <v>30.7999999999884</v>
      </c>
      <c r="S500" s="32" t="n">
        <v>17920.6</v>
      </c>
      <c r="T500" s="29" t="s">
        <v>249</v>
      </c>
      <c r="U500" s="45" t="n">
        <f aca="false">IF(J500="BUY",S500-M500,M500-S500)</f>
        <v>-8.03999999999724</v>
      </c>
      <c r="V500" s="46" t="n">
        <v>0</v>
      </c>
      <c r="W500" s="46" t="n">
        <v>0</v>
      </c>
      <c r="X500" s="46" t="n">
        <v>-32.16</v>
      </c>
      <c r="Y500" s="33" t="n">
        <f aca="false">IFERROR(X500/R500,0)</f>
        <v>-1.04415584415624</v>
      </c>
      <c r="Z500" s="29" t="str">
        <f aca="false">IF(X500&gt;0,"Win",IF(X500&lt;0,"Loss","Flat"))</f>
        <v>Loss</v>
      </c>
      <c r="AA500" s="29" t="n">
        <f aca="false">ROUND((C500-B500)*1440,1)</f>
        <v>2.2</v>
      </c>
      <c r="AB500" s="29" t="str">
        <f aca="false">IF(AA500&lt;1,"a) &lt;1 min",IF(AA500&lt;10,"b) 1-10 min",IF(AA500&lt;60,"c) 10-60 min",IF(AA500&lt;240,"d) 1-4 h","e) 4 h+"))))</f>
        <v>b) 1-10 min</v>
      </c>
      <c r="AC500" s="29" t="str">
        <f aca="false">IF(P500&lt;10,"a) &lt;10",IF(P500&lt;20,"b) 10-20",IF(P500&lt;40,"c) 20-40",IF(P500&lt;80,"d) 40-80","e) 80+"))))</f>
        <v>a) &lt;10</v>
      </c>
      <c r="AD500" s="31" t="n">
        <f aca="false">Summary!$C$5+SUM(X$2:X500)</f>
        <v>15565.36</v>
      </c>
      <c r="AE500" s="31" t="n">
        <f aca="false">MAX(AE499,AD500)</f>
        <v>15685</v>
      </c>
      <c r="AF500" s="31" t="n">
        <f aca="false">AE500-AD500</f>
        <v>119.639999999999</v>
      </c>
      <c r="AG500" s="30" t="n">
        <f aca="false">IFERROR(AF500/AE500,0)</f>
        <v>0.007627669748167</v>
      </c>
    </row>
    <row r="501" customFormat="false" ht="15" hidden="false" customHeight="false" outlineLevel="0" collapsed="false">
      <c r="A501" s="29" t="n">
        <v>500</v>
      </c>
      <c r="B501" s="44" t="n">
        <v>45358.6805555556</v>
      </c>
      <c r="C501" s="44" t="n">
        <v>45358.6883449074</v>
      </c>
      <c r="D501" s="43" t="n">
        <f aca="false">INT(C501)</f>
        <v>45358</v>
      </c>
      <c r="E501" s="43" t="n">
        <f aca="false">D501-WEEKDAY(D501,3)</f>
        <v>45355</v>
      </c>
      <c r="F501" s="29" t="s">
        <v>167</v>
      </c>
      <c r="G501" s="29" t="n">
        <v>2024</v>
      </c>
      <c r="H501" s="29" t="s">
        <v>253</v>
      </c>
      <c r="I501" s="29" t="n">
        <v>16</v>
      </c>
      <c r="J501" s="29" t="s">
        <v>246</v>
      </c>
      <c r="K501" s="29" t="s">
        <v>247</v>
      </c>
      <c r="L501" s="29" t="n">
        <v>0.04</v>
      </c>
      <c r="M501" s="32" t="n">
        <v>18151.05</v>
      </c>
      <c r="N501" s="32" t="n">
        <v>18141.37</v>
      </c>
      <c r="O501" s="32" t="n">
        <v>18173.14</v>
      </c>
      <c r="P501" s="45" t="n">
        <f aca="false">ABS(M501-N501)</f>
        <v>9.68000000000029</v>
      </c>
      <c r="Q501" s="45" t="n">
        <f aca="false">IF(O501="","",ABS(O501-M501))</f>
        <v>22.0900000000001</v>
      </c>
      <c r="R501" s="31" t="n">
        <f aca="false">P501*L501*Summary!$C$6</f>
        <v>38.7200000000012</v>
      </c>
      <c r="S501" s="32" t="n">
        <v>18150.12</v>
      </c>
      <c r="T501" s="29" t="s">
        <v>255</v>
      </c>
      <c r="U501" s="45" t="n">
        <f aca="false">IF(J501="BUY",S501-M501,M501-S501)</f>
        <v>-0.930000000000291</v>
      </c>
      <c r="V501" s="46" t="n">
        <v>0</v>
      </c>
      <c r="W501" s="46" t="n">
        <v>0</v>
      </c>
      <c r="X501" s="46" t="n">
        <v>-3.72</v>
      </c>
      <c r="Y501" s="33" t="n">
        <f aca="false">IFERROR(X501/R501,0)</f>
        <v>-0.0960743801652864</v>
      </c>
      <c r="Z501" s="29" t="str">
        <f aca="false">IF(X501&gt;0,"Win",IF(X501&lt;0,"Loss","Flat"))</f>
        <v>Loss</v>
      </c>
      <c r="AA501" s="29" t="n">
        <f aca="false">ROUND((C501-B501)*1440,1)</f>
        <v>11.2</v>
      </c>
      <c r="AB501" s="29" t="str">
        <f aca="false">IF(AA501&lt;1,"a) &lt;1 min",IF(AA501&lt;10,"b) 1-10 min",IF(AA501&lt;60,"c) 10-60 min",IF(AA501&lt;240,"d) 1-4 h","e) 4 h+"))))</f>
        <v>c) 10-60 min</v>
      </c>
      <c r="AC501" s="29" t="str">
        <f aca="false">IF(P501&lt;10,"a) &lt;10",IF(P501&lt;20,"b) 10-20",IF(P501&lt;40,"c) 20-40",IF(P501&lt;80,"d) 40-80","e) 80+"))))</f>
        <v>a) &lt;10</v>
      </c>
      <c r="AD501" s="31" t="n">
        <f aca="false">Summary!$C$5+SUM(X$2:X501)</f>
        <v>15561.64</v>
      </c>
      <c r="AE501" s="31" t="n">
        <f aca="false">MAX(AE500,AD501)</f>
        <v>15685</v>
      </c>
      <c r="AF501" s="31" t="n">
        <f aca="false">AE501-AD501</f>
        <v>123.360000000001</v>
      </c>
      <c r="AG501" s="30" t="n">
        <f aca="false">IFERROR(AF501/AE501,0)</f>
        <v>0.00786483901817026</v>
      </c>
    </row>
    <row r="502" customFormat="false" ht="15" hidden="false" customHeight="false" outlineLevel="0" collapsed="false">
      <c r="A502" s="29" t="n">
        <v>501</v>
      </c>
      <c r="B502" s="44" t="n">
        <v>45359.6472222222</v>
      </c>
      <c r="C502" s="44" t="n">
        <v>45359.6483680556</v>
      </c>
      <c r="D502" s="43" t="n">
        <f aca="false">INT(C502)</f>
        <v>45359</v>
      </c>
      <c r="E502" s="43" t="n">
        <f aca="false">D502-WEEKDAY(D502,3)</f>
        <v>45355</v>
      </c>
      <c r="F502" s="29" t="s">
        <v>167</v>
      </c>
      <c r="G502" s="29" t="n">
        <v>2024</v>
      </c>
      <c r="H502" s="29" t="s">
        <v>254</v>
      </c>
      <c r="I502" s="29" t="n">
        <v>15</v>
      </c>
      <c r="J502" s="29" t="s">
        <v>246</v>
      </c>
      <c r="K502" s="29" t="s">
        <v>247</v>
      </c>
      <c r="L502" s="29" t="n">
        <v>0.04</v>
      </c>
      <c r="M502" s="32" t="n">
        <v>18345.71</v>
      </c>
      <c r="N502" s="32" t="n">
        <v>18308.47</v>
      </c>
      <c r="O502" s="32" t="n">
        <v>18439.66</v>
      </c>
      <c r="P502" s="45" t="n">
        <f aca="false">ABS(M502-N502)</f>
        <v>37.239999999998</v>
      </c>
      <c r="Q502" s="45" t="n">
        <f aca="false">IF(O502="","",ABS(O502-M502))</f>
        <v>93.9500000000007</v>
      </c>
      <c r="R502" s="31" t="n">
        <f aca="false">P502*L502*Summary!$C$6</f>
        <v>148.959999999992</v>
      </c>
      <c r="S502" s="32" t="n">
        <v>18306.3</v>
      </c>
      <c r="T502" s="29" t="s">
        <v>249</v>
      </c>
      <c r="U502" s="45" t="n">
        <f aca="false">IF(J502="BUY",S502-M502,M502-S502)</f>
        <v>-39.4099999999999</v>
      </c>
      <c r="V502" s="46" t="n">
        <v>0</v>
      </c>
      <c r="W502" s="46" t="n">
        <v>0</v>
      </c>
      <c r="X502" s="46" t="n">
        <v>-157.64</v>
      </c>
      <c r="Y502" s="33" t="n">
        <f aca="false">IFERROR(X502/R502,0)</f>
        <v>-1.05827067669179</v>
      </c>
      <c r="Z502" s="29" t="str">
        <f aca="false">IF(X502&gt;0,"Win",IF(X502&lt;0,"Loss","Flat"))</f>
        <v>Loss</v>
      </c>
      <c r="AA502" s="29" t="n">
        <f aca="false">ROUND((C502-B502)*1440,1)</f>
        <v>1.7</v>
      </c>
      <c r="AB502" s="29" t="str">
        <f aca="false">IF(AA502&lt;1,"a) &lt;1 min",IF(AA502&lt;10,"b) 1-10 min",IF(AA502&lt;60,"c) 10-60 min",IF(AA502&lt;240,"d) 1-4 h","e) 4 h+"))))</f>
        <v>b) 1-10 min</v>
      </c>
      <c r="AC502" s="29" t="str">
        <f aca="false">IF(P502&lt;10,"a) &lt;10",IF(P502&lt;20,"b) 10-20",IF(P502&lt;40,"c) 20-40",IF(P502&lt;80,"d) 40-80","e) 80+"))))</f>
        <v>c) 20-40</v>
      </c>
      <c r="AD502" s="31" t="n">
        <f aca="false">Summary!$C$5+SUM(X$2:X502)</f>
        <v>15404</v>
      </c>
      <c r="AE502" s="31" t="n">
        <f aca="false">MAX(AE501,AD502)</f>
        <v>15685</v>
      </c>
      <c r="AF502" s="31" t="n">
        <f aca="false">AE502-AD502</f>
        <v>281</v>
      </c>
      <c r="AG502" s="30" t="n">
        <f aca="false">IFERROR(AF502/AE502,0)</f>
        <v>0.0179152056104559</v>
      </c>
    </row>
    <row r="503" customFormat="false" ht="15" hidden="false" customHeight="false" outlineLevel="0" collapsed="false">
      <c r="A503" s="29" t="n">
        <v>502</v>
      </c>
      <c r="B503" s="44" t="n">
        <v>45362.0583333333</v>
      </c>
      <c r="C503" s="44" t="n">
        <v>45362.0637847222</v>
      </c>
      <c r="D503" s="43" t="n">
        <f aca="false">INT(C503)</f>
        <v>45362</v>
      </c>
      <c r="E503" s="43" t="n">
        <f aca="false">D503-WEEKDAY(D503,3)</f>
        <v>45362</v>
      </c>
      <c r="F503" s="29" t="s">
        <v>167</v>
      </c>
      <c r="G503" s="29" t="n">
        <v>2024</v>
      </c>
      <c r="H503" s="29" t="s">
        <v>245</v>
      </c>
      <c r="I503" s="29" t="n">
        <v>1</v>
      </c>
      <c r="J503" s="29" t="s">
        <v>250</v>
      </c>
      <c r="K503" s="29" t="s">
        <v>251</v>
      </c>
      <c r="L503" s="29" t="n">
        <v>0.04</v>
      </c>
      <c r="M503" s="32" t="n">
        <v>17986.08</v>
      </c>
      <c r="N503" s="32" t="n">
        <v>18002.71</v>
      </c>
      <c r="O503" s="32" t="n">
        <v>17945.34</v>
      </c>
      <c r="P503" s="45" t="n">
        <f aca="false">ABS(M503-N503)</f>
        <v>16.6299999999974</v>
      </c>
      <c r="Q503" s="45" t="n">
        <f aca="false">IF(O503="","",ABS(O503-M503))</f>
        <v>40.7400000000016</v>
      </c>
      <c r="R503" s="31" t="n">
        <f aca="false">P503*L503*Summary!$C$6</f>
        <v>66.5199999999895</v>
      </c>
      <c r="S503" s="32" t="n">
        <v>18003.99</v>
      </c>
      <c r="T503" s="29" t="s">
        <v>249</v>
      </c>
      <c r="U503" s="45" t="n">
        <f aca="false">IF(J503="BUY",S503-M503,M503-S503)</f>
        <v>-17.9099999999999</v>
      </c>
      <c r="V503" s="46" t="n">
        <v>0</v>
      </c>
      <c r="W503" s="46" t="n">
        <v>0</v>
      </c>
      <c r="X503" s="46" t="n">
        <v>-71.64</v>
      </c>
      <c r="Y503" s="33" t="n">
        <f aca="false">IFERROR(X503/R503,0)</f>
        <v>-1.07696933253174</v>
      </c>
      <c r="Z503" s="29" t="str">
        <f aca="false">IF(X503&gt;0,"Win",IF(X503&lt;0,"Loss","Flat"))</f>
        <v>Loss</v>
      </c>
      <c r="AA503" s="29" t="n">
        <f aca="false">ROUND((C503-B503)*1440,1)</f>
        <v>7.9</v>
      </c>
      <c r="AB503" s="29" t="str">
        <f aca="false">IF(AA503&lt;1,"a) &lt;1 min",IF(AA503&lt;10,"b) 1-10 min",IF(AA503&lt;60,"c) 10-60 min",IF(AA503&lt;240,"d) 1-4 h","e) 4 h+"))))</f>
        <v>b) 1-10 min</v>
      </c>
      <c r="AC503" s="29" t="str">
        <f aca="false">IF(P503&lt;10,"a) &lt;10",IF(P503&lt;20,"b) 10-20",IF(P503&lt;40,"c) 20-40",IF(P503&lt;80,"d) 40-80","e) 80+"))))</f>
        <v>b) 10-20</v>
      </c>
      <c r="AD503" s="31" t="n">
        <f aca="false">Summary!$C$5+SUM(X$2:X503)</f>
        <v>15332.36</v>
      </c>
      <c r="AE503" s="31" t="n">
        <f aca="false">MAX(AE502,AD503)</f>
        <v>15685</v>
      </c>
      <c r="AF503" s="31" t="n">
        <f aca="false">AE503-AD503</f>
        <v>352.639999999999</v>
      </c>
      <c r="AG503" s="30" t="n">
        <f aca="false">IFERROR(AF503/AE503,0)</f>
        <v>0.0224826267134204</v>
      </c>
    </row>
    <row r="504" customFormat="false" ht="15" hidden="false" customHeight="false" outlineLevel="0" collapsed="false">
      <c r="A504" s="29" t="n">
        <v>503</v>
      </c>
      <c r="B504" s="44" t="n">
        <v>45363.1444444444</v>
      </c>
      <c r="C504" s="44" t="n">
        <v>45363.1467824074</v>
      </c>
      <c r="D504" s="43" t="n">
        <f aca="false">INT(C504)</f>
        <v>45363</v>
      </c>
      <c r="E504" s="43" t="n">
        <f aca="false">D504-WEEKDAY(D504,3)</f>
        <v>45362</v>
      </c>
      <c r="F504" s="29" t="s">
        <v>167</v>
      </c>
      <c r="G504" s="29" t="n">
        <v>2024</v>
      </c>
      <c r="H504" s="29" t="s">
        <v>248</v>
      </c>
      <c r="I504" s="29" t="n">
        <v>3</v>
      </c>
      <c r="J504" s="29" t="s">
        <v>246</v>
      </c>
      <c r="K504" s="29" t="s">
        <v>247</v>
      </c>
      <c r="L504" s="29" t="n">
        <v>0.04</v>
      </c>
      <c r="M504" s="32" t="n">
        <v>18038.42</v>
      </c>
      <c r="N504" s="32" t="n">
        <v>18035.16</v>
      </c>
      <c r="O504" s="32" t="n">
        <v>18046.41</v>
      </c>
      <c r="P504" s="45" t="n">
        <f aca="false">ABS(M504-N504)</f>
        <v>3.2599999999984</v>
      </c>
      <c r="Q504" s="45" t="n">
        <f aca="false">IF(O504="","",ABS(O504-M504))</f>
        <v>7.9900000000016</v>
      </c>
      <c r="R504" s="31" t="n">
        <f aca="false">P504*L504*Summary!$C$6</f>
        <v>13.0399999999936</v>
      </c>
      <c r="S504" s="32" t="n">
        <v>18038.41</v>
      </c>
      <c r="T504" s="29" t="s">
        <v>255</v>
      </c>
      <c r="U504" s="45" t="n">
        <f aca="false">IF(J504="BUY",S504-M504,M504-S504)</f>
        <v>-0.00999999999839929</v>
      </c>
      <c r="V504" s="46" t="n">
        <v>0</v>
      </c>
      <c r="W504" s="46" t="n">
        <v>0</v>
      </c>
      <c r="X504" s="46" t="n">
        <v>-0.04</v>
      </c>
      <c r="Y504" s="33" t="n">
        <f aca="false">IFERROR(X504/R504,0)</f>
        <v>-0.00306748466257819</v>
      </c>
      <c r="Z504" s="29" t="str">
        <f aca="false">IF(X504&gt;0,"Win",IF(X504&lt;0,"Loss","Flat"))</f>
        <v>Loss</v>
      </c>
      <c r="AA504" s="29" t="n">
        <f aca="false">ROUND((C504-B504)*1440,1)</f>
        <v>3.4</v>
      </c>
      <c r="AB504" s="29" t="str">
        <f aca="false">IF(AA504&lt;1,"a) &lt;1 min",IF(AA504&lt;10,"b) 1-10 min",IF(AA504&lt;60,"c) 10-60 min",IF(AA504&lt;240,"d) 1-4 h","e) 4 h+"))))</f>
        <v>b) 1-10 min</v>
      </c>
      <c r="AC504" s="29" t="str">
        <f aca="false">IF(P504&lt;10,"a) &lt;10",IF(P504&lt;20,"b) 10-20",IF(P504&lt;40,"c) 20-40",IF(P504&lt;80,"d) 40-80","e) 80+"))))</f>
        <v>a) &lt;10</v>
      </c>
      <c r="AD504" s="31" t="n">
        <f aca="false">Summary!$C$5+SUM(X$2:X504)</f>
        <v>15332.32</v>
      </c>
      <c r="AE504" s="31" t="n">
        <f aca="false">MAX(AE503,AD504)</f>
        <v>15685</v>
      </c>
      <c r="AF504" s="31" t="n">
        <f aca="false">AE504-AD504</f>
        <v>352.68</v>
      </c>
      <c r="AG504" s="30" t="n">
        <f aca="false">IFERROR(AF504/AE504,0)</f>
        <v>0.0224851769206248</v>
      </c>
    </row>
    <row r="505" customFormat="false" ht="15" hidden="false" customHeight="false" outlineLevel="0" collapsed="false">
      <c r="A505" s="29" t="n">
        <v>504</v>
      </c>
      <c r="B505" s="44" t="n">
        <v>45364.4194444444</v>
      </c>
      <c r="C505" s="44" t="n">
        <v>45364.4205208333</v>
      </c>
      <c r="D505" s="43" t="n">
        <f aca="false">INT(C505)</f>
        <v>45364</v>
      </c>
      <c r="E505" s="43" t="n">
        <f aca="false">D505-WEEKDAY(D505,3)</f>
        <v>45362</v>
      </c>
      <c r="F505" s="29" t="s">
        <v>167</v>
      </c>
      <c r="G505" s="29" t="n">
        <v>2024</v>
      </c>
      <c r="H505" s="29" t="s">
        <v>252</v>
      </c>
      <c r="I505" s="29" t="n">
        <v>10</v>
      </c>
      <c r="J505" s="29" t="s">
        <v>246</v>
      </c>
      <c r="K505" s="29" t="s">
        <v>247</v>
      </c>
      <c r="L505" s="29" t="n">
        <v>0.04</v>
      </c>
      <c r="M505" s="32" t="n">
        <v>18235.28</v>
      </c>
      <c r="N505" s="32" t="n">
        <v>18229.33</v>
      </c>
      <c r="O505" s="32" t="n">
        <v>18249.85</v>
      </c>
      <c r="P505" s="45" t="n">
        <f aca="false">ABS(M505-N505)</f>
        <v>5.94999999999709</v>
      </c>
      <c r="Q505" s="45" t="n">
        <f aca="false">IF(O505="","",ABS(O505-M505))</f>
        <v>14.5699999999997</v>
      </c>
      <c r="R505" s="31" t="n">
        <f aca="false">P505*L505*Summary!$C$6</f>
        <v>23.7999999999884</v>
      </c>
      <c r="S505" s="32" t="n">
        <v>18229.16</v>
      </c>
      <c r="T505" s="29" t="s">
        <v>249</v>
      </c>
      <c r="U505" s="45" t="n">
        <f aca="false">IF(J505="BUY",S505-M505,M505-S505)</f>
        <v>-6.11999999999898</v>
      </c>
      <c r="V505" s="46" t="n">
        <v>0</v>
      </c>
      <c r="W505" s="46" t="n">
        <v>0</v>
      </c>
      <c r="X505" s="46" t="n">
        <v>-24.48</v>
      </c>
      <c r="Y505" s="33" t="n">
        <f aca="false">IFERROR(X505/R505,0)</f>
        <v>-1.02857142857193</v>
      </c>
      <c r="Z505" s="29" t="str">
        <f aca="false">IF(X505&gt;0,"Win",IF(X505&lt;0,"Loss","Flat"))</f>
        <v>Loss</v>
      </c>
      <c r="AA505" s="29" t="n">
        <f aca="false">ROUND((C505-B505)*1440,1)</f>
        <v>1.6</v>
      </c>
      <c r="AB505" s="29" t="str">
        <f aca="false">IF(AA505&lt;1,"a) &lt;1 min",IF(AA505&lt;10,"b) 1-10 min",IF(AA505&lt;60,"c) 10-60 min",IF(AA505&lt;240,"d) 1-4 h","e) 4 h+"))))</f>
        <v>b) 1-10 min</v>
      </c>
      <c r="AC505" s="29" t="str">
        <f aca="false">IF(P505&lt;10,"a) &lt;10",IF(P505&lt;20,"b) 10-20",IF(P505&lt;40,"c) 20-40",IF(P505&lt;80,"d) 40-80","e) 80+"))))</f>
        <v>a) &lt;10</v>
      </c>
      <c r="AD505" s="31" t="n">
        <f aca="false">Summary!$C$5+SUM(X$2:X505)</f>
        <v>15307.84</v>
      </c>
      <c r="AE505" s="31" t="n">
        <f aca="false">MAX(AE504,AD505)</f>
        <v>15685</v>
      </c>
      <c r="AF505" s="31" t="n">
        <f aca="false">AE505-AD505</f>
        <v>377.16</v>
      </c>
      <c r="AG505" s="30" t="n">
        <f aca="false">IFERROR(AF505/AE505,0)</f>
        <v>0.024045903729678</v>
      </c>
    </row>
    <row r="506" customFormat="false" ht="15" hidden="false" customHeight="false" outlineLevel="0" collapsed="false">
      <c r="A506" s="29" t="n">
        <v>505</v>
      </c>
      <c r="B506" s="44" t="n">
        <v>45365.7013888889</v>
      </c>
      <c r="C506" s="44" t="n">
        <v>45365.7085069444</v>
      </c>
      <c r="D506" s="43" t="n">
        <f aca="false">INT(C506)</f>
        <v>45365</v>
      </c>
      <c r="E506" s="43" t="n">
        <f aca="false">D506-WEEKDAY(D506,3)</f>
        <v>45362</v>
      </c>
      <c r="F506" s="29" t="s">
        <v>167</v>
      </c>
      <c r="G506" s="29" t="n">
        <v>2024</v>
      </c>
      <c r="H506" s="29" t="s">
        <v>253</v>
      </c>
      <c r="I506" s="29" t="n">
        <v>16</v>
      </c>
      <c r="J506" s="29" t="s">
        <v>250</v>
      </c>
      <c r="K506" s="29" t="s">
        <v>251</v>
      </c>
      <c r="L506" s="29" t="n">
        <v>0.04</v>
      </c>
      <c r="M506" s="32" t="n">
        <v>18021.75</v>
      </c>
      <c r="N506" s="32" t="n">
        <v>18047.9</v>
      </c>
      <c r="O506" s="32" t="n">
        <v>17957.69</v>
      </c>
      <c r="P506" s="45" t="n">
        <f aca="false">ABS(M506-N506)</f>
        <v>26.1500000000015</v>
      </c>
      <c r="Q506" s="45" t="n">
        <f aca="false">IF(O506="","",ABS(O506-M506))</f>
        <v>64.0600000000013</v>
      </c>
      <c r="R506" s="31" t="n">
        <f aca="false">P506*L506*Summary!$C$6</f>
        <v>104.600000000006</v>
      </c>
      <c r="S506" s="32" t="n">
        <v>17957.14</v>
      </c>
      <c r="T506" s="29" t="s">
        <v>227</v>
      </c>
      <c r="U506" s="45" t="n">
        <f aca="false">IF(J506="BUY",S506-M506,M506-S506)</f>
        <v>64.6100000000006</v>
      </c>
      <c r="V506" s="46" t="n">
        <v>0</v>
      </c>
      <c r="W506" s="46" t="n">
        <v>0</v>
      </c>
      <c r="X506" s="46" t="n">
        <v>258.44</v>
      </c>
      <c r="Y506" s="33" t="n">
        <f aca="false">IFERROR(X506/R506,0)</f>
        <v>2.47074569789661</v>
      </c>
      <c r="Z506" s="29" t="str">
        <f aca="false">IF(X506&gt;0,"Win",IF(X506&lt;0,"Loss","Flat"))</f>
        <v>Win</v>
      </c>
      <c r="AA506" s="29" t="n">
        <f aca="false">ROUND((C506-B506)*1440,1)</f>
        <v>10.3</v>
      </c>
      <c r="AB506" s="29" t="str">
        <f aca="false">IF(AA506&lt;1,"a) &lt;1 min",IF(AA506&lt;10,"b) 1-10 min",IF(AA506&lt;60,"c) 10-60 min",IF(AA506&lt;240,"d) 1-4 h","e) 4 h+"))))</f>
        <v>c) 10-60 min</v>
      </c>
      <c r="AC506" s="29" t="str">
        <f aca="false">IF(P506&lt;10,"a) &lt;10",IF(P506&lt;20,"b) 10-20",IF(P506&lt;40,"c) 20-40",IF(P506&lt;80,"d) 40-80","e) 80+"))))</f>
        <v>c) 20-40</v>
      </c>
      <c r="AD506" s="31" t="n">
        <f aca="false">Summary!$C$5+SUM(X$2:X506)</f>
        <v>15566.28</v>
      </c>
      <c r="AE506" s="31" t="n">
        <f aca="false">MAX(AE505,AD506)</f>
        <v>15685</v>
      </c>
      <c r="AF506" s="31" t="n">
        <f aca="false">AE506-AD506</f>
        <v>118.720000000001</v>
      </c>
      <c r="AG506" s="30" t="n">
        <f aca="false">IFERROR(AF506/AE506,0)</f>
        <v>0.0075690149824674</v>
      </c>
    </row>
    <row r="507" customFormat="false" ht="15" hidden="false" customHeight="false" outlineLevel="0" collapsed="false">
      <c r="A507" s="29" t="n">
        <v>506</v>
      </c>
      <c r="B507" s="44" t="n">
        <v>45366.6868055556</v>
      </c>
      <c r="C507" s="44" t="n">
        <v>45366.6875578704</v>
      </c>
      <c r="D507" s="43" t="n">
        <f aca="false">INT(C507)</f>
        <v>45366</v>
      </c>
      <c r="E507" s="43" t="n">
        <f aca="false">D507-WEEKDAY(D507,3)</f>
        <v>45362</v>
      </c>
      <c r="F507" s="29" t="s">
        <v>167</v>
      </c>
      <c r="G507" s="29" t="n">
        <v>2024</v>
      </c>
      <c r="H507" s="29" t="s">
        <v>254</v>
      </c>
      <c r="I507" s="29" t="n">
        <v>16</v>
      </c>
      <c r="J507" s="29" t="s">
        <v>250</v>
      </c>
      <c r="K507" s="29" t="s">
        <v>251</v>
      </c>
      <c r="L507" s="29" t="n">
        <v>0.04</v>
      </c>
      <c r="M507" s="32" t="n">
        <v>17890.7</v>
      </c>
      <c r="N507" s="32" t="n">
        <v>17910.88</v>
      </c>
      <c r="O507" s="32" t="n">
        <v>17841.26</v>
      </c>
      <c r="P507" s="45" t="n">
        <f aca="false">ABS(M507-N507)</f>
        <v>20.1800000000003</v>
      </c>
      <c r="Q507" s="45" t="n">
        <f aca="false">IF(O507="","",ABS(O507-M507))</f>
        <v>49.4400000000023</v>
      </c>
      <c r="R507" s="31" t="n">
        <f aca="false">P507*L507*Summary!$C$6</f>
        <v>80.7200000000012</v>
      </c>
      <c r="S507" s="32" t="n">
        <v>17911.15</v>
      </c>
      <c r="T507" s="29" t="s">
        <v>249</v>
      </c>
      <c r="U507" s="45" t="n">
        <f aca="false">IF(J507="BUY",S507-M507,M507-S507)</f>
        <v>-20.4500000000007</v>
      </c>
      <c r="V507" s="46" t="n">
        <v>0</v>
      </c>
      <c r="W507" s="46" t="n">
        <v>0</v>
      </c>
      <c r="X507" s="46" t="n">
        <v>-81.8</v>
      </c>
      <c r="Y507" s="33" t="n">
        <f aca="false">IFERROR(X507/R507,0)</f>
        <v>-1.01337958374627</v>
      </c>
      <c r="Z507" s="29" t="str">
        <f aca="false">IF(X507&gt;0,"Win",IF(X507&lt;0,"Loss","Flat"))</f>
        <v>Loss</v>
      </c>
      <c r="AA507" s="29" t="n">
        <f aca="false">ROUND((C507-B507)*1440,1)</f>
        <v>1.1</v>
      </c>
      <c r="AB507" s="29" t="str">
        <f aca="false">IF(AA507&lt;1,"a) &lt;1 min",IF(AA507&lt;10,"b) 1-10 min",IF(AA507&lt;60,"c) 10-60 min",IF(AA507&lt;240,"d) 1-4 h","e) 4 h+"))))</f>
        <v>b) 1-10 min</v>
      </c>
      <c r="AC507" s="29" t="str">
        <f aca="false">IF(P507&lt;10,"a) &lt;10",IF(P507&lt;20,"b) 10-20",IF(P507&lt;40,"c) 20-40",IF(P507&lt;80,"d) 40-80","e) 80+"))))</f>
        <v>c) 20-40</v>
      </c>
      <c r="AD507" s="31" t="n">
        <f aca="false">Summary!$C$5+SUM(X$2:X507)</f>
        <v>15484.48</v>
      </c>
      <c r="AE507" s="31" t="n">
        <f aca="false">MAX(AE506,AD507)</f>
        <v>15685</v>
      </c>
      <c r="AF507" s="31" t="n">
        <f aca="false">AE507-AD507</f>
        <v>200.52</v>
      </c>
      <c r="AG507" s="30" t="n">
        <f aca="false">IFERROR(AF507/AE507,0)</f>
        <v>0.0127841887153331</v>
      </c>
    </row>
    <row r="508" customFormat="false" ht="15" hidden="false" customHeight="false" outlineLevel="0" collapsed="false">
      <c r="A508" s="29" t="n">
        <v>507</v>
      </c>
      <c r="B508" s="44" t="n">
        <v>45369.6916666667</v>
      </c>
      <c r="C508" s="44" t="n">
        <v>45369.699849537</v>
      </c>
      <c r="D508" s="43" t="n">
        <f aca="false">INT(C508)</f>
        <v>45369</v>
      </c>
      <c r="E508" s="43" t="n">
        <f aca="false">D508-WEEKDAY(D508,3)</f>
        <v>45369</v>
      </c>
      <c r="F508" s="29" t="s">
        <v>167</v>
      </c>
      <c r="G508" s="29" t="n">
        <v>2024</v>
      </c>
      <c r="H508" s="29" t="s">
        <v>245</v>
      </c>
      <c r="I508" s="29" t="n">
        <v>16</v>
      </c>
      <c r="J508" s="29" t="s">
        <v>246</v>
      </c>
      <c r="K508" s="29" t="s">
        <v>247</v>
      </c>
      <c r="L508" s="29" t="n">
        <v>0.04</v>
      </c>
      <c r="M508" s="32" t="n">
        <v>18089.9</v>
      </c>
      <c r="N508" s="32" t="n">
        <v>18069.68</v>
      </c>
      <c r="O508" s="32" t="n">
        <v>18139.45</v>
      </c>
      <c r="P508" s="45" t="n">
        <f aca="false">ABS(M508-N508)</f>
        <v>20.2200000000012</v>
      </c>
      <c r="Q508" s="45" t="n">
        <f aca="false">IF(O508="","",ABS(O508-M508))</f>
        <v>49.5499999999993</v>
      </c>
      <c r="R508" s="31" t="n">
        <f aca="false">P508*L508*Summary!$C$6</f>
        <v>80.8800000000047</v>
      </c>
      <c r="S508" s="32" t="n">
        <v>18089.83</v>
      </c>
      <c r="T508" s="29" t="s">
        <v>255</v>
      </c>
      <c r="U508" s="45" t="n">
        <f aca="false">IF(J508="BUY",S508-M508,M508-S508)</f>
        <v>-0.069999999999709</v>
      </c>
      <c r="V508" s="46" t="n">
        <v>0</v>
      </c>
      <c r="W508" s="46" t="n">
        <v>0</v>
      </c>
      <c r="X508" s="46" t="n">
        <v>-0.28</v>
      </c>
      <c r="Y508" s="33" t="n">
        <f aca="false">IFERROR(X508/R508,0)</f>
        <v>-0.00346191889218576</v>
      </c>
      <c r="Z508" s="29" t="str">
        <f aca="false">IF(X508&gt;0,"Win",IF(X508&lt;0,"Loss","Flat"))</f>
        <v>Loss</v>
      </c>
      <c r="AA508" s="29" t="n">
        <f aca="false">ROUND((C508-B508)*1440,1)</f>
        <v>11.8</v>
      </c>
      <c r="AB508" s="29" t="str">
        <f aca="false">IF(AA508&lt;1,"a) &lt;1 min",IF(AA508&lt;10,"b) 1-10 min",IF(AA508&lt;60,"c) 10-60 min",IF(AA508&lt;240,"d) 1-4 h","e) 4 h+"))))</f>
        <v>c) 10-60 min</v>
      </c>
      <c r="AC508" s="29" t="str">
        <f aca="false">IF(P508&lt;10,"a) &lt;10",IF(P508&lt;20,"b) 10-20",IF(P508&lt;40,"c) 20-40",IF(P508&lt;80,"d) 40-80","e) 80+"))))</f>
        <v>c) 20-40</v>
      </c>
      <c r="AD508" s="31" t="n">
        <f aca="false">Summary!$C$5+SUM(X$2:X508)</f>
        <v>15484.2</v>
      </c>
      <c r="AE508" s="31" t="n">
        <f aca="false">MAX(AE507,AD508)</f>
        <v>15685</v>
      </c>
      <c r="AF508" s="31" t="n">
        <f aca="false">AE508-AD508</f>
        <v>200.799999999999</v>
      </c>
      <c r="AG508" s="30" t="n">
        <f aca="false">IFERROR(AF508/AE508,0)</f>
        <v>0.0128020401657634</v>
      </c>
    </row>
    <row r="509" customFormat="false" ht="15" hidden="false" customHeight="false" outlineLevel="0" collapsed="false">
      <c r="A509" s="29" t="n">
        <v>508</v>
      </c>
      <c r="B509" s="44" t="n">
        <v>45370.6972222222</v>
      </c>
      <c r="C509" s="44" t="n">
        <v>45370.6975</v>
      </c>
      <c r="D509" s="43" t="n">
        <f aca="false">INT(C509)</f>
        <v>45370</v>
      </c>
      <c r="E509" s="43" t="n">
        <f aca="false">D509-WEEKDAY(D509,3)</f>
        <v>45369</v>
      </c>
      <c r="F509" s="29" t="s">
        <v>167</v>
      </c>
      <c r="G509" s="29" t="n">
        <v>2024</v>
      </c>
      <c r="H509" s="29" t="s">
        <v>248</v>
      </c>
      <c r="I509" s="29" t="n">
        <v>16</v>
      </c>
      <c r="J509" s="29" t="s">
        <v>250</v>
      </c>
      <c r="K509" s="29" t="s">
        <v>251</v>
      </c>
      <c r="L509" s="29" t="n">
        <v>0.04</v>
      </c>
      <c r="M509" s="32" t="n">
        <v>17807.28</v>
      </c>
      <c r="N509" s="32" t="n">
        <v>17821.11</v>
      </c>
      <c r="O509" s="32" t="n">
        <v>17775.55</v>
      </c>
      <c r="P509" s="45" t="n">
        <f aca="false">ABS(M509-N509)</f>
        <v>13.8300000000017</v>
      </c>
      <c r="Q509" s="45" t="n">
        <f aca="false">IF(O509="","",ABS(O509-M509))</f>
        <v>31.7299999999996</v>
      </c>
      <c r="R509" s="31" t="n">
        <f aca="false">P509*L509*Summary!$C$6</f>
        <v>55.320000000007</v>
      </c>
      <c r="S509" s="32" t="n">
        <v>17821.22</v>
      </c>
      <c r="T509" s="29" t="s">
        <v>249</v>
      </c>
      <c r="U509" s="45" t="n">
        <f aca="false">IF(J509="BUY",S509-M509,M509-S509)</f>
        <v>-13.9400000000023</v>
      </c>
      <c r="V509" s="46" t="n">
        <v>0</v>
      </c>
      <c r="W509" s="46" t="n">
        <v>0</v>
      </c>
      <c r="X509" s="46" t="n">
        <v>-55.76</v>
      </c>
      <c r="Y509" s="33" t="n">
        <f aca="false">IFERROR(X509/R509,0)</f>
        <v>-1.00795372378874</v>
      </c>
      <c r="Z509" s="29" t="str">
        <f aca="false">IF(X509&gt;0,"Win",IF(X509&lt;0,"Loss","Flat"))</f>
        <v>Loss</v>
      </c>
      <c r="AA509" s="29" t="n">
        <f aca="false">ROUND((C509-B509)*1440,1)</f>
        <v>0.4</v>
      </c>
      <c r="AB509" s="29" t="str">
        <f aca="false">IF(AA509&lt;1,"a) &lt;1 min",IF(AA509&lt;10,"b) 1-10 min",IF(AA509&lt;60,"c) 10-60 min",IF(AA509&lt;240,"d) 1-4 h","e) 4 h+"))))</f>
        <v>a) &lt;1 min</v>
      </c>
      <c r="AC509" s="29" t="str">
        <f aca="false">IF(P509&lt;10,"a) &lt;10",IF(P509&lt;20,"b) 10-20",IF(P509&lt;40,"c) 20-40",IF(P509&lt;80,"d) 40-80","e) 80+"))))</f>
        <v>b) 10-20</v>
      </c>
      <c r="AD509" s="31" t="n">
        <f aca="false">Summary!$C$5+SUM(X$2:X509)</f>
        <v>15428.44</v>
      </c>
      <c r="AE509" s="31" t="n">
        <f aca="false">MAX(AE508,AD509)</f>
        <v>15685</v>
      </c>
      <c r="AF509" s="31" t="n">
        <f aca="false">AE509-AD509</f>
        <v>256.560000000001</v>
      </c>
      <c r="AG509" s="30" t="n">
        <f aca="false">IFERROR(AF509/AE509,0)</f>
        <v>0.016357029008607</v>
      </c>
    </row>
    <row r="510" customFormat="false" ht="15" hidden="false" customHeight="false" outlineLevel="0" collapsed="false">
      <c r="A510" s="29" t="n">
        <v>509</v>
      </c>
      <c r="B510" s="44" t="n">
        <v>45371.5840277778</v>
      </c>
      <c r="C510" s="44" t="n">
        <v>45371.584212963</v>
      </c>
      <c r="D510" s="43" t="n">
        <f aca="false">INT(C510)</f>
        <v>45371</v>
      </c>
      <c r="E510" s="43" t="n">
        <f aca="false">D510-WEEKDAY(D510,3)</f>
        <v>45369</v>
      </c>
      <c r="F510" s="29" t="s">
        <v>167</v>
      </c>
      <c r="G510" s="29" t="n">
        <v>2024</v>
      </c>
      <c r="H510" s="29" t="s">
        <v>252</v>
      </c>
      <c r="I510" s="29" t="n">
        <v>14</v>
      </c>
      <c r="J510" s="29" t="s">
        <v>246</v>
      </c>
      <c r="K510" s="29" t="s">
        <v>247</v>
      </c>
      <c r="L510" s="29" t="n">
        <v>0.04</v>
      </c>
      <c r="M510" s="32" t="n">
        <v>18040.03</v>
      </c>
      <c r="N510" s="32" t="n">
        <v>18036.21</v>
      </c>
      <c r="O510" s="32" t="n">
        <v>18049.39</v>
      </c>
      <c r="P510" s="45" t="n">
        <f aca="false">ABS(M510-N510)</f>
        <v>3.81999999999971</v>
      </c>
      <c r="Q510" s="45" t="n">
        <f aca="false">IF(O510="","",ABS(O510-M510))</f>
        <v>9.36000000000058</v>
      </c>
      <c r="R510" s="31" t="n">
        <f aca="false">P510*L510*Summary!$C$6</f>
        <v>15.2799999999988</v>
      </c>
      <c r="S510" s="32" t="n">
        <v>18036.11</v>
      </c>
      <c r="T510" s="29" t="s">
        <v>249</v>
      </c>
      <c r="U510" s="45" t="n">
        <f aca="false">IF(J510="BUY",S510-M510,M510-S510)</f>
        <v>-3.91999999999825</v>
      </c>
      <c r="V510" s="46" t="n">
        <v>0</v>
      </c>
      <c r="W510" s="46" t="n">
        <v>0</v>
      </c>
      <c r="X510" s="46" t="n">
        <v>-15.68</v>
      </c>
      <c r="Y510" s="33" t="n">
        <f aca="false">IFERROR(X510/R510,0)</f>
        <v>-1.02617801047128</v>
      </c>
      <c r="Z510" s="29" t="str">
        <f aca="false">IF(X510&gt;0,"Win",IF(X510&lt;0,"Loss","Flat"))</f>
        <v>Loss</v>
      </c>
      <c r="AA510" s="29" t="n">
        <f aca="false">ROUND((C510-B510)*1440,1)</f>
        <v>0.3</v>
      </c>
      <c r="AB510" s="29" t="str">
        <f aca="false">IF(AA510&lt;1,"a) &lt;1 min",IF(AA510&lt;10,"b) 1-10 min",IF(AA510&lt;60,"c) 10-60 min",IF(AA510&lt;240,"d) 1-4 h","e) 4 h+"))))</f>
        <v>a) &lt;1 min</v>
      </c>
      <c r="AC510" s="29" t="str">
        <f aca="false">IF(P510&lt;10,"a) &lt;10",IF(P510&lt;20,"b) 10-20",IF(P510&lt;40,"c) 20-40",IF(P510&lt;80,"d) 40-80","e) 80+"))))</f>
        <v>a) &lt;10</v>
      </c>
      <c r="AD510" s="31" t="n">
        <f aca="false">Summary!$C$5+SUM(X$2:X510)</f>
        <v>15412.76</v>
      </c>
      <c r="AE510" s="31" t="n">
        <f aca="false">MAX(AE509,AD510)</f>
        <v>15685</v>
      </c>
      <c r="AF510" s="31" t="n">
        <f aca="false">AE510-AD510</f>
        <v>272.24</v>
      </c>
      <c r="AG510" s="30" t="n">
        <f aca="false">IFERROR(AF510/AE510,0)</f>
        <v>0.0173567102327064</v>
      </c>
    </row>
    <row r="511" customFormat="false" ht="15" hidden="false" customHeight="false" outlineLevel="0" collapsed="false">
      <c r="A511" s="29" t="n">
        <v>510</v>
      </c>
      <c r="B511" s="44" t="n">
        <v>45372.0479166667</v>
      </c>
      <c r="C511" s="44" t="n">
        <v>45372.0487037037</v>
      </c>
      <c r="D511" s="43" t="n">
        <f aca="false">INT(C511)</f>
        <v>45372</v>
      </c>
      <c r="E511" s="43" t="n">
        <f aca="false">D511-WEEKDAY(D511,3)</f>
        <v>45369</v>
      </c>
      <c r="F511" s="29" t="s">
        <v>167</v>
      </c>
      <c r="G511" s="29" t="n">
        <v>2024</v>
      </c>
      <c r="H511" s="29" t="s">
        <v>253</v>
      </c>
      <c r="I511" s="29" t="n">
        <v>1</v>
      </c>
      <c r="J511" s="29" t="s">
        <v>246</v>
      </c>
      <c r="K511" s="29" t="s">
        <v>247</v>
      </c>
      <c r="L511" s="29" t="n">
        <v>0.04</v>
      </c>
      <c r="M511" s="32" t="n">
        <v>18299.41</v>
      </c>
      <c r="N511" s="32" t="n">
        <v>18292.6</v>
      </c>
      <c r="O511" s="32" t="n">
        <v>18316.08</v>
      </c>
      <c r="P511" s="45" t="n">
        <f aca="false">ABS(M511-N511)</f>
        <v>6.81000000000131</v>
      </c>
      <c r="Q511" s="45" t="n">
        <f aca="false">IF(O511="","",ABS(O511-M511))</f>
        <v>16.6700000000019</v>
      </c>
      <c r="R511" s="31" t="n">
        <f aca="false">P511*L511*Summary!$C$6</f>
        <v>27.2400000000052</v>
      </c>
      <c r="S511" s="32" t="n">
        <v>18292.42</v>
      </c>
      <c r="T511" s="29" t="s">
        <v>249</v>
      </c>
      <c r="U511" s="45" t="n">
        <f aca="false">IF(J511="BUY",S511-M511,M511-S511)</f>
        <v>-6.9900000000016</v>
      </c>
      <c r="V511" s="46" t="n">
        <v>0</v>
      </c>
      <c r="W511" s="46" t="n">
        <v>0</v>
      </c>
      <c r="X511" s="46" t="n">
        <v>-27.96</v>
      </c>
      <c r="Y511" s="33" t="n">
        <f aca="false">IFERROR(X511/R511,0)</f>
        <v>-1.02643171806148</v>
      </c>
      <c r="Z511" s="29" t="str">
        <f aca="false">IF(X511&gt;0,"Win",IF(X511&lt;0,"Loss","Flat"))</f>
        <v>Loss</v>
      </c>
      <c r="AA511" s="29" t="n">
        <f aca="false">ROUND((C511-B511)*1440,1)</f>
        <v>1.1</v>
      </c>
      <c r="AB511" s="29" t="str">
        <f aca="false">IF(AA511&lt;1,"a) &lt;1 min",IF(AA511&lt;10,"b) 1-10 min",IF(AA511&lt;60,"c) 10-60 min",IF(AA511&lt;240,"d) 1-4 h","e) 4 h+"))))</f>
        <v>b) 1-10 min</v>
      </c>
      <c r="AC511" s="29" t="str">
        <f aca="false">IF(P511&lt;10,"a) &lt;10",IF(P511&lt;20,"b) 10-20",IF(P511&lt;40,"c) 20-40",IF(P511&lt;80,"d) 40-80","e) 80+"))))</f>
        <v>a) &lt;10</v>
      </c>
      <c r="AD511" s="31" t="n">
        <f aca="false">Summary!$C$5+SUM(X$2:X511)</f>
        <v>15384.8</v>
      </c>
      <c r="AE511" s="31" t="n">
        <f aca="false">MAX(AE510,AD511)</f>
        <v>15685</v>
      </c>
      <c r="AF511" s="31" t="n">
        <f aca="false">AE511-AD511</f>
        <v>300.200000000001</v>
      </c>
      <c r="AG511" s="30" t="n">
        <f aca="false">IFERROR(AF511/AE511,0)</f>
        <v>0.0191393050685369</v>
      </c>
    </row>
    <row r="512" customFormat="false" ht="15" hidden="false" customHeight="false" outlineLevel="0" collapsed="false">
      <c r="A512" s="29" t="n">
        <v>511</v>
      </c>
      <c r="B512" s="44" t="n">
        <v>45373.6159722222</v>
      </c>
      <c r="C512" s="44" t="n">
        <v>45373.6192592593</v>
      </c>
      <c r="D512" s="43" t="n">
        <f aca="false">INT(C512)</f>
        <v>45373</v>
      </c>
      <c r="E512" s="43" t="n">
        <f aca="false">D512-WEEKDAY(D512,3)</f>
        <v>45369</v>
      </c>
      <c r="F512" s="29" t="s">
        <v>167</v>
      </c>
      <c r="G512" s="29" t="n">
        <v>2024</v>
      </c>
      <c r="H512" s="29" t="s">
        <v>254</v>
      </c>
      <c r="I512" s="29" t="n">
        <v>14</v>
      </c>
      <c r="J512" s="29" t="s">
        <v>250</v>
      </c>
      <c r="K512" s="29" t="s">
        <v>251</v>
      </c>
      <c r="L512" s="29" t="n">
        <v>0.04</v>
      </c>
      <c r="M512" s="32" t="n">
        <v>18286.84</v>
      </c>
      <c r="N512" s="32" t="n">
        <v>18293.79</v>
      </c>
      <c r="O512" s="32" t="n">
        <v>18269.81</v>
      </c>
      <c r="P512" s="45" t="n">
        <f aca="false">ABS(M512-N512)</f>
        <v>6.95000000000073</v>
      </c>
      <c r="Q512" s="45" t="n">
        <f aca="false">IF(O512="","",ABS(O512-M512))</f>
        <v>17.0299999999988</v>
      </c>
      <c r="R512" s="31" t="n">
        <f aca="false">P512*L512*Summary!$C$6</f>
        <v>27.8000000000029</v>
      </c>
      <c r="S512" s="32" t="n">
        <v>18269.65</v>
      </c>
      <c r="T512" s="29" t="s">
        <v>227</v>
      </c>
      <c r="U512" s="45" t="n">
        <f aca="false">IF(J512="BUY",S512-M512,M512-S512)</f>
        <v>17.1899999999987</v>
      </c>
      <c r="V512" s="46" t="n">
        <v>0</v>
      </c>
      <c r="W512" s="46" t="n">
        <v>0</v>
      </c>
      <c r="X512" s="46" t="n">
        <v>68.76</v>
      </c>
      <c r="Y512" s="33" t="n">
        <f aca="false">IFERROR(X512/R512,0)</f>
        <v>2.47338129496377</v>
      </c>
      <c r="Z512" s="29" t="str">
        <f aca="false">IF(X512&gt;0,"Win",IF(X512&lt;0,"Loss","Flat"))</f>
        <v>Win</v>
      </c>
      <c r="AA512" s="29" t="n">
        <f aca="false">ROUND((C512-B512)*1440,1)</f>
        <v>4.7</v>
      </c>
      <c r="AB512" s="29" t="str">
        <f aca="false">IF(AA512&lt;1,"a) &lt;1 min",IF(AA512&lt;10,"b) 1-10 min",IF(AA512&lt;60,"c) 10-60 min",IF(AA512&lt;240,"d) 1-4 h","e) 4 h+"))))</f>
        <v>b) 1-10 min</v>
      </c>
      <c r="AC512" s="29" t="str">
        <f aca="false">IF(P512&lt;10,"a) &lt;10",IF(P512&lt;20,"b) 10-20",IF(P512&lt;40,"c) 20-40",IF(P512&lt;80,"d) 40-80","e) 80+"))))</f>
        <v>a) &lt;10</v>
      </c>
      <c r="AD512" s="31" t="n">
        <f aca="false">Summary!$C$5+SUM(X$2:X512)</f>
        <v>15453.56</v>
      </c>
      <c r="AE512" s="31" t="n">
        <f aca="false">MAX(AE511,AD512)</f>
        <v>15685</v>
      </c>
      <c r="AF512" s="31" t="n">
        <f aca="false">AE512-AD512</f>
        <v>231.439999999999</v>
      </c>
      <c r="AG512" s="30" t="n">
        <f aca="false">IFERROR(AF512/AE512,0)</f>
        <v>0.0147554988842843</v>
      </c>
    </row>
    <row r="513" customFormat="false" ht="15" hidden="false" customHeight="false" outlineLevel="0" collapsed="false">
      <c r="A513" s="29" t="n">
        <v>512</v>
      </c>
      <c r="B513" s="44" t="n">
        <v>45376.5840277778</v>
      </c>
      <c r="C513" s="44" t="n">
        <v>45376.5845486111</v>
      </c>
      <c r="D513" s="43" t="n">
        <f aca="false">INT(C513)</f>
        <v>45376</v>
      </c>
      <c r="E513" s="43" t="n">
        <f aca="false">D513-WEEKDAY(D513,3)</f>
        <v>45376</v>
      </c>
      <c r="F513" s="29" t="s">
        <v>167</v>
      </c>
      <c r="G513" s="29" t="n">
        <v>2024</v>
      </c>
      <c r="H513" s="29" t="s">
        <v>245</v>
      </c>
      <c r="I513" s="29" t="n">
        <v>14</v>
      </c>
      <c r="J513" s="29" t="s">
        <v>250</v>
      </c>
      <c r="K513" s="29" t="s">
        <v>251</v>
      </c>
      <c r="L513" s="29" t="n">
        <v>0.04</v>
      </c>
      <c r="M513" s="32" t="n">
        <v>18249.52</v>
      </c>
      <c r="N513" s="32" t="n">
        <v>18255.25</v>
      </c>
      <c r="O513" s="32" t="n">
        <v>18235.48</v>
      </c>
      <c r="P513" s="45" t="n">
        <f aca="false">ABS(M513-N513)</f>
        <v>5.72999999999956</v>
      </c>
      <c r="Q513" s="45" t="n">
        <f aca="false">IF(O513="","",ABS(O513-M513))</f>
        <v>14.0400000000009</v>
      </c>
      <c r="R513" s="31" t="n">
        <f aca="false">P513*L513*Summary!$C$6</f>
        <v>22.9199999999983</v>
      </c>
      <c r="S513" s="32" t="n">
        <v>18255.34</v>
      </c>
      <c r="T513" s="29" t="s">
        <v>249</v>
      </c>
      <c r="U513" s="45" t="n">
        <f aca="false">IF(J513="BUY",S513-M513,M513-S513)</f>
        <v>-5.81999999999971</v>
      </c>
      <c r="V513" s="46" t="n">
        <v>0</v>
      </c>
      <c r="W513" s="46" t="n">
        <v>0</v>
      </c>
      <c r="X513" s="46" t="n">
        <v>-23.28</v>
      </c>
      <c r="Y513" s="33" t="n">
        <f aca="false">IFERROR(X513/R513,0)</f>
        <v>-1.0157068062828</v>
      </c>
      <c r="Z513" s="29" t="str">
        <f aca="false">IF(X513&gt;0,"Win",IF(X513&lt;0,"Loss","Flat"))</f>
        <v>Loss</v>
      </c>
      <c r="AA513" s="29" t="n">
        <f aca="false">ROUND((C513-B513)*1440,1)</f>
        <v>0.8</v>
      </c>
      <c r="AB513" s="29" t="str">
        <f aca="false">IF(AA513&lt;1,"a) &lt;1 min",IF(AA513&lt;10,"b) 1-10 min",IF(AA513&lt;60,"c) 10-60 min",IF(AA513&lt;240,"d) 1-4 h","e) 4 h+"))))</f>
        <v>a) &lt;1 min</v>
      </c>
      <c r="AC513" s="29" t="str">
        <f aca="false">IF(P513&lt;10,"a) &lt;10",IF(P513&lt;20,"b) 10-20",IF(P513&lt;40,"c) 20-40",IF(P513&lt;80,"d) 40-80","e) 80+"))))</f>
        <v>a) &lt;10</v>
      </c>
      <c r="AD513" s="31" t="n">
        <f aca="false">Summary!$C$5+SUM(X$2:X513)</f>
        <v>15430.28</v>
      </c>
      <c r="AE513" s="31" t="n">
        <f aca="false">MAX(AE512,AD513)</f>
        <v>15685</v>
      </c>
      <c r="AF513" s="31" t="n">
        <f aca="false">AE513-AD513</f>
        <v>254.720000000001</v>
      </c>
      <c r="AG513" s="30" t="n">
        <f aca="false">IFERROR(AF513/AE513,0)</f>
        <v>0.0162397194772076</v>
      </c>
    </row>
    <row r="514" customFormat="false" ht="15" hidden="false" customHeight="false" outlineLevel="0" collapsed="false">
      <c r="A514" s="29" t="n">
        <v>513</v>
      </c>
      <c r="B514" s="44" t="n">
        <v>45377.4194444444</v>
      </c>
      <c r="C514" s="44" t="n">
        <v>45377.4252546296</v>
      </c>
      <c r="D514" s="43" t="n">
        <f aca="false">INT(C514)</f>
        <v>45377</v>
      </c>
      <c r="E514" s="43" t="n">
        <f aca="false">D514-WEEKDAY(D514,3)</f>
        <v>45376</v>
      </c>
      <c r="F514" s="29" t="s">
        <v>167</v>
      </c>
      <c r="G514" s="29" t="n">
        <v>2024</v>
      </c>
      <c r="H514" s="29" t="s">
        <v>248</v>
      </c>
      <c r="I514" s="29" t="n">
        <v>10</v>
      </c>
      <c r="J514" s="29" t="s">
        <v>246</v>
      </c>
      <c r="K514" s="29" t="s">
        <v>247</v>
      </c>
      <c r="L514" s="29" t="n">
        <v>0.04</v>
      </c>
      <c r="M514" s="32" t="n">
        <v>18366.99</v>
      </c>
      <c r="N514" s="32" t="n">
        <v>18359.61</v>
      </c>
      <c r="O514" s="32" t="n">
        <v>18385.07</v>
      </c>
      <c r="P514" s="45" t="n">
        <f aca="false">ABS(M514-N514)</f>
        <v>7.38000000000102</v>
      </c>
      <c r="Q514" s="45" t="n">
        <f aca="false">IF(O514="","",ABS(O514-M514))</f>
        <v>18.0799999999981</v>
      </c>
      <c r="R514" s="31" t="n">
        <f aca="false">P514*L514*Summary!$C$6</f>
        <v>29.5200000000041</v>
      </c>
      <c r="S514" s="32" t="n">
        <v>18366.85</v>
      </c>
      <c r="T514" s="29" t="s">
        <v>255</v>
      </c>
      <c r="U514" s="45" t="n">
        <f aca="false">IF(J514="BUY",S514-M514,M514-S514)</f>
        <v>-0.140000000003056</v>
      </c>
      <c r="V514" s="46" t="n">
        <v>0</v>
      </c>
      <c r="W514" s="46" t="n">
        <v>0</v>
      </c>
      <c r="X514" s="46" t="n">
        <v>-0.56</v>
      </c>
      <c r="Y514" s="33" t="n">
        <f aca="false">IFERROR(X514/R514,0)</f>
        <v>-0.0189701897018944</v>
      </c>
      <c r="Z514" s="29" t="str">
        <f aca="false">IF(X514&gt;0,"Win",IF(X514&lt;0,"Loss","Flat"))</f>
        <v>Loss</v>
      </c>
      <c r="AA514" s="29" t="n">
        <f aca="false">ROUND((C514-B514)*1440,1)</f>
        <v>8.4</v>
      </c>
      <c r="AB514" s="29" t="str">
        <f aca="false">IF(AA514&lt;1,"a) &lt;1 min",IF(AA514&lt;10,"b) 1-10 min",IF(AA514&lt;60,"c) 10-60 min",IF(AA514&lt;240,"d) 1-4 h","e) 4 h+"))))</f>
        <v>b) 1-10 min</v>
      </c>
      <c r="AC514" s="29" t="str">
        <f aca="false">IF(P514&lt;10,"a) &lt;10",IF(P514&lt;20,"b) 10-20",IF(P514&lt;40,"c) 20-40",IF(P514&lt;80,"d) 40-80","e) 80+"))))</f>
        <v>a) &lt;10</v>
      </c>
      <c r="AD514" s="31" t="n">
        <f aca="false">Summary!$C$5+SUM(X$2:X514)</f>
        <v>15429.72</v>
      </c>
      <c r="AE514" s="31" t="n">
        <f aca="false">MAX(AE513,AD514)</f>
        <v>15685</v>
      </c>
      <c r="AF514" s="31" t="n">
        <f aca="false">AE514-AD514</f>
        <v>255.279999999999</v>
      </c>
      <c r="AG514" s="30" t="n">
        <f aca="false">IFERROR(AF514/AE514,0)</f>
        <v>0.0162754223780681</v>
      </c>
    </row>
    <row r="515" customFormat="false" ht="15" hidden="false" customHeight="false" outlineLevel="0" collapsed="false">
      <c r="A515" s="29" t="n">
        <v>514</v>
      </c>
      <c r="B515" s="44" t="n">
        <v>45378.7097222222</v>
      </c>
      <c r="C515" s="44" t="n">
        <v>45378.7172685185</v>
      </c>
      <c r="D515" s="43" t="n">
        <f aca="false">INT(C515)</f>
        <v>45378</v>
      </c>
      <c r="E515" s="43" t="n">
        <f aca="false">D515-WEEKDAY(D515,3)</f>
        <v>45376</v>
      </c>
      <c r="F515" s="29" t="s">
        <v>167</v>
      </c>
      <c r="G515" s="29" t="n">
        <v>2024</v>
      </c>
      <c r="H515" s="29" t="s">
        <v>252</v>
      </c>
      <c r="I515" s="29" t="n">
        <v>17</v>
      </c>
      <c r="J515" s="29" t="s">
        <v>250</v>
      </c>
      <c r="K515" s="29" t="s">
        <v>251</v>
      </c>
      <c r="L515" s="29" t="n">
        <v>0.04</v>
      </c>
      <c r="M515" s="32" t="n">
        <v>18202.82</v>
      </c>
      <c r="N515" s="32" t="n">
        <v>18219.45</v>
      </c>
      <c r="O515" s="32" t="n">
        <v>18162.09</v>
      </c>
      <c r="P515" s="45" t="n">
        <f aca="false">ABS(M515-N515)</f>
        <v>16.630000000001</v>
      </c>
      <c r="Q515" s="45" t="n">
        <f aca="false">IF(O515="","",ABS(O515-M515))</f>
        <v>40.7299999999996</v>
      </c>
      <c r="R515" s="31" t="n">
        <f aca="false">P515*L515*Summary!$C$6</f>
        <v>66.5200000000041</v>
      </c>
      <c r="S515" s="32" t="n">
        <v>18161.59</v>
      </c>
      <c r="T515" s="29" t="s">
        <v>227</v>
      </c>
      <c r="U515" s="45" t="n">
        <f aca="false">IF(J515="BUY",S515-M515,M515-S515)</f>
        <v>41.2299999999996</v>
      </c>
      <c r="V515" s="46" t="n">
        <v>0</v>
      </c>
      <c r="W515" s="46" t="n">
        <v>0</v>
      </c>
      <c r="X515" s="46" t="n">
        <v>164.92</v>
      </c>
      <c r="Y515" s="33" t="n">
        <f aca="false">IFERROR(X515/R515,0)</f>
        <v>2.47925435959095</v>
      </c>
      <c r="Z515" s="29" t="str">
        <f aca="false">IF(X515&gt;0,"Win",IF(X515&lt;0,"Loss","Flat"))</f>
        <v>Win</v>
      </c>
      <c r="AA515" s="29" t="n">
        <f aca="false">ROUND((C515-B515)*1440,1)</f>
        <v>10.9</v>
      </c>
      <c r="AB515" s="29" t="str">
        <f aca="false">IF(AA515&lt;1,"a) &lt;1 min",IF(AA515&lt;10,"b) 1-10 min",IF(AA515&lt;60,"c) 10-60 min",IF(AA515&lt;240,"d) 1-4 h","e) 4 h+"))))</f>
        <v>c) 10-60 min</v>
      </c>
      <c r="AC515" s="29" t="str">
        <f aca="false">IF(P515&lt;10,"a) &lt;10",IF(P515&lt;20,"b) 10-20",IF(P515&lt;40,"c) 20-40",IF(P515&lt;80,"d) 40-80","e) 80+"))))</f>
        <v>b) 10-20</v>
      </c>
      <c r="AD515" s="31" t="n">
        <f aca="false">Summary!$C$5+SUM(X$2:X515)</f>
        <v>15594.64</v>
      </c>
      <c r="AE515" s="31" t="n">
        <f aca="false">MAX(AE514,AD515)</f>
        <v>15685</v>
      </c>
      <c r="AF515" s="31" t="n">
        <f aca="false">AE515-AD515</f>
        <v>90.3600000000006</v>
      </c>
      <c r="AG515" s="30" t="n">
        <f aca="false">IFERROR(AF515/AE515,0)</f>
        <v>0.0057609180745936</v>
      </c>
    </row>
    <row r="516" customFormat="false" ht="15" hidden="false" customHeight="false" outlineLevel="0" collapsed="false">
      <c r="A516" s="29" t="n">
        <v>515</v>
      </c>
      <c r="B516" s="44" t="n">
        <v>45383.0444444444</v>
      </c>
      <c r="C516" s="44" t="n">
        <v>45383.0479166667</v>
      </c>
      <c r="D516" s="43" t="n">
        <f aca="false">INT(C516)</f>
        <v>45383</v>
      </c>
      <c r="E516" s="43" t="n">
        <f aca="false">D516-WEEKDAY(D516,3)</f>
        <v>45383</v>
      </c>
      <c r="F516" s="29" t="s">
        <v>168</v>
      </c>
      <c r="G516" s="29" t="n">
        <v>2024</v>
      </c>
      <c r="H516" s="29" t="s">
        <v>245</v>
      </c>
      <c r="I516" s="29" t="n">
        <v>1</v>
      </c>
      <c r="J516" s="29" t="s">
        <v>246</v>
      </c>
      <c r="K516" s="29" t="s">
        <v>247</v>
      </c>
      <c r="L516" s="29" t="n">
        <v>0.04</v>
      </c>
      <c r="M516" s="32" t="n">
        <v>18319.66</v>
      </c>
      <c r="N516" s="32" t="n">
        <v>18303.2</v>
      </c>
      <c r="O516" s="32" t="n">
        <v>18359.99</v>
      </c>
      <c r="P516" s="45" t="n">
        <f aca="false">ABS(M516-N516)</f>
        <v>16.4599999999991</v>
      </c>
      <c r="Q516" s="45" t="n">
        <f aca="false">IF(O516="","",ABS(O516-M516))</f>
        <v>40.3300000000017</v>
      </c>
      <c r="R516" s="31" t="n">
        <f aca="false">P516*L516*Summary!$C$6</f>
        <v>65.8399999999965</v>
      </c>
      <c r="S516" s="32" t="n">
        <v>18360.16</v>
      </c>
      <c r="T516" s="29" t="s">
        <v>227</v>
      </c>
      <c r="U516" s="45" t="n">
        <f aca="false">IF(J516="BUY",S516-M516,M516-S516)</f>
        <v>40.5</v>
      </c>
      <c r="V516" s="46" t="n">
        <v>0</v>
      </c>
      <c r="W516" s="46" t="n">
        <v>0</v>
      </c>
      <c r="X516" s="46" t="n">
        <v>162</v>
      </c>
      <c r="Y516" s="33" t="n">
        <f aca="false">IFERROR(X516/R516,0)</f>
        <v>2.46051032806817</v>
      </c>
      <c r="Z516" s="29" t="str">
        <f aca="false">IF(X516&gt;0,"Win",IF(X516&lt;0,"Loss","Flat"))</f>
        <v>Win</v>
      </c>
      <c r="AA516" s="29" t="n">
        <f aca="false">ROUND((C516-B516)*1440,1)</f>
        <v>5</v>
      </c>
      <c r="AB516" s="29" t="str">
        <f aca="false">IF(AA516&lt;1,"a) &lt;1 min",IF(AA516&lt;10,"b) 1-10 min",IF(AA516&lt;60,"c) 10-60 min",IF(AA516&lt;240,"d) 1-4 h","e) 4 h+"))))</f>
        <v>b) 1-10 min</v>
      </c>
      <c r="AC516" s="29" t="str">
        <f aca="false">IF(P516&lt;10,"a) &lt;10",IF(P516&lt;20,"b) 10-20",IF(P516&lt;40,"c) 20-40",IF(P516&lt;80,"d) 40-80","e) 80+"))))</f>
        <v>b) 10-20</v>
      </c>
      <c r="AD516" s="31" t="n">
        <f aca="false">Summary!$C$5+SUM(X$2:X516)</f>
        <v>15756.64</v>
      </c>
      <c r="AE516" s="31" t="n">
        <f aca="false">MAX(AE515,AD516)</f>
        <v>15756.64</v>
      </c>
      <c r="AF516" s="31" t="n">
        <f aca="false">AE516-AD516</f>
        <v>0</v>
      </c>
      <c r="AG516" s="30" t="n">
        <f aca="false">IFERROR(AF516/AE516,0)</f>
        <v>0</v>
      </c>
    </row>
    <row r="517" customFormat="false" ht="15" hidden="false" customHeight="false" outlineLevel="0" collapsed="false">
      <c r="A517" s="29" t="n">
        <v>516</v>
      </c>
      <c r="B517" s="44" t="n">
        <v>45383.7618055556</v>
      </c>
      <c r="C517" s="44" t="n">
        <v>45383.7664814815</v>
      </c>
      <c r="D517" s="43" t="n">
        <f aca="false">INT(C517)</f>
        <v>45383</v>
      </c>
      <c r="E517" s="43" t="n">
        <f aca="false">D517-WEEKDAY(D517,3)</f>
        <v>45383</v>
      </c>
      <c r="F517" s="29" t="s">
        <v>168</v>
      </c>
      <c r="G517" s="29" t="n">
        <v>2024</v>
      </c>
      <c r="H517" s="29" t="s">
        <v>245</v>
      </c>
      <c r="I517" s="29" t="n">
        <v>18</v>
      </c>
      <c r="J517" s="29" t="s">
        <v>250</v>
      </c>
      <c r="K517" s="29" t="s">
        <v>251</v>
      </c>
      <c r="L517" s="29" t="n">
        <v>0.04</v>
      </c>
      <c r="M517" s="32" t="n">
        <v>18224.2</v>
      </c>
      <c r="N517" s="32" t="n">
        <v>18236.6</v>
      </c>
      <c r="O517" s="32" t="n">
        <v>18193.83</v>
      </c>
      <c r="P517" s="45" t="n">
        <f aca="false">ABS(M517-N517)</f>
        <v>12.3999999999978</v>
      </c>
      <c r="Q517" s="45" t="n">
        <f aca="false">IF(O517="","",ABS(O517-M517))</f>
        <v>30.369999999999</v>
      </c>
      <c r="R517" s="31" t="n">
        <f aca="false">P517*L517*Summary!$C$6</f>
        <v>49.5999999999913</v>
      </c>
      <c r="S517" s="32" t="n">
        <v>18236.9</v>
      </c>
      <c r="T517" s="29" t="s">
        <v>249</v>
      </c>
      <c r="U517" s="45" t="n">
        <f aca="false">IF(J517="BUY",S517-M517,M517-S517)</f>
        <v>-12.7000000000007</v>
      </c>
      <c r="V517" s="46" t="n">
        <v>0</v>
      </c>
      <c r="W517" s="46" t="n">
        <v>0</v>
      </c>
      <c r="X517" s="46" t="n">
        <v>-50.8</v>
      </c>
      <c r="Y517" s="33" t="n">
        <f aca="false">IFERROR(X517/R517,0)</f>
        <v>-1.02419354838728</v>
      </c>
      <c r="Z517" s="29" t="str">
        <f aca="false">IF(X517&gt;0,"Win",IF(X517&lt;0,"Loss","Flat"))</f>
        <v>Loss</v>
      </c>
      <c r="AA517" s="29" t="n">
        <f aca="false">ROUND((C517-B517)*1440,1)</f>
        <v>6.7</v>
      </c>
      <c r="AB517" s="29" t="str">
        <f aca="false">IF(AA517&lt;1,"a) &lt;1 min",IF(AA517&lt;10,"b) 1-10 min",IF(AA517&lt;60,"c) 10-60 min",IF(AA517&lt;240,"d) 1-4 h","e) 4 h+"))))</f>
        <v>b) 1-10 min</v>
      </c>
      <c r="AC517" s="29" t="str">
        <f aca="false">IF(P517&lt;10,"a) &lt;10",IF(P517&lt;20,"b) 10-20",IF(P517&lt;40,"c) 20-40",IF(P517&lt;80,"d) 40-80","e) 80+"))))</f>
        <v>b) 10-20</v>
      </c>
      <c r="AD517" s="31" t="n">
        <f aca="false">Summary!$C$5+SUM(X$2:X517)</f>
        <v>15705.84</v>
      </c>
      <c r="AE517" s="31" t="n">
        <f aca="false">MAX(AE516,AD517)</f>
        <v>15756.64</v>
      </c>
      <c r="AF517" s="31" t="n">
        <f aca="false">AE517-AD517</f>
        <v>50.7999999999993</v>
      </c>
      <c r="AG517" s="30" t="n">
        <f aca="false">IFERROR(AF517/AE517,0)</f>
        <v>0.00322403761207969</v>
      </c>
    </row>
    <row r="518" customFormat="false" ht="15" hidden="false" customHeight="false" outlineLevel="0" collapsed="false">
      <c r="A518" s="29" t="n">
        <v>517</v>
      </c>
      <c r="B518" s="44" t="n">
        <v>45384.6</v>
      </c>
      <c r="C518" s="44" t="n">
        <v>45384.60125</v>
      </c>
      <c r="D518" s="43" t="n">
        <f aca="false">INT(C518)</f>
        <v>45384</v>
      </c>
      <c r="E518" s="43" t="n">
        <f aca="false">D518-WEEKDAY(D518,3)</f>
        <v>45383</v>
      </c>
      <c r="F518" s="29" t="s">
        <v>168</v>
      </c>
      <c r="G518" s="29" t="n">
        <v>2024</v>
      </c>
      <c r="H518" s="29" t="s">
        <v>248</v>
      </c>
      <c r="I518" s="29" t="n">
        <v>14</v>
      </c>
      <c r="J518" s="29" t="s">
        <v>250</v>
      </c>
      <c r="K518" s="29" t="s">
        <v>251</v>
      </c>
      <c r="L518" s="29" t="n">
        <v>0.04</v>
      </c>
      <c r="M518" s="32" t="n">
        <v>18200.3</v>
      </c>
      <c r="N518" s="32" t="n">
        <v>18208.15</v>
      </c>
      <c r="O518" s="32" t="n">
        <v>18181.07</v>
      </c>
      <c r="P518" s="45" t="n">
        <f aca="false">ABS(M518-N518)</f>
        <v>7.85000000000218</v>
      </c>
      <c r="Q518" s="45" t="n">
        <f aca="false">IF(O518="","",ABS(O518-M518))</f>
        <v>19.2299999999996</v>
      </c>
      <c r="R518" s="31" t="n">
        <f aca="false">P518*L518*Summary!$C$6</f>
        <v>31.4000000000087</v>
      </c>
      <c r="S518" s="32" t="n">
        <v>18208.31</v>
      </c>
      <c r="T518" s="29" t="s">
        <v>249</v>
      </c>
      <c r="U518" s="45" t="n">
        <f aca="false">IF(J518="BUY",S518-M518,M518-S518)</f>
        <v>-8.01000000000204</v>
      </c>
      <c r="V518" s="46" t="n">
        <v>0</v>
      </c>
      <c r="W518" s="46" t="n">
        <v>0</v>
      </c>
      <c r="X518" s="46" t="n">
        <v>-32.04</v>
      </c>
      <c r="Y518" s="33" t="n">
        <f aca="false">IFERROR(X518/R518,0)</f>
        <v>-1.02038216560481</v>
      </c>
      <c r="Z518" s="29" t="str">
        <f aca="false">IF(X518&gt;0,"Win",IF(X518&lt;0,"Loss","Flat"))</f>
        <v>Loss</v>
      </c>
      <c r="AA518" s="29" t="n">
        <f aca="false">ROUND((C518-B518)*1440,1)</f>
        <v>1.8</v>
      </c>
      <c r="AB518" s="29" t="str">
        <f aca="false">IF(AA518&lt;1,"a) &lt;1 min",IF(AA518&lt;10,"b) 1-10 min",IF(AA518&lt;60,"c) 10-60 min",IF(AA518&lt;240,"d) 1-4 h","e) 4 h+"))))</f>
        <v>b) 1-10 min</v>
      </c>
      <c r="AC518" s="29" t="str">
        <f aca="false">IF(P518&lt;10,"a) &lt;10",IF(P518&lt;20,"b) 10-20",IF(P518&lt;40,"c) 20-40",IF(P518&lt;80,"d) 40-80","e) 80+"))))</f>
        <v>a) &lt;10</v>
      </c>
      <c r="AD518" s="31" t="n">
        <f aca="false">Summary!$C$5+SUM(X$2:X518)</f>
        <v>15673.8</v>
      </c>
      <c r="AE518" s="31" t="n">
        <f aca="false">MAX(AE517,AD518)</f>
        <v>15756.64</v>
      </c>
      <c r="AF518" s="31" t="n">
        <f aca="false">AE518-AD518</f>
        <v>82.8400000000002</v>
      </c>
      <c r="AG518" s="30" t="n">
        <f aca="false">IFERROR(AF518/AE518,0)</f>
        <v>0.00525746605875365</v>
      </c>
    </row>
    <row r="519" customFormat="false" ht="15" hidden="false" customHeight="false" outlineLevel="0" collapsed="false">
      <c r="A519" s="29" t="n">
        <v>518</v>
      </c>
      <c r="B519" s="44" t="n">
        <v>45386.1055555556</v>
      </c>
      <c r="C519" s="44" t="n">
        <v>45386.1074421296</v>
      </c>
      <c r="D519" s="43" t="n">
        <f aca="false">INT(C519)</f>
        <v>45386</v>
      </c>
      <c r="E519" s="43" t="n">
        <f aca="false">D519-WEEKDAY(D519,3)</f>
        <v>45383</v>
      </c>
      <c r="F519" s="29" t="s">
        <v>168</v>
      </c>
      <c r="G519" s="29" t="n">
        <v>2024</v>
      </c>
      <c r="H519" s="29" t="s">
        <v>253</v>
      </c>
      <c r="I519" s="29" t="n">
        <v>2</v>
      </c>
      <c r="J519" s="29" t="s">
        <v>246</v>
      </c>
      <c r="K519" s="29" t="s">
        <v>247</v>
      </c>
      <c r="L519" s="29" t="n">
        <v>0.04</v>
      </c>
      <c r="M519" s="32" t="n">
        <v>18260.89</v>
      </c>
      <c r="N519" s="32" t="n">
        <v>18244.31</v>
      </c>
      <c r="O519" s="32" t="n">
        <v>18301.52</v>
      </c>
      <c r="P519" s="45" t="n">
        <f aca="false">ABS(M519-N519)</f>
        <v>16.5799999999981</v>
      </c>
      <c r="Q519" s="45" t="n">
        <f aca="false">IF(O519="","",ABS(O519-M519))</f>
        <v>40.630000000001</v>
      </c>
      <c r="R519" s="31" t="n">
        <f aca="false">P519*L519*Summary!$C$6</f>
        <v>66.3199999999924</v>
      </c>
      <c r="S519" s="32" t="n">
        <v>18244.2</v>
      </c>
      <c r="T519" s="29" t="s">
        <v>249</v>
      </c>
      <c r="U519" s="45" t="n">
        <f aca="false">IF(J519="BUY",S519-M519,M519-S519)</f>
        <v>-16.6899999999987</v>
      </c>
      <c r="V519" s="46" t="n">
        <v>0</v>
      </c>
      <c r="W519" s="46" t="n">
        <v>0</v>
      </c>
      <c r="X519" s="46" t="n">
        <v>-66.76</v>
      </c>
      <c r="Y519" s="33" t="n">
        <f aca="false">IFERROR(X519/R519,0)</f>
        <v>-1.00663449939698</v>
      </c>
      <c r="Z519" s="29" t="str">
        <f aca="false">IF(X519&gt;0,"Win",IF(X519&lt;0,"Loss","Flat"))</f>
        <v>Loss</v>
      </c>
      <c r="AA519" s="29" t="n">
        <f aca="false">ROUND((C519-B519)*1440,1)</f>
        <v>2.7</v>
      </c>
      <c r="AB519" s="29" t="str">
        <f aca="false">IF(AA519&lt;1,"a) &lt;1 min",IF(AA519&lt;10,"b) 1-10 min",IF(AA519&lt;60,"c) 10-60 min",IF(AA519&lt;240,"d) 1-4 h","e) 4 h+"))))</f>
        <v>b) 1-10 min</v>
      </c>
      <c r="AC519" s="29" t="str">
        <f aca="false">IF(P519&lt;10,"a) &lt;10",IF(P519&lt;20,"b) 10-20",IF(P519&lt;40,"c) 20-40",IF(P519&lt;80,"d) 40-80","e) 80+"))))</f>
        <v>b) 10-20</v>
      </c>
      <c r="AD519" s="31" t="n">
        <f aca="false">Summary!$C$5+SUM(X$2:X519)</f>
        <v>15607.04</v>
      </c>
      <c r="AE519" s="31" t="n">
        <f aca="false">MAX(AE518,AD519)</f>
        <v>15756.64</v>
      </c>
      <c r="AF519" s="31" t="n">
        <f aca="false">AE519-AD519</f>
        <v>149.599999999999</v>
      </c>
      <c r="AG519" s="30" t="n">
        <f aca="false">IFERROR(AF519/AE519,0)</f>
        <v>0.00949440997573077</v>
      </c>
    </row>
    <row r="520" customFormat="false" ht="15" hidden="false" customHeight="false" outlineLevel="0" collapsed="false">
      <c r="A520" s="29" t="n">
        <v>519</v>
      </c>
      <c r="B520" s="44" t="n">
        <v>45386.9138888889</v>
      </c>
      <c r="C520" s="44" t="n">
        <v>45386.9140625</v>
      </c>
      <c r="D520" s="43" t="n">
        <f aca="false">INT(C520)</f>
        <v>45386</v>
      </c>
      <c r="E520" s="43" t="n">
        <f aca="false">D520-WEEKDAY(D520,3)</f>
        <v>45383</v>
      </c>
      <c r="F520" s="29" t="s">
        <v>168</v>
      </c>
      <c r="G520" s="29" t="n">
        <v>2024</v>
      </c>
      <c r="H520" s="29" t="s">
        <v>253</v>
      </c>
      <c r="I520" s="29" t="n">
        <v>21</v>
      </c>
      <c r="J520" s="29" t="s">
        <v>250</v>
      </c>
      <c r="K520" s="29" t="s">
        <v>251</v>
      </c>
      <c r="L520" s="29" t="n">
        <v>0.04</v>
      </c>
      <c r="M520" s="32" t="n">
        <v>18013.68</v>
      </c>
      <c r="N520" s="32" t="n">
        <v>18034.43</v>
      </c>
      <c r="O520" s="32" t="n">
        <v>17960.76</v>
      </c>
      <c r="P520" s="45" t="n">
        <f aca="false">ABS(M520-N520)</f>
        <v>20.75</v>
      </c>
      <c r="Q520" s="45" t="n">
        <f aca="false">IF(O520="","",ABS(O520-M520))</f>
        <v>52.9200000000019</v>
      </c>
      <c r="R520" s="31" t="n">
        <f aca="false">P520*L520*Summary!$C$6</f>
        <v>83</v>
      </c>
      <c r="S520" s="32" t="n">
        <v>18034.62</v>
      </c>
      <c r="T520" s="29" t="s">
        <v>249</v>
      </c>
      <c r="U520" s="45" t="n">
        <f aca="false">IF(J520="BUY",S520-M520,M520-S520)</f>
        <v>-20.9399999999987</v>
      </c>
      <c r="V520" s="46" t="n">
        <v>0</v>
      </c>
      <c r="W520" s="46" t="n">
        <v>0</v>
      </c>
      <c r="X520" s="46" t="n">
        <v>-83.76</v>
      </c>
      <c r="Y520" s="33" t="n">
        <f aca="false">IFERROR(X520/R520,0)</f>
        <v>-1.00915662650602</v>
      </c>
      <c r="Z520" s="29" t="str">
        <f aca="false">IF(X520&gt;0,"Win",IF(X520&lt;0,"Loss","Flat"))</f>
        <v>Loss</v>
      </c>
      <c r="AA520" s="29" t="n">
        <f aca="false">ROUND((C520-B520)*1440,1)</f>
        <v>0.3</v>
      </c>
      <c r="AB520" s="29" t="str">
        <f aca="false">IF(AA520&lt;1,"a) &lt;1 min",IF(AA520&lt;10,"b) 1-10 min",IF(AA520&lt;60,"c) 10-60 min",IF(AA520&lt;240,"d) 1-4 h","e) 4 h+"))))</f>
        <v>a) &lt;1 min</v>
      </c>
      <c r="AC520" s="29" t="str">
        <f aca="false">IF(P520&lt;10,"a) &lt;10",IF(P520&lt;20,"b) 10-20",IF(P520&lt;40,"c) 20-40",IF(P520&lt;80,"d) 40-80","e) 80+"))))</f>
        <v>c) 20-40</v>
      </c>
      <c r="AD520" s="31" t="n">
        <f aca="false">Summary!$C$5+SUM(X$2:X520)</f>
        <v>15523.28</v>
      </c>
      <c r="AE520" s="31" t="n">
        <f aca="false">MAX(AE519,AD520)</f>
        <v>15756.64</v>
      </c>
      <c r="AF520" s="31" t="n">
        <f aca="false">AE520-AD520</f>
        <v>233.360000000001</v>
      </c>
      <c r="AG520" s="30" t="n">
        <f aca="false">IFERROR(AF520/AE520,0)</f>
        <v>0.014810264117223</v>
      </c>
    </row>
    <row r="521" customFormat="false" ht="15" hidden="false" customHeight="false" outlineLevel="0" collapsed="false">
      <c r="A521" s="29" t="n">
        <v>520</v>
      </c>
      <c r="B521" s="44" t="n">
        <v>45387.1513888889</v>
      </c>
      <c r="C521" s="44" t="n">
        <v>45387.1516319444</v>
      </c>
      <c r="D521" s="43" t="n">
        <f aca="false">INT(C521)</f>
        <v>45387</v>
      </c>
      <c r="E521" s="43" t="n">
        <f aca="false">D521-WEEKDAY(D521,3)</f>
        <v>45383</v>
      </c>
      <c r="F521" s="29" t="s">
        <v>168</v>
      </c>
      <c r="G521" s="29" t="n">
        <v>2024</v>
      </c>
      <c r="H521" s="29" t="s">
        <v>254</v>
      </c>
      <c r="I521" s="29" t="n">
        <v>3</v>
      </c>
      <c r="J521" s="29" t="s">
        <v>250</v>
      </c>
      <c r="K521" s="29" t="s">
        <v>251</v>
      </c>
      <c r="L521" s="29" t="n">
        <v>0.04</v>
      </c>
      <c r="M521" s="32" t="n">
        <v>17865.62</v>
      </c>
      <c r="N521" s="32" t="n">
        <v>17875.37</v>
      </c>
      <c r="O521" s="32" t="n">
        <v>17841.73</v>
      </c>
      <c r="P521" s="45" t="n">
        <f aca="false">ABS(M521-N521)</f>
        <v>9.75</v>
      </c>
      <c r="Q521" s="45" t="n">
        <f aca="false">IF(O521="","",ABS(O521-M521))</f>
        <v>23.8899999999994</v>
      </c>
      <c r="R521" s="31" t="n">
        <f aca="false">P521*L521*Summary!$C$6</f>
        <v>39</v>
      </c>
      <c r="S521" s="32" t="n">
        <v>17875.4</v>
      </c>
      <c r="T521" s="29" t="s">
        <v>249</v>
      </c>
      <c r="U521" s="45" t="n">
        <f aca="false">IF(J521="BUY",S521-M521,M521-S521)</f>
        <v>-9.78000000000247</v>
      </c>
      <c r="V521" s="46" t="n">
        <v>0</v>
      </c>
      <c r="W521" s="46" t="n">
        <v>0</v>
      </c>
      <c r="X521" s="46" t="n">
        <v>-39.12</v>
      </c>
      <c r="Y521" s="33" t="n">
        <f aca="false">IFERROR(X521/R521,0)</f>
        <v>-1.00307692307692</v>
      </c>
      <c r="Z521" s="29" t="str">
        <f aca="false">IF(X521&gt;0,"Win",IF(X521&lt;0,"Loss","Flat"))</f>
        <v>Loss</v>
      </c>
      <c r="AA521" s="29" t="n">
        <f aca="false">ROUND((C521-B521)*1440,1)</f>
        <v>0.4</v>
      </c>
      <c r="AB521" s="29" t="str">
        <f aca="false">IF(AA521&lt;1,"a) &lt;1 min",IF(AA521&lt;10,"b) 1-10 min",IF(AA521&lt;60,"c) 10-60 min",IF(AA521&lt;240,"d) 1-4 h","e) 4 h+"))))</f>
        <v>a) &lt;1 min</v>
      </c>
      <c r="AC521" s="29" t="str">
        <f aca="false">IF(P521&lt;10,"a) &lt;10",IF(P521&lt;20,"b) 10-20",IF(P521&lt;40,"c) 20-40",IF(P521&lt;80,"d) 40-80","e) 80+"))))</f>
        <v>a) &lt;10</v>
      </c>
      <c r="AD521" s="31" t="n">
        <f aca="false">Summary!$C$5+SUM(X$2:X521)</f>
        <v>15484.16</v>
      </c>
      <c r="AE521" s="31" t="n">
        <f aca="false">MAX(AE520,AD521)</f>
        <v>15756.64</v>
      </c>
      <c r="AF521" s="31" t="n">
        <f aca="false">AE521-AD521</f>
        <v>272.48</v>
      </c>
      <c r="AG521" s="30" t="n">
        <f aca="false">IFERROR(AF521/AE521,0)</f>
        <v>0.0172930269397536</v>
      </c>
    </row>
    <row r="522" customFormat="false" ht="15" hidden="false" customHeight="false" outlineLevel="0" collapsed="false">
      <c r="A522" s="29" t="n">
        <v>521</v>
      </c>
      <c r="B522" s="44" t="n">
        <v>45391.6791666667</v>
      </c>
      <c r="C522" s="44" t="n">
        <v>45391.687650463</v>
      </c>
      <c r="D522" s="43" t="n">
        <f aca="false">INT(C522)</f>
        <v>45391</v>
      </c>
      <c r="E522" s="43" t="n">
        <f aca="false">D522-WEEKDAY(D522,3)</f>
        <v>45390</v>
      </c>
      <c r="F522" s="29" t="s">
        <v>168</v>
      </c>
      <c r="G522" s="29" t="n">
        <v>2024</v>
      </c>
      <c r="H522" s="29" t="s">
        <v>248</v>
      </c>
      <c r="I522" s="29" t="n">
        <v>16</v>
      </c>
      <c r="J522" s="29" t="s">
        <v>246</v>
      </c>
      <c r="K522" s="29" t="s">
        <v>247</v>
      </c>
      <c r="L522" s="29" t="n">
        <v>0.04</v>
      </c>
      <c r="M522" s="32" t="n">
        <v>18195.99</v>
      </c>
      <c r="N522" s="32" t="n">
        <v>18187.42</v>
      </c>
      <c r="O522" s="32" t="n">
        <v>18216.98</v>
      </c>
      <c r="P522" s="45" t="n">
        <f aca="false">ABS(M522-N522)</f>
        <v>8.57000000000335</v>
      </c>
      <c r="Q522" s="45" t="n">
        <f aca="false">IF(O522="","",ABS(O522-M522))</f>
        <v>20.989999999998</v>
      </c>
      <c r="R522" s="31" t="n">
        <f aca="false">P522*L522*Summary!$C$6</f>
        <v>34.2800000000134</v>
      </c>
      <c r="S522" s="32" t="n">
        <v>18195.81</v>
      </c>
      <c r="T522" s="29" t="s">
        <v>255</v>
      </c>
      <c r="U522" s="45" t="n">
        <f aca="false">IF(J522="BUY",S522-M522,M522-S522)</f>
        <v>-0.180000000000291</v>
      </c>
      <c r="V522" s="46" t="n">
        <v>0</v>
      </c>
      <c r="W522" s="46" t="n">
        <v>0</v>
      </c>
      <c r="X522" s="46" t="n">
        <v>-0.72</v>
      </c>
      <c r="Y522" s="33" t="n">
        <f aca="false">IFERROR(X522/R522,0)</f>
        <v>-0.0210035005834224</v>
      </c>
      <c r="Z522" s="29" t="str">
        <f aca="false">IF(X522&gt;0,"Win",IF(X522&lt;0,"Loss","Flat"))</f>
        <v>Loss</v>
      </c>
      <c r="AA522" s="29" t="n">
        <f aca="false">ROUND((C522-B522)*1440,1)</f>
        <v>12.2</v>
      </c>
      <c r="AB522" s="29" t="str">
        <f aca="false">IF(AA522&lt;1,"a) &lt;1 min",IF(AA522&lt;10,"b) 1-10 min",IF(AA522&lt;60,"c) 10-60 min",IF(AA522&lt;240,"d) 1-4 h","e) 4 h+"))))</f>
        <v>c) 10-60 min</v>
      </c>
      <c r="AC522" s="29" t="str">
        <f aca="false">IF(P522&lt;10,"a) &lt;10",IF(P522&lt;20,"b) 10-20",IF(P522&lt;40,"c) 20-40",IF(P522&lt;80,"d) 40-80","e) 80+"))))</f>
        <v>a) &lt;10</v>
      </c>
      <c r="AD522" s="31" t="n">
        <f aca="false">Summary!$C$5+SUM(X$2:X522)</f>
        <v>15483.44</v>
      </c>
      <c r="AE522" s="31" t="n">
        <f aca="false">MAX(AE521,AD522)</f>
        <v>15756.64</v>
      </c>
      <c r="AF522" s="31" t="n">
        <f aca="false">AE522-AD522</f>
        <v>273.200000000001</v>
      </c>
      <c r="AG522" s="30" t="n">
        <f aca="false">IFERROR(AF522/AE522,0)</f>
        <v>0.0173387219610273</v>
      </c>
    </row>
    <row r="523" customFormat="false" ht="15" hidden="false" customHeight="false" outlineLevel="0" collapsed="false">
      <c r="A523" s="29" t="n">
        <v>522</v>
      </c>
      <c r="B523" s="44" t="n">
        <v>45391.7340277778</v>
      </c>
      <c r="C523" s="44" t="n">
        <v>45391.7362615741</v>
      </c>
      <c r="D523" s="43" t="n">
        <f aca="false">INT(C523)</f>
        <v>45391</v>
      </c>
      <c r="E523" s="43" t="n">
        <f aca="false">D523-WEEKDAY(D523,3)</f>
        <v>45390</v>
      </c>
      <c r="F523" s="29" t="s">
        <v>168</v>
      </c>
      <c r="G523" s="29" t="n">
        <v>2024</v>
      </c>
      <c r="H523" s="29" t="s">
        <v>248</v>
      </c>
      <c r="I523" s="29" t="n">
        <v>17</v>
      </c>
      <c r="J523" s="29" t="s">
        <v>250</v>
      </c>
      <c r="K523" s="29" t="s">
        <v>251</v>
      </c>
      <c r="L523" s="29" t="n">
        <v>0.04</v>
      </c>
      <c r="M523" s="32" t="n">
        <v>18026.81</v>
      </c>
      <c r="N523" s="32" t="n">
        <v>18046.01</v>
      </c>
      <c r="O523" s="32" t="n">
        <v>17979.76</v>
      </c>
      <c r="P523" s="45" t="n">
        <f aca="false">ABS(M523-N523)</f>
        <v>19.1999999999971</v>
      </c>
      <c r="Q523" s="45" t="n">
        <f aca="false">IF(O523="","",ABS(O523-M523))</f>
        <v>47.0500000000029</v>
      </c>
      <c r="R523" s="31" t="n">
        <f aca="false">P523*L523*Summary!$C$6</f>
        <v>76.7999999999884</v>
      </c>
      <c r="S523" s="32" t="n">
        <v>18046.25</v>
      </c>
      <c r="T523" s="29" t="s">
        <v>249</v>
      </c>
      <c r="U523" s="45" t="n">
        <f aca="false">IF(J523="BUY",S523-M523,M523-S523)</f>
        <v>-19.4399999999987</v>
      </c>
      <c r="V523" s="46" t="n">
        <v>0</v>
      </c>
      <c r="W523" s="46" t="n">
        <v>0</v>
      </c>
      <c r="X523" s="46" t="n">
        <v>-77.76</v>
      </c>
      <c r="Y523" s="33" t="n">
        <f aca="false">IFERROR(X523/R523,0)</f>
        <v>-1.01250000000015</v>
      </c>
      <c r="Z523" s="29" t="str">
        <f aca="false">IF(X523&gt;0,"Win",IF(X523&lt;0,"Loss","Flat"))</f>
        <v>Loss</v>
      </c>
      <c r="AA523" s="29" t="n">
        <f aca="false">ROUND((C523-B523)*1440,1)</f>
        <v>3.2</v>
      </c>
      <c r="AB523" s="29" t="str">
        <f aca="false">IF(AA523&lt;1,"a) &lt;1 min",IF(AA523&lt;10,"b) 1-10 min",IF(AA523&lt;60,"c) 10-60 min",IF(AA523&lt;240,"d) 1-4 h","e) 4 h+"))))</f>
        <v>b) 1-10 min</v>
      </c>
      <c r="AC523" s="29" t="str">
        <f aca="false">IF(P523&lt;10,"a) &lt;10",IF(P523&lt;20,"b) 10-20",IF(P523&lt;40,"c) 20-40",IF(P523&lt;80,"d) 40-80","e) 80+"))))</f>
        <v>b) 10-20</v>
      </c>
      <c r="AD523" s="31" t="n">
        <f aca="false">Summary!$C$5+SUM(X$2:X523)</f>
        <v>15405.68</v>
      </c>
      <c r="AE523" s="31" t="n">
        <f aca="false">MAX(AE522,AD523)</f>
        <v>15756.64</v>
      </c>
      <c r="AF523" s="31" t="n">
        <f aca="false">AE523-AD523</f>
        <v>350.959999999999</v>
      </c>
      <c r="AG523" s="30" t="n">
        <f aca="false">IFERROR(AF523/AE523,0)</f>
        <v>0.0222737842585728</v>
      </c>
    </row>
    <row r="524" customFormat="false" ht="15" hidden="false" customHeight="false" outlineLevel="0" collapsed="false">
      <c r="A524" s="29" t="n">
        <v>523</v>
      </c>
      <c r="B524" s="44" t="n">
        <v>45392.4979166667</v>
      </c>
      <c r="C524" s="44" t="n">
        <v>45392.4985648148</v>
      </c>
      <c r="D524" s="43" t="n">
        <f aca="false">INT(C524)</f>
        <v>45392</v>
      </c>
      <c r="E524" s="43" t="n">
        <f aca="false">D524-WEEKDAY(D524,3)</f>
        <v>45390</v>
      </c>
      <c r="F524" s="29" t="s">
        <v>168</v>
      </c>
      <c r="G524" s="29" t="n">
        <v>2024</v>
      </c>
      <c r="H524" s="29" t="s">
        <v>252</v>
      </c>
      <c r="I524" s="29" t="n">
        <v>11</v>
      </c>
      <c r="J524" s="29" t="s">
        <v>246</v>
      </c>
      <c r="K524" s="29" t="s">
        <v>247</v>
      </c>
      <c r="L524" s="29" t="n">
        <v>0.04</v>
      </c>
      <c r="M524" s="32" t="n">
        <v>18216.6</v>
      </c>
      <c r="N524" s="32" t="n">
        <v>18212.47</v>
      </c>
      <c r="O524" s="32" t="n">
        <v>18226.72</v>
      </c>
      <c r="P524" s="45" t="n">
        <f aca="false">ABS(M524-N524)</f>
        <v>4.12999999999738</v>
      </c>
      <c r="Q524" s="45" t="n">
        <f aca="false">IF(O524="","",ABS(O524-M524))</f>
        <v>10.1200000000026</v>
      </c>
      <c r="R524" s="31" t="n">
        <f aca="false">P524*L524*Summary!$C$6</f>
        <v>16.5199999999895</v>
      </c>
      <c r="S524" s="32" t="n">
        <v>18212.4</v>
      </c>
      <c r="T524" s="29" t="s">
        <v>249</v>
      </c>
      <c r="U524" s="45" t="n">
        <f aca="false">IF(J524="BUY",S524-M524,M524-S524)</f>
        <v>-4.19999999999709</v>
      </c>
      <c r="V524" s="46" t="n">
        <v>0</v>
      </c>
      <c r="W524" s="46" t="n">
        <v>0</v>
      </c>
      <c r="X524" s="46" t="n">
        <v>-16.8</v>
      </c>
      <c r="Y524" s="33" t="n">
        <f aca="false">IFERROR(X524/R524,0)</f>
        <v>-1.01694915254302</v>
      </c>
      <c r="Z524" s="29" t="str">
        <f aca="false">IF(X524&gt;0,"Win",IF(X524&lt;0,"Loss","Flat"))</f>
        <v>Loss</v>
      </c>
      <c r="AA524" s="29" t="n">
        <f aca="false">ROUND((C524-B524)*1440,1)</f>
        <v>0.9</v>
      </c>
      <c r="AB524" s="29" t="str">
        <f aca="false">IF(AA524&lt;1,"a) &lt;1 min",IF(AA524&lt;10,"b) 1-10 min",IF(AA524&lt;60,"c) 10-60 min",IF(AA524&lt;240,"d) 1-4 h","e) 4 h+"))))</f>
        <v>a) &lt;1 min</v>
      </c>
      <c r="AC524" s="29" t="str">
        <f aca="false">IF(P524&lt;10,"a) &lt;10",IF(P524&lt;20,"b) 10-20",IF(P524&lt;40,"c) 20-40",IF(P524&lt;80,"d) 40-80","e) 80+"))))</f>
        <v>a) &lt;10</v>
      </c>
      <c r="AD524" s="31" t="n">
        <f aca="false">Summary!$C$5+SUM(X$2:X524)</f>
        <v>15388.88</v>
      </c>
      <c r="AE524" s="31" t="n">
        <f aca="false">MAX(AE523,AD524)</f>
        <v>15756.64</v>
      </c>
      <c r="AF524" s="31" t="n">
        <f aca="false">AE524-AD524</f>
        <v>367.759999999998</v>
      </c>
      <c r="AG524" s="30" t="n">
        <f aca="false">IFERROR(AF524/AE524,0)</f>
        <v>0.0233400014216228</v>
      </c>
    </row>
    <row r="525" customFormat="false" ht="15" hidden="false" customHeight="false" outlineLevel="0" collapsed="false">
      <c r="A525" s="29" t="n">
        <v>524</v>
      </c>
      <c r="B525" s="44" t="n">
        <v>45392.6472222222</v>
      </c>
      <c r="C525" s="44" t="n">
        <v>45392.6977199074</v>
      </c>
      <c r="D525" s="43" t="n">
        <f aca="false">INT(C525)</f>
        <v>45392</v>
      </c>
      <c r="E525" s="43" t="n">
        <f aca="false">D525-WEEKDAY(D525,3)</f>
        <v>45390</v>
      </c>
      <c r="F525" s="29" t="s">
        <v>168</v>
      </c>
      <c r="G525" s="29" t="n">
        <v>2024</v>
      </c>
      <c r="H525" s="29" t="s">
        <v>252</v>
      </c>
      <c r="I525" s="29" t="n">
        <v>15</v>
      </c>
      <c r="J525" s="29" t="s">
        <v>250</v>
      </c>
      <c r="K525" s="29" t="s">
        <v>251</v>
      </c>
      <c r="L525" s="29" t="n">
        <v>0.04</v>
      </c>
      <c r="M525" s="32" t="n">
        <v>17926.58</v>
      </c>
      <c r="N525" s="32" t="n">
        <v>18008.78</v>
      </c>
      <c r="O525" s="32" t="n">
        <v>17731.99</v>
      </c>
      <c r="P525" s="45" t="n">
        <f aca="false">ABS(M525-N525)</f>
        <v>82.1999999999971</v>
      </c>
      <c r="Q525" s="45" t="n">
        <f aca="false">IF(O525="","",ABS(O525-M525))</f>
        <v>194.59</v>
      </c>
      <c r="R525" s="31" t="n">
        <f aca="false">P525*L525*Summary!$C$6</f>
        <v>328.799999999988</v>
      </c>
      <c r="S525" s="32" t="n">
        <v>18010.27</v>
      </c>
      <c r="T525" s="29" t="s">
        <v>249</v>
      </c>
      <c r="U525" s="45" t="n">
        <f aca="false">IF(J525="BUY",S525-M525,M525-S525)</f>
        <v>-83.6899999999987</v>
      </c>
      <c r="V525" s="46" t="n">
        <v>0</v>
      </c>
      <c r="W525" s="46" t="n">
        <v>0</v>
      </c>
      <c r="X525" s="46" t="n">
        <v>-334.76</v>
      </c>
      <c r="Y525" s="33" t="n">
        <f aca="false">IFERROR(X525/R525,0)</f>
        <v>-1.0181265206813</v>
      </c>
      <c r="Z525" s="29" t="str">
        <f aca="false">IF(X525&gt;0,"Win",IF(X525&lt;0,"Loss","Flat"))</f>
        <v>Loss</v>
      </c>
      <c r="AA525" s="29" t="n">
        <f aca="false">ROUND((C525-B525)*1440,1)</f>
        <v>72.7</v>
      </c>
      <c r="AB525" s="29" t="str">
        <f aca="false">IF(AA525&lt;1,"a) &lt;1 min",IF(AA525&lt;10,"b) 1-10 min",IF(AA525&lt;60,"c) 10-60 min",IF(AA525&lt;240,"d) 1-4 h","e) 4 h+"))))</f>
        <v>d) 1-4 h</v>
      </c>
      <c r="AC525" s="29" t="str">
        <f aca="false">IF(P525&lt;10,"a) &lt;10",IF(P525&lt;20,"b) 10-20",IF(P525&lt;40,"c) 20-40",IF(P525&lt;80,"d) 40-80","e) 80+"))))</f>
        <v>e) 80+</v>
      </c>
      <c r="AD525" s="31" t="n">
        <f aca="false">Summary!$C$5+SUM(X$2:X525)</f>
        <v>15054.12</v>
      </c>
      <c r="AE525" s="31" t="n">
        <f aca="false">MAX(AE524,AD525)</f>
        <v>15756.64</v>
      </c>
      <c r="AF525" s="31" t="n">
        <f aca="false">AE525-AD525</f>
        <v>702.52</v>
      </c>
      <c r="AG525" s="30" t="n">
        <f aca="false">IFERROR(AF525/AE525,0)</f>
        <v>0.0445856477015405</v>
      </c>
    </row>
    <row r="526" customFormat="false" ht="15" hidden="false" customHeight="false" outlineLevel="0" collapsed="false">
      <c r="A526" s="29" t="n">
        <v>525</v>
      </c>
      <c r="B526" s="44" t="n">
        <v>45393.8805555556</v>
      </c>
      <c r="C526" s="44" t="n">
        <v>45393.8932523148</v>
      </c>
      <c r="D526" s="43" t="n">
        <f aca="false">INT(C526)</f>
        <v>45393</v>
      </c>
      <c r="E526" s="43" t="n">
        <f aca="false">D526-WEEKDAY(D526,3)</f>
        <v>45390</v>
      </c>
      <c r="F526" s="29" t="s">
        <v>168</v>
      </c>
      <c r="G526" s="29" t="n">
        <v>2024</v>
      </c>
      <c r="H526" s="29" t="s">
        <v>253</v>
      </c>
      <c r="I526" s="29" t="n">
        <v>21</v>
      </c>
      <c r="J526" s="29" t="s">
        <v>246</v>
      </c>
      <c r="K526" s="29" t="s">
        <v>247</v>
      </c>
      <c r="L526" s="29" t="n">
        <v>0.04</v>
      </c>
      <c r="M526" s="32" t="n">
        <v>18286.97</v>
      </c>
      <c r="N526" s="32" t="n">
        <v>18277.34</v>
      </c>
      <c r="O526" s="32" t="n">
        <v>18310.56</v>
      </c>
      <c r="P526" s="45" t="n">
        <f aca="false">ABS(M526-N526)</f>
        <v>9.63000000000102</v>
      </c>
      <c r="Q526" s="45" t="n">
        <f aca="false">IF(O526="","",ABS(O526-M526))</f>
        <v>23.5900000000001</v>
      </c>
      <c r="R526" s="31" t="n">
        <f aca="false">P526*L526*Summary!$C$6</f>
        <v>38.5200000000041</v>
      </c>
      <c r="S526" s="32" t="n">
        <v>18310.71</v>
      </c>
      <c r="T526" s="29" t="s">
        <v>227</v>
      </c>
      <c r="U526" s="45" t="n">
        <f aca="false">IF(J526="BUY",S526-M526,M526-S526)</f>
        <v>23.739999999998</v>
      </c>
      <c r="V526" s="46" t="n">
        <v>0</v>
      </c>
      <c r="W526" s="46" t="n">
        <v>0</v>
      </c>
      <c r="X526" s="46" t="n">
        <v>94.96</v>
      </c>
      <c r="Y526" s="33" t="n">
        <f aca="false">IFERROR(X526/R526,0)</f>
        <v>2.46521287642757</v>
      </c>
      <c r="Z526" s="29" t="str">
        <f aca="false">IF(X526&gt;0,"Win",IF(X526&lt;0,"Loss","Flat"))</f>
        <v>Win</v>
      </c>
      <c r="AA526" s="29" t="n">
        <f aca="false">ROUND((C526-B526)*1440,1)</f>
        <v>18.3</v>
      </c>
      <c r="AB526" s="29" t="str">
        <f aca="false">IF(AA526&lt;1,"a) &lt;1 min",IF(AA526&lt;10,"b) 1-10 min",IF(AA526&lt;60,"c) 10-60 min",IF(AA526&lt;240,"d) 1-4 h","e) 4 h+"))))</f>
        <v>c) 10-60 min</v>
      </c>
      <c r="AC526" s="29" t="str">
        <f aca="false">IF(P526&lt;10,"a) &lt;10",IF(P526&lt;20,"b) 10-20",IF(P526&lt;40,"c) 20-40",IF(P526&lt;80,"d) 40-80","e) 80+"))))</f>
        <v>a) &lt;10</v>
      </c>
      <c r="AD526" s="31" t="n">
        <f aca="false">Summary!$C$5+SUM(X$2:X526)</f>
        <v>15149.08</v>
      </c>
      <c r="AE526" s="31" t="n">
        <f aca="false">MAX(AE525,AD526)</f>
        <v>15756.64</v>
      </c>
      <c r="AF526" s="31" t="n">
        <f aca="false">AE526-AD526</f>
        <v>607.56</v>
      </c>
      <c r="AG526" s="30" t="n">
        <f aca="false">IFERROR(AF526/AE526,0)</f>
        <v>0.038558982118015</v>
      </c>
    </row>
    <row r="527" customFormat="false" ht="15" hidden="false" customHeight="false" outlineLevel="0" collapsed="false">
      <c r="A527" s="29" t="n">
        <v>526</v>
      </c>
      <c r="B527" s="44" t="n">
        <v>45397.8131944445</v>
      </c>
      <c r="C527" s="44" t="n">
        <v>45397.8197106482</v>
      </c>
      <c r="D527" s="43" t="n">
        <f aca="false">INT(C527)</f>
        <v>45397</v>
      </c>
      <c r="E527" s="43" t="n">
        <f aca="false">D527-WEEKDAY(D527,3)</f>
        <v>45397</v>
      </c>
      <c r="F527" s="29" t="s">
        <v>168</v>
      </c>
      <c r="G527" s="29" t="n">
        <v>2024</v>
      </c>
      <c r="H527" s="29" t="s">
        <v>245</v>
      </c>
      <c r="I527" s="29" t="n">
        <v>19</v>
      </c>
      <c r="J527" s="29" t="s">
        <v>250</v>
      </c>
      <c r="K527" s="29" t="s">
        <v>251</v>
      </c>
      <c r="L527" s="29" t="n">
        <v>0.04</v>
      </c>
      <c r="M527" s="32" t="n">
        <v>17939.75</v>
      </c>
      <c r="N527" s="32" t="n">
        <v>17953.23</v>
      </c>
      <c r="O527" s="32" t="n">
        <v>17909.98</v>
      </c>
      <c r="P527" s="45" t="n">
        <f aca="false">ABS(M527-N527)</f>
        <v>13.4799999999996</v>
      </c>
      <c r="Q527" s="45" t="n">
        <f aca="false">IF(O527="","",ABS(O527-M527))</f>
        <v>29.7700000000004</v>
      </c>
      <c r="R527" s="31" t="n">
        <f aca="false">P527*L527*Summary!$C$6</f>
        <v>53.9199999999983</v>
      </c>
      <c r="S527" s="32" t="n">
        <v>17939.85</v>
      </c>
      <c r="T527" s="29" t="s">
        <v>255</v>
      </c>
      <c r="U527" s="45" t="n">
        <f aca="false">IF(J527="BUY",S527-M527,M527-S527)</f>
        <v>-0.0999999999985448</v>
      </c>
      <c r="V527" s="46" t="n">
        <v>0</v>
      </c>
      <c r="W527" s="46" t="n">
        <v>0</v>
      </c>
      <c r="X527" s="46" t="n">
        <v>-0.4</v>
      </c>
      <c r="Y527" s="33" t="n">
        <f aca="false">IFERROR(X527/R527,0)</f>
        <v>-0.007418397626113</v>
      </c>
      <c r="Z527" s="29" t="str">
        <f aca="false">IF(X527&gt;0,"Win",IF(X527&lt;0,"Loss","Flat"))</f>
        <v>Loss</v>
      </c>
      <c r="AA527" s="29" t="n">
        <f aca="false">ROUND((C527-B527)*1440,1)</f>
        <v>9.4</v>
      </c>
      <c r="AB527" s="29" t="str">
        <f aca="false">IF(AA527&lt;1,"a) &lt;1 min",IF(AA527&lt;10,"b) 1-10 min",IF(AA527&lt;60,"c) 10-60 min",IF(AA527&lt;240,"d) 1-4 h","e) 4 h+"))))</f>
        <v>b) 1-10 min</v>
      </c>
      <c r="AC527" s="29" t="str">
        <f aca="false">IF(P527&lt;10,"a) &lt;10",IF(P527&lt;20,"b) 10-20",IF(P527&lt;40,"c) 20-40",IF(P527&lt;80,"d) 40-80","e) 80+"))))</f>
        <v>b) 10-20</v>
      </c>
      <c r="AD527" s="31" t="n">
        <f aca="false">Summary!$C$5+SUM(X$2:X527)</f>
        <v>15148.68</v>
      </c>
      <c r="AE527" s="31" t="n">
        <f aca="false">MAX(AE526,AD527)</f>
        <v>15756.64</v>
      </c>
      <c r="AF527" s="31" t="n">
        <f aca="false">AE527-AD527</f>
        <v>607.959999999999</v>
      </c>
      <c r="AG527" s="30" t="n">
        <f aca="false">IFERROR(AF527/AE527,0)</f>
        <v>0.0385843682409447</v>
      </c>
    </row>
    <row r="528" customFormat="false" ht="15" hidden="false" customHeight="false" outlineLevel="0" collapsed="false">
      <c r="A528" s="29" t="n">
        <v>527</v>
      </c>
      <c r="B528" s="44" t="n">
        <v>45398.2291666667</v>
      </c>
      <c r="C528" s="44" t="n">
        <v>45398.2316550926</v>
      </c>
      <c r="D528" s="43" t="n">
        <f aca="false">INT(C528)</f>
        <v>45398</v>
      </c>
      <c r="E528" s="43" t="n">
        <f aca="false">D528-WEEKDAY(D528,3)</f>
        <v>45397</v>
      </c>
      <c r="F528" s="29" t="s">
        <v>168</v>
      </c>
      <c r="G528" s="29" t="n">
        <v>2024</v>
      </c>
      <c r="H528" s="29" t="s">
        <v>248</v>
      </c>
      <c r="I528" s="29" t="n">
        <v>5</v>
      </c>
      <c r="J528" s="29" t="s">
        <v>250</v>
      </c>
      <c r="K528" s="29" t="s">
        <v>251</v>
      </c>
      <c r="L528" s="29" t="n">
        <v>0.04</v>
      </c>
      <c r="M528" s="32" t="n">
        <v>17649.25</v>
      </c>
      <c r="N528" s="32" t="n">
        <v>17663.74</v>
      </c>
      <c r="O528" s="32" t="n">
        <v>17618.55</v>
      </c>
      <c r="P528" s="45" t="n">
        <f aca="false">ABS(M528-N528)</f>
        <v>14.4900000000016</v>
      </c>
      <c r="Q528" s="45" t="n">
        <f aca="false">IF(O528="","",ABS(O528-M528))</f>
        <v>30.7000000000007</v>
      </c>
      <c r="R528" s="31" t="n">
        <f aca="false">P528*L528*Summary!$C$6</f>
        <v>57.9600000000064</v>
      </c>
      <c r="S528" s="32" t="n">
        <v>17664.01</v>
      </c>
      <c r="T528" s="29" t="s">
        <v>249</v>
      </c>
      <c r="U528" s="45" t="n">
        <f aca="false">IF(J528="BUY",S528-M528,M528-S528)</f>
        <v>-14.7599999999984</v>
      </c>
      <c r="V528" s="46" t="n">
        <v>0</v>
      </c>
      <c r="W528" s="46" t="n">
        <v>0</v>
      </c>
      <c r="X528" s="46" t="n">
        <v>-59.04</v>
      </c>
      <c r="Y528" s="33" t="n">
        <f aca="false">IFERROR(X528/R528,0)</f>
        <v>-1.01863354037256</v>
      </c>
      <c r="Z528" s="29" t="str">
        <f aca="false">IF(X528&gt;0,"Win",IF(X528&lt;0,"Loss","Flat"))</f>
        <v>Loss</v>
      </c>
      <c r="AA528" s="29" t="n">
        <f aca="false">ROUND((C528-B528)*1440,1)</f>
        <v>3.6</v>
      </c>
      <c r="AB528" s="29" t="str">
        <f aca="false">IF(AA528&lt;1,"a) &lt;1 min",IF(AA528&lt;10,"b) 1-10 min",IF(AA528&lt;60,"c) 10-60 min",IF(AA528&lt;240,"d) 1-4 h","e) 4 h+"))))</f>
        <v>b) 1-10 min</v>
      </c>
      <c r="AC528" s="29" t="str">
        <f aca="false">IF(P528&lt;10,"a) &lt;10",IF(P528&lt;20,"b) 10-20",IF(P528&lt;40,"c) 20-40",IF(P528&lt;80,"d) 40-80","e) 80+"))))</f>
        <v>b) 10-20</v>
      </c>
      <c r="AD528" s="31" t="n">
        <f aca="false">Summary!$C$5+SUM(X$2:X528)</f>
        <v>15089.64</v>
      </c>
      <c r="AE528" s="31" t="n">
        <f aca="false">MAX(AE527,AD528)</f>
        <v>15756.64</v>
      </c>
      <c r="AF528" s="31" t="n">
        <f aca="false">AE528-AD528</f>
        <v>667</v>
      </c>
      <c r="AG528" s="30" t="n">
        <f aca="false">IFERROR(AF528/AE528,0)</f>
        <v>0.0423313599853776</v>
      </c>
    </row>
    <row r="529" customFormat="false" ht="15" hidden="false" customHeight="false" outlineLevel="0" collapsed="false">
      <c r="A529" s="29" t="n">
        <v>528</v>
      </c>
      <c r="B529" s="44" t="n">
        <v>45399.7458333333</v>
      </c>
      <c r="C529" s="44" t="n">
        <v>45399.7484259259</v>
      </c>
      <c r="D529" s="43" t="n">
        <f aca="false">INT(C529)</f>
        <v>45399</v>
      </c>
      <c r="E529" s="43" t="n">
        <f aca="false">D529-WEEKDAY(D529,3)</f>
        <v>45397</v>
      </c>
      <c r="F529" s="29" t="s">
        <v>168</v>
      </c>
      <c r="G529" s="29" t="n">
        <v>2024</v>
      </c>
      <c r="H529" s="29" t="s">
        <v>252</v>
      </c>
      <c r="I529" s="29" t="n">
        <v>17</v>
      </c>
      <c r="J529" s="29" t="s">
        <v>250</v>
      </c>
      <c r="K529" s="29" t="s">
        <v>251</v>
      </c>
      <c r="L529" s="29" t="n">
        <v>0.04</v>
      </c>
      <c r="M529" s="32" t="n">
        <v>17615.98</v>
      </c>
      <c r="N529" s="32" t="n">
        <v>17637.51</v>
      </c>
      <c r="O529" s="32" t="n">
        <v>17563.24</v>
      </c>
      <c r="P529" s="45" t="n">
        <f aca="false">ABS(M529-N529)</f>
        <v>21.5299999999988</v>
      </c>
      <c r="Q529" s="45" t="n">
        <f aca="false">IF(O529="","",ABS(O529-M529))</f>
        <v>52.739999999998</v>
      </c>
      <c r="R529" s="31" t="n">
        <f aca="false">P529*L529*Summary!$C$6</f>
        <v>86.1199999999953</v>
      </c>
      <c r="S529" s="32" t="n">
        <v>17637.76</v>
      </c>
      <c r="T529" s="29" t="s">
        <v>249</v>
      </c>
      <c r="U529" s="45" t="n">
        <f aca="false">IF(J529="BUY",S529-M529,M529-S529)</f>
        <v>-21.7799999999988</v>
      </c>
      <c r="V529" s="46" t="n">
        <v>0</v>
      </c>
      <c r="W529" s="46" t="n">
        <v>0</v>
      </c>
      <c r="X529" s="46" t="n">
        <v>-87.12</v>
      </c>
      <c r="Y529" s="33" t="n">
        <f aca="false">IFERROR(X529/R529,0)</f>
        <v>-1.01161170459829</v>
      </c>
      <c r="Z529" s="29" t="str">
        <f aca="false">IF(X529&gt;0,"Win",IF(X529&lt;0,"Loss","Flat"))</f>
        <v>Loss</v>
      </c>
      <c r="AA529" s="29" t="n">
        <f aca="false">ROUND((C529-B529)*1440,1)</f>
        <v>3.7</v>
      </c>
      <c r="AB529" s="29" t="str">
        <f aca="false">IF(AA529&lt;1,"a) &lt;1 min",IF(AA529&lt;10,"b) 1-10 min",IF(AA529&lt;60,"c) 10-60 min",IF(AA529&lt;240,"d) 1-4 h","e) 4 h+"))))</f>
        <v>b) 1-10 min</v>
      </c>
      <c r="AC529" s="29" t="str">
        <f aca="false">IF(P529&lt;10,"a) &lt;10",IF(P529&lt;20,"b) 10-20",IF(P529&lt;40,"c) 20-40",IF(P529&lt;80,"d) 40-80","e) 80+"))))</f>
        <v>c) 20-40</v>
      </c>
      <c r="AD529" s="31" t="n">
        <f aca="false">Summary!$C$5+SUM(X$2:X529)</f>
        <v>15002.52</v>
      </c>
      <c r="AE529" s="31" t="n">
        <f aca="false">MAX(AE528,AD529)</f>
        <v>15756.64</v>
      </c>
      <c r="AF529" s="31" t="n">
        <f aca="false">AE529-AD529</f>
        <v>754.119999999999</v>
      </c>
      <c r="AG529" s="30" t="n">
        <f aca="false">IFERROR(AF529/AE529,0)</f>
        <v>0.0478604575594796</v>
      </c>
    </row>
    <row r="530" customFormat="false" ht="15" hidden="false" customHeight="false" outlineLevel="0" collapsed="false">
      <c r="A530" s="29" t="n">
        <v>529</v>
      </c>
      <c r="B530" s="44" t="n">
        <v>45400.6916666667</v>
      </c>
      <c r="C530" s="44" t="n">
        <v>45400.6941087963</v>
      </c>
      <c r="D530" s="43" t="n">
        <f aca="false">INT(C530)</f>
        <v>45400</v>
      </c>
      <c r="E530" s="43" t="n">
        <f aca="false">D530-WEEKDAY(D530,3)</f>
        <v>45397</v>
      </c>
      <c r="F530" s="29" t="s">
        <v>168</v>
      </c>
      <c r="G530" s="29" t="n">
        <v>2024</v>
      </c>
      <c r="H530" s="29" t="s">
        <v>253</v>
      </c>
      <c r="I530" s="29" t="n">
        <v>16</v>
      </c>
      <c r="J530" s="29" t="s">
        <v>250</v>
      </c>
      <c r="K530" s="29" t="s">
        <v>251</v>
      </c>
      <c r="L530" s="29" t="n">
        <v>0.04</v>
      </c>
      <c r="M530" s="32" t="n">
        <v>17454.2</v>
      </c>
      <c r="N530" s="32" t="n">
        <v>17476.47</v>
      </c>
      <c r="O530" s="32" t="n">
        <v>17399.63</v>
      </c>
      <c r="P530" s="45" t="n">
        <f aca="false">ABS(M530-N530)</f>
        <v>22.2700000000004</v>
      </c>
      <c r="Q530" s="45" t="n">
        <f aca="false">IF(O530="","",ABS(O530-M530))</f>
        <v>54.5699999999997</v>
      </c>
      <c r="R530" s="31" t="n">
        <f aca="false">P530*L530*Summary!$C$6</f>
        <v>89.0800000000018</v>
      </c>
      <c r="S530" s="32" t="n">
        <v>17399.02</v>
      </c>
      <c r="T530" s="29" t="s">
        <v>227</v>
      </c>
      <c r="U530" s="45" t="n">
        <f aca="false">IF(J530="BUY",S530-M530,M530-S530)</f>
        <v>55.1800000000003</v>
      </c>
      <c r="V530" s="46" t="n">
        <v>0</v>
      </c>
      <c r="W530" s="46" t="n">
        <v>0</v>
      </c>
      <c r="X530" s="46" t="n">
        <v>220.72</v>
      </c>
      <c r="Y530" s="33" t="n">
        <f aca="false">IFERROR(X530/R530,0)</f>
        <v>2.47777278850467</v>
      </c>
      <c r="Z530" s="29" t="str">
        <f aca="false">IF(X530&gt;0,"Win",IF(X530&lt;0,"Loss","Flat"))</f>
        <v>Win</v>
      </c>
      <c r="AA530" s="29" t="n">
        <f aca="false">ROUND((C530-B530)*1440,1)</f>
        <v>3.5</v>
      </c>
      <c r="AB530" s="29" t="str">
        <f aca="false">IF(AA530&lt;1,"a) &lt;1 min",IF(AA530&lt;10,"b) 1-10 min",IF(AA530&lt;60,"c) 10-60 min",IF(AA530&lt;240,"d) 1-4 h","e) 4 h+"))))</f>
        <v>b) 1-10 min</v>
      </c>
      <c r="AC530" s="29" t="str">
        <f aca="false">IF(P530&lt;10,"a) &lt;10",IF(P530&lt;20,"b) 10-20",IF(P530&lt;40,"c) 20-40",IF(P530&lt;80,"d) 40-80","e) 80+"))))</f>
        <v>c) 20-40</v>
      </c>
      <c r="AD530" s="31" t="n">
        <f aca="false">Summary!$C$5+SUM(X$2:X530)</f>
        <v>15223.24</v>
      </c>
      <c r="AE530" s="31" t="n">
        <f aca="false">MAX(AE529,AD530)</f>
        <v>15756.64</v>
      </c>
      <c r="AF530" s="31" t="n">
        <f aca="false">AE530-AD530</f>
        <v>533.4</v>
      </c>
      <c r="AG530" s="30" t="n">
        <f aca="false">IFERROR(AF530/AE530,0)</f>
        <v>0.0338523949268372</v>
      </c>
    </row>
    <row r="531" customFormat="false" ht="15" hidden="false" customHeight="false" outlineLevel="0" collapsed="false">
      <c r="A531" s="29" t="n">
        <v>530</v>
      </c>
      <c r="B531" s="44" t="n">
        <v>45401.1201388889</v>
      </c>
      <c r="C531" s="44" t="n">
        <v>45401.1202314815</v>
      </c>
      <c r="D531" s="43" t="n">
        <f aca="false">INT(C531)</f>
        <v>45401</v>
      </c>
      <c r="E531" s="43" t="n">
        <f aca="false">D531-WEEKDAY(D531,3)</f>
        <v>45397</v>
      </c>
      <c r="F531" s="29" t="s">
        <v>168</v>
      </c>
      <c r="G531" s="29" t="n">
        <v>2024</v>
      </c>
      <c r="H531" s="29" t="s">
        <v>254</v>
      </c>
      <c r="I531" s="29" t="n">
        <v>2</v>
      </c>
      <c r="J531" s="29" t="s">
        <v>250</v>
      </c>
      <c r="K531" s="29" t="s">
        <v>251</v>
      </c>
      <c r="L531" s="29" t="n">
        <v>0.04</v>
      </c>
      <c r="M531" s="32" t="n">
        <v>17341.24</v>
      </c>
      <c r="N531" s="32" t="n">
        <v>17346.85</v>
      </c>
      <c r="O531" s="32" t="n">
        <v>17327.49</v>
      </c>
      <c r="P531" s="45" t="n">
        <f aca="false">ABS(M531-N531)</f>
        <v>5.60999999999694</v>
      </c>
      <c r="Q531" s="45" t="n">
        <f aca="false">IF(O531="","",ABS(O531-M531))</f>
        <v>13.75</v>
      </c>
      <c r="R531" s="31" t="n">
        <f aca="false">P531*L531*Summary!$C$6</f>
        <v>22.4399999999878</v>
      </c>
      <c r="S531" s="32" t="n">
        <v>17326.42</v>
      </c>
      <c r="T531" s="29" t="s">
        <v>227</v>
      </c>
      <c r="U531" s="45" t="n">
        <f aca="false">IF(J531="BUY",S531-M531,M531-S531)</f>
        <v>14.8200000000033</v>
      </c>
      <c r="V531" s="46" t="n">
        <v>0</v>
      </c>
      <c r="W531" s="46" t="n">
        <v>0</v>
      </c>
      <c r="X531" s="46" t="n">
        <v>59.28</v>
      </c>
      <c r="Y531" s="33" t="n">
        <f aca="false">IFERROR(X531/R531,0)</f>
        <v>2.64171122994796</v>
      </c>
      <c r="Z531" s="29" t="str">
        <f aca="false">IF(X531&gt;0,"Win",IF(X531&lt;0,"Loss","Flat"))</f>
        <v>Win</v>
      </c>
      <c r="AA531" s="29" t="n">
        <f aca="false">ROUND((C531-B531)*1440,1)</f>
        <v>0.1</v>
      </c>
      <c r="AB531" s="29" t="str">
        <f aca="false">IF(AA531&lt;1,"a) &lt;1 min",IF(AA531&lt;10,"b) 1-10 min",IF(AA531&lt;60,"c) 10-60 min",IF(AA531&lt;240,"d) 1-4 h","e) 4 h+"))))</f>
        <v>a) &lt;1 min</v>
      </c>
      <c r="AC531" s="29" t="str">
        <f aca="false">IF(P531&lt;10,"a) &lt;10",IF(P531&lt;20,"b) 10-20",IF(P531&lt;40,"c) 20-40",IF(P531&lt;80,"d) 40-80","e) 80+"))))</f>
        <v>a) &lt;10</v>
      </c>
      <c r="AD531" s="31" t="n">
        <f aca="false">Summary!$C$5+SUM(X$2:X531)</f>
        <v>15282.52</v>
      </c>
      <c r="AE531" s="31" t="n">
        <f aca="false">MAX(AE530,AD531)</f>
        <v>15756.64</v>
      </c>
      <c r="AF531" s="31" t="n">
        <f aca="false">AE531-AD531</f>
        <v>474.119999999999</v>
      </c>
      <c r="AG531" s="30" t="n">
        <f aca="false">IFERROR(AF531/AE531,0)</f>
        <v>0.0300901715086465</v>
      </c>
    </row>
    <row r="532" customFormat="false" ht="15" hidden="false" customHeight="false" outlineLevel="0" collapsed="false">
      <c r="A532" s="29" t="n">
        <v>531</v>
      </c>
      <c r="B532" s="44" t="n">
        <v>45405.6888888889</v>
      </c>
      <c r="C532" s="44" t="n">
        <v>45405.6903935185</v>
      </c>
      <c r="D532" s="43" t="n">
        <f aca="false">INT(C532)</f>
        <v>45405</v>
      </c>
      <c r="E532" s="43" t="n">
        <f aca="false">D532-WEEKDAY(D532,3)</f>
        <v>45404</v>
      </c>
      <c r="F532" s="29" t="s">
        <v>168</v>
      </c>
      <c r="G532" s="29" t="n">
        <v>2024</v>
      </c>
      <c r="H532" s="29" t="s">
        <v>248</v>
      </c>
      <c r="I532" s="29" t="n">
        <v>16</v>
      </c>
      <c r="J532" s="29" t="s">
        <v>246</v>
      </c>
      <c r="K532" s="29" t="s">
        <v>247</v>
      </c>
      <c r="L532" s="29" t="n">
        <v>0.04</v>
      </c>
      <c r="M532" s="32" t="n">
        <v>17310.71</v>
      </c>
      <c r="N532" s="32" t="n">
        <v>17293.32</v>
      </c>
      <c r="O532" s="32" t="n">
        <v>17353.33</v>
      </c>
      <c r="P532" s="45" t="n">
        <f aca="false">ABS(M532-N532)</f>
        <v>17.3899999999994</v>
      </c>
      <c r="Q532" s="45" t="n">
        <f aca="false">IF(O532="","",ABS(O532-M532))</f>
        <v>42.6200000000026</v>
      </c>
      <c r="R532" s="31" t="n">
        <f aca="false">P532*L532*Summary!$C$6</f>
        <v>69.5599999999977</v>
      </c>
      <c r="S532" s="32" t="n">
        <v>17293.24</v>
      </c>
      <c r="T532" s="29" t="s">
        <v>249</v>
      </c>
      <c r="U532" s="45" t="n">
        <f aca="false">IF(J532="BUY",S532-M532,M532-S532)</f>
        <v>-17.4699999999975</v>
      </c>
      <c r="V532" s="46" t="n">
        <v>0</v>
      </c>
      <c r="W532" s="46" t="n">
        <v>0</v>
      </c>
      <c r="X532" s="46" t="n">
        <v>-69.88</v>
      </c>
      <c r="Y532" s="33" t="n">
        <f aca="false">IFERROR(X532/R532,0)</f>
        <v>-1.00460034502591</v>
      </c>
      <c r="Z532" s="29" t="str">
        <f aca="false">IF(X532&gt;0,"Win",IF(X532&lt;0,"Loss","Flat"))</f>
        <v>Loss</v>
      </c>
      <c r="AA532" s="29" t="n">
        <f aca="false">ROUND((C532-B532)*1440,1)</f>
        <v>2.2</v>
      </c>
      <c r="AB532" s="29" t="str">
        <f aca="false">IF(AA532&lt;1,"a) &lt;1 min",IF(AA532&lt;10,"b) 1-10 min",IF(AA532&lt;60,"c) 10-60 min",IF(AA532&lt;240,"d) 1-4 h","e) 4 h+"))))</f>
        <v>b) 1-10 min</v>
      </c>
      <c r="AC532" s="29" t="str">
        <f aca="false">IF(P532&lt;10,"a) &lt;10",IF(P532&lt;20,"b) 10-20",IF(P532&lt;40,"c) 20-40",IF(P532&lt;80,"d) 40-80","e) 80+"))))</f>
        <v>b) 10-20</v>
      </c>
      <c r="AD532" s="31" t="n">
        <f aca="false">Summary!$C$5+SUM(X$2:X532)</f>
        <v>15212.64</v>
      </c>
      <c r="AE532" s="31" t="n">
        <f aca="false">MAX(AE531,AD532)</f>
        <v>15756.64</v>
      </c>
      <c r="AF532" s="31" t="n">
        <f aca="false">AE532-AD532</f>
        <v>544</v>
      </c>
      <c r="AG532" s="30" t="n">
        <f aca="false">IFERROR(AF532/AE532,0)</f>
        <v>0.0345251271844759</v>
      </c>
    </row>
    <row r="533" customFormat="false" ht="15" hidden="false" customHeight="false" outlineLevel="0" collapsed="false">
      <c r="A533" s="29" t="n">
        <v>532</v>
      </c>
      <c r="B533" s="44" t="n">
        <v>45406.0472453704</v>
      </c>
      <c r="C533" s="44" t="n">
        <v>45406.1132060185</v>
      </c>
      <c r="D533" s="43" t="n">
        <f aca="false">INT(C533)</f>
        <v>45406</v>
      </c>
      <c r="E533" s="43" t="n">
        <f aca="false">D533-WEEKDAY(D533,3)</f>
        <v>45404</v>
      </c>
      <c r="F533" s="29" t="s">
        <v>168</v>
      </c>
      <c r="G533" s="29" t="n">
        <v>2024</v>
      </c>
      <c r="H533" s="29" t="s">
        <v>252</v>
      </c>
      <c r="I533" s="29" t="n">
        <v>1</v>
      </c>
      <c r="J533" s="29" t="s">
        <v>246</v>
      </c>
      <c r="K533" s="29" t="s">
        <v>247</v>
      </c>
      <c r="L533" s="29" t="n">
        <v>0.04</v>
      </c>
      <c r="M533" s="32" t="n">
        <v>17537.08</v>
      </c>
      <c r="N533" s="32" t="n">
        <v>17524.34</v>
      </c>
      <c r="O533" s="32" t="n">
        <v>17568.29</v>
      </c>
      <c r="P533" s="45" t="n">
        <f aca="false">ABS(M533-N533)</f>
        <v>12.7400000000016</v>
      </c>
      <c r="Q533" s="45" t="n">
        <f aca="false">IF(O533="","",ABS(O533-M533))</f>
        <v>31.2099999999991</v>
      </c>
      <c r="R533" s="31" t="n">
        <f aca="false">P533*L533*Summary!$C$6</f>
        <v>50.9600000000064</v>
      </c>
      <c r="S533" s="32" t="n">
        <v>17568.41</v>
      </c>
      <c r="T533" s="29" t="s">
        <v>227</v>
      </c>
      <c r="U533" s="45" t="n">
        <f aca="false">IF(J533="BUY",S533-M533,M533-S533)</f>
        <v>31.3299999999981</v>
      </c>
      <c r="V533" s="46" t="n">
        <v>0</v>
      </c>
      <c r="W533" s="46" t="n">
        <v>0</v>
      </c>
      <c r="X533" s="46" t="n">
        <v>125.32</v>
      </c>
      <c r="Y533" s="33" t="n">
        <f aca="false">IFERROR(X533/R533,0)</f>
        <v>2.45918367346908</v>
      </c>
      <c r="Z533" s="29" t="str">
        <f aca="false">IF(X533&gt;0,"Win",IF(X533&lt;0,"Loss","Flat"))</f>
        <v>Win</v>
      </c>
      <c r="AA533" s="29" t="n">
        <f aca="false">ROUND((C533-B533)*1440,1)</f>
        <v>95</v>
      </c>
      <c r="AB533" s="29" t="str">
        <f aca="false">IF(AA533&lt;1,"a) &lt;1 min",IF(AA533&lt;10,"b) 1-10 min",IF(AA533&lt;60,"c) 10-60 min",IF(AA533&lt;240,"d) 1-4 h","e) 4 h+"))))</f>
        <v>d) 1-4 h</v>
      </c>
      <c r="AC533" s="29" t="str">
        <f aca="false">IF(P533&lt;10,"a) &lt;10",IF(P533&lt;20,"b) 10-20",IF(P533&lt;40,"c) 20-40",IF(P533&lt;80,"d) 40-80","e) 80+"))))</f>
        <v>b) 10-20</v>
      </c>
      <c r="AD533" s="31" t="n">
        <f aca="false">Summary!$C$5+SUM(X$2:X533)</f>
        <v>15337.96</v>
      </c>
      <c r="AE533" s="31" t="n">
        <f aca="false">MAX(AE532,AD533)</f>
        <v>15756.64</v>
      </c>
      <c r="AF533" s="31" t="n">
        <f aca="false">AE533-AD533</f>
        <v>418.68</v>
      </c>
      <c r="AG533" s="30" t="n">
        <f aca="false">IFERROR(AF533/AE533,0)</f>
        <v>0.0265716548705816</v>
      </c>
    </row>
    <row r="534" customFormat="false" ht="15" hidden="false" customHeight="false" outlineLevel="0" collapsed="false">
      <c r="A534" s="29" t="n">
        <v>533</v>
      </c>
      <c r="B534" s="44" t="n">
        <v>45407.0472222222</v>
      </c>
      <c r="C534" s="44" t="n">
        <v>45407.1255902778</v>
      </c>
      <c r="D534" s="43" t="n">
        <f aca="false">INT(C534)</f>
        <v>45407</v>
      </c>
      <c r="E534" s="43" t="n">
        <f aca="false">D534-WEEKDAY(D534,3)</f>
        <v>45404</v>
      </c>
      <c r="F534" s="29" t="s">
        <v>168</v>
      </c>
      <c r="G534" s="29" t="n">
        <v>2024</v>
      </c>
      <c r="H534" s="29" t="s">
        <v>253</v>
      </c>
      <c r="I534" s="29" t="n">
        <v>1</v>
      </c>
      <c r="J534" s="29" t="s">
        <v>250</v>
      </c>
      <c r="K534" s="29" t="s">
        <v>251</v>
      </c>
      <c r="L534" s="29" t="n">
        <v>0.04</v>
      </c>
      <c r="M534" s="32" t="n">
        <v>17338.96</v>
      </c>
      <c r="N534" s="32" t="n">
        <v>17362.1</v>
      </c>
      <c r="O534" s="32" t="n">
        <v>17282.26</v>
      </c>
      <c r="P534" s="45" t="n">
        <f aca="false">ABS(M534-N534)</f>
        <v>23.1399999999994</v>
      </c>
      <c r="Q534" s="45" t="n">
        <f aca="false">IF(O534="","",ABS(O534-M534))</f>
        <v>56.7000000000007</v>
      </c>
      <c r="R534" s="31" t="n">
        <f aca="false">P534*L534*Summary!$C$6</f>
        <v>92.5599999999977</v>
      </c>
      <c r="S534" s="32" t="n">
        <v>17339.18</v>
      </c>
      <c r="T534" s="29" t="s">
        <v>255</v>
      </c>
      <c r="U534" s="45" t="n">
        <f aca="false">IF(J534="BUY",S534-M534,M534-S534)</f>
        <v>-0.220000000001164</v>
      </c>
      <c r="V534" s="46" t="n">
        <v>0</v>
      </c>
      <c r="W534" s="46" t="n">
        <v>0</v>
      </c>
      <c r="X534" s="46" t="n">
        <v>-0.88</v>
      </c>
      <c r="Y534" s="33" t="n">
        <f aca="false">IFERROR(X534/R534,0)</f>
        <v>-0.00950734658599851</v>
      </c>
      <c r="Z534" s="29" t="str">
        <f aca="false">IF(X534&gt;0,"Win",IF(X534&lt;0,"Loss","Flat"))</f>
        <v>Loss</v>
      </c>
      <c r="AA534" s="29" t="n">
        <f aca="false">ROUND((C534-B534)*1440,1)</f>
        <v>112.9</v>
      </c>
      <c r="AB534" s="29" t="str">
        <f aca="false">IF(AA534&lt;1,"a) &lt;1 min",IF(AA534&lt;10,"b) 1-10 min",IF(AA534&lt;60,"c) 10-60 min",IF(AA534&lt;240,"d) 1-4 h","e) 4 h+"))))</f>
        <v>d) 1-4 h</v>
      </c>
      <c r="AC534" s="29" t="str">
        <f aca="false">IF(P534&lt;10,"a) &lt;10",IF(P534&lt;20,"b) 10-20",IF(P534&lt;40,"c) 20-40",IF(P534&lt;80,"d) 40-80","e) 80+"))))</f>
        <v>c) 20-40</v>
      </c>
      <c r="AD534" s="31" t="n">
        <f aca="false">Summary!$C$5+SUM(X$2:X534)</f>
        <v>15337.08</v>
      </c>
      <c r="AE534" s="31" t="n">
        <f aca="false">MAX(AE533,AD534)</f>
        <v>15756.64</v>
      </c>
      <c r="AF534" s="31" t="n">
        <f aca="false">AE534-AD534</f>
        <v>419.56</v>
      </c>
      <c r="AG534" s="30" t="n">
        <f aca="false">IFERROR(AF534/AE534,0)</f>
        <v>0.026627504341027</v>
      </c>
    </row>
    <row r="535" customFormat="false" ht="15" hidden="false" customHeight="false" outlineLevel="0" collapsed="false">
      <c r="A535" s="29" t="n">
        <v>534</v>
      </c>
      <c r="B535" s="44" t="n">
        <v>45407.9625</v>
      </c>
      <c r="C535" s="44" t="n">
        <v>45408.1105671296</v>
      </c>
      <c r="D535" s="43" t="n">
        <f aca="false">INT(C535)</f>
        <v>45408</v>
      </c>
      <c r="E535" s="43" t="n">
        <f aca="false">D535-WEEKDAY(D535,3)</f>
        <v>45404</v>
      </c>
      <c r="F535" s="29" t="s">
        <v>168</v>
      </c>
      <c r="G535" s="29" t="n">
        <v>2024</v>
      </c>
      <c r="H535" s="29" t="s">
        <v>253</v>
      </c>
      <c r="I535" s="29" t="n">
        <v>23</v>
      </c>
      <c r="J535" s="29" t="s">
        <v>246</v>
      </c>
      <c r="K535" s="29" t="s">
        <v>247</v>
      </c>
      <c r="L535" s="29" t="n">
        <v>0.04</v>
      </c>
      <c r="M535" s="32" t="n">
        <v>17670.02</v>
      </c>
      <c r="N535" s="32" t="n">
        <v>17618</v>
      </c>
      <c r="O535" s="32" t="n">
        <v>17797.46</v>
      </c>
      <c r="P535" s="45" t="n">
        <f aca="false">ABS(M535-N535)</f>
        <v>52.0200000000004</v>
      </c>
      <c r="Q535" s="45" t="n">
        <f aca="false">IF(O535="","",ABS(O535-M535))</f>
        <v>127.439999999999</v>
      </c>
      <c r="R535" s="31" t="n">
        <f aca="false">P535*L535*Summary!$C$6</f>
        <v>208.080000000002</v>
      </c>
      <c r="S535" s="32" t="n">
        <v>17617.6</v>
      </c>
      <c r="T535" s="29" t="s">
        <v>249</v>
      </c>
      <c r="U535" s="45" t="n">
        <f aca="false">IF(J535="BUY",S535-M535,M535-S535)</f>
        <v>-52.4200000000019</v>
      </c>
      <c r="V535" s="46" t="n">
        <v>0</v>
      </c>
      <c r="W535" s="46" t="n">
        <v>0</v>
      </c>
      <c r="X535" s="46" t="n">
        <v>-209.68</v>
      </c>
      <c r="Y535" s="33" t="n">
        <f aca="false">IFERROR(X535/R535,0)</f>
        <v>-1.0076893502499</v>
      </c>
      <c r="Z535" s="29" t="str">
        <f aca="false">IF(X535&gt;0,"Win",IF(X535&lt;0,"Loss","Flat"))</f>
        <v>Loss</v>
      </c>
      <c r="AA535" s="29" t="n">
        <f aca="false">ROUND((C535-B535)*1440,1)</f>
        <v>213.2</v>
      </c>
      <c r="AB535" s="29" t="str">
        <f aca="false">IF(AA535&lt;1,"a) &lt;1 min",IF(AA535&lt;10,"b) 1-10 min",IF(AA535&lt;60,"c) 10-60 min",IF(AA535&lt;240,"d) 1-4 h","e) 4 h+"))))</f>
        <v>d) 1-4 h</v>
      </c>
      <c r="AC535" s="29" t="str">
        <f aca="false">IF(P535&lt;10,"a) &lt;10",IF(P535&lt;20,"b) 10-20",IF(P535&lt;40,"c) 20-40",IF(P535&lt;80,"d) 40-80","e) 80+"))))</f>
        <v>d) 40-80</v>
      </c>
      <c r="AD535" s="31" t="n">
        <f aca="false">Summary!$C$5+SUM(X$2:X535)</f>
        <v>15127.4</v>
      </c>
      <c r="AE535" s="31" t="n">
        <f aca="false">MAX(AE534,AD535)</f>
        <v>15756.64</v>
      </c>
      <c r="AF535" s="31" t="n">
        <f aca="false">AE535-AD535</f>
        <v>629.24</v>
      </c>
      <c r="AG535" s="30" t="n">
        <f aca="false">IFERROR(AF535/AE535,0)</f>
        <v>0.0399349099808081</v>
      </c>
    </row>
    <row r="536" customFormat="false" ht="15" hidden="false" customHeight="false" outlineLevel="0" collapsed="false">
      <c r="A536" s="29" t="n">
        <v>535</v>
      </c>
      <c r="B536" s="44" t="n">
        <v>45408.7166666667</v>
      </c>
      <c r="C536" s="44" t="n">
        <v>45408.7192361111</v>
      </c>
      <c r="D536" s="43" t="n">
        <f aca="false">INT(C536)</f>
        <v>45408</v>
      </c>
      <c r="E536" s="43" t="n">
        <f aca="false">D536-WEEKDAY(D536,3)</f>
        <v>45404</v>
      </c>
      <c r="F536" s="29" t="s">
        <v>168</v>
      </c>
      <c r="G536" s="29" t="n">
        <v>2024</v>
      </c>
      <c r="H536" s="29" t="s">
        <v>254</v>
      </c>
      <c r="I536" s="29" t="n">
        <v>17</v>
      </c>
      <c r="J536" s="29" t="s">
        <v>246</v>
      </c>
      <c r="K536" s="29" t="s">
        <v>247</v>
      </c>
      <c r="L536" s="29" t="n">
        <v>0.04</v>
      </c>
      <c r="M536" s="32" t="n">
        <v>17691.3</v>
      </c>
      <c r="N536" s="32" t="n">
        <v>17676.1</v>
      </c>
      <c r="O536" s="32" t="n">
        <v>17728.54</v>
      </c>
      <c r="P536" s="45" t="n">
        <f aca="false">ABS(M536-N536)</f>
        <v>15.2000000000007</v>
      </c>
      <c r="Q536" s="45" t="n">
        <f aca="false">IF(O536="","",ABS(O536-M536))</f>
        <v>37.2400000000016</v>
      </c>
      <c r="R536" s="31" t="n">
        <f aca="false">P536*L536*Summary!$C$6</f>
        <v>60.8000000000029</v>
      </c>
      <c r="S536" s="32" t="n">
        <v>17690.52</v>
      </c>
      <c r="T536" s="29" t="s">
        <v>255</v>
      </c>
      <c r="U536" s="45" t="n">
        <f aca="false">IF(J536="BUY",S536-M536,M536-S536)</f>
        <v>-0.779999999998836</v>
      </c>
      <c r="V536" s="46" t="n">
        <v>0</v>
      </c>
      <c r="W536" s="46" t="n">
        <v>0</v>
      </c>
      <c r="X536" s="46" t="n">
        <v>-3.12</v>
      </c>
      <c r="Y536" s="33" t="n">
        <f aca="false">IFERROR(X536/R536,0)</f>
        <v>-0.0513157894736818</v>
      </c>
      <c r="Z536" s="29" t="str">
        <f aca="false">IF(X536&gt;0,"Win",IF(X536&lt;0,"Loss","Flat"))</f>
        <v>Loss</v>
      </c>
      <c r="AA536" s="29" t="n">
        <f aca="false">ROUND((C536-B536)*1440,1)</f>
        <v>3.7</v>
      </c>
      <c r="AB536" s="29" t="str">
        <f aca="false">IF(AA536&lt;1,"a) &lt;1 min",IF(AA536&lt;10,"b) 1-10 min",IF(AA536&lt;60,"c) 10-60 min",IF(AA536&lt;240,"d) 1-4 h","e) 4 h+"))))</f>
        <v>b) 1-10 min</v>
      </c>
      <c r="AC536" s="29" t="str">
        <f aca="false">IF(P536&lt;10,"a) &lt;10",IF(P536&lt;20,"b) 10-20",IF(P536&lt;40,"c) 20-40",IF(P536&lt;80,"d) 40-80","e) 80+"))))</f>
        <v>b) 10-20</v>
      </c>
      <c r="AD536" s="31" t="n">
        <f aca="false">Summary!$C$5+SUM(X$2:X536)</f>
        <v>15124.28</v>
      </c>
      <c r="AE536" s="31" t="n">
        <f aca="false">MAX(AE535,AD536)</f>
        <v>15756.64</v>
      </c>
      <c r="AF536" s="31" t="n">
        <f aca="false">AE536-AD536</f>
        <v>632.360000000001</v>
      </c>
      <c r="AG536" s="30" t="n">
        <f aca="false">IFERROR(AF536/AE536,0)</f>
        <v>0.0401329217396603</v>
      </c>
    </row>
    <row r="537" customFormat="false" ht="15" hidden="false" customHeight="false" outlineLevel="0" collapsed="false">
      <c r="A537" s="29" t="n">
        <v>536</v>
      </c>
      <c r="B537" s="44" t="n">
        <v>45411.2076388889</v>
      </c>
      <c r="C537" s="44" t="n">
        <v>45411.208912037</v>
      </c>
      <c r="D537" s="43" t="n">
        <f aca="false">INT(C537)</f>
        <v>45411</v>
      </c>
      <c r="E537" s="43" t="n">
        <f aca="false">D537-WEEKDAY(D537,3)</f>
        <v>45411</v>
      </c>
      <c r="F537" s="29" t="s">
        <v>168</v>
      </c>
      <c r="G537" s="29" t="n">
        <v>2024</v>
      </c>
      <c r="H537" s="29" t="s">
        <v>245</v>
      </c>
      <c r="I537" s="29" t="n">
        <v>4</v>
      </c>
      <c r="J537" s="29" t="s">
        <v>246</v>
      </c>
      <c r="K537" s="29" t="s">
        <v>247</v>
      </c>
      <c r="L537" s="29" t="n">
        <v>0.04</v>
      </c>
      <c r="M537" s="32" t="n">
        <v>17779.04</v>
      </c>
      <c r="N537" s="32" t="n">
        <v>17774</v>
      </c>
      <c r="O537" s="32" t="n">
        <v>17791.38</v>
      </c>
      <c r="P537" s="45" t="n">
        <f aca="false">ABS(M537-N537)</f>
        <v>5.04000000000087</v>
      </c>
      <c r="Q537" s="45" t="n">
        <f aca="false">IF(O537="","",ABS(O537-M537))</f>
        <v>12.3400000000001</v>
      </c>
      <c r="R537" s="31" t="n">
        <f aca="false">P537*L537*Summary!$C$6</f>
        <v>20.1600000000035</v>
      </c>
      <c r="S537" s="32" t="n">
        <v>17773.52</v>
      </c>
      <c r="T537" s="29" t="s">
        <v>249</v>
      </c>
      <c r="U537" s="45" t="n">
        <f aca="false">IF(J537="BUY",S537-M537,M537-S537)</f>
        <v>-5.52000000000044</v>
      </c>
      <c r="V537" s="46" t="n">
        <v>0</v>
      </c>
      <c r="W537" s="46" t="n">
        <v>0</v>
      </c>
      <c r="X537" s="46" t="n">
        <v>-22.08</v>
      </c>
      <c r="Y537" s="33" t="n">
        <f aca="false">IFERROR(X537/R537,0)</f>
        <v>-1.09523809523791</v>
      </c>
      <c r="Z537" s="29" t="str">
        <f aca="false">IF(X537&gt;0,"Win",IF(X537&lt;0,"Loss","Flat"))</f>
        <v>Loss</v>
      </c>
      <c r="AA537" s="29" t="n">
        <f aca="false">ROUND((C537-B537)*1440,1)</f>
        <v>1.8</v>
      </c>
      <c r="AB537" s="29" t="str">
        <f aca="false">IF(AA537&lt;1,"a) &lt;1 min",IF(AA537&lt;10,"b) 1-10 min",IF(AA537&lt;60,"c) 10-60 min",IF(AA537&lt;240,"d) 1-4 h","e) 4 h+"))))</f>
        <v>b) 1-10 min</v>
      </c>
      <c r="AC537" s="29" t="str">
        <f aca="false">IF(P537&lt;10,"a) &lt;10",IF(P537&lt;20,"b) 10-20",IF(P537&lt;40,"c) 20-40",IF(P537&lt;80,"d) 40-80","e) 80+"))))</f>
        <v>a) &lt;10</v>
      </c>
      <c r="AD537" s="31" t="n">
        <f aca="false">Summary!$C$5+SUM(X$2:X537)</f>
        <v>15102.2</v>
      </c>
      <c r="AE537" s="31" t="n">
        <f aca="false">MAX(AE536,AD537)</f>
        <v>15756.64</v>
      </c>
      <c r="AF537" s="31" t="n">
        <f aca="false">AE537-AD537</f>
        <v>654.439999999999</v>
      </c>
      <c r="AG537" s="30" t="n">
        <f aca="false">IFERROR(AF537/AE537,0)</f>
        <v>0.041534235725383</v>
      </c>
    </row>
    <row r="538" customFormat="false" ht="15" hidden="false" customHeight="false" outlineLevel="0" collapsed="false">
      <c r="A538" s="29" t="n">
        <v>537</v>
      </c>
      <c r="B538" s="44" t="n">
        <v>45412.7583333333</v>
      </c>
      <c r="C538" s="44" t="n">
        <v>45412.7629166667</v>
      </c>
      <c r="D538" s="43" t="n">
        <f aca="false">INT(C538)</f>
        <v>45412</v>
      </c>
      <c r="E538" s="43" t="n">
        <f aca="false">D538-WEEKDAY(D538,3)</f>
        <v>45411</v>
      </c>
      <c r="F538" s="29" t="s">
        <v>168</v>
      </c>
      <c r="G538" s="29" t="n">
        <v>2024</v>
      </c>
      <c r="H538" s="29" t="s">
        <v>248</v>
      </c>
      <c r="I538" s="29" t="n">
        <v>18</v>
      </c>
      <c r="J538" s="29" t="s">
        <v>250</v>
      </c>
      <c r="K538" s="29" t="s">
        <v>251</v>
      </c>
      <c r="L538" s="29" t="n">
        <v>0.04</v>
      </c>
      <c r="M538" s="32" t="n">
        <v>17657.18</v>
      </c>
      <c r="N538" s="32" t="n">
        <v>17672.49</v>
      </c>
      <c r="O538" s="32" t="n">
        <v>17619.68</v>
      </c>
      <c r="P538" s="45" t="n">
        <f aca="false">ABS(M538-N538)</f>
        <v>15.3100000000013</v>
      </c>
      <c r="Q538" s="45" t="n">
        <f aca="false">IF(O538="","",ABS(O538-M538))</f>
        <v>37.5</v>
      </c>
      <c r="R538" s="31" t="n">
        <f aca="false">P538*L538*Summary!$C$6</f>
        <v>61.2400000000052</v>
      </c>
      <c r="S538" s="32" t="n">
        <v>17657.52</v>
      </c>
      <c r="T538" s="29" t="s">
        <v>255</v>
      </c>
      <c r="U538" s="45" t="n">
        <f aca="false">IF(J538="BUY",S538-M538,M538-S538)</f>
        <v>-0.340000000000146</v>
      </c>
      <c r="V538" s="46" t="n">
        <v>0</v>
      </c>
      <c r="W538" s="46" t="n">
        <v>0</v>
      </c>
      <c r="X538" s="46" t="n">
        <v>-1.36</v>
      </c>
      <c r="Y538" s="33" t="n">
        <f aca="false">IFERROR(X538/R538,0)</f>
        <v>-0.022207707380795</v>
      </c>
      <c r="Z538" s="29" t="str">
        <f aca="false">IF(X538&gt;0,"Win",IF(X538&lt;0,"Loss","Flat"))</f>
        <v>Loss</v>
      </c>
      <c r="AA538" s="29" t="n">
        <f aca="false">ROUND((C538-B538)*1440,1)</f>
        <v>6.6</v>
      </c>
      <c r="AB538" s="29" t="str">
        <f aca="false">IF(AA538&lt;1,"a) &lt;1 min",IF(AA538&lt;10,"b) 1-10 min",IF(AA538&lt;60,"c) 10-60 min",IF(AA538&lt;240,"d) 1-4 h","e) 4 h+"))))</f>
        <v>b) 1-10 min</v>
      </c>
      <c r="AC538" s="29" t="str">
        <f aca="false">IF(P538&lt;10,"a) &lt;10",IF(P538&lt;20,"b) 10-20",IF(P538&lt;40,"c) 20-40",IF(P538&lt;80,"d) 40-80","e) 80+"))))</f>
        <v>b) 10-20</v>
      </c>
      <c r="AD538" s="31" t="n">
        <f aca="false">Summary!$C$5+SUM(X$2:X538)</f>
        <v>15100.84</v>
      </c>
      <c r="AE538" s="31" t="n">
        <f aca="false">MAX(AE537,AD538)</f>
        <v>15756.64</v>
      </c>
      <c r="AF538" s="31" t="n">
        <f aca="false">AE538-AD538</f>
        <v>655.799999999999</v>
      </c>
      <c r="AG538" s="30" t="n">
        <f aca="false">IFERROR(AF538/AE538,0)</f>
        <v>0.0416205485433442</v>
      </c>
    </row>
    <row r="539" customFormat="false" ht="15" hidden="false" customHeight="false" outlineLevel="0" collapsed="false">
      <c r="A539" s="29" t="n">
        <v>538</v>
      </c>
      <c r="B539" s="44" t="n">
        <v>45413.0465277778</v>
      </c>
      <c r="C539" s="44" t="n">
        <v>45413.2358912037</v>
      </c>
      <c r="D539" s="43" t="n">
        <f aca="false">INT(C539)</f>
        <v>45413</v>
      </c>
      <c r="E539" s="43" t="n">
        <f aca="false">D539-WEEKDAY(D539,3)</f>
        <v>45411</v>
      </c>
      <c r="F539" s="29" t="s">
        <v>169</v>
      </c>
      <c r="G539" s="29" t="n">
        <v>2024</v>
      </c>
      <c r="H539" s="29" t="s">
        <v>252</v>
      </c>
      <c r="I539" s="29" t="n">
        <v>1</v>
      </c>
      <c r="J539" s="29" t="s">
        <v>250</v>
      </c>
      <c r="K539" s="29" t="s">
        <v>251</v>
      </c>
      <c r="L539" s="29" t="n">
        <v>0.04</v>
      </c>
      <c r="M539" s="32" t="n">
        <v>17368.11</v>
      </c>
      <c r="N539" s="32" t="n">
        <v>17399.13</v>
      </c>
      <c r="O539" s="32" t="n">
        <v>17292.12</v>
      </c>
      <c r="P539" s="45" t="n">
        <f aca="false">ABS(M539-N539)</f>
        <v>31.0200000000004</v>
      </c>
      <c r="Q539" s="45" t="n">
        <f aca="false">IF(O539="","",ABS(O539-M539))</f>
        <v>75.9900000000016</v>
      </c>
      <c r="R539" s="31" t="n">
        <f aca="false">P539*L539*Summary!$C$6</f>
        <v>124.080000000002</v>
      </c>
      <c r="S539" s="32" t="n">
        <v>17399.62</v>
      </c>
      <c r="T539" s="29" t="s">
        <v>249</v>
      </c>
      <c r="U539" s="45" t="n">
        <f aca="false">IF(J539="BUY",S539-M539,M539-S539)</f>
        <v>-31.5099999999984</v>
      </c>
      <c r="V539" s="46" t="n">
        <v>0</v>
      </c>
      <c r="W539" s="46" t="n">
        <v>0</v>
      </c>
      <c r="X539" s="46" t="n">
        <v>-126.04</v>
      </c>
      <c r="Y539" s="33" t="n">
        <f aca="false">IFERROR(X539/R539,0)</f>
        <v>-1.0157962604771</v>
      </c>
      <c r="Z539" s="29" t="str">
        <f aca="false">IF(X539&gt;0,"Win",IF(X539&lt;0,"Loss","Flat"))</f>
        <v>Loss</v>
      </c>
      <c r="AA539" s="29" t="n">
        <f aca="false">ROUND((C539-B539)*1440,1)</f>
        <v>272.7</v>
      </c>
      <c r="AB539" s="29" t="str">
        <f aca="false">IF(AA539&lt;1,"a) &lt;1 min",IF(AA539&lt;10,"b) 1-10 min",IF(AA539&lt;60,"c) 10-60 min",IF(AA539&lt;240,"d) 1-4 h","e) 4 h+"))))</f>
        <v>e) 4 h+</v>
      </c>
      <c r="AC539" s="29" t="str">
        <f aca="false">IF(P539&lt;10,"a) &lt;10",IF(P539&lt;20,"b) 10-20",IF(P539&lt;40,"c) 20-40",IF(P539&lt;80,"d) 40-80","e) 80+"))))</f>
        <v>c) 20-40</v>
      </c>
      <c r="AD539" s="31" t="n">
        <f aca="false">Summary!$C$5+SUM(X$2:X539)</f>
        <v>14974.8</v>
      </c>
      <c r="AE539" s="31" t="n">
        <f aca="false">MAX(AE538,AD539)</f>
        <v>15756.64</v>
      </c>
      <c r="AF539" s="31" t="n">
        <f aca="false">AE539-AD539</f>
        <v>781.84</v>
      </c>
      <c r="AG539" s="30" t="n">
        <f aca="false">IFERROR(AF539/AE539,0)</f>
        <v>0.0496197158785122</v>
      </c>
    </row>
    <row r="540" customFormat="false" ht="15" hidden="false" customHeight="false" outlineLevel="0" collapsed="false">
      <c r="A540" s="29" t="n">
        <v>539</v>
      </c>
      <c r="B540" s="44" t="n">
        <v>45415.0472222222</v>
      </c>
      <c r="C540" s="44" t="n">
        <v>45415.0528125</v>
      </c>
      <c r="D540" s="43" t="n">
        <f aca="false">INT(C540)</f>
        <v>45415</v>
      </c>
      <c r="E540" s="43" t="n">
        <f aca="false">D540-WEEKDAY(D540,3)</f>
        <v>45411</v>
      </c>
      <c r="F540" s="29" t="s">
        <v>169</v>
      </c>
      <c r="G540" s="29" t="n">
        <v>2024</v>
      </c>
      <c r="H540" s="29" t="s">
        <v>254</v>
      </c>
      <c r="I540" s="29" t="n">
        <v>1</v>
      </c>
      <c r="J540" s="29" t="s">
        <v>246</v>
      </c>
      <c r="K540" s="29" t="s">
        <v>247</v>
      </c>
      <c r="L540" s="29" t="n">
        <v>0.04</v>
      </c>
      <c r="M540" s="32" t="n">
        <v>17620.22</v>
      </c>
      <c r="N540" s="32" t="n">
        <v>17601.18</v>
      </c>
      <c r="O540" s="32" t="n">
        <v>17666.86</v>
      </c>
      <c r="P540" s="45" t="n">
        <f aca="false">ABS(M540-N540)</f>
        <v>19.0400000000009</v>
      </c>
      <c r="Q540" s="45" t="n">
        <f aca="false">IF(O540="","",ABS(O540-M540))</f>
        <v>46.6399999999994</v>
      </c>
      <c r="R540" s="31" t="n">
        <f aca="false">P540*L540*Summary!$C$6</f>
        <v>76.1600000000035</v>
      </c>
      <c r="S540" s="32" t="n">
        <v>17667.11</v>
      </c>
      <c r="T540" s="29" t="s">
        <v>227</v>
      </c>
      <c r="U540" s="45" t="n">
        <f aca="false">IF(J540="BUY",S540-M540,M540-S540)</f>
        <v>46.8899999999994</v>
      </c>
      <c r="V540" s="46" t="n">
        <v>0</v>
      </c>
      <c r="W540" s="46" t="n">
        <v>0</v>
      </c>
      <c r="X540" s="46" t="n">
        <v>187.56</v>
      </c>
      <c r="Y540" s="33" t="n">
        <f aca="false">IFERROR(X540/R540,0)</f>
        <v>2.4627100840335</v>
      </c>
      <c r="Z540" s="29" t="str">
        <f aca="false">IF(X540&gt;0,"Win",IF(X540&lt;0,"Loss","Flat"))</f>
        <v>Win</v>
      </c>
      <c r="AA540" s="29" t="n">
        <f aca="false">ROUND((C540-B540)*1440,1)</f>
        <v>8.1</v>
      </c>
      <c r="AB540" s="29" t="str">
        <f aca="false">IF(AA540&lt;1,"a) &lt;1 min",IF(AA540&lt;10,"b) 1-10 min",IF(AA540&lt;60,"c) 10-60 min",IF(AA540&lt;240,"d) 1-4 h","e) 4 h+"))))</f>
        <v>b) 1-10 min</v>
      </c>
      <c r="AC540" s="29" t="str">
        <f aca="false">IF(P540&lt;10,"a) &lt;10",IF(P540&lt;20,"b) 10-20",IF(P540&lt;40,"c) 20-40",IF(P540&lt;80,"d) 40-80","e) 80+"))))</f>
        <v>b) 10-20</v>
      </c>
      <c r="AD540" s="31" t="n">
        <f aca="false">Summary!$C$5+SUM(X$2:X540)</f>
        <v>15162.36</v>
      </c>
      <c r="AE540" s="31" t="n">
        <f aca="false">MAX(AE539,AD540)</f>
        <v>15756.64</v>
      </c>
      <c r="AF540" s="31" t="n">
        <f aca="false">AE540-AD540</f>
        <v>594.279999999999</v>
      </c>
      <c r="AG540" s="30" t="n">
        <f aca="false">IFERROR(AF540/AE540,0)</f>
        <v>0.0377161628367469</v>
      </c>
    </row>
    <row r="541" customFormat="false" ht="15" hidden="false" customHeight="false" outlineLevel="0" collapsed="false">
      <c r="A541" s="29" t="n">
        <v>540</v>
      </c>
      <c r="B541" s="44" t="n">
        <v>45418.5604166667</v>
      </c>
      <c r="C541" s="44" t="n">
        <v>45418.564837963</v>
      </c>
      <c r="D541" s="43" t="n">
        <f aca="false">INT(C541)</f>
        <v>45418</v>
      </c>
      <c r="E541" s="43" t="n">
        <f aca="false">D541-WEEKDAY(D541,3)</f>
        <v>45418</v>
      </c>
      <c r="F541" s="29" t="s">
        <v>169</v>
      </c>
      <c r="G541" s="29" t="n">
        <v>2024</v>
      </c>
      <c r="H541" s="29" t="s">
        <v>245</v>
      </c>
      <c r="I541" s="29" t="n">
        <v>13</v>
      </c>
      <c r="J541" s="29" t="s">
        <v>246</v>
      </c>
      <c r="K541" s="29" t="s">
        <v>247</v>
      </c>
      <c r="L541" s="29" t="n">
        <v>0.04</v>
      </c>
      <c r="M541" s="32" t="n">
        <v>17942.51</v>
      </c>
      <c r="N541" s="32" t="n">
        <v>17939.41</v>
      </c>
      <c r="O541" s="32" t="n">
        <v>17950.11</v>
      </c>
      <c r="P541" s="45" t="n">
        <f aca="false">ABS(M541-N541)</f>
        <v>3.09999999999855</v>
      </c>
      <c r="Q541" s="45" t="n">
        <f aca="false">IF(O541="","",ABS(O541-M541))</f>
        <v>7.60000000000218</v>
      </c>
      <c r="R541" s="31" t="n">
        <f aca="false">P541*L541*Summary!$C$6</f>
        <v>12.3999999999942</v>
      </c>
      <c r="S541" s="32" t="n">
        <v>17942.46</v>
      </c>
      <c r="T541" s="29" t="s">
        <v>255</v>
      </c>
      <c r="U541" s="45" t="n">
        <f aca="false">IF(J541="BUY",S541-M541,M541-S541)</f>
        <v>-0.0499999999992724</v>
      </c>
      <c r="V541" s="46" t="n">
        <v>0</v>
      </c>
      <c r="W541" s="46" t="n">
        <v>0</v>
      </c>
      <c r="X541" s="46" t="n">
        <v>-0.2</v>
      </c>
      <c r="Y541" s="33" t="n">
        <f aca="false">IFERROR(X541/R541,0)</f>
        <v>-0.0161290322580721</v>
      </c>
      <c r="Z541" s="29" t="str">
        <f aca="false">IF(X541&gt;0,"Win",IF(X541&lt;0,"Loss","Flat"))</f>
        <v>Loss</v>
      </c>
      <c r="AA541" s="29" t="n">
        <f aca="false">ROUND((C541-B541)*1440,1)</f>
        <v>6.4</v>
      </c>
      <c r="AB541" s="29" t="str">
        <f aca="false">IF(AA541&lt;1,"a) &lt;1 min",IF(AA541&lt;10,"b) 1-10 min",IF(AA541&lt;60,"c) 10-60 min",IF(AA541&lt;240,"d) 1-4 h","e) 4 h+"))))</f>
        <v>b) 1-10 min</v>
      </c>
      <c r="AC541" s="29" t="str">
        <f aca="false">IF(P541&lt;10,"a) &lt;10",IF(P541&lt;20,"b) 10-20",IF(P541&lt;40,"c) 20-40",IF(P541&lt;80,"d) 40-80","e) 80+"))))</f>
        <v>a) &lt;10</v>
      </c>
      <c r="AD541" s="31" t="n">
        <f aca="false">Summary!$C$5+SUM(X$2:X541)</f>
        <v>15162.16</v>
      </c>
      <c r="AE541" s="31" t="n">
        <f aca="false">MAX(AE540,AD541)</f>
        <v>15756.64</v>
      </c>
      <c r="AF541" s="31" t="n">
        <f aca="false">AE541-AD541</f>
        <v>594.48</v>
      </c>
      <c r="AG541" s="30" t="n">
        <f aca="false">IFERROR(AF541/AE541,0)</f>
        <v>0.0377288558982118</v>
      </c>
    </row>
    <row r="542" customFormat="false" ht="15" hidden="false" customHeight="false" outlineLevel="0" collapsed="false">
      <c r="A542" s="29" t="n">
        <v>541</v>
      </c>
      <c r="B542" s="44" t="n">
        <v>45419.6736111111</v>
      </c>
      <c r="C542" s="44" t="n">
        <v>45419.6740740741</v>
      </c>
      <c r="D542" s="43" t="n">
        <f aca="false">INT(C542)</f>
        <v>45419</v>
      </c>
      <c r="E542" s="43" t="n">
        <f aca="false">D542-WEEKDAY(D542,3)</f>
        <v>45418</v>
      </c>
      <c r="F542" s="29" t="s">
        <v>169</v>
      </c>
      <c r="G542" s="29" t="n">
        <v>2024</v>
      </c>
      <c r="H542" s="29" t="s">
        <v>248</v>
      </c>
      <c r="I542" s="29" t="n">
        <v>16</v>
      </c>
      <c r="J542" s="29" t="s">
        <v>246</v>
      </c>
      <c r="K542" s="29" t="s">
        <v>247</v>
      </c>
      <c r="L542" s="29" t="n">
        <v>0.04</v>
      </c>
      <c r="M542" s="32" t="n">
        <v>18096.1</v>
      </c>
      <c r="N542" s="32" t="n">
        <v>18089.89</v>
      </c>
      <c r="O542" s="32" t="n">
        <v>18111.32</v>
      </c>
      <c r="P542" s="45" t="n">
        <f aca="false">ABS(M542-N542)</f>
        <v>6.20999999999913</v>
      </c>
      <c r="Q542" s="45" t="n">
        <f aca="false">IF(O542="","",ABS(O542-M542))</f>
        <v>15.2200000000012</v>
      </c>
      <c r="R542" s="31" t="n">
        <f aca="false">P542*L542*Summary!$C$6</f>
        <v>24.8399999999965</v>
      </c>
      <c r="S542" s="32" t="n">
        <v>18089.77</v>
      </c>
      <c r="T542" s="29" t="s">
        <v>249</v>
      </c>
      <c r="U542" s="45" t="n">
        <f aca="false">IF(J542="BUY",S542-M542,M542-S542)</f>
        <v>-6.32999999999811</v>
      </c>
      <c r="V542" s="46" t="n">
        <v>0</v>
      </c>
      <c r="W542" s="46" t="n">
        <v>0</v>
      </c>
      <c r="X542" s="46" t="n">
        <v>-25.32</v>
      </c>
      <c r="Y542" s="33" t="n">
        <f aca="false">IFERROR(X542/R542,0)</f>
        <v>-1.01932367149773</v>
      </c>
      <c r="Z542" s="29" t="str">
        <f aca="false">IF(X542&gt;0,"Win",IF(X542&lt;0,"Loss","Flat"))</f>
        <v>Loss</v>
      </c>
      <c r="AA542" s="29" t="n">
        <f aca="false">ROUND((C542-B542)*1440,1)</f>
        <v>0.7</v>
      </c>
      <c r="AB542" s="29" t="str">
        <f aca="false">IF(AA542&lt;1,"a) &lt;1 min",IF(AA542&lt;10,"b) 1-10 min",IF(AA542&lt;60,"c) 10-60 min",IF(AA542&lt;240,"d) 1-4 h","e) 4 h+"))))</f>
        <v>a) &lt;1 min</v>
      </c>
      <c r="AC542" s="29" t="str">
        <f aca="false">IF(P542&lt;10,"a) &lt;10",IF(P542&lt;20,"b) 10-20",IF(P542&lt;40,"c) 20-40",IF(P542&lt;80,"d) 40-80","e) 80+"))))</f>
        <v>a) &lt;10</v>
      </c>
      <c r="AD542" s="31" t="n">
        <f aca="false">Summary!$C$5+SUM(X$2:X542)</f>
        <v>15136.84</v>
      </c>
      <c r="AE542" s="31" t="n">
        <f aca="false">MAX(AE541,AD542)</f>
        <v>15756.64</v>
      </c>
      <c r="AF542" s="31" t="n">
        <f aca="false">AE542-AD542</f>
        <v>619.799999999999</v>
      </c>
      <c r="AG542" s="30" t="n">
        <f aca="false">IFERROR(AF542/AE542,0)</f>
        <v>0.0393357974796657</v>
      </c>
    </row>
    <row r="543" customFormat="false" ht="15" hidden="false" customHeight="false" outlineLevel="0" collapsed="false">
      <c r="A543" s="29" t="n">
        <v>542</v>
      </c>
      <c r="B543" s="44" t="n">
        <v>45420.6104166667</v>
      </c>
      <c r="C543" s="44" t="n">
        <v>45420.6109490741</v>
      </c>
      <c r="D543" s="43" t="n">
        <f aca="false">INT(C543)</f>
        <v>45420</v>
      </c>
      <c r="E543" s="43" t="n">
        <f aca="false">D543-WEEKDAY(D543,3)</f>
        <v>45418</v>
      </c>
      <c r="F543" s="29" t="s">
        <v>169</v>
      </c>
      <c r="G543" s="29" t="n">
        <v>2024</v>
      </c>
      <c r="H543" s="29" t="s">
        <v>252</v>
      </c>
      <c r="I543" s="29" t="n">
        <v>14</v>
      </c>
      <c r="J543" s="29" t="s">
        <v>250</v>
      </c>
      <c r="K543" s="29" t="s">
        <v>251</v>
      </c>
      <c r="L543" s="29" t="n">
        <v>0.04</v>
      </c>
      <c r="M543" s="32" t="n">
        <v>18041.63</v>
      </c>
      <c r="N543" s="32" t="n">
        <v>18045.91</v>
      </c>
      <c r="O543" s="32" t="n">
        <v>18031.14</v>
      </c>
      <c r="P543" s="45" t="n">
        <f aca="false">ABS(M543-N543)</f>
        <v>4.27999999999884</v>
      </c>
      <c r="Q543" s="45" t="n">
        <f aca="false">IF(O543="","",ABS(O543-M543))</f>
        <v>10.4900000000016</v>
      </c>
      <c r="R543" s="31" t="n">
        <f aca="false">P543*L543*Summary!$C$6</f>
        <v>17.1199999999953</v>
      </c>
      <c r="S543" s="32" t="n">
        <v>18046.71</v>
      </c>
      <c r="T543" s="29" t="s">
        <v>249</v>
      </c>
      <c r="U543" s="45" t="n">
        <f aca="false">IF(J543="BUY",S543-M543,M543-S543)</f>
        <v>-5.07999999999811</v>
      </c>
      <c r="V543" s="46" t="n">
        <v>0</v>
      </c>
      <c r="W543" s="46" t="n">
        <v>0</v>
      </c>
      <c r="X543" s="46" t="n">
        <v>-20.32</v>
      </c>
      <c r="Y543" s="33" t="n">
        <f aca="false">IFERROR(X543/R543,0)</f>
        <v>-1.18691588785079</v>
      </c>
      <c r="Z543" s="29" t="str">
        <f aca="false">IF(X543&gt;0,"Win",IF(X543&lt;0,"Loss","Flat"))</f>
        <v>Loss</v>
      </c>
      <c r="AA543" s="29" t="n">
        <f aca="false">ROUND((C543-B543)*1440,1)</f>
        <v>0.8</v>
      </c>
      <c r="AB543" s="29" t="str">
        <f aca="false">IF(AA543&lt;1,"a) &lt;1 min",IF(AA543&lt;10,"b) 1-10 min",IF(AA543&lt;60,"c) 10-60 min",IF(AA543&lt;240,"d) 1-4 h","e) 4 h+"))))</f>
        <v>a) &lt;1 min</v>
      </c>
      <c r="AC543" s="29" t="str">
        <f aca="false">IF(P543&lt;10,"a) &lt;10",IF(P543&lt;20,"b) 10-20",IF(P543&lt;40,"c) 20-40",IF(P543&lt;80,"d) 40-80","e) 80+"))))</f>
        <v>a) &lt;10</v>
      </c>
      <c r="AD543" s="31" t="n">
        <f aca="false">Summary!$C$5+SUM(X$2:X543)</f>
        <v>15116.52</v>
      </c>
      <c r="AE543" s="31" t="n">
        <f aca="false">MAX(AE542,AD543)</f>
        <v>15756.64</v>
      </c>
      <c r="AF543" s="31" t="n">
        <f aca="false">AE543-AD543</f>
        <v>640.119999999999</v>
      </c>
      <c r="AG543" s="30" t="n">
        <f aca="false">IFERROR(AF543/AE543,0)</f>
        <v>0.0406254125244975</v>
      </c>
    </row>
    <row r="544" customFormat="false" ht="15" hidden="false" customHeight="false" outlineLevel="0" collapsed="false">
      <c r="A544" s="29" t="n">
        <v>543</v>
      </c>
      <c r="B544" s="44" t="n">
        <v>45422.4118171296</v>
      </c>
      <c r="C544" s="44" t="n">
        <v>45422.4129166667</v>
      </c>
      <c r="D544" s="43" t="n">
        <f aca="false">INT(C544)</f>
        <v>45422</v>
      </c>
      <c r="E544" s="43" t="n">
        <f aca="false">D544-WEEKDAY(D544,3)</f>
        <v>45418</v>
      </c>
      <c r="F544" s="29" t="s">
        <v>169</v>
      </c>
      <c r="G544" s="29" t="n">
        <v>2024</v>
      </c>
      <c r="H544" s="29" t="s">
        <v>254</v>
      </c>
      <c r="I544" s="29" t="n">
        <v>9</v>
      </c>
      <c r="J544" s="29" t="s">
        <v>246</v>
      </c>
      <c r="K544" s="29" t="s">
        <v>247</v>
      </c>
      <c r="L544" s="29" t="n">
        <v>0.04</v>
      </c>
      <c r="M544" s="32" t="n">
        <v>18142.21</v>
      </c>
      <c r="N544" s="32" t="n">
        <v>18140.46</v>
      </c>
      <c r="O544" s="32" t="n">
        <v>18146.5</v>
      </c>
      <c r="P544" s="45" t="n">
        <f aca="false">ABS(M544-N544)</f>
        <v>1.75</v>
      </c>
      <c r="Q544" s="45" t="n">
        <f aca="false">IF(O544="","",ABS(O544-M544))</f>
        <v>4.29000000000087</v>
      </c>
      <c r="R544" s="31" t="n">
        <f aca="false">P544*L544*Summary!$C$6</f>
        <v>7</v>
      </c>
      <c r="S544" s="32" t="n">
        <v>18146.56</v>
      </c>
      <c r="T544" s="29" t="s">
        <v>227</v>
      </c>
      <c r="U544" s="45" t="n">
        <f aca="false">IF(J544="BUY",S544-M544,M544-S544)</f>
        <v>4.35000000000218</v>
      </c>
      <c r="V544" s="46" t="n">
        <v>0</v>
      </c>
      <c r="W544" s="46" t="n">
        <v>0</v>
      </c>
      <c r="X544" s="46" t="n">
        <v>17.4</v>
      </c>
      <c r="Y544" s="33" t="n">
        <f aca="false">IFERROR(X544/R544,0)</f>
        <v>2.48571428571429</v>
      </c>
      <c r="Z544" s="29" t="str">
        <f aca="false">IF(X544&gt;0,"Win",IF(X544&lt;0,"Loss","Flat"))</f>
        <v>Win</v>
      </c>
      <c r="AA544" s="29" t="n">
        <f aca="false">ROUND((C544-B544)*1440,1)</f>
        <v>1.6</v>
      </c>
      <c r="AB544" s="29" t="str">
        <f aca="false">IF(AA544&lt;1,"a) &lt;1 min",IF(AA544&lt;10,"b) 1-10 min",IF(AA544&lt;60,"c) 10-60 min",IF(AA544&lt;240,"d) 1-4 h","e) 4 h+"))))</f>
        <v>b) 1-10 min</v>
      </c>
      <c r="AC544" s="29" t="str">
        <f aca="false">IF(P544&lt;10,"a) &lt;10",IF(P544&lt;20,"b) 10-20",IF(P544&lt;40,"c) 20-40",IF(P544&lt;80,"d) 40-80","e) 80+"))))</f>
        <v>a) &lt;10</v>
      </c>
      <c r="AD544" s="31" t="n">
        <f aca="false">Summary!$C$5+SUM(X$2:X544)</f>
        <v>15133.92</v>
      </c>
      <c r="AE544" s="31" t="n">
        <f aca="false">MAX(AE543,AD544)</f>
        <v>15756.64</v>
      </c>
      <c r="AF544" s="31" t="n">
        <f aca="false">AE544-AD544</f>
        <v>622.719999999999</v>
      </c>
      <c r="AG544" s="30" t="n">
        <f aca="false">IFERROR(AF544/AE544,0)</f>
        <v>0.0395211161770529</v>
      </c>
    </row>
    <row r="545" customFormat="false" ht="15" hidden="false" customHeight="false" outlineLevel="0" collapsed="false">
      <c r="A545" s="29" t="n">
        <v>544</v>
      </c>
      <c r="B545" s="44" t="n">
        <v>45426.6465277778</v>
      </c>
      <c r="C545" s="44" t="n">
        <v>45426.6508333333</v>
      </c>
      <c r="D545" s="43" t="n">
        <f aca="false">INT(C545)</f>
        <v>45426</v>
      </c>
      <c r="E545" s="43" t="n">
        <f aca="false">D545-WEEKDAY(D545,3)</f>
        <v>45425</v>
      </c>
      <c r="F545" s="29" t="s">
        <v>169</v>
      </c>
      <c r="G545" s="29" t="n">
        <v>2024</v>
      </c>
      <c r="H545" s="29" t="s">
        <v>248</v>
      </c>
      <c r="I545" s="29" t="n">
        <v>15</v>
      </c>
      <c r="J545" s="29" t="s">
        <v>250</v>
      </c>
      <c r="K545" s="29" t="s">
        <v>251</v>
      </c>
      <c r="L545" s="29" t="n">
        <v>0.04</v>
      </c>
      <c r="M545" s="32" t="n">
        <v>18126.35</v>
      </c>
      <c r="N545" s="32" t="n">
        <v>18155.59</v>
      </c>
      <c r="O545" s="32" t="n">
        <v>18059.09</v>
      </c>
      <c r="P545" s="45" t="n">
        <f aca="false">ABS(M545-N545)</f>
        <v>29.2400000000016</v>
      </c>
      <c r="Q545" s="45" t="n">
        <f aca="false">IF(O545="","",ABS(O545-M545))</f>
        <v>67.2599999999984</v>
      </c>
      <c r="R545" s="31" t="n">
        <f aca="false">P545*L545*Summary!$C$6</f>
        <v>116.960000000006</v>
      </c>
      <c r="S545" s="32" t="n">
        <v>18156.05</v>
      </c>
      <c r="T545" s="29" t="s">
        <v>249</v>
      </c>
      <c r="U545" s="45" t="n">
        <f aca="false">IF(J545="BUY",S545-M545,M545-S545)</f>
        <v>-29.7000000000007</v>
      </c>
      <c r="V545" s="46" t="n">
        <v>0</v>
      </c>
      <c r="W545" s="46" t="n">
        <v>0</v>
      </c>
      <c r="X545" s="46" t="n">
        <v>-118.8</v>
      </c>
      <c r="Y545" s="33" t="n">
        <f aca="false">IFERROR(X545/R545,0)</f>
        <v>-1.01573187414495</v>
      </c>
      <c r="Z545" s="29" t="str">
        <f aca="false">IF(X545&gt;0,"Win",IF(X545&lt;0,"Loss","Flat"))</f>
        <v>Loss</v>
      </c>
      <c r="AA545" s="29" t="n">
        <f aca="false">ROUND((C545-B545)*1440,1)</f>
        <v>6.2</v>
      </c>
      <c r="AB545" s="29" t="str">
        <f aca="false">IF(AA545&lt;1,"a) &lt;1 min",IF(AA545&lt;10,"b) 1-10 min",IF(AA545&lt;60,"c) 10-60 min",IF(AA545&lt;240,"d) 1-4 h","e) 4 h+"))))</f>
        <v>b) 1-10 min</v>
      </c>
      <c r="AC545" s="29" t="str">
        <f aca="false">IF(P545&lt;10,"a) &lt;10",IF(P545&lt;20,"b) 10-20",IF(P545&lt;40,"c) 20-40",IF(P545&lt;80,"d) 40-80","e) 80+"))))</f>
        <v>c) 20-40</v>
      </c>
      <c r="AD545" s="31" t="n">
        <f aca="false">Summary!$C$5+SUM(X$2:X545)</f>
        <v>15015.12</v>
      </c>
      <c r="AE545" s="31" t="n">
        <f aca="false">MAX(AE544,AD545)</f>
        <v>15756.64</v>
      </c>
      <c r="AF545" s="31" t="n">
        <f aca="false">AE545-AD545</f>
        <v>741.52</v>
      </c>
      <c r="AG545" s="30" t="n">
        <f aca="false">IFERROR(AF545/AE545,0)</f>
        <v>0.0470607946871922</v>
      </c>
    </row>
    <row r="546" customFormat="false" ht="15" hidden="false" customHeight="false" outlineLevel="0" collapsed="false">
      <c r="A546" s="29" t="n">
        <v>545</v>
      </c>
      <c r="B546" s="44" t="n">
        <v>45426.7256944445</v>
      </c>
      <c r="C546" s="44" t="n">
        <v>45426.7330787037</v>
      </c>
      <c r="D546" s="43" t="n">
        <f aca="false">INT(C546)</f>
        <v>45426</v>
      </c>
      <c r="E546" s="43" t="n">
        <f aca="false">D546-WEEKDAY(D546,3)</f>
        <v>45425</v>
      </c>
      <c r="F546" s="29" t="s">
        <v>169</v>
      </c>
      <c r="G546" s="29" t="n">
        <v>2024</v>
      </c>
      <c r="H546" s="29" t="s">
        <v>248</v>
      </c>
      <c r="I546" s="29" t="n">
        <v>17</v>
      </c>
      <c r="J546" s="29" t="s">
        <v>246</v>
      </c>
      <c r="K546" s="29" t="s">
        <v>247</v>
      </c>
      <c r="L546" s="29" t="n">
        <v>0.04</v>
      </c>
      <c r="M546" s="32" t="n">
        <v>18250.67</v>
      </c>
      <c r="N546" s="32" t="n">
        <v>18236.95</v>
      </c>
      <c r="O546" s="32" t="n">
        <v>18284.27</v>
      </c>
      <c r="P546" s="45" t="n">
        <f aca="false">ABS(M546-N546)</f>
        <v>13.7199999999975</v>
      </c>
      <c r="Q546" s="45" t="n">
        <f aca="false">IF(O546="","",ABS(O546-M546))</f>
        <v>33.6000000000022</v>
      </c>
      <c r="R546" s="31" t="n">
        <f aca="false">P546*L546*Summary!$C$6</f>
        <v>54.8799999999901</v>
      </c>
      <c r="S546" s="32" t="n">
        <v>18250.21</v>
      </c>
      <c r="T546" s="29" t="s">
        <v>255</v>
      </c>
      <c r="U546" s="45" t="n">
        <f aca="false">IF(J546="BUY",S546-M546,M546-S546)</f>
        <v>-0.459999999999127</v>
      </c>
      <c r="V546" s="46" t="n">
        <v>0</v>
      </c>
      <c r="W546" s="46" t="n">
        <v>0</v>
      </c>
      <c r="X546" s="46" t="n">
        <v>-1.84</v>
      </c>
      <c r="Y546" s="33" t="n">
        <f aca="false">IFERROR(X546/R546,0)</f>
        <v>-0.033527696793009</v>
      </c>
      <c r="Z546" s="29" t="str">
        <f aca="false">IF(X546&gt;0,"Win",IF(X546&lt;0,"Loss","Flat"))</f>
        <v>Loss</v>
      </c>
      <c r="AA546" s="29" t="n">
        <f aca="false">ROUND((C546-B546)*1440,1)</f>
        <v>10.6</v>
      </c>
      <c r="AB546" s="29" t="str">
        <f aca="false">IF(AA546&lt;1,"a) &lt;1 min",IF(AA546&lt;10,"b) 1-10 min",IF(AA546&lt;60,"c) 10-60 min",IF(AA546&lt;240,"d) 1-4 h","e) 4 h+"))))</f>
        <v>c) 10-60 min</v>
      </c>
      <c r="AC546" s="29" t="str">
        <f aca="false">IF(P546&lt;10,"a) &lt;10",IF(P546&lt;20,"b) 10-20",IF(P546&lt;40,"c) 20-40",IF(P546&lt;80,"d) 40-80","e) 80+"))))</f>
        <v>b) 10-20</v>
      </c>
      <c r="AD546" s="31" t="n">
        <f aca="false">Summary!$C$5+SUM(X$2:X546)</f>
        <v>15013.28</v>
      </c>
      <c r="AE546" s="31" t="n">
        <f aca="false">MAX(AE545,AD546)</f>
        <v>15756.64</v>
      </c>
      <c r="AF546" s="31" t="n">
        <f aca="false">AE546-AD546</f>
        <v>743.360000000001</v>
      </c>
      <c r="AG546" s="30" t="n">
        <f aca="false">IFERROR(AF546/AE546,0)</f>
        <v>0.0471775708526691</v>
      </c>
    </row>
    <row r="547" customFormat="false" ht="15" hidden="false" customHeight="false" outlineLevel="0" collapsed="false">
      <c r="A547" s="29" t="n">
        <v>546</v>
      </c>
      <c r="B547" s="44" t="n">
        <v>45427.2381944444</v>
      </c>
      <c r="C547" s="44" t="n">
        <v>45427.2391898148</v>
      </c>
      <c r="D547" s="43" t="n">
        <f aca="false">INT(C547)</f>
        <v>45427</v>
      </c>
      <c r="E547" s="43" t="n">
        <f aca="false">D547-WEEKDAY(D547,3)</f>
        <v>45425</v>
      </c>
      <c r="F547" s="29" t="s">
        <v>169</v>
      </c>
      <c r="G547" s="29" t="n">
        <v>2024</v>
      </c>
      <c r="H547" s="29" t="s">
        <v>252</v>
      </c>
      <c r="I547" s="29" t="n">
        <v>5</v>
      </c>
      <c r="J547" s="29" t="s">
        <v>246</v>
      </c>
      <c r="K547" s="29" t="s">
        <v>247</v>
      </c>
      <c r="L547" s="29" t="n">
        <v>0.04</v>
      </c>
      <c r="M547" s="32" t="n">
        <v>18336.79</v>
      </c>
      <c r="N547" s="32" t="n">
        <v>18332.44</v>
      </c>
      <c r="O547" s="32" t="n">
        <v>18347.46</v>
      </c>
      <c r="P547" s="45" t="n">
        <f aca="false">ABS(M547-N547)</f>
        <v>4.35000000000218</v>
      </c>
      <c r="Q547" s="45" t="n">
        <f aca="false">IF(O547="","",ABS(O547-M547))</f>
        <v>10.6699999999983</v>
      </c>
      <c r="R547" s="31" t="n">
        <f aca="false">P547*L547*Summary!$C$6</f>
        <v>17.4000000000087</v>
      </c>
      <c r="S547" s="32" t="n">
        <v>18331.89</v>
      </c>
      <c r="T547" s="29" t="s">
        <v>249</v>
      </c>
      <c r="U547" s="45" t="n">
        <f aca="false">IF(J547="BUY",S547-M547,M547-S547)</f>
        <v>-4.90000000000146</v>
      </c>
      <c r="V547" s="46" t="n">
        <v>0</v>
      </c>
      <c r="W547" s="46" t="n">
        <v>0</v>
      </c>
      <c r="X547" s="46" t="n">
        <v>-19.6</v>
      </c>
      <c r="Y547" s="33" t="n">
        <f aca="false">IFERROR(X547/R547,0)</f>
        <v>-1.12643678160863</v>
      </c>
      <c r="Z547" s="29" t="str">
        <f aca="false">IF(X547&gt;0,"Win",IF(X547&lt;0,"Loss","Flat"))</f>
        <v>Loss</v>
      </c>
      <c r="AA547" s="29" t="n">
        <f aca="false">ROUND((C547-B547)*1440,1)</f>
        <v>1.4</v>
      </c>
      <c r="AB547" s="29" t="str">
        <f aca="false">IF(AA547&lt;1,"a) &lt;1 min",IF(AA547&lt;10,"b) 1-10 min",IF(AA547&lt;60,"c) 10-60 min",IF(AA547&lt;240,"d) 1-4 h","e) 4 h+"))))</f>
        <v>b) 1-10 min</v>
      </c>
      <c r="AC547" s="29" t="str">
        <f aca="false">IF(P547&lt;10,"a) &lt;10",IF(P547&lt;20,"b) 10-20",IF(P547&lt;40,"c) 20-40",IF(P547&lt;80,"d) 40-80","e) 80+"))))</f>
        <v>a) &lt;10</v>
      </c>
      <c r="AD547" s="31" t="n">
        <f aca="false">Summary!$C$5+SUM(X$2:X547)</f>
        <v>14993.68</v>
      </c>
      <c r="AE547" s="31" t="n">
        <f aca="false">MAX(AE546,AD547)</f>
        <v>15756.64</v>
      </c>
      <c r="AF547" s="31" t="n">
        <f aca="false">AE547-AD547</f>
        <v>762.959999999999</v>
      </c>
      <c r="AG547" s="30" t="n">
        <f aca="false">IFERROR(AF547/AE547,0)</f>
        <v>0.0484214908762274</v>
      </c>
    </row>
    <row r="548" customFormat="false" ht="15" hidden="false" customHeight="false" outlineLevel="0" collapsed="false">
      <c r="A548" s="29" t="n">
        <v>547</v>
      </c>
      <c r="B548" s="44" t="n">
        <v>45428.0638888889</v>
      </c>
      <c r="C548" s="44" t="n">
        <v>45428.0644328704</v>
      </c>
      <c r="D548" s="43" t="n">
        <f aca="false">INT(C548)</f>
        <v>45428</v>
      </c>
      <c r="E548" s="43" t="n">
        <f aca="false">D548-WEEKDAY(D548,3)</f>
        <v>45425</v>
      </c>
      <c r="F548" s="29" t="s">
        <v>169</v>
      </c>
      <c r="G548" s="29" t="n">
        <v>2024</v>
      </c>
      <c r="H548" s="29" t="s">
        <v>253</v>
      </c>
      <c r="I548" s="29" t="n">
        <v>1</v>
      </c>
      <c r="J548" s="29" t="s">
        <v>246</v>
      </c>
      <c r="K548" s="29" t="s">
        <v>247</v>
      </c>
      <c r="L548" s="29" t="n">
        <v>0.04</v>
      </c>
      <c r="M548" s="32" t="n">
        <v>18608.07</v>
      </c>
      <c r="N548" s="32" t="n">
        <v>18606.36</v>
      </c>
      <c r="O548" s="32" t="n">
        <v>18612.26</v>
      </c>
      <c r="P548" s="45" t="n">
        <f aca="false">ABS(M548-N548)</f>
        <v>1.70999999999913</v>
      </c>
      <c r="Q548" s="45" t="n">
        <f aca="false">IF(O548="","",ABS(O548-M548))</f>
        <v>4.18999999999869</v>
      </c>
      <c r="R548" s="31" t="n">
        <f aca="false">P548*L548*Summary!$C$6</f>
        <v>6.83999999999651</v>
      </c>
      <c r="S548" s="32" t="n">
        <v>18606.35</v>
      </c>
      <c r="T548" s="29" t="s">
        <v>249</v>
      </c>
      <c r="U548" s="45" t="n">
        <f aca="false">IF(J548="BUY",S548-M548,M548-S548)</f>
        <v>-1.72000000000116</v>
      </c>
      <c r="V548" s="46" t="n">
        <v>0</v>
      </c>
      <c r="W548" s="46" t="n">
        <v>0</v>
      </c>
      <c r="X548" s="46" t="n">
        <v>-6.88</v>
      </c>
      <c r="Y548" s="33" t="n">
        <f aca="false">IFERROR(X548/R548,0)</f>
        <v>-1.00584795321689</v>
      </c>
      <c r="Z548" s="29" t="str">
        <f aca="false">IF(X548&gt;0,"Win",IF(X548&lt;0,"Loss","Flat"))</f>
        <v>Loss</v>
      </c>
      <c r="AA548" s="29" t="n">
        <f aca="false">ROUND((C548-B548)*1440,1)</f>
        <v>0.8</v>
      </c>
      <c r="AB548" s="29" t="str">
        <f aca="false">IF(AA548&lt;1,"a) &lt;1 min",IF(AA548&lt;10,"b) 1-10 min",IF(AA548&lt;60,"c) 10-60 min",IF(AA548&lt;240,"d) 1-4 h","e) 4 h+"))))</f>
        <v>a) &lt;1 min</v>
      </c>
      <c r="AC548" s="29" t="str">
        <f aca="false">IF(P548&lt;10,"a) &lt;10",IF(P548&lt;20,"b) 10-20",IF(P548&lt;40,"c) 20-40",IF(P548&lt;80,"d) 40-80","e) 80+"))))</f>
        <v>a) &lt;10</v>
      </c>
      <c r="AD548" s="31" t="n">
        <f aca="false">Summary!$C$5+SUM(X$2:X548)</f>
        <v>14986.8</v>
      </c>
      <c r="AE548" s="31" t="n">
        <f aca="false">MAX(AE547,AD548)</f>
        <v>15756.64</v>
      </c>
      <c r="AF548" s="31" t="n">
        <f aca="false">AE548-AD548</f>
        <v>769.84</v>
      </c>
      <c r="AG548" s="30" t="n">
        <f aca="false">IFERROR(AF548/AE548,0)</f>
        <v>0.0488581321906193</v>
      </c>
    </row>
    <row r="549" customFormat="false" ht="15" hidden="false" customHeight="false" outlineLevel="0" collapsed="false">
      <c r="A549" s="29" t="n">
        <v>548</v>
      </c>
      <c r="B549" s="44" t="n">
        <v>45429.4645833333</v>
      </c>
      <c r="C549" s="44" t="n">
        <v>45429.4657638889</v>
      </c>
      <c r="D549" s="43" t="n">
        <f aca="false">INT(C549)</f>
        <v>45429</v>
      </c>
      <c r="E549" s="43" t="n">
        <f aca="false">D549-WEEKDAY(D549,3)</f>
        <v>45425</v>
      </c>
      <c r="F549" s="29" t="s">
        <v>169</v>
      </c>
      <c r="G549" s="29" t="n">
        <v>2024</v>
      </c>
      <c r="H549" s="29" t="s">
        <v>254</v>
      </c>
      <c r="I549" s="29" t="n">
        <v>11</v>
      </c>
      <c r="J549" s="29" t="s">
        <v>250</v>
      </c>
      <c r="K549" s="29" t="s">
        <v>251</v>
      </c>
      <c r="L549" s="29" t="n">
        <v>0.04</v>
      </c>
      <c r="M549" s="32" t="n">
        <v>18539.72</v>
      </c>
      <c r="N549" s="32" t="n">
        <v>18544.47</v>
      </c>
      <c r="O549" s="32" t="n">
        <v>18528.4</v>
      </c>
      <c r="P549" s="45" t="n">
        <f aca="false">ABS(M549-N549)</f>
        <v>4.75</v>
      </c>
      <c r="Q549" s="45" t="n">
        <f aca="false">IF(O549="","",ABS(O549-M549))</f>
        <v>11.3199999999997</v>
      </c>
      <c r="R549" s="31" t="n">
        <f aca="false">P549*L549*Summary!$C$6</f>
        <v>19</v>
      </c>
      <c r="S549" s="32" t="n">
        <v>18544.51</v>
      </c>
      <c r="T549" s="29" t="s">
        <v>249</v>
      </c>
      <c r="U549" s="45" t="n">
        <f aca="false">IF(J549="BUY",S549-M549,M549-S549)</f>
        <v>-4.78999999999724</v>
      </c>
      <c r="V549" s="46" t="n">
        <v>0</v>
      </c>
      <c r="W549" s="46" t="n">
        <v>0</v>
      </c>
      <c r="X549" s="46" t="n">
        <v>-19.16</v>
      </c>
      <c r="Y549" s="33" t="n">
        <f aca="false">IFERROR(X549/R549,0)</f>
        <v>-1.00842105263158</v>
      </c>
      <c r="Z549" s="29" t="str">
        <f aca="false">IF(X549&gt;0,"Win",IF(X549&lt;0,"Loss","Flat"))</f>
        <v>Loss</v>
      </c>
      <c r="AA549" s="29" t="n">
        <f aca="false">ROUND((C549-B549)*1440,1)</f>
        <v>1.7</v>
      </c>
      <c r="AB549" s="29" t="str">
        <f aca="false">IF(AA549&lt;1,"a) &lt;1 min",IF(AA549&lt;10,"b) 1-10 min",IF(AA549&lt;60,"c) 10-60 min",IF(AA549&lt;240,"d) 1-4 h","e) 4 h+"))))</f>
        <v>b) 1-10 min</v>
      </c>
      <c r="AC549" s="29" t="str">
        <f aca="false">IF(P549&lt;10,"a) &lt;10",IF(P549&lt;20,"b) 10-20",IF(P549&lt;40,"c) 20-40",IF(P549&lt;80,"d) 40-80","e) 80+"))))</f>
        <v>a) &lt;10</v>
      </c>
      <c r="AD549" s="31" t="n">
        <f aca="false">Summary!$C$5+SUM(X$2:X549)</f>
        <v>14967.64</v>
      </c>
      <c r="AE549" s="31" t="n">
        <f aca="false">MAX(AE548,AD549)</f>
        <v>15756.64</v>
      </c>
      <c r="AF549" s="31" t="n">
        <f aca="false">AE549-AD549</f>
        <v>789</v>
      </c>
      <c r="AG549" s="30" t="n">
        <f aca="false">IFERROR(AF549/AE549,0)</f>
        <v>0.0500741274789549</v>
      </c>
    </row>
    <row r="550" customFormat="false" ht="15" hidden="false" customHeight="false" outlineLevel="0" collapsed="false">
      <c r="A550" s="29" t="n">
        <v>549</v>
      </c>
      <c r="B550" s="44" t="n">
        <v>45432.5854166667</v>
      </c>
      <c r="C550" s="44" t="n">
        <v>45432.5858217593</v>
      </c>
      <c r="D550" s="43" t="n">
        <f aca="false">INT(C550)</f>
        <v>45432</v>
      </c>
      <c r="E550" s="43" t="n">
        <f aca="false">D550-WEEKDAY(D550,3)</f>
        <v>45432</v>
      </c>
      <c r="F550" s="29" t="s">
        <v>169</v>
      </c>
      <c r="G550" s="29" t="n">
        <v>2024</v>
      </c>
      <c r="H550" s="29" t="s">
        <v>245</v>
      </c>
      <c r="I550" s="29" t="n">
        <v>14</v>
      </c>
      <c r="J550" s="29" t="s">
        <v>246</v>
      </c>
      <c r="K550" s="29" t="s">
        <v>247</v>
      </c>
      <c r="L550" s="29" t="n">
        <v>0.04</v>
      </c>
      <c r="M550" s="32" t="n">
        <v>18593.4</v>
      </c>
      <c r="N550" s="32" t="n">
        <v>18590.64</v>
      </c>
      <c r="O550" s="32" t="n">
        <v>18600.16</v>
      </c>
      <c r="P550" s="45" t="n">
        <f aca="false">ABS(M550-N550)</f>
        <v>2.76000000000204</v>
      </c>
      <c r="Q550" s="45" t="n">
        <f aca="false">IF(O550="","",ABS(O550-M550))</f>
        <v>6.7599999999984</v>
      </c>
      <c r="R550" s="31" t="n">
        <f aca="false">P550*L550*Summary!$C$6</f>
        <v>11.0400000000081</v>
      </c>
      <c r="S550" s="32" t="n">
        <v>18590.52</v>
      </c>
      <c r="T550" s="29" t="s">
        <v>249</v>
      </c>
      <c r="U550" s="45" t="n">
        <f aca="false">IF(J550="BUY",S550-M550,M550-S550)</f>
        <v>-2.88000000000102</v>
      </c>
      <c r="V550" s="46" t="n">
        <v>0</v>
      </c>
      <c r="W550" s="46" t="n">
        <v>0</v>
      </c>
      <c r="X550" s="46" t="n">
        <v>-11.52</v>
      </c>
      <c r="Y550" s="33" t="n">
        <f aca="false">IFERROR(X550/R550,0)</f>
        <v>-1.0434782608688</v>
      </c>
      <c r="Z550" s="29" t="str">
        <f aca="false">IF(X550&gt;0,"Win",IF(X550&lt;0,"Loss","Flat"))</f>
        <v>Loss</v>
      </c>
      <c r="AA550" s="29" t="n">
        <f aca="false">ROUND((C550-B550)*1440,1)</f>
        <v>0.6</v>
      </c>
      <c r="AB550" s="29" t="str">
        <f aca="false">IF(AA550&lt;1,"a) &lt;1 min",IF(AA550&lt;10,"b) 1-10 min",IF(AA550&lt;60,"c) 10-60 min",IF(AA550&lt;240,"d) 1-4 h","e) 4 h+"))))</f>
        <v>a) &lt;1 min</v>
      </c>
      <c r="AC550" s="29" t="str">
        <f aca="false">IF(P550&lt;10,"a) &lt;10",IF(P550&lt;20,"b) 10-20",IF(P550&lt;40,"c) 20-40",IF(P550&lt;80,"d) 40-80","e) 80+"))))</f>
        <v>a) &lt;10</v>
      </c>
      <c r="AD550" s="31" t="n">
        <f aca="false">Summary!$C$5+SUM(X$2:X550)</f>
        <v>14956.12</v>
      </c>
      <c r="AE550" s="31" t="n">
        <f aca="false">MAX(AE549,AD550)</f>
        <v>15756.64</v>
      </c>
      <c r="AF550" s="31" t="n">
        <f aca="false">AE550-AD550</f>
        <v>800.52</v>
      </c>
      <c r="AG550" s="30" t="n">
        <f aca="false">IFERROR(AF550/AE550,0)</f>
        <v>0.0508052478193321</v>
      </c>
    </row>
    <row r="551" customFormat="false" ht="15" hidden="false" customHeight="false" outlineLevel="0" collapsed="false">
      <c r="A551" s="29" t="n">
        <v>550</v>
      </c>
      <c r="B551" s="44" t="n">
        <v>45433.9548611111</v>
      </c>
      <c r="C551" s="44" t="n">
        <v>45433.9581481482</v>
      </c>
      <c r="D551" s="43" t="n">
        <f aca="false">INT(C551)</f>
        <v>45433</v>
      </c>
      <c r="E551" s="43" t="n">
        <f aca="false">D551-WEEKDAY(D551,3)</f>
        <v>45432</v>
      </c>
      <c r="F551" s="29" t="s">
        <v>169</v>
      </c>
      <c r="G551" s="29" t="n">
        <v>2024</v>
      </c>
      <c r="H551" s="29" t="s">
        <v>248</v>
      </c>
      <c r="I551" s="29" t="n">
        <v>22</v>
      </c>
      <c r="J551" s="29" t="s">
        <v>246</v>
      </c>
      <c r="K551" s="29" t="s">
        <v>247</v>
      </c>
      <c r="L551" s="29" t="n">
        <v>0.03</v>
      </c>
      <c r="M551" s="32" t="n">
        <v>18711.29</v>
      </c>
      <c r="N551" s="32" t="n">
        <v>18705.94</v>
      </c>
      <c r="O551" s="32" t="n">
        <v>18729.71</v>
      </c>
      <c r="P551" s="45" t="n">
        <f aca="false">ABS(M551-N551)</f>
        <v>5.35000000000218</v>
      </c>
      <c r="Q551" s="45" t="n">
        <f aca="false">IF(O551="","",ABS(O551-M551))</f>
        <v>18.4199999999983</v>
      </c>
      <c r="R551" s="31" t="n">
        <f aca="false">P551*L551*Summary!$C$6</f>
        <v>16.0500000000066</v>
      </c>
      <c r="S551" s="32" t="n">
        <v>18711.12</v>
      </c>
      <c r="T551" s="29" t="s">
        <v>255</v>
      </c>
      <c r="U551" s="45" t="n">
        <f aca="false">IF(J551="BUY",S551-M551,M551-S551)</f>
        <v>-0.170000000001892</v>
      </c>
      <c r="V551" s="46" t="n">
        <v>0</v>
      </c>
      <c r="W551" s="46" t="n">
        <v>0</v>
      </c>
      <c r="X551" s="46" t="n">
        <v>-0.51</v>
      </c>
      <c r="Y551" s="33" t="n">
        <f aca="false">IFERROR(X551/R551,0)</f>
        <v>-0.0317757009345665</v>
      </c>
      <c r="Z551" s="29" t="str">
        <f aca="false">IF(X551&gt;0,"Win",IF(X551&lt;0,"Loss","Flat"))</f>
        <v>Loss</v>
      </c>
      <c r="AA551" s="29" t="n">
        <f aca="false">ROUND((C551-B551)*1440,1)</f>
        <v>4.7</v>
      </c>
      <c r="AB551" s="29" t="str">
        <f aca="false">IF(AA551&lt;1,"a) &lt;1 min",IF(AA551&lt;10,"b) 1-10 min",IF(AA551&lt;60,"c) 10-60 min",IF(AA551&lt;240,"d) 1-4 h","e) 4 h+"))))</f>
        <v>b) 1-10 min</v>
      </c>
      <c r="AC551" s="29" t="str">
        <f aca="false">IF(P551&lt;10,"a) &lt;10",IF(P551&lt;20,"b) 10-20",IF(P551&lt;40,"c) 20-40",IF(P551&lt;80,"d) 40-80","e) 80+"))))</f>
        <v>a) &lt;10</v>
      </c>
      <c r="AD551" s="31" t="n">
        <f aca="false">Summary!$C$5+SUM(X$2:X551)</f>
        <v>14955.61</v>
      </c>
      <c r="AE551" s="31" t="n">
        <f aca="false">MAX(AE550,AD551)</f>
        <v>15756.64</v>
      </c>
      <c r="AF551" s="31" t="n">
        <f aca="false">AE551-AD551</f>
        <v>801.029999999999</v>
      </c>
      <c r="AG551" s="30" t="n">
        <f aca="false">IFERROR(AF551/AE551,0)</f>
        <v>0.0508376151260674</v>
      </c>
    </row>
    <row r="552" customFormat="false" ht="15" hidden="false" customHeight="false" outlineLevel="0" collapsed="false">
      <c r="A552" s="29" t="n">
        <v>551</v>
      </c>
      <c r="B552" s="44" t="n">
        <v>45434.0708333333</v>
      </c>
      <c r="C552" s="44" t="n">
        <v>45434.0728356482</v>
      </c>
      <c r="D552" s="43" t="n">
        <f aca="false">INT(C552)</f>
        <v>45434</v>
      </c>
      <c r="E552" s="43" t="n">
        <f aca="false">D552-WEEKDAY(D552,3)</f>
        <v>45432</v>
      </c>
      <c r="F552" s="29" t="s">
        <v>169</v>
      </c>
      <c r="G552" s="29" t="n">
        <v>2024</v>
      </c>
      <c r="H552" s="29" t="s">
        <v>252</v>
      </c>
      <c r="I552" s="29" t="n">
        <v>1</v>
      </c>
      <c r="J552" s="29" t="s">
        <v>246</v>
      </c>
      <c r="K552" s="29" t="s">
        <v>247</v>
      </c>
      <c r="L552" s="29" t="n">
        <v>0.03</v>
      </c>
      <c r="M552" s="32" t="n">
        <v>18724.9</v>
      </c>
      <c r="N552" s="32" t="n">
        <v>18722.92</v>
      </c>
      <c r="O552" s="32" t="n">
        <v>18729.76</v>
      </c>
      <c r="P552" s="45" t="n">
        <f aca="false">ABS(M552-N552)</f>
        <v>1.9800000000032</v>
      </c>
      <c r="Q552" s="45" t="n">
        <f aca="false">IF(O552="","",ABS(O552-M552))</f>
        <v>4.85999999999694</v>
      </c>
      <c r="R552" s="31" t="n">
        <f aca="false">P552*L552*Summary!$C$6</f>
        <v>5.9400000000096</v>
      </c>
      <c r="S552" s="32" t="n">
        <v>18722.91</v>
      </c>
      <c r="T552" s="29" t="s">
        <v>249</v>
      </c>
      <c r="U552" s="45" t="n">
        <f aca="false">IF(J552="BUY",S552-M552,M552-S552)</f>
        <v>-1.9900000000016</v>
      </c>
      <c r="V552" s="46" t="n">
        <v>0</v>
      </c>
      <c r="W552" s="46" t="n">
        <v>0</v>
      </c>
      <c r="X552" s="46" t="n">
        <v>-5.97</v>
      </c>
      <c r="Y552" s="33" t="n">
        <f aca="false">IFERROR(X552/R552,0)</f>
        <v>-1.00505050504888</v>
      </c>
      <c r="Z552" s="29" t="str">
        <f aca="false">IF(X552&gt;0,"Win",IF(X552&lt;0,"Loss","Flat"))</f>
        <v>Loss</v>
      </c>
      <c r="AA552" s="29" t="n">
        <f aca="false">ROUND((C552-B552)*1440,1)</f>
        <v>2.9</v>
      </c>
      <c r="AB552" s="29" t="str">
        <f aca="false">IF(AA552&lt;1,"a) &lt;1 min",IF(AA552&lt;10,"b) 1-10 min",IF(AA552&lt;60,"c) 10-60 min",IF(AA552&lt;240,"d) 1-4 h","e) 4 h+"))))</f>
        <v>b) 1-10 min</v>
      </c>
      <c r="AC552" s="29" t="str">
        <f aca="false">IF(P552&lt;10,"a) &lt;10",IF(P552&lt;20,"b) 10-20",IF(P552&lt;40,"c) 20-40",IF(P552&lt;80,"d) 40-80","e) 80+"))))</f>
        <v>a) &lt;10</v>
      </c>
      <c r="AD552" s="31" t="n">
        <f aca="false">Summary!$C$5+SUM(X$2:X552)</f>
        <v>14949.64</v>
      </c>
      <c r="AE552" s="31" t="n">
        <f aca="false">MAX(AE551,AD552)</f>
        <v>15756.64</v>
      </c>
      <c r="AF552" s="31" t="n">
        <f aca="false">AE552-AD552</f>
        <v>807</v>
      </c>
      <c r="AG552" s="30" t="n">
        <f aca="false">IFERROR(AF552/AE552,0)</f>
        <v>0.0512165030107942</v>
      </c>
    </row>
    <row r="553" customFormat="false" ht="15" hidden="false" customHeight="false" outlineLevel="0" collapsed="false">
      <c r="A553" s="29" t="n">
        <v>552</v>
      </c>
      <c r="B553" s="44" t="n">
        <v>45435.0472337963</v>
      </c>
      <c r="C553" s="44" t="n">
        <v>45435.2005671296</v>
      </c>
      <c r="D553" s="43" t="n">
        <f aca="false">INT(C553)</f>
        <v>45435</v>
      </c>
      <c r="E553" s="43" t="n">
        <f aca="false">D553-WEEKDAY(D553,3)</f>
        <v>45432</v>
      </c>
      <c r="F553" s="29" t="s">
        <v>169</v>
      </c>
      <c r="G553" s="29" t="n">
        <v>2024</v>
      </c>
      <c r="H553" s="29" t="s">
        <v>253</v>
      </c>
      <c r="I553" s="29" t="n">
        <v>1</v>
      </c>
      <c r="J553" s="29" t="s">
        <v>246</v>
      </c>
      <c r="K553" s="29" t="s">
        <v>247</v>
      </c>
      <c r="L553" s="29" t="n">
        <v>0.03</v>
      </c>
      <c r="M553" s="32" t="n">
        <v>18777.57</v>
      </c>
      <c r="N553" s="32" t="n">
        <v>18757.54</v>
      </c>
      <c r="O553" s="32" t="n">
        <v>18826.64</v>
      </c>
      <c r="P553" s="45" t="n">
        <f aca="false">ABS(M553-N553)</f>
        <v>20.0299999999988</v>
      </c>
      <c r="Q553" s="45" t="n">
        <f aca="false">IF(O553="","",ABS(O553-M553))</f>
        <v>49.0699999999997</v>
      </c>
      <c r="R553" s="31" t="n">
        <f aca="false">P553*L553*Summary!$C$6</f>
        <v>60.0899999999965</v>
      </c>
      <c r="S553" s="32" t="n">
        <v>18830.6</v>
      </c>
      <c r="T553" s="29" t="s">
        <v>227</v>
      </c>
      <c r="U553" s="45" t="n">
        <f aca="false">IF(J553="BUY",S553-M553,M553-S553)</f>
        <v>53.0299999999988</v>
      </c>
      <c r="V553" s="46" t="n">
        <v>0</v>
      </c>
      <c r="W553" s="46" t="n">
        <v>0</v>
      </c>
      <c r="X553" s="46" t="n">
        <v>159.09</v>
      </c>
      <c r="Y553" s="33" t="n">
        <f aca="false">IFERROR(X553/R553,0)</f>
        <v>2.64752870693975</v>
      </c>
      <c r="Z553" s="29" t="str">
        <f aca="false">IF(X553&gt;0,"Win",IF(X553&lt;0,"Loss","Flat"))</f>
        <v>Win</v>
      </c>
      <c r="AA553" s="29" t="n">
        <f aca="false">ROUND((C553-B553)*1440,1)</f>
        <v>220.8</v>
      </c>
      <c r="AB553" s="29" t="str">
        <f aca="false">IF(AA553&lt;1,"a) &lt;1 min",IF(AA553&lt;10,"b) 1-10 min",IF(AA553&lt;60,"c) 10-60 min",IF(AA553&lt;240,"d) 1-4 h","e) 4 h+"))))</f>
        <v>d) 1-4 h</v>
      </c>
      <c r="AC553" s="29" t="str">
        <f aca="false">IF(P553&lt;10,"a) &lt;10",IF(P553&lt;20,"b) 10-20",IF(P553&lt;40,"c) 20-40",IF(P553&lt;80,"d) 40-80","e) 80+"))))</f>
        <v>c) 20-40</v>
      </c>
      <c r="AD553" s="31" t="n">
        <f aca="false">Summary!$C$5+SUM(X$2:X553)</f>
        <v>15108.73</v>
      </c>
      <c r="AE553" s="31" t="n">
        <f aca="false">MAX(AE552,AD553)</f>
        <v>15756.64</v>
      </c>
      <c r="AF553" s="31" t="n">
        <f aca="false">AE553-AD553</f>
        <v>647.91</v>
      </c>
      <c r="AG553" s="30" t="n">
        <f aca="false">IFERROR(AF553/AE553,0)</f>
        <v>0.0411198072685547</v>
      </c>
    </row>
    <row r="554" customFormat="false" ht="15" hidden="false" customHeight="false" outlineLevel="0" collapsed="false">
      <c r="A554" s="29" t="n">
        <v>553</v>
      </c>
      <c r="B554" s="44" t="n">
        <v>45435.8888888889</v>
      </c>
      <c r="C554" s="44" t="n">
        <v>45435.8894212963</v>
      </c>
      <c r="D554" s="43" t="n">
        <f aca="false">INT(C554)</f>
        <v>45435</v>
      </c>
      <c r="E554" s="43" t="n">
        <f aca="false">D554-WEEKDAY(D554,3)</f>
        <v>45432</v>
      </c>
      <c r="F554" s="29" t="s">
        <v>169</v>
      </c>
      <c r="G554" s="29" t="n">
        <v>2024</v>
      </c>
      <c r="H554" s="29" t="s">
        <v>253</v>
      </c>
      <c r="I554" s="29" t="n">
        <v>21</v>
      </c>
      <c r="J554" s="29" t="s">
        <v>250</v>
      </c>
      <c r="K554" s="29" t="s">
        <v>251</v>
      </c>
      <c r="L554" s="29" t="n">
        <v>0.04</v>
      </c>
      <c r="M554" s="32" t="n">
        <v>18600.88</v>
      </c>
      <c r="N554" s="32" t="n">
        <v>18619.05</v>
      </c>
      <c r="O554" s="32" t="n">
        <v>18556.36</v>
      </c>
      <c r="P554" s="45" t="n">
        <f aca="false">ABS(M554-N554)</f>
        <v>18.1699999999983</v>
      </c>
      <c r="Q554" s="45" t="n">
        <f aca="false">IF(O554="","",ABS(O554-M554))</f>
        <v>44.5200000000004</v>
      </c>
      <c r="R554" s="31" t="n">
        <f aca="false">P554*L554*Summary!$C$6</f>
        <v>72.679999999993</v>
      </c>
      <c r="S554" s="32" t="n">
        <v>18619.11</v>
      </c>
      <c r="T554" s="29" t="s">
        <v>249</v>
      </c>
      <c r="U554" s="45" t="n">
        <f aca="false">IF(J554="BUY",S554-M554,M554-S554)</f>
        <v>-18.2299999999996</v>
      </c>
      <c r="V554" s="46" t="n">
        <v>0</v>
      </c>
      <c r="W554" s="46" t="n">
        <v>0</v>
      </c>
      <c r="X554" s="46" t="n">
        <v>-72.92</v>
      </c>
      <c r="Y554" s="33" t="n">
        <f aca="false">IFERROR(X554/R554,0)</f>
        <v>-1.00330214639525</v>
      </c>
      <c r="Z554" s="29" t="str">
        <f aca="false">IF(X554&gt;0,"Win",IF(X554&lt;0,"Loss","Flat"))</f>
        <v>Loss</v>
      </c>
      <c r="AA554" s="29" t="n">
        <f aca="false">ROUND((C554-B554)*1440,1)</f>
        <v>0.8</v>
      </c>
      <c r="AB554" s="29" t="str">
        <f aca="false">IF(AA554&lt;1,"a) &lt;1 min",IF(AA554&lt;10,"b) 1-10 min",IF(AA554&lt;60,"c) 10-60 min",IF(AA554&lt;240,"d) 1-4 h","e) 4 h+"))))</f>
        <v>a) &lt;1 min</v>
      </c>
      <c r="AC554" s="29" t="str">
        <f aca="false">IF(P554&lt;10,"a) &lt;10",IF(P554&lt;20,"b) 10-20",IF(P554&lt;40,"c) 20-40",IF(P554&lt;80,"d) 40-80","e) 80+"))))</f>
        <v>b) 10-20</v>
      </c>
      <c r="AD554" s="31" t="n">
        <f aca="false">Summary!$C$5+SUM(X$2:X554)</f>
        <v>15035.81</v>
      </c>
      <c r="AE554" s="31" t="n">
        <f aca="false">MAX(AE553,AD554)</f>
        <v>15756.64</v>
      </c>
      <c r="AF554" s="31" t="n">
        <f aca="false">AE554-AD554</f>
        <v>720.829999999998</v>
      </c>
      <c r="AG554" s="30" t="n">
        <f aca="false">IFERROR(AF554/AE554,0)</f>
        <v>0.0457476974786502</v>
      </c>
    </row>
    <row r="555" customFormat="false" ht="15" hidden="false" customHeight="false" outlineLevel="0" collapsed="false">
      <c r="A555" s="29" t="n">
        <v>554</v>
      </c>
      <c r="B555" s="44" t="n">
        <v>45439.7659722222</v>
      </c>
      <c r="C555" s="44" t="n">
        <v>45439.7681597222</v>
      </c>
      <c r="D555" s="43" t="n">
        <f aca="false">INT(C555)</f>
        <v>45439</v>
      </c>
      <c r="E555" s="43" t="n">
        <f aca="false">D555-WEEKDAY(D555,3)</f>
        <v>45439</v>
      </c>
      <c r="F555" s="29" t="s">
        <v>169</v>
      </c>
      <c r="G555" s="29" t="n">
        <v>2024</v>
      </c>
      <c r="H555" s="29" t="s">
        <v>245</v>
      </c>
      <c r="I555" s="29" t="n">
        <v>18</v>
      </c>
      <c r="J555" s="29" t="s">
        <v>246</v>
      </c>
      <c r="K555" s="29" t="s">
        <v>247</v>
      </c>
      <c r="L555" s="29" t="n">
        <v>0.03</v>
      </c>
      <c r="M555" s="32" t="n">
        <v>18854.12</v>
      </c>
      <c r="N555" s="32" t="n">
        <v>18851.36</v>
      </c>
      <c r="O555" s="32" t="n">
        <v>18860.87</v>
      </c>
      <c r="P555" s="45" t="n">
        <f aca="false">ABS(M555-N555)</f>
        <v>2.7599999999984</v>
      </c>
      <c r="Q555" s="45" t="n">
        <f aca="false">IF(O555="","",ABS(O555-M555))</f>
        <v>6.75</v>
      </c>
      <c r="R555" s="31" t="n">
        <f aca="false">P555*L555*Summary!$C$6</f>
        <v>8.2799999999952</v>
      </c>
      <c r="S555" s="32" t="n">
        <v>18854.1</v>
      </c>
      <c r="T555" s="29" t="s">
        <v>255</v>
      </c>
      <c r="U555" s="45" t="n">
        <f aca="false">IF(J555="BUY",S555-M555,M555-S555)</f>
        <v>-0.0200000000004366</v>
      </c>
      <c r="V555" s="46" t="n">
        <v>0</v>
      </c>
      <c r="W555" s="46" t="n">
        <v>0</v>
      </c>
      <c r="X555" s="46" t="n">
        <v>-0.06</v>
      </c>
      <c r="Y555" s="33" t="n">
        <f aca="false">IFERROR(X555/R555,0)</f>
        <v>-0.00724637681159841</v>
      </c>
      <c r="Z555" s="29" t="str">
        <f aca="false">IF(X555&gt;0,"Win",IF(X555&lt;0,"Loss","Flat"))</f>
        <v>Loss</v>
      </c>
      <c r="AA555" s="29" t="n">
        <f aca="false">ROUND((C555-B555)*1440,1)</f>
        <v>3.2</v>
      </c>
      <c r="AB555" s="29" t="str">
        <f aca="false">IF(AA555&lt;1,"a) &lt;1 min",IF(AA555&lt;10,"b) 1-10 min",IF(AA555&lt;60,"c) 10-60 min",IF(AA555&lt;240,"d) 1-4 h","e) 4 h+"))))</f>
        <v>b) 1-10 min</v>
      </c>
      <c r="AC555" s="29" t="str">
        <f aca="false">IF(P555&lt;10,"a) &lt;10",IF(P555&lt;20,"b) 10-20",IF(P555&lt;40,"c) 20-40",IF(P555&lt;80,"d) 40-80","e) 80+"))))</f>
        <v>a) &lt;10</v>
      </c>
      <c r="AD555" s="31" t="n">
        <f aca="false">Summary!$C$5+SUM(X$2:X555)</f>
        <v>15035.75</v>
      </c>
      <c r="AE555" s="31" t="n">
        <f aca="false">MAX(AE554,AD555)</f>
        <v>15756.64</v>
      </c>
      <c r="AF555" s="31" t="n">
        <f aca="false">AE555-AD555</f>
        <v>720.889999999999</v>
      </c>
      <c r="AG555" s="30" t="n">
        <f aca="false">IFERROR(AF555/AE555,0)</f>
        <v>0.0457515053970897</v>
      </c>
    </row>
    <row r="556" customFormat="false" ht="15" hidden="false" customHeight="false" outlineLevel="0" collapsed="false">
      <c r="A556" s="29" t="n">
        <v>555</v>
      </c>
      <c r="B556" s="44" t="n">
        <v>45440.46875</v>
      </c>
      <c r="C556" s="44" t="n">
        <v>45440.4703356482</v>
      </c>
      <c r="D556" s="43" t="n">
        <f aca="false">INT(C556)</f>
        <v>45440</v>
      </c>
      <c r="E556" s="43" t="n">
        <f aca="false">D556-WEEKDAY(D556,3)</f>
        <v>45439</v>
      </c>
      <c r="F556" s="29" t="s">
        <v>169</v>
      </c>
      <c r="G556" s="29" t="n">
        <v>2024</v>
      </c>
      <c r="H556" s="29" t="s">
        <v>248</v>
      </c>
      <c r="I556" s="29" t="n">
        <v>11</v>
      </c>
      <c r="J556" s="29" t="s">
        <v>246</v>
      </c>
      <c r="K556" s="29" t="s">
        <v>247</v>
      </c>
      <c r="L556" s="29" t="n">
        <v>0.03</v>
      </c>
      <c r="M556" s="32" t="n">
        <v>18891.04</v>
      </c>
      <c r="N556" s="32" t="n">
        <v>18885.81</v>
      </c>
      <c r="O556" s="32" t="n">
        <v>18903.86</v>
      </c>
      <c r="P556" s="45" t="n">
        <f aca="false">ABS(M556-N556)</f>
        <v>5.22999999999956</v>
      </c>
      <c r="Q556" s="45" t="n">
        <f aca="false">IF(O556="","",ABS(O556-M556))</f>
        <v>12.8199999999997</v>
      </c>
      <c r="R556" s="31" t="n">
        <f aca="false">P556*L556*Summary!$C$6</f>
        <v>15.6899999999987</v>
      </c>
      <c r="S556" s="32" t="n">
        <v>18890.91</v>
      </c>
      <c r="T556" s="29" t="s">
        <v>255</v>
      </c>
      <c r="U556" s="45" t="n">
        <f aca="false">IF(J556="BUY",S556-M556,M556-S556)</f>
        <v>-0.130000000001019</v>
      </c>
      <c r="V556" s="46" t="n">
        <v>0</v>
      </c>
      <c r="W556" s="46" t="n">
        <v>0</v>
      </c>
      <c r="X556" s="46" t="n">
        <v>-0.39</v>
      </c>
      <c r="Y556" s="33" t="n">
        <f aca="false">IFERROR(X556/R556,0)</f>
        <v>-0.0248565965583195</v>
      </c>
      <c r="Z556" s="29" t="str">
        <f aca="false">IF(X556&gt;0,"Win",IF(X556&lt;0,"Loss","Flat"))</f>
        <v>Loss</v>
      </c>
      <c r="AA556" s="29" t="n">
        <f aca="false">ROUND((C556-B556)*1440,1)</f>
        <v>2.3</v>
      </c>
      <c r="AB556" s="29" t="str">
        <f aca="false">IF(AA556&lt;1,"a) &lt;1 min",IF(AA556&lt;10,"b) 1-10 min",IF(AA556&lt;60,"c) 10-60 min",IF(AA556&lt;240,"d) 1-4 h","e) 4 h+"))))</f>
        <v>b) 1-10 min</v>
      </c>
      <c r="AC556" s="29" t="str">
        <f aca="false">IF(P556&lt;10,"a) &lt;10",IF(P556&lt;20,"b) 10-20",IF(P556&lt;40,"c) 20-40",IF(P556&lt;80,"d) 40-80","e) 80+"))))</f>
        <v>a) &lt;10</v>
      </c>
      <c r="AD556" s="31" t="n">
        <f aca="false">Summary!$C$5+SUM(X$2:X556)</f>
        <v>15035.36</v>
      </c>
      <c r="AE556" s="31" t="n">
        <f aca="false">MAX(AE555,AD556)</f>
        <v>15756.64</v>
      </c>
      <c r="AF556" s="31" t="n">
        <f aca="false">AE556-AD556</f>
        <v>721.279999999999</v>
      </c>
      <c r="AG556" s="30" t="n">
        <f aca="false">IFERROR(AF556/AE556,0)</f>
        <v>0.0457762568669462</v>
      </c>
    </row>
    <row r="557" customFormat="false" ht="15" hidden="false" customHeight="false" outlineLevel="0" collapsed="false">
      <c r="A557" s="29" t="n">
        <v>556</v>
      </c>
      <c r="B557" s="44" t="n">
        <v>45440.9013888889</v>
      </c>
      <c r="C557" s="44" t="n">
        <v>45440.9029282407</v>
      </c>
      <c r="D557" s="43" t="n">
        <f aca="false">INT(C557)</f>
        <v>45440</v>
      </c>
      <c r="E557" s="43" t="n">
        <f aca="false">D557-WEEKDAY(D557,3)</f>
        <v>45439</v>
      </c>
      <c r="F557" s="29" t="s">
        <v>169</v>
      </c>
      <c r="G557" s="29" t="n">
        <v>2024</v>
      </c>
      <c r="H557" s="29" t="s">
        <v>248</v>
      </c>
      <c r="I557" s="29" t="n">
        <v>21</v>
      </c>
      <c r="J557" s="29" t="s">
        <v>250</v>
      </c>
      <c r="K557" s="29" t="s">
        <v>251</v>
      </c>
      <c r="L557" s="29" t="n">
        <v>0.04</v>
      </c>
      <c r="M557" s="32" t="n">
        <v>18759.86</v>
      </c>
      <c r="N557" s="32" t="n">
        <v>18771.91</v>
      </c>
      <c r="O557" s="32" t="n">
        <v>18730.34</v>
      </c>
      <c r="P557" s="45" t="n">
        <f aca="false">ABS(M557-N557)</f>
        <v>12.0499999999993</v>
      </c>
      <c r="Q557" s="45" t="n">
        <f aca="false">IF(O557="","",ABS(O557-M557))</f>
        <v>29.5200000000004</v>
      </c>
      <c r="R557" s="31" t="n">
        <f aca="false">P557*L557*Summary!$C$6</f>
        <v>48.1999999999971</v>
      </c>
      <c r="S557" s="32" t="n">
        <v>18772.45</v>
      </c>
      <c r="T557" s="29" t="s">
        <v>249</v>
      </c>
      <c r="U557" s="45" t="n">
        <f aca="false">IF(J557="BUY",S557-M557,M557-S557)</f>
        <v>-12.5900000000001</v>
      </c>
      <c r="V557" s="46" t="n">
        <v>0</v>
      </c>
      <c r="W557" s="46" t="n">
        <v>0</v>
      </c>
      <c r="X557" s="46" t="n">
        <v>-50.36</v>
      </c>
      <c r="Y557" s="33" t="n">
        <f aca="false">IFERROR(X557/R557,0)</f>
        <v>-1.04481327800836</v>
      </c>
      <c r="Z557" s="29" t="str">
        <f aca="false">IF(X557&gt;0,"Win",IF(X557&lt;0,"Loss","Flat"))</f>
        <v>Loss</v>
      </c>
      <c r="AA557" s="29" t="n">
        <f aca="false">ROUND((C557-B557)*1440,1)</f>
        <v>2.2</v>
      </c>
      <c r="AB557" s="29" t="str">
        <f aca="false">IF(AA557&lt;1,"a) &lt;1 min",IF(AA557&lt;10,"b) 1-10 min",IF(AA557&lt;60,"c) 10-60 min",IF(AA557&lt;240,"d) 1-4 h","e) 4 h+"))))</f>
        <v>b) 1-10 min</v>
      </c>
      <c r="AC557" s="29" t="str">
        <f aca="false">IF(P557&lt;10,"a) &lt;10",IF(P557&lt;20,"b) 10-20",IF(P557&lt;40,"c) 20-40",IF(P557&lt;80,"d) 40-80","e) 80+"))))</f>
        <v>b) 10-20</v>
      </c>
      <c r="AD557" s="31" t="n">
        <f aca="false">Summary!$C$5+SUM(X$2:X557)</f>
        <v>14985</v>
      </c>
      <c r="AE557" s="31" t="n">
        <f aca="false">MAX(AE556,AD557)</f>
        <v>15756.64</v>
      </c>
      <c r="AF557" s="31" t="n">
        <f aca="false">AE557-AD557</f>
        <v>771.639999999999</v>
      </c>
      <c r="AG557" s="30" t="n">
        <f aca="false">IFERROR(AF557/AE557,0)</f>
        <v>0.0489723697438032</v>
      </c>
    </row>
    <row r="558" customFormat="false" ht="15" hidden="false" customHeight="false" outlineLevel="0" collapsed="false">
      <c r="A558" s="29" t="n">
        <v>557</v>
      </c>
      <c r="B558" s="44" t="n">
        <v>45441.4819444444</v>
      </c>
      <c r="C558" s="44" t="n">
        <v>45441.4837268519</v>
      </c>
      <c r="D558" s="43" t="n">
        <f aca="false">INT(C558)</f>
        <v>45441</v>
      </c>
      <c r="E558" s="43" t="n">
        <f aca="false">D558-WEEKDAY(D558,3)</f>
        <v>45439</v>
      </c>
      <c r="F558" s="29" t="s">
        <v>169</v>
      </c>
      <c r="G558" s="29" t="n">
        <v>2024</v>
      </c>
      <c r="H558" s="29" t="s">
        <v>252</v>
      </c>
      <c r="I558" s="29" t="n">
        <v>11</v>
      </c>
      <c r="J558" s="29" t="s">
        <v>250</v>
      </c>
      <c r="K558" s="29" t="s">
        <v>251</v>
      </c>
      <c r="L558" s="29" t="n">
        <v>0.03</v>
      </c>
      <c r="M558" s="32" t="n">
        <v>18746.5</v>
      </c>
      <c r="N558" s="32" t="n">
        <v>18752.23</v>
      </c>
      <c r="O558" s="32" t="n">
        <v>18732.46</v>
      </c>
      <c r="P558" s="45" t="n">
        <f aca="false">ABS(M558-N558)</f>
        <v>5.72999999999956</v>
      </c>
      <c r="Q558" s="45" t="n">
        <f aca="false">IF(O558="","",ABS(O558-M558))</f>
        <v>14.0400000000009</v>
      </c>
      <c r="R558" s="31" t="n">
        <f aca="false">P558*L558*Summary!$C$6</f>
        <v>17.1899999999987</v>
      </c>
      <c r="S558" s="32" t="n">
        <v>18752.91</v>
      </c>
      <c r="T558" s="29" t="s">
        <v>249</v>
      </c>
      <c r="U558" s="45" t="n">
        <f aca="false">IF(J558="BUY",S558-M558,M558-S558)</f>
        <v>-6.40999999999985</v>
      </c>
      <c r="V558" s="46" t="n">
        <v>0</v>
      </c>
      <c r="W558" s="46" t="n">
        <v>0</v>
      </c>
      <c r="X558" s="46" t="n">
        <v>-19.23</v>
      </c>
      <c r="Y558" s="33" t="n">
        <f aca="false">IFERROR(X558/R558,0)</f>
        <v>-1.11867364746954</v>
      </c>
      <c r="Z558" s="29" t="str">
        <f aca="false">IF(X558&gt;0,"Win",IF(X558&lt;0,"Loss","Flat"))</f>
        <v>Loss</v>
      </c>
      <c r="AA558" s="29" t="n">
        <f aca="false">ROUND((C558-B558)*1440,1)</f>
        <v>2.6</v>
      </c>
      <c r="AB558" s="29" t="str">
        <f aca="false">IF(AA558&lt;1,"a) &lt;1 min",IF(AA558&lt;10,"b) 1-10 min",IF(AA558&lt;60,"c) 10-60 min",IF(AA558&lt;240,"d) 1-4 h","e) 4 h+"))))</f>
        <v>b) 1-10 min</v>
      </c>
      <c r="AC558" s="29" t="str">
        <f aca="false">IF(P558&lt;10,"a) &lt;10",IF(P558&lt;20,"b) 10-20",IF(P558&lt;40,"c) 20-40",IF(P558&lt;80,"d) 40-80","e) 80+"))))</f>
        <v>a) &lt;10</v>
      </c>
      <c r="AD558" s="31" t="n">
        <f aca="false">Summary!$C$5+SUM(X$2:X558)</f>
        <v>14965.77</v>
      </c>
      <c r="AE558" s="31" t="n">
        <f aca="false">MAX(AE557,AD558)</f>
        <v>15756.64</v>
      </c>
      <c r="AF558" s="31" t="n">
        <f aca="false">AE558-AD558</f>
        <v>790.869999999999</v>
      </c>
      <c r="AG558" s="30" t="n">
        <f aca="false">IFERROR(AF558/AE558,0)</f>
        <v>0.0501928076036515</v>
      </c>
    </row>
    <row r="559" customFormat="false" ht="15" hidden="false" customHeight="false" outlineLevel="0" collapsed="false">
      <c r="A559" s="29" t="n">
        <v>558</v>
      </c>
      <c r="B559" s="44" t="n">
        <v>45442.0479166667</v>
      </c>
      <c r="C559" s="44" t="n">
        <v>45442.1022569445</v>
      </c>
      <c r="D559" s="43" t="n">
        <f aca="false">INT(C559)</f>
        <v>45442</v>
      </c>
      <c r="E559" s="43" t="n">
        <f aca="false">D559-WEEKDAY(D559,3)</f>
        <v>45439</v>
      </c>
      <c r="F559" s="29" t="s">
        <v>169</v>
      </c>
      <c r="G559" s="29" t="n">
        <v>2024</v>
      </c>
      <c r="H559" s="29" t="s">
        <v>253</v>
      </c>
      <c r="I559" s="29" t="n">
        <v>1</v>
      </c>
      <c r="J559" s="29" t="s">
        <v>250</v>
      </c>
      <c r="K559" s="29" t="s">
        <v>251</v>
      </c>
      <c r="L559" s="29" t="n">
        <v>0.04</v>
      </c>
      <c r="M559" s="32" t="n">
        <v>18687</v>
      </c>
      <c r="N559" s="32" t="n">
        <v>18700.9</v>
      </c>
      <c r="O559" s="32" t="n">
        <v>18652.95</v>
      </c>
      <c r="P559" s="45" t="n">
        <f aca="false">ABS(M559-N559)</f>
        <v>13.9000000000015</v>
      </c>
      <c r="Q559" s="45" t="n">
        <f aca="false">IF(O559="","",ABS(O559-M559))</f>
        <v>34.0499999999993</v>
      </c>
      <c r="R559" s="31" t="n">
        <f aca="false">P559*L559*Summary!$C$6</f>
        <v>55.6000000000058</v>
      </c>
      <c r="S559" s="32" t="n">
        <v>18652.92</v>
      </c>
      <c r="T559" s="29" t="s">
        <v>227</v>
      </c>
      <c r="U559" s="45" t="n">
        <f aca="false">IF(J559="BUY",S559-M559,M559-S559)</f>
        <v>34.0800000000017</v>
      </c>
      <c r="V559" s="46" t="n">
        <v>0</v>
      </c>
      <c r="W559" s="46" t="n">
        <v>0</v>
      </c>
      <c r="X559" s="46" t="n">
        <v>136.32</v>
      </c>
      <c r="Y559" s="33" t="n">
        <f aca="false">IFERROR(X559/R559,0)</f>
        <v>2.45179856115082</v>
      </c>
      <c r="Z559" s="29" t="str">
        <f aca="false">IF(X559&gt;0,"Win",IF(X559&lt;0,"Loss","Flat"))</f>
        <v>Win</v>
      </c>
      <c r="AA559" s="29" t="n">
        <f aca="false">ROUND((C559-B559)*1440,1)</f>
        <v>78.3</v>
      </c>
      <c r="AB559" s="29" t="str">
        <f aca="false">IF(AA559&lt;1,"a) &lt;1 min",IF(AA559&lt;10,"b) 1-10 min",IF(AA559&lt;60,"c) 10-60 min",IF(AA559&lt;240,"d) 1-4 h","e) 4 h+"))))</f>
        <v>d) 1-4 h</v>
      </c>
      <c r="AC559" s="29" t="str">
        <f aca="false">IF(P559&lt;10,"a) &lt;10",IF(P559&lt;20,"b) 10-20",IF(P559&lt;40,"c) 20-40",IF(P559&lt;80,"d) 40-80","e) 80+"))))</f>
        <v>b) 10-20</v>
      </c>
      <c r="AD559" s="31" t="n">
        <f aca="false">Summary!$C$5+SUM(X$2:X559)</f>
        <v>15102.09</v>
      </c>
      <c r="AE559" s="31" t="n">
        <f aca="false">MAX(AE558,AD559)</f>
        <v>15756.64</v>
      </c>
      <c r="AF559" s="31" t="n">
        <f aca="false">AE559-AD559</f>
        <v>654.549999999999</v>
      </c>
      <c r="AG559" s="30" t="n">
        <f aca="false">IFERROR(AF559/AE559,0)</f>
        <v>0.0415412169091887</v>
      </c>
    </row>
    <row r="560" customFormat="false" ht="15" hidden="false" customHeight="false" outlineLevel="0" collapsed="false">
      <c r="A560" s="29" t="n">
        <v>559</v>
      </c>
      <c r="B560" s="44" t="n">
        <v>45443.1340277778</v>
      </c>
      <c r="C560" s="44" t="n">
        <v>45443.134375</v>
      </c>
      <c r="D560" s="43" t="n">
        <f aca="false">INT(C560)</f>
        <v>45443</v>
      </c>
      <c r="E560" s="43" t="n">
        <f aca="false">D560-WEEKDAY(D560,3)</f>
        <v>45439</v>
      </c>
      <c r="F560" s="29" t="s">
        <v>169</v>
      </c>
      <c r="G560" s="29" t="n">
        <v>2024</v>
      </c>
      <c r="H560" s="29" t="s">
        <v>254</v>
      </c>
      <c r="I560" s="29" t="n">
        <v>3</v>
      </c>
      <c r="J560" s="29" t="s">
        <v>250</v>
      </c>
      <c r="K560" s="29" t="s">
        <v>251</v>
      </c>
      <c r="L560" s="29" t="n">
        <v>0.04</v>
      </c>
      <c r="M560" s="32" t="n">
        <v>18473.32</v>
      </c>
      <c r="N560" s="32" t="n">
        <v>18480.64</v>
      </c>
      <c r="O560" s="32" t="n">
        <v>18455.38</v>
      </c>
      <c r="P560" s="45" t="n">
        <f aca="false">ABS(M560-N560)</f>
        <v>7.31999999999971</v>
      </c>
      <c r="Q560" s="45" t="n">
        <f aca="false">IF(O560="","",ABS(O560-M560))</f>
        <v>17.9399999999987</v>
      </c>
      <c r="R560" s="31" t="n">
        <f aca="false">P560*L560*Summary!$C$6</f>
        <v>29.2799999999988</v>
      </c>
      <c r="S560" s="32" t="n">
        <v>18455.03</v>
      </c>
      <c r="T560" s="29" t="s">
        <v>227</v>
      </c>
      <c r="U560" s="45" t="n">
        <f aca="false">IF(J560="BUY",S560-M560,M560-S560)</f>
        <v>18.2900000000009</v>
      </c>
      <c r="V560" s="46" t="n">
        <v>0</v>
      </c>
      <c r="W560" s="46" t="n">
        <v>0</v>
      </c>
      <c r="X560" s="46" t="n">
        <v>73.16</v>
      </c>
      <c r="Y560" s="33" t="n">
        <f aca="false">IFERROR(X560/R560,0)</f>
        <v>2.49863387978152</v>
      </c>
      <c r="Z560" s="29" t="str">
        <f aca="false">IF(X560&gt;0,"Win",IF(X560&lt;0,"Loss","Flat"))</f>
        <v>Win</v>
      </c>
      <c r="AA560" s="29" t="n">
        <f aca="false">ROUND((C560-B560)*1440,1)</f>
        <v>0.5</v>
      </c>
      <c r="AB560" s="29" t="str">
        <f aca="false">IF(AA560&lt;1,"a) &lt;1 min",IF(AA560&lt;10,"b) 1-10 min",IF(AA560&lt;60,"c) 10-60 min",IF(AA560&lt;240,"d) 1-4 h","e) 4 h+"))))</f>
        <v>a) &lt;1 min</v>
      </c>
      <c r="AC560" s="29" t="str">
        <f aca="false">IF(P560&lt;10,"a) &lt;10",IF(P560&lt;20,"b) 10-20",IF(P560&lt;40,"c) 20-40",IF(P560&lt;80,"d) 40-80","e) 80+"))))</f>
        <v>a) &lt;10</v>
      </c>
      <c r="AD560" s="31" t="n">
        <f aca="false">Summary!$C$5+SUM(X$2:X560)</f>
        <v>15175.25</v>
      </c>
      <c r="AE560" s="31" t="n">
        <f aca="false">MAX(AE559,AD560)</f>
        <v>15756.64</v>
      </c>
      <c r="AF560" s="31" t="n">
        <f aca="false">AE560-AD560</f>
        <v>581.389999999999</v>
      </c>
      <c r="AG560" s="30" t="n">
        <f aca="false">IFERROR(AF560/AE560,0)</f>
        <v>0.0368980950253353</v>
      </c>
    </row>
    <row r="561" customFormat="false" ht="15" hidden="false" customHeight="false" outlineLevel="0" collapsed="false">
      <c r="A561" s="29" t="n">
        <v>560</v>
      </c>
      <c r="B561" s="44" t="n">
        <v>45446.4</v>
      </c>
      <c r="C561" s="44" t="n">
        <v>45446.4019212963</v>
      </c>
      <c r="D561" s="43" t="n">
        <f aca="false">INT(C561)</f>
        <v>45446</v>
      </c>
      <c r="E561" s="43" t="n">
        <f aca="false">D561-WEEKDAY(D561,3)</f>
        <v>45446</v>
      </c>
      <c r="F561" s="29" t="s">
        <v>170</v>
      </c>
      <c r="G561" s="29" t="n">
        <v>2024</v>
      </c>
      <c r="H561" s="29" t="s">
        <v>245</v>
      </c>
      <c r="I561" s="29" t="n">
        <v>9</v>
      </c>
      <c r="J561" s="29" t="s">
        <v>246</v>
      </c>
      <c r="K561" s="29" t="s">
        <v>247</v>
      </c>
      <c r="L561" s="29" t="n">
        <v>0.04</v>
      </c>
      <c r="M561" s="32" t="n">
        <v>18609.22</v>
      </c>
      <c r="N561" s="32" t="n">
        <v>18605.71</v>
      </c>
      <c r="O561" s="32" t="n">
        <v>18617.83</v>
      </c>
      <c r="P561" s="45" t="n">
        <f aca="false">ABS(M561-N561)</f>
        <v>3.51000000000204</v>
      </c>
      <c r="Q561" s="45" t="n">
        <f aca="false">IF(O561="","",ABS(O561-M561))</f>
        <v>8.61000000000058</v>
      </c>
      <c r="R561" s="31" t="n">
        <f aca="false">P561*L561*Summary!$C$6</f>
        <v>14.0400000000081</v>
      </c>
      <c r="S561" s="32" t="n">
        <v>18618.05</v>
      </c>
      <c r="T561" s="29" t="s">
        <v>227</v>
      </c>
      <c r="U561" s="45" t="n">
        <f aca="false">IF(J561="BUY",S561-M561,M561-S561)</f>
        <v>8.82999999999811</v>
      </c>
      <c r="V561" s="46" t="n">
        <v>0</v>
      </c>
      <c r="W561" s="46" t="n">
        <v>0</v>
      </c>
      <c r="X561" s="46" t="n">
        <v>35.32</v>
      </c>
      <c r="Y561" s="33" t="n">
        <f aca="false">IFERROR(X561/R561,0)</f>
        <v>2.51566951566806</v>
      </c>
      <c r="Z561" s="29" t="str">
        <f aca="false">IF(X561&gt;0,"Win",IF(X561&lt;0,"Loss","Flat"))</f>
        <v>Win</v>
      </c>
      <c r="AA561" s="29" t="n">
        <f aca="false">ROUND((C561-B561)*1440,1)</f>
        <v>2.8</v>
      </c>
      <c r="AB561" s="29" t="str">
        <f aca="false">IF(AA561&lt;1,"a) &lt;1 min",IF(AA561&lt;10,"b) 1-10 min",IF(AA561&lt;60,"c) 10-60 min",IF(AA561&lt;240,"d) 1-4 h","e) 4 h+"))))</f>
        <v>b) 1-10 min</v>
      </c>
      <c r="AC561" s="29" t="str">
        <f aca="false">IF(P561&lt;10,"a) &lt;10",IF(P561&lt;20,"b) 10-20",IF(P561&lt;40,"c) 20-40",IF(P561&lt;80,"d) 40-80","e) 80+"))))</f>
        <v>a) &lt;10</v>
      </c>
      <c r="AD561" s="31" t="n">
        <f aca="false">Summary!$C$5+SUM(X$2:X561)</f>
        <v>15210.57</v>
      </c>
      <c r="AE561" s="31" t="n">
        <f aca="false">MAX(AE560,AD561)</f>
        <v>15756.64</v>
      </c>
      <c r="AF561" s="31" t="n">
        <f aca="false">AE561-AD561</f>
        <v>546.07</v>
      </c>
      <c r="AG561" s="30" t="n">
        <f aca="false">IFERROR(AF561/AE561,0)</f>
        <v>0.0346565003706374</v>
      </c>
    </row>
    <row r="562" customFormat="false" ht="15" hidden="false" customHeight="false" outlineLevel="0" collapsed="false">
      <c r="A562" s="29" t="n">
        <v>561</v>
      </c>
      <c r="B562" s="44" t="n">
        <v>45448.2131944444</v>
      </c>
      <c r="C562" s="44" t="n">
        <v>45448.2134837963</v>
      </c>
      <c r="D562" s="43" t="n">
        <f aca="false">INT(C562)</f>
        <v>45448</v>
      </c>
      <c r="E562" s="43" t="n">
        <f aca="false">D562-WEEKDAY(D562,3)</f>
        <v>45446</v>
      </c>
      <c r="F562" s="29" t="s">
        <v>170</v>
      </c>
      <c r="G562" s="29" t="n">
        <v>2024</v>
      </c>
      <c r="H562" s="29" t="s">
        <v>252</v>
      </c>
      <c r="I562" s="29" t="n">
        <v>5</v>
      </c>
      <c r="J562" s="29" t="s">
        <v>246</v>
      </c>
      <c r="K562" s="29" t="s">
        <v>247</v>
      </c>
      <c r="L562" s="29" t="n">
        <v>0.04</v>
      </c>
      <c r="M562" s="32" t="n">
        <v>18705.42</v>
      </c>
      <c r="N562" s="32" t="n">
        <v>18700.9</v>
      </c>
      <c r="O562" s="32" t="n">
        <v>18716.49</v>
      </c>
      <c r="P562" s="45" t="n">
        <f aca="false">ABS(M562-N562)</f>
        <v>4.5199999999968</v>
      </c>
      <c r="Q562" s="45" t="n">
        <f aca="false">IF(O562="","",ABS(O562-M562))</f>
        <v>11.0700000000033</v>
      </c>
      <c r="R562" s="31" t="n">
        <f aca="false">P562*L562*Summary!$C$6</f>
        <v>18.0799999999872</v>
      </c>
      <c r="S562" s="32" t="n">
        <v>18700.9</v>
      </c>
      <c r="T562" s="29" t="s">
        <v>249</v>
      </c>
      <c r="U562" s="45" t="n">
        <f aca="false">IF(J562="BUY",S562-M562,M562-S562)</f>
        <v>-4.5199999999968</v>
      </c>
      <c r="V562" s="46" t="n">
        <v>0</v>
      </c>
      <c r="W562" s="46" t="n">
        <v>0</v>
      </c>
      <c r="X562" s="46" t="n">
        <v>-18.08</v>
      </c>
      <c r="Y562" s="33" t="n">
        <f aca="false">IFERROR(X562/R562,0)</f>
        <v>-1.00000000000071</v>
      </c>
      <c r="Z562" s="29" t="str">
        <f aca="false">IF(X562&gt;0,"Win",IF(X562&lt;0,"Loss","Flat"))</f>
        <v>Loss</v>
      </c>
      <c r="AA562" s="29" t="n">
        <f aca="false">ROUND((C562-B562)*1440,1)</f>
        <v>0.4</v>
      </c>
      <c r="AB562" s="29" t="str">
        <f aca="false">IF(AA562&lt;1,"a) &lt;1 min",IF(AA562&lt;10,"b) 1-10 min",IF(AA562&lt;60,"c) 10-60 min",IF(AA562&lt;240,"d) 1-4 h","e) 4 h+"))))</f>
        <v>a) &lt;1 min</v>
      </c>
      <c r="AC562" s="29" t="str">
        <f aca="false">IF(P562&lt;10,"a) &lt;10",IF(P562&lt;20,"b) 10-20",IF(P562&lt;40,"c) 20-40",IF(P562&lt;80,"d) 40-80","e) 80+"))))</f>
        <v>a) &lt;10</v>
      </c>
      <c r="AD562" s="31" t="n">
        <f aca="false">Summary!$C$5+SUM(X$2:X562)</f>
        <v>15192.49</v>
      </c>
      <c r="AE562" s="31" t="n">
        <f aca="false">MAX(AE561,AD562)</f>
        <v>15756.64</v>
      </c>
      <c r="AF562" s="31" t="n">
        <f aca="false">AE562-AD562</f>
        <v>564.15</v>
      </c>
      <c r="AG562" s="30" t="n">
        <f aca="false">IFERROR(AF562/AE562,0)</f>
        <v>0.0358039531270626</v>
      </c>
    </row>
    <row r="563" customFormat="false" ht="15" hidden="false" customHeight="false" outlineLevel="0" collapsed="false">
      <c r="A563" s="29" t="n">
        <v>562</v>
      </c>
      <c r="B563" s="44" t="n">
        <v>45449.0465856482</v>
      </c>
      <c r="C563" s="44" t="n">
        <v>45449.0622453704</v>
      </c>
      <c r="D563" s="43" t="n">
        <f aca="false">INT(C563)</f>
        <v>45449</v>
      </c>
      <c r="E563" s="43" t="n">
        <f aca="false">D563-WEEKDAY(D563,3)</f>
        <v>45446</v>
      </c>
      <c r="F563" s="29" t="s">
        <v>170</v>
      </c>
      <c r="G563" s="29" t="n">
        <v>2024</v>
      </c>
      <c r="H563" s="29" t="s">
        <v>253</v>
      </c>
      <c r="I563" s="29" t="n">
        <v>1</v>
      </c>
      <c r="J563" s="29" t="s">
        <v>246</v>
      </c>
      <c r="K563" s="29" t="s">
        <v>247</v>
      </c>
      <c r="L563" s="29" t="n">
        <v>0.03</v>
      </c>
      <c r="M563" s="32" t="n">
        <v>19036.71</v>
      </c>
      <c r="N563" s="32" t="n">
        <v>19030.42</v>
      </c>
      <c r="O563" s="32" t="n">
        <v>19052.13</v>
      </c>
      <c r="P563" s="45" t="n">
        <f aca="false">ABS(M563-N563)</f>
        <v>6.29000000000087</v>
      </c>
      <c r="Q563" s="45" t="n">
        <f aca="false">IF(O563="","",ABS(O563-M563))</f>
        <v>15.4200000000019</v>
      </c>
      <c r="R563" s="31" t="n">
        <f aca="false">P563*L563*Summary!$C$6</f>
        <v>18.8700000000026</v>
      </c>
      <c r="S563" s="32" t="n">
        <v>19030.4</v>
      </c>
      <c r="T563" s="29" t="s">
        <v>249</v>
      </c>
      <c r="U563" s="45" t="n">
        <f aca="false">IF(J563="BUY",S563-M563,M563-S563)</f>
        <v>-6.30999999999767</v>
      </c>
      <c r="V563" s="46" t="n">
        <v>0</v>
      </c>
      <c r="W563" s="46" t="n">
        <v>0</v>
      </c>
      <c r="X563" s="46" t="n">
        <v>-18.93</v>
      </c>
      <c r="Y563" s="33" t="n">
        <f aca="false">IFERROR(X563/R563,0)</f>
        <v>-1.00317965023833</v>
      </c>
      <c r="Z563" s="29" t="str">
        <f aca="false">IF(X563&gt;0,"Win",IF(X563&lt;0,"Loss","Flat"))</f>
        <v>Loss</v>
      </c>
      <c r="AA563" s="29" t="n">
        <f aca="false">ROUND((C563-B563)*1440,1)</f>
        <v>22.6</v>
      </c>
      <c r="AB563" s="29" t="str">
        <f aca="false">IF(AA563&lt;1,"a) &lt;1 min",IF(AA563&lt;10,"b) 1-10 min",IF(AA563&lt;60,"c) 10-60 min",IF(AA563&lt;240,"d) 1-4 h","e) 4 h+"))))</f>
        <v>c) 10-60 min</v>
      </c>
      <c r="AC563" s="29" t="str">
        <f aca="false">IF(P563&lt;10,"a) &lt;10",IF(P563&lt;20,"b) 10-20",IF(P563&lt;40,"c) 20-40",IF(P563&lt;80,"d) 40-80","e) 80+"))))</f>
        <v>a) &lt;10</v>
      </c>
      <c r="AD563" s="31" t="n">
        <f aca="false">Summary!$C$5+SUM(X$2:X563)</f>
        <v>15173.56</v>
      </c>
      <c r="AE563" s="31" t="n">
        <f aca="false">MAX(AE562,AD563)</f>
        <v>15756.64</v>
      </c>
      <c r="AF563" s="31" t="n">
        <f aca="false">AE563-AD563</f>
        <v>583.079999999998</v>
      </c>
      <c r="AG563" s="30" t="n">
        <f aca="false">IFERROR(AF563/AE563,0)</f>
        <v>0.0370053513947135</v>
      </c>
    </row>
    <row r="564" customFormat="false" ht="15" hidden="false" customHeight="false" outlineLevel="0" collapsed="false">
      <c r="A564" s="29" t="n">
        <v>563</v>
      </c>
      <c r="B564" s="44" t="n">
        <v>45450.6465277778</v>
      </c>
      <c r="C564" s="44" t="n">
        <v>45450.6476736111</v>
      </c>
      <c r="D564" s="43" t="n">
        <f aca="false">INT(C564)</f>
        <v>45450</v>
      </c>
      <c r="E564" s="43" t="n">
        <f aca="false">D564-WEEKDAY(D564,3)</f>
        <v>45446</v>
      </c>
      <c r="F564" s="29" t="s">
        <v>170</v>
      </c>
      <c r="G564" s="29" t="n">
        <v>2024</v>
      </c>
      <c r="H564" s="29" t="s">
        <v>254</v>
      </c>
      <c r="I564" s="29" t="n">
        <v>15</v>
      </c>
      <c r="J564" s="29" t="s">
        <v>250</v>
      </c>
      <c r="K564" s="29" t="s">
        <v>251</v>
      </c>
      <c r="L564" s="29" t="n">
        <v>0.03</v>
      </c>
      <c r="M564" s="32" t="n">
        <v>18969.7</v>
      </c>
      <c r="N564" s="32" t="n">
        <v>19001.34</v>
      </c>
      <c r="O564" s="32" t="n">
        <v>18892.19</v>
      </c>
      <c r="P564" s="45" t="n">
        <f aca="false">ABS(M564-N564)</f>
        <v>31.6399999999994</v>
      </c>
      <c r="Q564" s="45" t="n">
        <f aca="false">IF(O564="","",ABS(O564-M564))</f>
        <v>77.510000000002</v>
      </c>
      <c r="R564" s="31" t="n">
        <f aca="false">P564*L564*Summary!$C$6</f>
        <v>94.9199999999983</v>
      </c>
      <c r="S564" s="32" t="n">
        <v>19001.97</v>
      </c>
      <c r="T564" s="29" t="s">
        <v>249</v>
      </c>
      <c r="U564" s="45" t="n">
        <f aca="false">IF(J564="BUY",S564-M564,M564-S564)</f>
        <v>-32.2700000000004</v>
      </c>
      <c r="V564" s="46" t="n">
        <v>0</v>
      </c>
      <c r="W564" s="46" t="n">
        <v>0</v>
      </c>
      <c r="X564" s="46" t="n">
        <v>-96.81</v>
      </c>
      <c r="Y564" s="33" t="n">
        <f aca="false">IFERROR(X564/R564,0)</f>
        <v>-1.0199115044248</v>
      </c>
      <c r="Z564" s="29" t="str">
        <f aca="false">IF(X564&gt;0,"Win",IF(X564&lt;0,"Loss","Flat"))</f>
        <v>Loss</v>
      </c>
      <c r="AA564" s="29" t="n">
        <f aca="false">ROUND((C564-B564)*1440,1)</f>
        <v>1.7</v>
      </c>
      <c r="AB564" s="29" t="str">
        <f aca="false">IF(AA564&lt;1,"a) &lt;1 min",IF(AA564&lt;10,"b) 1-10 min",IF(AA564&lt;60,"c) 10-60 min",IF(AA564&lt;240,"d) 1-4 h","e) 4 h+"))))</f>
        <v>b) 1-10 min</v>
      </c>
      <c r="AC564" s="29" t="str">
        <f aca="false">IF(P564&lt;10,"a) &lt;10",IF(P564&lt;20,"b) 10-20",IF(P564&lt;40,"c) 20-40",IF(P564&lt;80,"d) 40-80","e) 80+"))))</f>
        <v>c) 20-40</v>
      </c>
      <c r="AD564" s="31" t="n">
        <f aca="false">Summary!$C$5+SUM(X$2:X564)</f>
        <v>15076.75</v>
      </c>
      <c r="AE564" s="31" t="n">
        <f aca="false">MAX(AE563,AD564)</f>
        <v>15756.64</v>
      </c>
      <c r="AF564" s="31" t="n">
        <f aca="false">AE564-AD564</f>
        <v>679.889999999999</v>
      </c>
      <c r="AG564" s="30" t="n">
        <f aca="false">IFERROR(AF564/AE564,0)</f>
        <v>0.0431494277967891</v>
      </c>
    </row>
    <row r="565" customFormat="false" ht="15" hidden="false" customHeight="false" outlineLevel="0" collapsed="false">
      <c r="A565" s="29" t="n">
        <v>564</v>
      </c>
      <c r="B565" s="44" t="n">
        <v>45450.8131944445</v>
      </c>
      <c r="C565" s="44" t="n">
        <v>45450.8145833333</v>
      </c>
      <c r="D565" s="43" t="n">
        <f aca="false">INT(C565)</f>
        <v>45450</v>
      </c>
      <c r="E565" s="43" t="n">
        <f aca="false">D565-WEEKDAY(D565,3)</f>
        <v>45446</v>
      </c>
      <c r="F565" s="29" t="s">
        <v>170</v>
      </c>
      <c r="G565" s="29" t="n">
        <v>2024</v>
      </c>
      <c r="H565" s="29" t="s">
        <v>254</v>
      </c>
      <c r="I565" s="29" t="n">
        <v>19</v>
      </c>
      <c r="J565" s="29" t="s">
        <v>246</v>
      </c>
      <c r="K565" s="29" t="s">
        <v>247</v>
      </c>
      <c r="L565" s="29" t="n">
        <v>0.03</v>
      </c>
      <c r="M565" s="32" t="n">
        <v>19087.27</v>
      </c>
      <c r="N565" s="32" t="n">
        <v>19078.94</v>
      </c>
      <c r="O565" s="32" t="n">
        <v>19104.7</v>
      </c>
      <c r="P565" s="45" t="n">
        <f aca="false">ABS(M565-N565)</f>
        <v>8.33000000000175</v>
      </c>
      <c r="Q565" s="45" t="n">
        <f aca="false">IF(O565="","",ABS(O565-M565))</f>
        <v>17.4300000000003</v>
      </c>
      <c r="R565" s="31" t="n">
        <f aca="false">P565*L565*Summary!$C$6</f>
        <v>24.9900000000052</v>
      </c>
      <c r="S565" s="32" t="n">
        <v>19078.7</v>
      </c>
      <c r="T565" s="29" t="s">
        <v>249</v>
      </c>
      <c r="U565" s="45" t="n">
        <f aca="false">IF(J565="BUY",S565-M565,M565-S565)</f>
        <v>-8.56999999999971</v>
      </c>
      <c r="V565" s="46" t="n">
        <v>0</v>
      </c>
      <c r="W565" s="46" t="n">
        <v>0</v>
      </c>
      <c r="X565" s="46" t="n">
        <v>-25.71</v>
      </c>
      <c r="Y565" s="33" t="n">
        <f aca="false">IFERROR(X565/R565,0)</f>
        <v>-1.02881152460963</v>
      </c>
      <c r="Z565" s="29" t="str">
        <f aca="false">IF(X565&gt;0,"Win",IF(X565&lt;0,"Loss","Flat"))</f>
        <v>Loss</v>
      </c>
      <c r="AA565" s="29" t="n">
        <f aca="false">ROUND((C565-B565)*1440,1)</f>
        <v>2</v>
      </c>
      <c r="AB565" s="29" t="str">
        <f aca="false">IF(AA565&lt;1,"a) &lt;1 min",IF(AA565&lt;10,"b) 1-10 min",IF(AA565&lt;60,"c) 10-60 min",IF(AA565&lt;240,"d) 1-4 h","e) 4 h+"))))</f>
        <v>b) 1-10 min</v>
      </c>
      <c r="AC565" s="29" t="str">
        <f aca="false">IF(P565&lt;10,"a) &lt;10",IF(P565&lt;20,"b) 10-20",IF(P565&lt;40,"c) 20-40",IF(P565&lt;80,"d) 40-80","e) 80+"))))</f>
        <v>a) &lt;10</v>
      </c>
      <c r="AD565" s="31" t="n">
        <f aca="false">Summary!$C$5+SUM(X$2:X565)</f>
        <v>15051.04</v>
      </c>
      <c r="AE565" s="31" t="n">
        <f aca="false">MAX(AE564,AD565)</f>
        <v>15756.64</v>
      </c>
      <c r="AF565" s="31" t="n">
        <f aca="false">AE565-AD565</f>
        <v>705.599999999999</v>
      </c>
      <c r="AG565" s="30" t="n">
        <f aca="false">IFERROR(AF565/AE565,0)</f>
        <v>0.0447811208480995</v>
      </c>
    </row>
    <row r="566" customFormat="false" ht="15" hidden="false" customHeight="false" outlineLevel="0" collapsed="false">
      <c r="A566" s="29" t="n">
        <v>565</v>
      </c>
      <c r="B566" s="44" t="n">
        <v>45454.7451388889</v>
      </c>
      <c r="C566" s="44" t="n">
        <v>45454.7474652778</v>
      </c>
      <c r="D566" s="43" t="n">
        <f aca="false">INT(C566)</f>
        <v>45454</v>
      </c>
      <c r="E566" s="43" t="n">
        <f aca="false">D566-WEEKDAY(D566,3)</f>
        <v>45453</v>
      </c>
      <c r="F566" s="29" t="s">
        <v>170</v>
      </c>
      <c r="G566" s="29" t="n">
        <v>2024</v>
      </c>
      <c r="H566" s="29" t="s">
        <v>248</v>
      </c>
      <c r="I566" s="29" t="n">
        <v>17</v>
      </c>
      <c r="J566" s="29" t="s">
        <v>246</v>
      </c>
      <c r="K566" s="29" t="s">
        <v>247</v>
      </c>
      <c r="L566" s="29" t="n">
        <v>0.03</v>
      </c>
      <c r="M566" s="32" t="n">
        <v>19095.02</v>
      </c>
      <c r="N566" s="32" t="n">
        <v>19086.71</v>
      </c>
      <c r="O566" s="32" t="n">
        <v>19115.37</v>
      </c>
      <c r="P566" s="45" t="n">
        <f aca="false">ABS(M566-N566)</f>
        <v>8.31000000000131</v>
      </c>
      <c r="Q566" s="45" t="n">
        <f aca="false">IF(O566="","",ABS(O566-M566))</f>
        <v>20.3499999999985</v>
      </c>
      <c r="R566" s="31" t="n">
        <f aca="false">P566*L566*Summary!$C$6</f>
        <v>24.9300000000039</v>
      </c>
      <c r="S566" s="32" t="n">
        <v>19094.92</v>
      </c>
      <c r="T566" s="29" t="s">
        <v>255</v>
      </c>
      <c r="U566" s="45" t="n">
        <f aca="false">IF(J566="BUY",S566-M566,M566-S566)</f>
        <v>-0.100000000002183</v>
      </c>
      <c r="V566" s="46" t="n">
        <v>0</v>
      </c>
      <c r="W566" s="46" t="n">
        <v>0</v>
      </c>
      <c r="X566" s="46" t="n">
        <v>-0.3</v>
      </c>
      <c r="Y566" s="33" t="n">
        <f aca="false">IFERROR(X566/R566,0)</f>
        <v>-0.0120336943441618</v>
      </c>
      <c r="Z566" s="29" t="str">
        <f aca="false">IF(X566&gt;0,"Win",IF(X566&lt;0,"Loss","Flat"))</f>
        <v>Loss</v>
      </c>
      <c r="AA566" s="29" t="n">
        <f aca="false">ROUND((C566-B566)*1440,1)</f>
        <v>3.4</v>
      </c>
      <c r="AB566" s="29" t="str">
        <f aca="false">IF(AA566&lt;1,"a) &lt;1 min",IF(AA566&lt;10,"b) 1-10 min",IF(AA566&lt;60,"c) 10-60 min",IF(AA566&lt;240,"d) 1-4 h","e) 4 h+"))))</f>
        <v>b) 1-10 min</v>
      </c>
      <c r="AC566" s="29" t="str">
        <f aca="false">IF(P566&lt;10,"a) &lt;10",IF(P566&lt;20,"b) 10-20",IF(P566&lt;40,"c) 20-40",IF(P566&lt;80,"d) 40-80","e) 80+"))))</f>
        <v>a) &lt;10</v>
      </c>
      <c r="AD566" s="31" t="n">
        <f aca="false">Summary!$C$5+SUM(X$2:X566)</f>
        <v>15050.74</v>
      </c>
      <c r="AE566" s="31" t="n">
        <f aca="false">MAX(AE565,AD566)</f>
        <v>15756.64</v>
      </c>
      <c r="AF566" s="31" t="n">
        <f aca="false">AE566-AD566</f>
        <v>705.9</v>
      </c>
      <c r="AG566" s="30" t="n">
        <f aca="false">IFERROR(AF566/AE566,0)</f>
        <v>0.0448001604402969</v>
      </c>
    </row>
    <row r="567" customFormat="false" ht="15" hidden="false" customHeight="false" outlineLevel="0" collapsed="false">
      <c r="A567" s="29" t="n">
        <v>566</v>
      </c>
      <c r="B567" s="44" t="n">
        <v>45455.0819444444</v>
      </c>
      <c r="C567" s="44" t="n">
        <v>45455.0827199074</v>
      </c>
      <c r="D567" s="43" t="n">
        <f aca="false">INT(C567)</f>
        <v>45455</v>
      </c>
      <c r="E567" s="43" t="n">
        <f aca="false">D567-WEEKDAY(D567,3)</f>
        <v>45453</v>
      </c>
      <c r="F567" s="29" t="s">
        <v>170</v>
      </c>
      <c r="G567" s="29" t="n">
        <v>2024</v>
      </c>
      <c r="H567" s="29" t="s">
        <v>252</v>
      </c>
      <c r="I567" s="29" t="n">
        <v>1</v>
      </c>
      <c r="J567" s="29" t="s">
        <v>246</v>
      </c>
      <c r="K567" s="29" t="s">
        <v>247</v>
      </c>
      <c r="L567" s="29" t="n">
        <v>0.03</v>
      </c>
      <c r="M567" s="32" t="n">
        <v>19226.6</v>
      </c>
      <c r="N567" s="32" t="n">
        <v>19224.56</v>
      </c>
      <c r="O567" s="32" t="n">
        <v>19231.59</v>
      </c>
      <c r="P567" s="45" t="n">
        <f aca="false">ABS(M567-N567)</f>
        <v>2.03999999999724</v>
      </c>
      <c r="Q567" s="45" t="n">
        <f aca="false">IF(O567="","",ABS(O567-M567))</f>
        <v>4.9900000000016</v>
      </c>
      <c r="R567" s="31" t="n">
        <f aca="false">P567*L567*Summary!$C$6</f>
        <v>6.11999999999171</v>
      </c>
      <c r="S567" s="32" t="n">
        <v>19224.39</v>
      </c>
      <c r="T567" s="29" t="s">
        <v>249</v>
      </c>
      <c r="U567" s="45" t="n">
        <f aca="false">IF(J567="BUY",S567-M567,M567-S567)</f>
        <v>-2.20999999999913</v>
      </c>
      <c r="V567" s="46" t="n">
        <v>0</v>
      </c>
      <c r="W567" s="46" t="n">
        <v>0</v>
      </c>
      <c r="X567" s="46" t="n">
        <v>-6.63</v>
      </c>
      <c r="Y567" s="33" t="n">
        <f aca="false">IFERROR(X567/R567,0)</f>
        <v>-1.0833333333348</v>
      </c>
      <c r="Z567" s="29" t="str">
        <f aca="false">IF(X567&gt;0,"Win",IF(X567&lt;0,"Loss","Flat"))</f>
        <v>Loss</v>
      </c>
      <c r="AA567" s="29" t="n">
        <f aca="false">ROUND((C567-B567)*1440,1)</f>
        <v>1.1</v>
      </c>
      <c r="AB567" s="29" t="str">
        <f aca="false">IF(AA567&lt;1,"a) &lt;1 min",IF(AA567&lt;10,"b) 1-10 min",IF(AA567&lt;60,"c) 10-60 min",IF(AA567&lt;240,"d) 1-4 h","e) 4 h+"))))</f>
        <v>b) 1-10 min</v>
      </c>
      <c r="AC567" s="29" t="str">
        <f aca="false">IF(P567&lt;10,"a) &lt;10",IF(P567&lt;20,"b) 10-20",IF(P567&lt;40,"c) 20-40",IF(P567&lt;80,"d) 40-80","e) 80+"))))</f>
        <v>a) &lt;10</v>
      </c>
      <c r="AD567" s="31" t="n">
        <f aca="false">Summary!$C$5+SUM(X$2:X567)</f>
        <v>15044.11</v>
      </c>
      <c r="AE567" s="31" t="n">
        <f aca="false">MAX(AE566,AD567)</f>
        <v>15756.64</v>
      </c>
      <c r="AF567" s="31" t="n">
        <f aca="false">AE567-AD567</f>
        <v>712.529999999999</v>
      </c>
      <c r="AG567" s="30" t="n">
        <f aca="false">IFERROR(AF567/AE567,0)</f>
        <v>0.0452209354278576</v>
      </c>
    </row>
    <row r="568" customFormat="false" ht="15" hidden="false" customHeight="false" outlineLevel="0" collapsed="false">
      <c r="A568" s="29" t="n">
        <v>567</v>
      </c>
      <c r="B568" s="44" t="n">
        <v>45456.0479398148</v>
      </c>
      <c r="C568" s="44" t="n">
        <v>45456.4267592593</v>
      </c>
      <c r="D568" s="43" t="n">
        <f aca="false">INT(C568)</f>
        <v>45456</v>
      </c>
      <c r="E568" s="43" t="n">
        <f aca="false">D568-WEEKDAY(D568,3)</f>
        <v>45453</v>
      </c>
      <c r="F568" s="29" t="s">
        <v>170</v>
      </c>
      <c r="G568" s="29" t="n">
        <v>2024</v>
      </c>
      <c r="H568" s="29" t="s">
        <v>253</v>
      </c>
      <c r="I568" s="29" t="n">
        <v>1</v>
      </c>
      <c r="J568" s="29" t="s">
        <v>246</v>
      </c>
      <c r="K568" s="29" t="s">
        <v>247</v>
      </c>
      <c r="L568" s="29" t="n">
        <v>0.03</v>
      </c>
      <c r="M568" s="32" t="n">
        <v>19565.26</v>
      </c>
      <c r="N568" s="32" t="n">
        <v>19537.42</v>
      </c>
      <c r="O568" s="32" t="n">
        <v>19633.48</v>
      </c>
      <c r="P568" s="45" t="n">
        <f aca="false">ABS(M568-N568)</f>
        <v>27.8400000000001</v>
      </c>
      <c r="Q568" s="45" t="n">
        <f aca="false">IF(O568="","",ABS(O568-M568))</f>
        <v>68.2200000000012</v>
      </c>
      <c r="R568" s="31" t="n">
        <f aca="false">P568*L568*Summary!$C$6</f>
        <v>83.5200000000004</v>
      </c>
      <c r="S568" s="32" t="n">
        <v>19633.54</v>
      </c>
      <c r="T568" s="29" t="s">
        <v>227</v>
      </c>
      <c r="U568" s="45" t="n">
        <f aca="false">IF(J568="BUY",S568-M568,M568-S568)</f>
        <v>68.2800000000025</v>
      </c>
      <c r="V568" s="46" t="n">
        <v>0</v>
      </c>
      <c r="W568" s="46" t="n">
        <v>0</v>
      </c>
      <c r="X568" s="46" t="n">
        <v>204.84</v>
      </c>
      <c r="Y568" s="33" t="n">
        <f aca="false">IFERROR(X568/R568,0)</f>
        <v>2.45258620689654</v>
      </c>
      <c r="Z568" s="29" t="str">
        <f aca="false">IF(X568&gt;0,"Win",IF(X568&lt;0,"Loss","Flat"))</f>
        <v>Win</v>
      </c>
      <c r="AA568" s="29" t="n">
        <f aca="false">ROUND((C568-B568)*1440,1)</f>
        <v>545.5</v>
      </c>
      <c r="AB568" s="29" t="str">
        <f aca="false">IF(AA568&lt;1,"a) &lt;1 min",IF(AA568&lt;10,"b) 1-10 min",IF(AA568&lt;60,"c) 10-60 min",IF(AA568&lt;240,"d) 1-4 h","e) 4 h+"))))</f>
        <v>e) 4 h+</v>
      </c>
      <c r="AC568" s="29" t="str">
        <f aca="false">IF(P568&lt;10,"a) &lt;10",IF(P568&lt;20,"b) 10-20",IF(P568&lt;40,"c) 20-40",IF(P568&lt;80,"d) 40-80","e) 80+"))))</f>
        <v>c) 20-40</v>
      </c>
      <c r="AD568" s="31" t="n">
        <f aca="false">Summary!$C$5+SUM(X$2:X568)</f>
        <v>15248.95</v>
      </c>
      <c r="AE568" s="31" t="n">
        <f aca="false">MAX(AE567,AD568)</f>
        <v>15756.64</v>
      </c>
      <c r="AF568" s="31" t="n">
        <f aca="false">AE568-AD568</f>
        <v>507.689999999999</v>
      </c>
      <c r="AG568" s="30" t="n">
        <f aca="false">IFERROR(AF568/AE568,0)</f>
        <v>0.0322207018755267</v>
      </c>
    </row>
    <row r="569" customFormat="false" ht="15" hidden="false" customHeight="false" outlineLevel="0" collapsed="false">
      <c r="A569" s="29" t="n">
        <v>568</v>
      </c>
      <c r="B569" s="44" t="n">
        <v>45457.9583333333</v>
      </c>
      <c r="C569" s="44" t="n">
        <v>45460.0546412037</v>
      </c>
      <c r="D569" s="43" t="n">
        <f aca="false">INT(C569)</f>
        <v>45460</v>
      </c>
      <c r="E569" s="43" t="n">
        <f aca="false">D569-WEEKDAY(D569,3)</f>
        <v>45460</v>
      </c>
      <c r="F569" s="29" t="s">
        <v>170</v>
      </c>
      <c r="G569" s="29" t="n">
        <v>2024</v>
      </c>
      <c r="H569" s="29" t="s">
        <v>254</v>
      </c>
      <c r="I569" s="29" t="n">
        <v>23</v>
      </c>
      <c r="J569" s="29" t="s">
        <v>246</v>
      </c>
      <c r="K569" s="29" t="s">
        <v>247</v>
      </c>
      <c r="L569" s="29" t="n">
        <v>0.03</v>
      </c>
      <c r="M569" s="32" t="n">
        <v>19666.9</v>
      </c>
      <c r="N569" s="32" t="n">
        <v>19656.93</v>
      </c>
      <c r="O569" s="32" t="n">
        <v>19691.32</v>
      </c>
      <c r="P569" s="45" t="n">
        <f aca="false">ABS(M569-N569)</f>
        <v>9.97000000000116</v>
      </c>
      <c r="Q569" s="45" t="n">
        <f aca="false">IF(O569="","",ABS(O569-M569))</f>
        <v>24.4199999999983</v>
      </c>
      <c r="R569" s="31" t="n">
        <f aca="false">P569*L569*Summary!$C$6</f>
        <v>29.9100000000035</v>
      </c>
      <c r="S569" s="32" t="n">
        <v>19691.34</v>
      </c>
      <c r="T569" s="29" t="s">
        <v>227</v>
      </c>
      <c r="U569" s="45" t="n">
        <f aca="false">IF(J569="BUY",S569-M569,M569-S569)</f>
        <v>24.4399999999987</v>
      </c>
      <c r="V569" s="46" t="n">
        <v>0</v>
      </c>
      <c r="W569" s="46" t="n">
        <v>0</v>
      </c>
      <c r="X569" s="46" t="n">
        <v>73.32</v>
      </c>
      <c r="Y569" s="33" t="n">
        <f aca="false">IFERROR(X569/R569,0)</f>
        <v>2.45135406218627</v>
      </c>
      <c r="Z569" s="29" t="str">
        <f aca="false">IF(X569&gt;0,"Win",IF(X569&lt;0,"Loss","Flat"))</f>
        <v>Win</v>
      </c>
      <c r="AA569" s="29" t="n">
        <f aca="false">ROUND((C569-B569)*1440,1)</f>
        <v>3018.7</v>
      </c>
      <c r="AB569" s="29" t="str">
        <f aca="false">IF(AA569&lt;1,"a) &lt;1 min",IF(AA569&lt;10,"b) 1-10 min",IF(AA569&lt;60,"c) 10-60 min",IF(AA569&lt;240,"d) 1-4 h","e) 4 h+"))))</f>
        <v>e) 4 h+</v>
      </c>
      <c r="AC569" s="29" t="str">
        <f aca="false">IF(P569&lt;10,"a) &lt;10",IF(P569&lt;20,"b) 10-20",IF(P569&lt;40,"c) 20-40",IF(P569&lt;80,"d) 40-80","e) 80+"))))</f>
        <v>a) &lt;10</v>
      </c>
      <c r="AD569" s="31" t="n">
        <f aca="false">Summary!$C$5+SUM(X$2:X569)</f>
        <v>15322.27</v>
      </c>
      <c r="AE569" s="31" t="n">
        <f aca="false">MAX(AE568,AD569)</f>
        <v>15756.64</v>
      </c>
      <c r="AF569" s="31" t="n">
        <f aca="false">AE569-AD569</f>
        <v>434.369999999999</v>
      </c>
      <c r="AG569" s="30" t="n">
        <f aca="false">IFERROR(AF569/AE569,0)</f>
        <v>0.0275674255425014</v>
      </c>
    </row>
    <row r="570" customFormat="false" ht="15" hidden="false" customHeight="false" outlineLevel="0" collapsed="false">
      <c r="A570" s="29" t="n">
        <v>569</v>
      </c>
      <c r="B570" s="44" t="n">
        <v>45463.1597222222</v>
      </c>
      <c r="C570" s="44" t="n">
        <v>45463.1618055556</v>
      </c>
      <c r="D570" s="43" t="n">
        <f aca="false">INT(C570)</f>
        <v>45463</v>
      </c>
      <c r="E570" s="43" t="n">
        <f aca="false">D570-WEEKDAY(D570,3)</f>
        <v>45460</v>
      </c>
      <c r="F570" s="29" t="s">
        <v>170</v>
      </c>
      <c r="G570" s="29" t="n">
        <v>2024</v>
      </c>
      <c r="H570" s="29" t="s">
        <v>253</v>
      </c>
      <c r="I570" s="29" t="n">
        <v>3</v>
      </c>
      <c r="J570" s="29" t="s">
        <v>246</v>
      </c>
      <c r="K570" s="29" t="s">
        <v>247</v>
      </c>
      <c r="L570" s="29" t="n">
        <v>0.03</v>
      </c>
      <c r="M570" s="32" t="n">
        <v>19964.02</v>
      </c>
      <c r="N570" s="32" t="n">
        <v>19961.92</v>
      </c>
      <c r="O570" s="32" t="n">
        <v>19969.16</v>
      </c>
      <c r="P570" s="45" t="n">
        <f aca="false">ABS(M570-N570)</f>
        <v>2.10000000000218</v>
      </c>
      <c r="Q570" s="45" t="n">
        <f aca="false">IF(O570="","",ABS(O570-M570))</f>
        <v>5.13999999999942</v>
      </c>
      <c r="R570" s="31" t="n">
        <f aca="false">P570*L570*Summary!$C$6</f>
        <v>6.30000000000655</v>
      </c>
      <c r="S570" s="32" t="n">
        <v>19963.92</v>
      </c>
      <c r="T570" s="29" t="s">
        <v>255</v>
      </c>
      <c r="U570" s="45" t="n">
        <f aca="false">IF(J570="BUY",S570-M570,M570-S570)</f>
        <v>-0.100000000002183</v>
      </c>
      <c r="V570" s="46" t="n">
        <v>0</v>
      </c>
      <c r="W570" s="46" t="n">
        <v>0</v>
      </c>
      <c r="X570" s="46" t="n">
        <v>-0.3</v>
      </c>
      <c r="Y570" s="33" t="n">
        <f aca="false">IFERROR(X570/R570,0)</f>
        <v>-0.0476190476189981</v>
      </c>
      <c r="Z570" s="29" t="str">
        <f aca="false">IF(X570&gt;0,"Win",IF(X570&lt;0,"Loss","Flat"))</f>
        <v>Loss</v>
      </c>
      <c r="AA570" s="29" t="n">
        <f aca="false">ROUND((C570-B570)*1440,1)</f>
        <v>3</v>
      </c>
      <c r="AB570" s="29" t="str">
        <f aca="false">IF(AA570&lt;1,"a) &lt;1 min",IF(AA570&lt;10,"b) 1-10 min",IF(AA570&lt;60,"c) 10-60 min",IF(AA570&lt;240,"d) 1-4 h","e) 4 h+"))))</f>
        <v>b) 1-10 min</v>
      </c>
      <c r="AC570" s="29" t="str">
        <f aca="false">IF(P570&lt;10,"a) &lt;10",IF(P570&lt;20,"b) 10-20",IF(P570&lt;40,"c) 20-40",IF(P570&lt;80,"d) 40-80","e) 80+"))))</f>
        <v>a) &lt;10</v>
      </c>
      <c r="AD570" s="31" t="n">
        <f aca="false">Summary!$C$5+SUM(X$2:X570)</f>
        <v>15321.97</v>
      </c>
      <c r="AE570" s="31" t="n">
        <f aca="false">MAX(AE569,AD570)</f>
        <v>15756.64</v>
      </c>
      <c r="AF570" s="31" t="n">
        <f aca="false">AE570-AD570</f>
        <v>434.669999999998</v>
      </c>
      <c r="AG570" s="30" t="n">
        <f aca="false">IFERROR(AF570/AE570,0)</f>
        <v>0.0275864651346987</v>
      </c>
    </row>
    <row r="571" customFormat="false" ht="15" hidden="false" customHeight="false" outlineLevel="0" collapsed="false">
      <c r="A571" s="29" t="n">
        <v>570</v>
      </c>
      <c r="B571" s="44" t="n">
        <v>45463.6909722222</v>
      </c>
      <c r="C571" s="44" t="n">
        <v>45463.6924421296</v>
      </c>
      <c r="D571" s="43" t="n">
        <f aca="false">INT(C571)</f>
        <v>45463</v>
      </c>
      <c r="E571" s="43" t="n">
        <f aca="false">D571-WEEKDAY(D571,3)</f>
        <v>45460</v>
      </c>
      <c r="F571" s="29" t="s">
        <v>170</v>
      </c>
      <c r="G571" s="29" t="n">
        <v>2024</v>
      </c>
      <c r="H571" s="29" t="s">
        <v>253</v>
      </c>
      <c r="I571" s="29" t="n">
        <v>16</v>
      </c>
      <c r="J571" s="29" t="s">
        <v>250</v>
      </c>
      <c r="K571" s="29" t="s">
        <v>251</v>
      </c>
      <c r="L571" s="29" t="n">
        <v>0.03</v>
      </c>
      <c r="M571" s="32" t="n">
        <v>19916.4</v>
      </c>
      <c r="N571" s="32" t="n">
        <v>19934.51</v>
      </c>
      <c r="O571" s="32" t="n">
        <v>19873.9</v>
      </c>
      <c r="P571" s="45" t="n">
        <f aca="false">ABS(M571-N571)</f>
        <v>18.1099999999969</v>
      </c>
      <c r="Q571" s="45" t="n">
        <f aca="false">IF(O571="","",ABS(O571-M571))</f>
        <v>42.5</v>
      </c>
      <c r="R571" s="31" t="n">
        <f aca="false">P571*L571*Summary!$C$6</f>
        <v>54.3299999999908</v>
      </c>
      <c r="S571" s="32" t="n">
        <v>19935.34</v>
      </c>
      <c r="T571" s="29" t="s">
        <v>249</v>
      </c>
      <c r="U571" s="45" t="n">
        <f aca="false">IF(J571="BUY",S571-M571,M571-S571)</f>
        <v>-18.9399999999987</v>
      </c>
      <c r="V571" s="46" t="n">
        <v>0</v>
      </c>
      <c r="W571" s="46" t="n">
        <v>0</v>
      </c>
      <c r="X571" s="46" t="n">
        <v>-56.82</v>
      </c>
      <c r="Y571" s="33" t="n">
        <f aca="false">IFERROR(X571/R571,0)</f>
        <v>-1.04583103257886</v>
      </c>
      <c r="Z571" s="29" t="str">
        <f aca="false">IF(X571&gt;0,"Win",IF(X571&lt;0,"Loss","Flat"))</f>
        <v>Loss</v>
      </c>
      <c r="AA571" s="29" t="n">
        <f aca="false">ROUND((C571-B571)*1440,1)</f>
        <v>2.1</v>
      </c>
      <c r="AB571" s="29" t="str">
        <f aca="false">IF(AA571&lt;1,"a) &lt;1 min",IF(AA571&lt;10,"b) 1-10 min",IF(AA571&lt;60,"c) 10-60 min",IF(AA571&lt;240,"d) 1-4 h","e) 4 h+"))))</f>
        <v>b) 1-10 min</v>
      </c>
      <c r="AC571" s="29" t="str">
        <f aca="false">IF(P571&lt;10,"a) &lt;10",IF(P571&lt;20,"b) 10-20",IF(P571&lt;40,"c) 20-40",IF(P571&lt;80,"d) 40-80","e) 80+"))))</f>
        <v>b) 10-20</v>
      </c>
      <c r="AD571" s="31" t="n">
        <f aca="false">Summary!$C$5+SUM(X$2:X571)</f>
        <v>15265.15</v>
      </c>
      <c r="AE571" s="31" t="n">
        <f aca="false">MAX(AE570,AD571)</f>
        <v>15756.64</v>
      </c>
      <c r="AF571" s="31" t="n">
        <f aca="false">AE571-AD571</f>
        <v>491.49</v>
      </c>
      <c r="AG571" s="30" t="n">
        <f aca="false">IFERROR(AF571/AE571,0)</f>
        <v>0.0311925638968714</v>
      </c>
    </row>
    <row r="572" customFormat="false" ht="15" hidden="false" customHeight="false" outlineLevel="0" collapsed="false">
      <c r="A572" s="29" t="n">
        <v>571</v>
      </c>
      <c r="B572" s="44" t="n">
        <v>45464.4868055556</v>
      </c>
      <c r="C572" s="44" t="n">
        <v>45464.4878240741</v>
      </c>
      <c r="D572" s="43" t="n">
        <f aca="false">INT(C572)</f>
        <v>45464</v>
      </c>
      <c r="E572" s="43" t="n">
        <f aca="false">D572-WEEKDAY(D572,3)</f>
        <v>45460</v>
      </c>
      <c r="F572" s="29" t="s">
        <v>170</v>
      </c>
      <c r="G572" s="29" t="n">
        <v>2024</v>
      </c>
      <c r="H572" s="29" t="s">
        <v>254</v>
      </c>
      <c r="I572" s="29" t="n">
        <v>11</v>
      </c>
      <c r="J572" s="29" t="s">
        <v>250</v>
      </c>
      <c r="K572" s="29" t="s">
        <v>251</v>
      </c>
      <c r="L572" s="29" t="n">
        <v>0.03</v>
      </c>
      <c r="M572" s="32" t="n">
        <v>19676.64</v>
      </c>
      <c r="N572" s="32" t="n">
        <v>19684.72</v>
      </c>
      <c r="O572" s="32" t="n">
        <v>19656.85</v>
      </c>
      <c r="P572" s="45" t="n">
        <f aca="false">ABS(M572-N572)</f>
        <v>8.08000000000175</v>
      </c>
      <c r="Q572" s="45" t="n">
        <f aca="false">IF(O572="","",ABS(O572-M572))</f>
        <v>19.7900000000009</v>
      </c>
      <c r="R572" s="31" t="n">
        <f aca="false">P572*L572*Summary!$C$6</f>
        <v>24.2400000000052</v>
      </c>
      <c r="S572" s="32" t="n">
        <v>19684.79</v>
      </c>
      <c r="T572" s="29" t="s">
        <v>249</v>
      </c>
      <c r="U572" s="45" t="n">
        <f aca="false">IF(J572="BUY",S572-M572,M572-S572)</f>
        <v>-8.15000000000146</v>
      </c>
      <c r="V572" s="46" t="n">
        <v>0</v>
      </c>
      <c r="W572" s="46" t="n">
        <v>0</v>
      </c>
      <c r="X572" s="46" t="n">
        <v>-24.45</v>
      </c>
      <c r="Y572" s="33" t="n">
        <f aca="false">IFERROR(X572/R572,0)</f>
        <v>-1.00866336633642</v>
      </c>
      <c r="Z572" s="29" t="str">
        <f aca="false">IF(X572&gt;0,"Win",IF(X572&lt;0,"Loss","Flat"))</f>
        <v>Loss</v>
      </c>
      <c r="AA572" s="29" t="n">
        <f aca="false">ROUND((C572-B572)*1440,1)</f>
        <v>1.5</v>
      </c>
      <c r="AB572" s="29" t="str">
        <f aca="false">IF(AA572&lt;1,"a) &lt;1 min",IF(AA572&lt;10,"b) 1-10 min",IF(AA572&lt;60,"c) 10-60 min",IF(AA572&lt;240,"d) 1-4 h","e) 4 h+"))))</f>
        <v>b) 1-10 min</v>
      </c>
      <c r="AC572" s="29" t="str">
        <f aca="false">IF(P572&lt;10,"a) &lt;10",IF(P572&lt;20,"b) 10-20",IF(P572&lt;40,"c) 20-40",IF(P572&lt;80,"d) 40-80","e) 80+"))))</f>
        <v>a) &lt;10</v>
      </c>
      <c r="AD572" s="31" t="n">
        <f aca="false">Summary!$C$5+SUM(X$2:X572)</f>
        <v>15240.7</v>
      </c>
      <c r="AE572" s="31" t="n">
        <f aca="false">MAX(AE571,AD572)</f>
        <v>15756.64</v>
      </c>
      <c r="AF572" s="31" t="n">
        <f aca="false">AE572-AD572</f>
        <v>515.939999999999</v>
      </c>
      <c r="AG572" s="30" t="n">
        <f aca="false">IFERROR(AF572/AE572,0)</f>
        <v>0.032744290660953</v>
      </c>
    </row>
    <row r="573" customFormat="false" ht="15" hidden="false" customHeight="false" outlineLevel="0" collapsed="false">
      <c r="A573" s="29" t="n">
        <v>572</v>
      </c>
      <c r="B573" s="44" t="n">
        <v>45467.6736111111</v>
      </c>
      <c r="C573" s="44" t="n">
        <v>45467.6739930556</v>
      </c>
      <c r="D573" s="43" t="n">
        <f aca="false">INT(C573)</f>
        <v>45467</v>
      </c>
      <c r="E573" s="43" t="n">
        <f aca="false">D573-WEEKDAY(D573,3)</f>
        <v>45467</v>
      </c>
      <c r="F573" s="29" t="s">
        <v>170</v>
      </c>
      <c r="G573" s="29" t="n">
        <v>2024</v>
      </c>
      <c r="H573" s="29" t="s">
        <v>245</v>
      </c>
      <c r="I573" s="29" t="n">
        <v>16</v>
      </c>
      <c r="J573" s="29" t="s">
        <v>250</v>
      </c>
      <c r="K573" s="29" t="s">
        <v>251</v>
      </c>
      <c r="L573" s="29" t="n">
        <v>0.03</v>
      </c>
      <c r="M573" s="32" t="n">
        <v>19640.53</v>
      </c>
      <c r="N573" s="32" t="n">
        <v>19647.25</v>
      </c>
      <c r="O573" s="32" t="n">
        <v>19624.08</v>
      </c>
      <c r="P573" s="45" t="n">
        <f aca="false">ABS(M573-N573)</f>
        <v>6.72000000000116</v>
      </c>
      <c r="Q573" s="45" t="n">
        <f aca="false">IF(O573="","",ABS(O573-M573))</f>
        <v>16.4499999999971</v>
      </c>
      <c r="R573" s="31" t="n">
        <f aca="false">P573*L573*Summary!$C$6</f>
        <v>20.1600000000035</v>
      </c>
      <c r="S573" s="32" t="n">
        <v>19640.64</v>
      </c>
      <c r="T573" s="29" t="s">
        <v>255</v>
      </c>
      <c r="U573" s="45" t="n">
        <f aca="false">IF(J573="BUY",S573-M573,M573-S573)</f>
        <v>-0.110000000000582</v>
      </c>
      <c r="V573" s="46" t="n">
        <v>0</v>
      </c>
      <c r="W573" s="46" t="n">
        <v>0</v>
      </c>
      <c r="X573" s="46" t="n">
        <v>-0.33</v>
      </c>
      <c r="Y573" s="33" t="n">
        <f aca="false">IFERROR(X573/R573,0)</f>
        <v>-0.0163690476190448</v>
      </c>
      <c r="Z573" s="29" t="str">
        <f aca="false">IF(X573&gt;0,"Win",IF(X573&lt;0,"Loss","Flat"))</f>
        <v>Loss</v>
      </c>
      <c r="AA573" s="29" t="n">
        <f aca="false">ROUND((C573-B573)*1440,1)</f>
        <v>0.6</v>
      </c>
      <c r="AB573" s="29" t="str">
        <f aca="false">IF(AA573&lt;1,"a) &lt;1 min",IF(AA573&lt;10,"b) 1-10 min",IF(AA573&lt;60,"c) 10-60 min",IF(AA573&lt;240,"d) 1-4 h","e) 4 h+"))))</f>
        <v>a) &lt;1 min</v>
      </c>
      <c r="AC573" s="29" t="str">
        <f aca="false">IF(P573&lt;10,"a) &lt;10",IF(P573&lt;20,"b) 10-20",IF(P573&lt;40,"c) 20-40",IF(P573&lt;80,"d) 40-80","e) 80+"))))</f>
        <v>a) &lt;10</v>
      </c>
      <c r="AD573" s="31" t="n">
        <f aca="false">Summary!$C$5+SUM(X$2:X573)</f>
        <v>15240.37</v>
      </c>
      <c r="AE573" s="31" t="n">
        <f aca="false">MAX(AE572,AD573)</f>
        <v>15756.64</v>
      </c>
      <c r="AF573" s="31" t="n">
        <f aca="false">AE573-AD573</f>
        <v>516.27</v>
      </c>
      <c r="AG573" s="30" t="n">
        <f aca="false">IFERROR(AF573/AE573,0)</f>
        <v>0.0327652342123702</v>
      </c>
    </row>
    <row r="574" customFormat="false" ht="15" hidden="false" customHeight="false" outlineLevel="0" collapsed="false">
      <c r="A574" s="29" t="n">
        <v>573</v>
      </c>
      <c r="B574" s="44" t="n">
        <v>45469.0472453704</v>
      </c>
      <c r="C574" s="44" t="n">
        <v>45469.0633680556</v>
      </c>
      <c r="D574" s="43" t="n">
        <f aca="false">INT(C574)</f>
        <v>45469</v>
      </c>
      <c r="E574" s="43" t="n">
        <f aca="false">D574-WEEKDAY(D574,3)</f>
        <v>45467</v>
      </c>
      <c r="F574" s="29" t="s">
        <v>170</v>
      </c>
      <c r="G574" s="29" t="n">
        <v>2024</v>
      </c>
      <c r="H574" s="29" t="s">
        <v>252</v>
      </c>
      <c r="I574" s="29" t="n">
        <v>1</v>
      </c>
      <c r="J574" s="29" t="s">
        <v>246</v>
      </c>
      <c r="K574" s="29" t="s">
        <v>247</v>
      </c>
      <c r="L574" s="29" t="n">
        <v>0.03</v>
      </c>
      <c r="M574" s="32" t="n">
        <v>19716.69</v>
      </c>
      <c r="N574" s="32" t="n">
        <v>19710.06</v>
      </c>
      <c r="O574" s="32" t="n">
        <v>19732.92</v>
      </c>
      <c r="P574" s="45" t="n">
        <f aca="false">ABS(M574-N574)</f>
        <v>6.62999999999738</v>
      </c>
      <c r="Q574" s="45" t="n">
        <f aca="false">IF(O574="","",ABS(O574-M574))</f>
        <v>16.2299999999996</v>
      </c>
      <c r="R574" s="31" t="n">
        <f aca="false">P574*L574*Summary!$C$6</f>
        <v>19.8899999999921</v>
      </c>
      <c r="S574" s="32" t="n">
        <v>19716.24</v>
      </c>
      <c r="T574" s="29" t="s">
        <v>255</v>
      </c>
      <c r="U574" s="45" t="n">
        <f aca="false">IF(J574="BUY",S574-M574,M574-S574)</f>
        <v>-0.44999999999709</v>
      </c>
      <c r="V574" s="46" t="n">
        <v>0</v>
      </c>
      <c r="W574" s="46" t="n">
        <v>0</v>
      </c>
      <c r="X574" s="46" t="n">
        <v>-1.35</v>
      </c>
      <c r="Y574" s="33" t="n">
        <f aca="false">IFERROR(X574/R574,0)</f>
        <v>-0.0678733031674476</v>
      </c>
      <c r="Z574" s="29" t="str">
        <f aca="false">IF(X574&gt;0,"Win",IF(X574&lt;0,"Loss","Flat"))</f>
        <v>Loss</v>
      </c>
      <c r="AA574" s="29" t="n">
        <f aca="false">ROUND((C574-B574)*1440,1)</f>
        <v>23.2</v>
      </c>
      <c r="AB574" s="29" t="str">
        <f aca="false">IF(AA574&lt;1,"a) &lt;1 min",IF(AA574&lt;10,"b) 1-10 min",IF(AA574&lt;60,"c) 10-60 min",IF(AA574&lt;240,"d) 1-4 h","e) 4 h+"))))</f>
        <v>c) 10-60 min</v>
      </c>
      <c r="AC574" s="29" t="str">
        <f aca="false">IF(P574&lt;10,"a) &lt;10",IF(P574&lt;20,"b) 10-20",IF(P574&lt;40,"c) 20-40",IF(P574&lt;80,"d) 40-80","e) 80+"))))</f>
        <v>a) &lt;10</v>
      </c>
      <c r="AD574" s="31" t="n">
        <f aca="false">Summary!$C$5+SUM(X$2:X574)</f>
        <v>15239.02</v>
      </c>
      <c r="AE574" s="31" t="n">
        <f aca="false">MAX(AE573,AD574)</f>
        <v>15756.64</v>
      </c>
      <c r="AF574" s="31" t="n">
        <f aca="false">AE574-AD574</f>
        <v>517.619999999999</v>
      </c>
      <c r="AG574" s="30" t="n">
        <f aca="false">IFERROR(AF574/AE574,0)</f>
        <v>0.032850912377258</v>
      </c>
    </row>
    <row r="575" customFormat="false" ht="15" hidden="false" customHeight="false" outlineLevel="0" collapsed="false">
      <c r="A575" s="29" t="n">
        <v>574</v>
      </c>
      <c r="B575" s="44" t="n">
        <v>45470.1527777778</v>
      </c>
      <c r="C575" s="44" t="n">
        <v>45470.1546759259</v>
      </c>
      <c r="D575" s="43" t="n">
        <f aca="false">INT(C575)</f>
        <v>45470</v>
      </c>
      <c r="E575" s="43" t="n">
        <f aca="false">D575-WEEKDAY(D575,3)</f>
        <v>45467</v>
      </c>
      <c r="F575" s="29" t="s">
        <v>170</v>
      </c>
      <c r="G575" s="29" t="n">
        <v>2024</v>
      </c>
      <c r="H575" s="29" t="s">
        <v>253</v>
      </c>
      <c r="I575" s="29" t="n">
        <v>3</v>
      </c>
      <c r="J575" s="29" t="s">
        <v>250</v>
      </c>
      <c r="K575" s="29" t="s">
        <v>251</v>
      </c>
      <c r="L575" s="29" t="n">
        <v>0.03</v>
      </c>
      <c r="M575" s="32" t="n">
        <v>19628.05</v>
      </c>
      <c r="N575" s="32" t="n">
        <v>19634.48</v>
      </c>
      <c r="O575" s="32" t="n">
        <v>19612.29</v>
      </c>
      <c r="P575" s="45" t="n">
        <f aca="false">ABS(M575-N575)</f>
        <v>6.43000000000029</v>
      </c>
      <c r="Q575" s="45" t="n">
        <f aca="false">IF(O575="","",ABS(O575-M575))</f>
        <v>15.7599999999984</v>
      </c>
      <c r="R575" s="31" t="n">
        <f aca="false">P575*L575*Summary!$C$6</f>
        <v>19.2900000000009</v>
      </c>
      <c r="S575" s="32" t="n">
        <v>19628.29</v>
      </c>
      <c r="T575" s="29" t="s">
        <v>255</v>
      </c>
      <c r="U575" s="45" t="n">
        <f aca="false">IF(J575="BUY",S575-M575,M575-S575)</f>
        <v>-0.240000000001601</v>
      </c>
      <c r="V575" s="46" t="n">
        <v>0</v>
      </c>
      <c r="W575" s="46" t="n">
        <v>0</v>
      </c>
      <c r="X575" s="46" t="n">
        <v>-0.72</v>
      </c>
      <c r="Y575" s="33" t="n">
        <f aca="false">IFERROR(X575/R575,0)</f>
        <v>-0.0373250388802471</v>
      </c>
      <c r="Z575" s="29" t="str">
        <f aca="false">IF(X575&gt;0,"Win",IF(X575&lt;0,"Loss","Flat"))</f>
        <v>Loss</v>
      </c>
      <c r="AA575" s="29" t="n">
        <f aca="false">ROUND((C575-B575)*1440,1)</f>
        <v>2.7</v>
      </c>
      <c r="AB575" s="29" t="str">
        <f aca="false">IF(AA575&lt;1,"a) &lt;1 min",IF(AA575&lt;10,"b) 1-10 min",IF(AA575&lt;60,"c) 10-60 min",IF(AA575&lt;240,"d) 1-4 h","e) 4 h+"))))</f>
        <v>b) 1-10 min</v>
      </c>
      <c r="AC575" s="29" t="str">
        <f aca="false">IF(P575&lt;10,"a) &lt;10",IF(P575&lt;20,"b) 10-20",IF(P575&lt;40,"c) 20-40",IF(P575&lt;80,"d) 40-80","e) 80+"))))</f>
        <v>a) &lt;10</v>
      </c>
      <c r="AD575" s="31" t="n">
        <f aca="false">Summary!$C$5+SUM(X$2:X575)</f>
        <v>15238.3</v>
      </c>
      <c r="AE575" s="31" t="n">
        <f aca="false">MAX(AE574,AD575)</f>
        <v>15756.64</v>
      </c>
      <c r="AF575" s="31" t="n">
        <f aca="false">AE575-AD575</f>
        <v>518.34</v>
      </c>
      <c r="AG575" s="30" t="n">
        <f aca="false">IFERROR(AF575/AE575,0)</f>
        <v>0.0328966073985317</v>
      </c>
    </row>
    <row r="576" customFormat="false" ht="15" hidden="false" customHeight="false" outlineLevel="0" collapsed="false">
      <c r="A576" s="29" t="n">
        <v>575</v>
      </c>
      <c r="B576" s="44" t="n">
        <v>45470.6923611111</v>
      </c>
      <c r="C576" s="44" t="n">
        <v>45470.6948958333</v>
      </c>
      <c r="D576" s="43" t="n">
        <f aca="false">INT(C576)</f>
        <v>45470</v>
      </c>
      <c r="E576" s="43" t="n">
        <f aca="false">D576-WEEKDAY(D576,3)</f>
        <v>45467</v>
      </c>
      <c r="F576" s="29" t="s">
        <v>170</v>
      </c>
      <c r="G576" s="29" t="n">
        <v>2024</v>
      </c>
      <c r="H576" s="29" t="s">
        <v>253</v>
      </c>
      <c r="I576" s="29" t="n">
        <v>16</v>
      </c>
      <c r="J576" s="29" t="s">
        <v>246</v>
      </c>
      <c r="K576" s="29" t="s">
        <v>247</v>
      </c>
      <c r="L576" s="29" t="n">
        <v>0.03</v>
      </c>
      <c r="M576" s="32" t="n">
        <v>19820.09</v>
      </c>
      <c r="N576" s="32" t="n">
        <v>19798.7</v>
      </c>
      <c r="O576" s="32" t="n">
        <v>19866.98</v>
      </c>
      <c r="P576" s="45" t="n">
        <f aca="false">ABS(M576-N576)</f>
        <v>21.3899999999994</v>
      </c>
      <c r="Q576" s="45" t="n">
        <f aca="false">IF(O576="","",ABS(O576-M576))</f>
        <v>46.8899999999994</v>
      </c>
      <c r="R576" s="31" t="n">
        <f aca="false">P576*L576*Summary!$C$6</f>
        <v>64.1699999999983</v>
      </c>
      <c r="S576" s="32" t="n">
        <v>19819.18</v>
      </c>
      <c r="T576" s="29" t="s">
        <v>255</v>
      </c>
      <c r="U576" s="45" t="n">
        <f aca="false">IF(J576="BUY",S576-M576,M576-S576)</f>
        <v>-0.909999999999855</v>
      </c>
      <c r="V576" s="46" t="n">
        <v>0</v>
      </c>
      <c r="W576" s="46" t="n">
        <v>0</v>
      </c>
      <c r="X576" s="46" t="n">
        <v>-2.73</v>
      </c>
      <c r="Y576" s="33" t="n">
        <f aca="false">IFERROR(X576/R576,0)</f>
        <v>-0.04254324450678</v>
      </c>
      <c r="Z576" s="29" t="str">
        <f aca="false">IF(X576&gt;0,"Win",IF(X576&lt;0,"Loss","Flat"))</f>
        <v>Loss</v>
      </c>
      <c r="AA576" s="29" t="n">
        <f aca="false">ROUND((C576-B576)*1440,1)</f>
        <v>3.7</v>
      </c>
      <c r="AB576" s="29" t="str">
        <f aca="false">IF(AA576&lt;1,"a) &lt;1 min",IF(AA576&lt;10,"b) 1-10 min",IF(AA576&lt;60,"c) 10-60 min",IF(AA576&lt;240,"d) 1-4 h","e) 4 h+"))))</f>
        <v>b) 1-10 min</v>
      </c>
      <c r="AC576" s="29" t="str">
        <f aca="false">IF(P576&lt;10,"a) &lt;10",IF(P576&lt;20,"b) 10-20",IF(P576&lt;40,"c) 20-40",IF(P576&lt;80,"d) 40-80","e) 80+"))))</f>
        <v>c) 20-40</v>
      </c>
      <c r="AD576" s="31" t="n">
        <f aca="false">Summary!$C$5+SUM(X$2:X576)</f>
        <v>15235.57</v>
      </c>
      <c r="AE576" s="31" t="n">
        <f aca="false">MAX(AE575,AD576)</f>
        <v>15756.64</v>
      </c>
      <c r="AF576" s="31" t="n">
        <f aca="false">AE576-AD576</f>
        <v>521.07</v>
      </c>
      <c r="AG576" s="30" t="n">
        <f aca="false">IFERROR(AF576/AE576,0)</f>
        <v>0.0330698676875273</v>
      </c>
    </row>
    <row r="577" customFormat="false" ht="15" hidden="false" customHeight="false" outlineLevel="0" collapsed="false">
      <c r="A577" s="29" t="n">
        <v>576</v>
      </c>
      <c r="B577" s="44" t="n">
        <v>45471.1930555556</v>
      </c>
      <c r="C577" s="44" t="n">
        <v>45471.1935648148</v>
      </c>
      <c r="D577" s="43" t="n">
        <f aca="false">INT(C577)</f>
        <v>45471</v>
      </c>
      <c r="E577" s="43" t="n">
        <f aca="false">D577-WEEKDAY(D577,3)</f>
        <v>45467</v>
      </c>
      <c r="F577" s="29" t="s">
        <v>170</v>
      </c>
      <c r="G577" s="29" t="n">
        <v>2024</v>
      </c>
      <c r="H577" s="29" t="s">
        <v>254</v>
      </c>
      <c r="I577" s="29" t="n">
        <v>4</v>
      </c>
      <c r="J577" s="29" t="s">
        <v>246</v>
      </c>
      <c r="K577" s="29" t="s">
        <v>247</v>
      </c>
      <c r="L577" s="29" t="n">
        <v>0.03</v>
      </c>
      <c r="M577" s="32" t="n">
        <v>19859.06</v>
      </c>
      <c r="N577" s="32" t="n">
        <v>19855.09</v>
      </c>
      <c r="O577" s="32" t="n">
        <v>19868.79</v>
      </c>
      <c r="P577" s="45" t="n">
        <f aca="false">ABS(M577-N577)</f>
        <v>3.97000000000116</v>
      </c>
      <c r="Q577" s="45" t="n">
        <f aca="false">IF(O577="","",ABS(O577-M577))</f>
        <v>9.72999999999956</v>
      </c>
      <c r="R577" s="31" t="n">
        <f aca="false">P577*L577*Summary!$C$6</f>
        <v>11.9100000000035</v>
      </c>
      <c r="S577" s="32" t="n">
        <v>19869.61</v>
      </c>
      <c r="T577" s="29" t="s">
        <v>227</v>
      </c>
      <c r="U577" s="45" t="n">
        <f aca="false">IF(J577="BUY",S577-M577,M577-S577)</f>
        <v>10.5499999999993</v>
      </c>
      <c r="V577" s="46" t="n">
        <v>0</v>
      </c>
      <c r="W577" s="46" t="n">
        <v>0</v>
      </c>
      <c r="X577" s="46" t="n">
        <v>31.65</v>
      </c>
      <c r="Y577" s="33" t="n">
        <f aca="false">IFERROR(X577/R577,0)</f>
        <v>2.65743073047781</v>
      </c>
      <c r="Z577" s="29" t="str">
        <f aca="false">IF(X577&gt;0,"Win",IF(X577&lt;0,"Loss","Flat"))</f>
        <v>Win</v>
      </c>
      <c r="AA577" s="29" t="n">
        <f aca="false">ROUND((C577-B577)*1440,1)</f>
        <v>0.7</v>
      </c>
      <c r="AB577" s="29" t="str">
        <f aca="false">IF(AA577&lt;1,"a) &lt;1 min",IF(AA577&lt;10,"b) 1-10 min",IF(AA577&lt;60,"c) 10-60 min",IF(AA577&lt;240,"d) 1-4 h","e) 4 h+"))))</f>
        <v>a) &lt;1 min</v>
      </c>
      <c r="AC577" s="29" t="str">
        <f aca="false">IF(P577&lt;10,"a) &lt;10",IF(P577&lt;20,"b) 10-20",IF(P577&lt;40,"c) 20-40",IF(P577&lt;80,"d) 40-80","e) 80+"))))</f>
        <v>a) &lt;10</v>
      </c>
      <c r="AD577" s="31" t="n">
        <f aca="false">Summary!$C$5+SUM(X$2:X577)</f>
        <v>15267.22</v>
      </c>
      <c r="AE577" s="31" t="n">
        <f aca="false">MAX(AE576,AD577)</f>
        <v>15756.64</v>
      </c>
      <c r="AF577" s="31" t="n">
        <f aca="false">AE577-AD577</f>
        <v>489.419999999998</v>
      </c>
      <c r="AG577" s="30" t="n">
        <f aca="false">IFERROR(AF577/AE577,0)</f>
        <v>0.0310611907107098</v>
      </c>
    </row>
    <row r="578" customFormat="false" ht="15" hidden="false" customHeight="false" outlineLevel="0" collapsed="false">
      <c r="A578" s="29" t="n">
        <v>577</v>
      </c>
      <c r="B578" s="44" t="n">
        <v>45474.6993055556</v>
      </c>
      <c r="C578" s="44" t="n">
        <v>45474.7072337963</v>
      </c>
      <c r="D578" s="43" t="n">
        <f aca="false">INT(C578)</f>
        <v>45474</v>
      </c>
      <c r="E578" s="43" t="n">
        <f aca="false">D578-WEEKDAY(D578,3)</f>
        <v>45474</v>
      </c>
      <c r="F578" s="29" t="s">
        <v>171</v>
      </c>
      <c r="G578" s="29" t="n">
        <v>2024</v>
      </c>
      <c r="H578" s="29" t="s">
        <v>245</v>
      </c>
      <c r="I578" s="29" t="n">
        <v>16</v>
      </c>
      <c r="J578" s="29" t="s">
        <v>250</v>
      </c>
      <c r="K578" s="29" t="s">
        <v>251</v>
      </c>
      <c r="L578" s="29" t="n">
        <v>0.03</v>
      </c>
      <c r="M578" s="32" t="n">
        <v>19647.58</v>
      </c>
      <c r="N578" s="32" t="n">
        <v>19668.12</v>
      </c>
      <c r="O578" s="32" t="n">
        <v>19597.08</v>
      </c>
      <c r="P578" s="45" t="n">
        <f aca="false">ABS(M578-N578)</f>
        <v>20.5399999999972</v>
      </c>
      <c r="Q578" s="45" t="n">
        <f aca="false">IF(O578="","",ABS(O578-M578))</f>
        <v>50.5</v>
      </c>
      <c r="R578" s="31" t="n">
        <f aca="false">P578*L578*Summary!$C$6</f>
        <v>61.6199999999917</v>
      </c>
      <c r="S578" s="32" t="n">
        <v>19647.58</v>
      </c>
      <c r="T578" s="29" t="s">
        <v>255</v>
      </c>
      <c r="U578" s="45" t="n">
        <f aca="false">IF(J578="BUY",S578-M578,M578-S578)</f>
        <v>0</v>
      </c>
      <c r="V578" s="46" t="n">
        <v>0</v>
      </c>
      <c r="W578" s="46" t="n">
        <v>0</v>
      </c>
      <c r="X578" s="46" t="n">
        <v>0</v>
      </c>
      <c r="Y578" s="33" t="n">
        <f aca="false">IFERROR(X578/R578,0)</f>
        <v>0</v>
      </c>
      <c r="Z578" s="29" t="str">
        <f aca="false">IF(X578&gt;0,"Win",IF(X578&lt;0,"Loss","Flat"))</f>
        <v>Flat</v>
      </c>
      <c r="AA578" s="29" t="n">
        <f aca="false">ROUND((C578-B578)*1440,1)</f>
        <v>11.4</v>
      </c>
      <c r="AB578" s="29" t="str">
        <f aca="false">IF(AA578&lt;1,"a) &lt;1 min",IF(AA578&lt;10,"b) 1-10 min",IF(AA578&lt;60,"c) 10-60 min",IF(AA578&lt;240,"d) 1-4 h","e) 4 h+"))))</f>
        <v>c) 10-60 min</v>
      </c>
      <c r="AC578" s="29" t="str">
        <f aca="false">IF(P578&lt;10,"a) &lt;10",IF(P578&lt;20,"b) 10-20",IF(P578&lt;40,"c) 20-40",IF(P578&lt;80,"d) 40-80","e) 80+"))))</f>
        <v>c) 20-40</v>
      </c>
      <c r="AD578" s="31" t="n">
        <f aca="false">Summary!$C$5+SUM(X$2:X578)</f>
        <v>15267.22</v>
      </c>
      <c r="AE578" s="31" t="n">
        <f aca="false">MAX(AE577,AD578)</f>
        <v>15756.64</v>
      </c>
      <c r="AF578" s="31" t="n">
        <f aca="false">AE578-AD578</f>
        <v>489.419999999998</v>
      </c>
      <c r="AG578" s="30" t="n">
        <f aca="false">IFERROR(AF578/AE578,0)</f>
        <v>0.0310611907107098</v>
      </c>
    </row>
    <row r="579" customFormat="false" ht="15" hidden="false" customHeight="false" outlineLevel="0" collapsed="false">
      <c r="A579" s="29" t="n">
        <v>578</v>
      </c>
      <c r="B579" s="44" t="n">
        <v>45475.6965277778</v>
      </c>
      <c r="C579" s="44" t="n">
        <v>45475.6974421296</v>
      </c>
      <c r="D579" s="43" t="n">
        <f aca="false">INT(C579)</f>
        <v>45475</v>
      </c>
      <c r="E579" s="43" t="n">
        <f aca="false">D579-WEEKDAY(D579,3)</f>
        <v>45474</v>
      </c>
      <c r="F579" s="29" t="s">
        <v>171</v>
      </c>
      <c r="G579" s="29" t="n">
        <v>2024</v>
      </c>
      <c r="H579" s="29" t="s">
        <v>248</v>
      </c>
      <c r="I579" s="29" t="n">
        <v>16</v>
      </c>
      <c r="J579" s="29" t="s">
        <v>246</v>
      </c>
      <c r="K579" s="29" t="s">
        <v>247</v>
      </c>
      <c r="L579" s="29" t="n">
        <v>0.03</v>
      </c>
      <c r="M579" s="32" t="n">
        <v>19841.32</v>
      </c>
      <c r="N579" s="32" t="n">
        <v>19818.86</v>
      </c>
      <c r="O579" s="32" t="n">
        <v>19896.34</v>
      </c>
      <c r="P579" s="45" t="n">
        <f aca="false">ABS(M579-N579)</f>
        <v>22.4599999999991</v>
      </c>
      <c r="Q579" s="45" t="n">
        <f aca="false">IF(O579="","",ABS(O579-M579))</f>
        <v>55.0200000000004</v>
      </c>
      <c r="R579" s="31" t="n">
        <f aca="false">P579*L579*Summary!$C$6</f>
        <v>67.3799999999974</v>
      </c>
      <c r="S579" s="32" t="n">
        <v>19818.43</v>
      </c>
      <c r="T579" s="29" t="s">
        <v>249</v>
      </c>
      <c r="U579" s="45" t="n">
        <f aca="false">IF(J579="BUY",S579-M579,M579-S579)</f>
        <v>-22.8899999999994</v>
      </c>
      <c r="V579" s="46" t="n">
        <v>0</v>
      </c>
      <c r="W579" s="46" t="n">
        <v>0</v>
      </c>
      <c r="X579" s="46" t="n">
        <v>-68.67</v>
      </c>
      <c r="Y579" s="33" t="n">
        <f aca="false">IFERROR(X579/R579,0)</f>
        <v>-1.01914514692791</v>
      </c>
      <c r="Z579" s="29" t="str">
        <f aca="false">IF(X579&gt;0,"Win",IF(X579&lt;0,"Loss","Flat"))</f>
        <v>Loss</v>
      </c>
      <c r="AA579" s="29" t="n">
        <f aca="false">ROUND((C579-B579)*1440,1)</f>
        <v>1.3</v>
      </c>
      <c r="AB579" s="29" t="str">
        <f aca="false">IF(AA579&lt;1,"a) &lt;1 min",IF(AA579&lt;10,"b) 1-10 min",IF(AA579&lt;60,"c) 10-60 min",IF(AA579&lt;240,"d) 1-4 h","e) 4 h+"))))</f>
        <v>b) 1-10 min</v>
      </c>
      <c r="AC579" s="29" t="str">
        <f aca="false">IF(P579&lt;10,"a) &lt;10",IF(P579&lt;20,"b) 10-20",IF(P579&lt;40,"c) 20-40",IF(P579&lt;80,"d) 40-80","e) 80+"))))</f>
        <v>c) 20-40</v>
      </c>
      <c r="AD579" s="31" t="n">
        <f aca="false">Summary!$C$5+SUM(X$2:X579)</f>
        <v>15198.55</v>
      </c>
      <c r="AE579" s="31" t="n">
        <f aca="false">MAX(AE578,AD579)</f>
        <v>15756.64</v>
      </c>
      <c r="AF579" s="31" t="n">
        <f aca="false">AE579-AD579</f>
        <v>558.09</v>
      </c>
      <c r="AG579" s="30" t="n">
        <f aca="false">IFERROR(AF579/AE579,0)</f>
        <v>0.0354193533646767</v>
      </c>
    </row>
    <row r="580" customFormat="false" ht="15" hidden="false" customHeight="false" outlineLevel="0" collapsed="false">
      <c r="A580" s="29" t="n">
        <v>579</v>
      </c>
      <c r="B580" s="44" t="n">
        <v>45476.3847222222</v>
      </c>
      <c r="C580" s="44" t="n">
        <v>45476.3856134259</v>
      </c>
      <c r="D580" s="43" t="n">
        <f aca="false">INT(C580)</f>
        <v>45476</v>
      </c>
      <c r="E580" s="43" t="n">
        <f aca="false">D580-WEEKDAY(D580,3)</f>
        <v>45474</v>
      </c>
      <c r="F580" s="29" t="s">
        <v>171</v>
      </c>
      <c r="G580" s="29" t="n">
        <v>2024</v>
      </c>
      <c r="H580" s="29" t="s">
        <v>252</v>
      </c>
      <c r="I580" s="29" t="n">
        <v>9</v>
      </c>
      <c r="J580" s="29" t="s">
        <v>246</v>
      </c>
      <c r="K580" s="29" t="s">
        <v>247</v>
      </c>
      <c r="L580" s="29" t="n">
        <v>0.03</v>
      </c>
      <c r="M580" s="32" t="n">
        <v>20018.63</v>
      </c>
      <c r="N580" s="32" t="n">
        <v>20014.82</v>
      </c>
      <c r="O580" s="32" t="n">
        <v>20027.97</v>
      </c>
      <c r="P580" s="45" t="n">
        <f aca="false">ABS(M580-N580)</f>
        <v>3.81000000000131</v>
      </c>
      <c r="Q580" s="45" t="n">
        <f aca="false">IF(O580="","",ABS(O580-M580))</f>
        <v>9.34000000000015</v>
      </c>
      <c r="R580" s="31" t="n">
        <f aca="false">P580*L580*Summary!$C$6</f>
        <v>11.4300000000039</v>
      </c>
      <c r="S580" s="32" t="n">
        <v>20014.42</v>
      </c>
      <c r="T580" s="29" t="s">
        <v>249</v>
      </c>
      <c r="U580" s="45" t="n">
        <f aca="false">IF(J580="BUY",S580-M580,M580-S580)</f>
        <v>-4.21000000000277</v>
      </c>
      <c r="V580" s="46" t="n">
        <v>0</v>
      </c>
      <c r="W580" s="46" t="n">
        <v>0</v>
      </c>
      <c r="X580" s="46" t="n">
        <v>-12.63</v>
      </c>
      <c r="Y580" s="33" t="n">
        <f aca="false">IFERROR(X580/R580,0)</f>
        <v>-1.10498687664004</v>
      </c>
      <c r="Z580" s="29" t="str">
        <f aca="false">IF(X580&gt;0,"Win",IF(X580&lt;0,"Loss","Flat"))</f>
        <v>Loss</v>
      </c>
      <c r="AA580" s="29" t="n">
        <f aca="false">ROUND((C580-B580)*1440,1)</f>
        <v>1.3</v>
      </c>
      <c r="AB580" s="29" t="str">
        <f aca="false">IF(AA580&lt;1,"a) &lt;1 min",IF(AA580&lt;10,"b) 1-10 min",IF(AA580&lt;60,"c) 10-60 min",IF(AA580&lt;240,"d) 1-4 h","e) 4 h+"))))</f>
        <v>b) 1-10 min</v>
      </c>
      <c r="AC580" s="29" t="str">
        <f aca="false">IF(P580&lt;10,"a) &lt;10",IF(P580&lt;20,"b) 10-20",IF(P580&lt;40,"c) 20-40",IF(P580&lt;80,"d) 40-80","e) 80+"))))</f>
        <v>a) &lt;10</v>
      </c>
      <c r="AD580" s="31" t="n">
        <f aca="false">Summary!$C$5+SUM(X$2:X580)</f>
        <v>15185.92</v>
      </c>
      <c r="AE580" s="31" t="n">
        <f aca="false">MAX(AE579,AD580)</f>
        <v>15756.64</v>
      </c>
      <c r="AF580" s="31" t="n">
        <f aca="false">AE580-AD580</f>
        <v>570.719999999999</v>
      </c>
      <c r="AG580" s="30" t="n">
        <f aca="false">IFERROR(AF580/AE580,0)</f>
        <v>0.0362209201961839</v>
      </c>
    </row>
    <row r="581" customFormat="false" ht="15" hidden="false" customHeight="false" outlineLevel="0" collapsed="false">
      <c r="A581" s="29" t="n">
        <v>580</v>
      </c>
      <c r="B581" s="44" t="n">
        <v>45478.2708333333</v>
      </c>
      <c r="C581" s="44" t="n">
        <v>45478.2740162037</v>
      </c>
      <c r="D581" s="43" t="n">
        <f aca="false">INT(C581)</f>
        <v>45478</v>
      </c>
      <c r="E581" s="43" t="n">
        <f aca="false">D581-WEEKDAY(D581,3)</f>
        <v>45474</v>
      </c>
      <c r="F581" s="29" t="s">
        <v>171</v>
      </c>
      <c r="G581" s="29" t="n">
        <v>2024</v>
      </c>
      <c r="H581" s="29" t="s">
        <v>254</v>
      </c>
      <c r="I581" s="29" t="n">
        <v>6</v>
      </c>
      <c r="J581" s="29" t="s">
        <v>246</v>
      </c>
      <c r="K581" s="29" t="s">
        <v>247</v>
      </c>
      <c r="L581" s="29" t="n">
        <v>0.03</v>
      </c>
      <c r="M581" s="32" t="n">
        <v>20178.6</v>
      </c>
      <c r="N581" s="32" t="n">
        <v>20177.46</v>
      </c>
      <c r="O581" s="32" t="n">
        <v>20181.39</v>
      </c>
      <c r="P581" s="45" t="n">
        <f aca="false">ABS(M581-N581)</f>
        <v>1.13999999999942</v>
      </c>
      <c r="Q581" s="45" t="n">
        <f aca="false">IF(O581="","",ABS(O581-M581))</f>
        <v>2.79000000000087</v>
      </c>
      <c r="R581" s="31" t="n">
        <f aca="false">P581*L581*Summary!$C$6</f>
        <v>3.41999999999825</v>
      </c>
      <c r="S581" s="32" t="n">
        <v>20178.57</v>
      </c>
      <c r="T581" s="29" t="s">
        <v>255</v>
      </c>
      <c r="U581" s="45" t="n">
        <f aca="false">IF(J581="BUY",S581-M581,M581-S581)</f>
        <v>-0.0299999999988358</v>
      </c>
      <c r="V581" s="46" t="n">
        <v>0</v>
      </c>
      <c r="W581" s="46" t="n">
        <v>0</v>
      </c>
      <c r="X581" s="46" t="n">
        <v>-0.09</v>
      </c>
      <c r="Y581" s="33" t="n">
        <f aca="false">IFERROR(X581/R581,0)</f>
        <v>-0.0263157894736976</v>
      </c>
      <c r="Z581" s="29" t="str">
        <f aca="false">IF(X581&gt;0,"Win",IF(X581&lt;0,"Loss","Flat"))</f>
        <v>Loss</v>
      </c>
      <c r="AA581" s="29" t="n">
        <f aca="false">ROUND((C581-B581)*1440,1)</f>
        <v>4.6</v>
      </c>
      <c r="AB581" s="29" t="str">
        <f aca="false">IF(AA581&lt;1,"a) &lt;1 min",IF(AA581&lt;10,"b) 1-10 min",IF(AA581&lt;60,"c) 10-60 min",IF(AA581&lt;240,"d) 1-4 h","e) 4 h+"))))</f>
        <v>b) 1-10 min</v>
      </c>
      <c r="AC581" s="29" t="str">
        <f aca="false">IF(P581&lt;10,"a) &lt;10",IF(P581&lt;20,"b) 10-20",IF(P581&lt;40,"c) 20-40",IF(P581&lt;80,"d) 40-80","e) 80+"))))</f>
        <v>a) &lt;10</v>
      </c>
      <c r="AD581" s="31" t="n">
        <f aca="false">Summary!$C$5+SUM(X$2:X581)</f>
        <v>15185.83</v>
      </c>
      <c r="AE581" s="31" t="n">
        <f aca="false">MAX(AE580,AD581)</f>
        <v>15756.64</v>
      </c>
      <c r="AF581" s="31" t="n">
        <f aca="false">AE581-AD581</f>
        <v>570.81</v>
      </c>
      <c r="AG581" s="30" t="n">
        <f aca="false">IFERROR(AF581/AE581,0)</f>
        <v>0.0362266320738431</v>
      </c>
    </row>
    <row r="582" customFormat="false" ht="15" hidden="false" customHeight="false" outlineLevel="0" collapsed="false">
      <c r="A582" s="29" t="n">
        <v>581</v>
      </c>
      <c r="B582" s="44" t="n">
        <v>45481.6798611111</v>
      </c>
      <c r="C582" s="44" t="n">
        <v>45481.6813310185</v>
      </c>
      <c r="D582" s="43" t="n">
        <f aca="false">INT(C582)</f>
        <v>45481</v>
      </c>
      <c r="E582" s="43" t="n">
        <f aca="false">D582-WEEKDAY(D582,3)</f>
        <v>45481</v>
      </c>
      <c r="F582" s="29" t="s">
        <v>171</v>
      </c>
      <c r="G582" s="29" t="n">
        <v>2024</v>
      </c>
      <c r="H582" s="29" t="s">
        <v>245</v>
      </c>
      <c r="I582" s="29" t="n">
        <v>16</v>
      </c>
      <c r="J582" s="29" t="s">
        <v>246</v>
      </c>
      <c r="K582" s="29" t="s">
        <v>247</v>
      </c>
      <c r="L582" s="29" t="n">
        <v>0.03</v>
      </c>
      <c r="M582" s="32" t="n">
        <v>20406.21</v>
      </c>
      <c r="N582" s="32" t="n">
        <v>20403.49</v>
      </c>
      <c r="O582" s="32" t="n">
        <v>20412.86</v>
      </c>
      <c r="P582" s="45" t="n">
        <f aca="false">ABS(M582-N582)</f>
        <v>2.71999999999753</v>
      </c>
      <c r="Q582" s="45" t="n">
        <f aca="false">IF(O582="","",ABS(O582-M582))</f>
        <v>6.65000000000146</v>
      </c>
      <c r="R582" s="31" t="n">
        <f aca="false">P582*L582*Summary!$C$6</f>
        <v>8.15999999999258</v>
      </c>
      <c r="S582" s="32" t="n">
        <v>20403.42</v>
      </c>
      <c r="T582" s="29" t="s">
        <v>249</v>
      </c>
      <c r="U582" s="45" t="n">
        <f aca="false">IF(J582="BUY",S582-M582,M582-S582)</f>
        <v>-2.79000000000087</v>
      </c>
      <c r="V582" s="46" t="n">
        <v>0</v>
      </c>
      <c r="W582" s="46" t="n">
        <v>0</v>
      </c>
      <c r="X582" s="46" t="n">
        <v>-8.37</v>
      </c>
      <c r="Y582" s="33" t="n">
        <f aca="false">IFERROR(X582/R582,0)</f>
        <v>-1.02573529411858</v>
      </c>
      <c r="Z582" s="29" t="str">
        <f aca="false">IF(X582&gt;0,"Win",IF(X582&lt;0,"Loss","Flat"))</f>
        <v>Loss</v>
      </c>
      <c r="AA582" s="29" t="n">
        <f aca="false">ROUND((C582-B582)*1440,1)</f>
        <v>2.1</v>
      </c>
      <c r="AB582" s="29" t="str">
        <f aca="false">IF(AA582&lt;1,"a) &lt;1 min",IF(AA582&lt;10,"b) 1-10 min",IF(AA582&lt;60,"c) 10-60 min",IF(AA582&lt;240,"d) 1-4 h","e) 4 h+"))))</f>
        <v>b) 1-10 min</v>
      </c>
      <c r="AC582" s="29" t="str">
        <f aca="false">IF(P582&lt;10,"a) &lt;10",IF(P582&lt;20,"b) 10-20",IF(P582&lt;40,"c) 20-40",IF(P582&lt;80,"d) 40-80","e) 80+"))))</f>
        <v>a) &lt;10</v>
      </c>
      <c r="AD582" s="31" t="n">
        <f aca="false">Summary!$C$5+SUM(X$2:X582)</f>
        <v>15177.46</v>
      </c>
      <c r="AE582" s="31" t="n">
        <f aca="false">MAX(AE581,AD582)</f>
        <v>15756.64</v>
      </c>
      <c r="AF582" s="31" t="n">
        <f aca="false">AE582-AD582</f>
        <v>579.18</v>
      </c>
      <c r="AG582" s="30" t="n">
        <f aca="false">IFERROR(AF582/AE582,0)</f>
        <v>0.0367578366961484</v>
      </c>
    </row>
    <row r="583" customFormat="false" ht="15" hidden="false" customHeight="false" outlineLevel="0" collapsed="false">
      <c r="A583" s="29" t="n">
        <v>582</v>
      </c>
      <c r="B583" s="44" t="n">
        <v>45482.05</v>
      </c>
      <c r="C583" s="44" t="n">
        <v>45482.0544791667</v>
      </c>
      <c r="D583" s="43" t="n">
        <f aca="false">INT(C583)</f>
        <v>45482</v>
      </c>
      <c r="E583" s="43" t="n">
        <f aca="false">D583-WEEKDAY(D583,3)</f>
        <v>45481</v>
      </c>
      <c r="F583" s="29" t="s">
        <v>171</v>
      </c>
      <c r="G583" s="29" t="n">
        <v>2024</v>
      </c>
      <c r="H583" s="29" t="s">
        <v>248</v>
      </c>
      <c r="I583" s="29" t="n">
        <v>1</v>
      </c>
      <c r="J583" s="29" t="s">
        <v>246</v>
      </c>
      <c r="K583" s="29" t="s">
        <v>247</v>
      </c>
      <c r="L583" s="29" t="n">
        <v>0.03</v>
      </c>
      <c r="M583" s="32" t="n">
        <v>20460.75</v>
      </c>
      <c r="N583" s="32" t="n">
        <v>20457.98</v>
      </c>
      <c r="O583" s="32" t="n">
        <v>20467.54</v>
      </c>
      <c r="P583" s="45" t="n">
        <f aca="false">ABS(M583-N583)</f>
        <v>2.77000000000044</v>
      </c>
      <c r="Q583" s="45" t="n">
        <f aca="false">IF(O583="","",ABS(O583-M583))</f>
        <v>6.79000000000087</v>
      </c>
      <c r="R583" s="31" t="n">
        <f aca="false">P583*L583*Summary!$C$6</f>
        <v>8.31000000000131</v>
      </c>
      <c r="S583" s="32" t="n">
        <v>20467.59</v>
      </c>
      <c r="T583" s="29" t="s">
        <v>227</v>
      </c>
      <c r="U583" s="45" t="n">
        <f aca="false">IF(J583="BUY",S583-M583,M583-S583)</f>
        <v>6.84000000000015</v>
      </c>
      <c r="V583" s="46" t="n">
        <v>0</v>
      </c>
      <c r="W583" s="46" t="n">
        <v>0</v>
      </c>
      <c r="X583" s="46" t="n">
        <v>20.52</v>
      </c>
      <c r="Y583" s="33" t="n">
        <f aca="false">IFERROR(X583/R583,0)</f>
        <v>2.46931407942199</v>
      </c>
      <c r="Z583" s="29" t="str">
        <f aca="false">IF(X583&gt;0,"Win",IF(X583&lt;0,"Loss","Flat"))</f>
        <v>Win</v>
      </c>
      <c r="AA583" s="29" t="n">
        <f aca="false">ROUND((C583-B583)*1440,1)</f>
        <v>6.5</v>
      </c>
      <c r="AB583" s="29" t="str">
        <f aca="false">IF(AA583&lt;1,"a) &lt;1 min",IF(AA583&lt;10,"b) 1-10 min",IF(AA583&lt;60,"c) 10-60 min",IF(AA583&lt;240,"d) 1-4 h","e) 4 h+"))))</f>
        <v>b) 1-10 min</v>
      </c>
      <c r="AC583" s="29" t="str">
        <f aca="false">IF(P583&lt;10,"a) &lt;10",IF(P583&lt;20,"b) 10-20",IF(P583&lt;40,"c) 20-40",IF(P583&lt;80,"d) 40-80","e) 80+"))))</f>
        <v>a) &lt;10</v>
      </c>
      <c r="AD583" s="31" t="n">
        <f aca="false">Summary!$C$5+SUM(X$2:X583)</f>
        <v>15197.98</v>
      </c>
      <c r="AE583" s="31" t="n">
        <f aca="false">MAX(AE582,AD583)</f>
        <v>15756.64</v>
      </c>
      <c r="AF583" s="31" t="n">
        <f aca="false">AE583-AD583</f>
        <v>558.66</v>
      </c>
      <c r="AG583" s="30" t="n">
        <f aca="false">IFERROR(AF583/AE583,0)</f>
        <v>0.0354555285898516</v>
      </c>
    </row>
    <row r="584" customFormat="false" ht="15" hidden="false" customHeight="false" outlineLevel="0" collapsed="false">
      <c r="A584" s="29" t="n">
        <v>583</v>
      </c>
      <c r="B584" s="44" t="n">
        <v>45483.7013888889</v>
      </c>
      <c r="C584" s="44" t="n">
        <v>45483.7019560185</v>
      </c>
      <c r="D584" s="43" t="n">
        <f aca="false">INT(C584)</f>
        <v>45483</v>
      </c>
      <c r="E584" s="43" t="n">
        <f aca="false">D584-WEEKDAY(D584,3)</f>
        <v>45481</v>
      </c>
      <c r="F584" s="29" t="s">
        <v>171</v>
      </c>
      <c r="G584" s="29" t="n">
        <v>2024</v>
      </c>
      <c r="H584" s="29" t="s">
        <v>252</v>
      </c>
      <c r="I584" s="29" t="n">
        <v>16</v>
      </c>
      <c r="J584" s="29" t="s">
        <v>246</v>
      </c>
      <c r="K584" s="29" t="s">
        <v>247</v>
      </c>
      <c r="L584" s="29" t="n">
        <v>0.03</v>
      </c>
      <c r="M584" s="32" t="n">
        <v>20551.08</v>
      </c>
      <c r="N584" s="32" t="n">
        <v>20538.53</v>
      </c>
      <c r="O584" s="32" t="n">
        <v>20578.21</v>
      </c>
      <c r="P584" s="45" t="n">
        <f aca="false">ABS(M584-N584)</f>
        <v>12.5500000000029</v>
      </c>
      <c r="Q584" s="45" t="n">
        <f aca="false">IF(O584="","",ABS(O584-M584))</f>
        <v>27.1299999999974</v>
      </c>
      <c r="R584" s="31" t="n">
        <f aca="false">P584*L584*Summary!$C$6</f>
        <v>37.6500000000087</v>
      </c>
      <c r="S584" s="32" t="n">
        <v>20538.25</v>
      </c>
      <c r="T584" s="29" t="s">
        <v>249</v>
      </c>
      <c r="U584" s="45" t="n">
        <f aca="false">IF(J584="BUY",S584-M584,M584-S584)</f>
        <v>-12.8300000000017</v>
      </c>
      <c r="V584" s="46" t="n">
        <v>0</v>
      </c>
      <c r="W584" s="46" t="n">
        <v>0</v>
      </c>
      <c r="X584" s="46" t="n">
        <v>-38.49</v>
      </c>
      <c r="Y584" s="33" t="n">
        <f aca="false">IFERROR(X584/R584,0)</f>
        <v>-1.02231075697187</v>
      </c>
      <c r="Z584" s="29" t="str">
        <f aca="false">IF(X584&gt;0,"Win",IF(X584&lt;0,"Loss","Flat"))</f>
        <v>Loss</v>
      </c>
      <c r="AA584" s="29" t="n">
        <f aca="false">ROUND((C584-B584)*1440,1)</f>
        <v>0.8</v>
      </c>
      <c r="AB584" s="29" t="str">
        <f aca="false">IF(AA584&lt;1,"a) &lt;1 min",IF(AA584&lt;10,"b) 1-10 min",IF(AA584&lt;60,"c) 10-60 min",IF(AA584&lt;240,"d) 1-4 h","e) 4 h+"))))</f>
        <v>a) &lt;1 min</v>
      </c>
      <c r="AC584" s="29" t="str">
        <f aca="false">IF(P584&lt;10,"a) &lt;10",IF(P584&lt;20,"b) 10-20",IF(P584&lt;40,"c) 20-40",IF(P584&lt;80,"d) 40-80","e) 80+"))))</f>
        <v>b) 10-20</v>
      </c>
      <c r="AD584" s="31" t="n">
        <f aca="false">Summary!$C$5+SUM(X$2:X584)</f>
        <v>15159.49</v>
      </c>
      <c r="AE584" s="31" t="n">
        <f aca="false">MAX(AE583,AD584)</f>
        <v>15756.64</v>
      </c>
      <c r="AF584" s="31" t="n">
        <f aca="false">AE584-AD584</f>
        <v>597.15</v>
      </c>
      <c r="AG584" s="30" t="n">
        <f aca="false">IFERROR(AF584/AE584,0)</f>
        <v>0.0378983082687679</v>
      </c>
    </row>
    <row r="585" customFormat="false" ht="15" hidden="false" customHeight="false" outlineLevel="0" collapsed="false">
      <c r="A585" s="29" t="n">
        <v>584</v>
      </c>
      <c r="B585" s="44" t="n">
        <v>45484.6465277778</v>
      </c>
      <c r="C585" s="44" t="n">
        <v>45484.649525463</v>
      </c>
      <c r="D585" s="43" t="n">
        <f aca="false">INT(C585)</f>
        <v>45484</v>
      </c>
      <c r="E585" s="43" t="n">
        <f aca="false">D585-WEEKDAY(D585,3)</f>
        <v>45481</v>
      </c>
      <c r="F585" s="29" t="s">
        <v>171</v>
      </c>
      <c r="G585" s="29" t="n">
        <v>2024</v>
      </c>
      <c r="H585" s="29" t="s">
        <v>253</v>
      </c>
      <c r="I585" s="29" t="n">
        <v>15</v>
      </c>
      <c r="J585" s="29" t="s">
        <v>246</v>
      </c>
      <c r="K585" s="29" t="s">
        <v>247</v>
      </c>
      <c r="L585" s="29" t="n">
        <v>0.03</v>
      </c>
      <c r="M585" s="32" t="n">
        <v>20730.3</v>
      </c>
      <c r="N585" s="32" t="n">
        <v>20708.61</v>
      </c>
      <c r="O585" s="32" t="n">
        <v>20782.68</v>
      </c>
      <c r="P585" s="45" t="n">
        <f aca="false">ABS(M585-N585)</f>
        <v>21.6899999999987</v>
      </c>
      <c r="Q585" s="45" t="n">
        <f aca="false">IF(O585="","",ABS(O585-M585))</f>
        <v>52.380000000001</v>
      </c>
      <c r="R585" s="31" t="n">
        <f aca="false">P585*L585*Summary!$C$6</f>
        <v>65.0699999999961</v>
      </c>
      <c r="S585" s="32" t="n">
        <v>20728.82</v>
      </c>
      <c r="T585" s="29" t="s">
        <v>255</v>
      </c>
      <c r="U585" s="45" t="n">
        <f aca="false">IF(J585="BUY",S585-M585,M585-S585)</f>
        <v>-1.47999999999956</v>
      </c>
      <c r="V585" s="46" t="n">
        <v>0</v>
      </c>
      <c r="W585" s="46" t="n">
        <v>0</v>
      </c>
      <c r="X585" s="46" t="n">
        <v>-4.44</v>
      </c>
      <c r="Y585" s="33" t="n">
        <f aca="false">IFERROR(X585/R585,0)</f>
        <v>-0.0682342093130516</v>
      </c>
      <c r="Z585" s="29" t="str">
        <f aca="false">IF(X585&gt;0,"Win",IF(X585&lt;0,"Loss","Flat"))</f>
        <v>Loss</v>
      </c>
      <c r="AA585" s="29" t="n">
        <f aca="false">ROUND((C585-B585)*1440,1)</f>
        <v>4.3</v>
      </c>
      <c r="AB585" s="29" t="str">
        <f aca="false">IF(AA585&lt;1,"a) &lt;1 min",IF(AA585&lt;10,"b) 1-10 min",IF(AA585&lt;60,"c) 10-60 min",IF(AA585&lt;240,"d) 1-4 h","e) 4 h+"))))</f>
        <v>b) 1-10 min</v>
      </c>
      <c r="AC585" s="29" t="str">
        <f aca="false">IF(P585&lt;10,"a) &lt;10",IF(P585&lt;20,"b) 10-20",IF(P585&lt;40,"c) 20-40",IF(P585&lt;80,"d) 40-80","e) 80+"))))</f>
        <v>c) 20-40</v>
      </c>
      <c r="AD585" s="31" t="n">
        <f aca="false">Summary!$C$5+SUM(X$2:X585)</f>
        <v>15155.05</v>
      </c>
      <c r="AE585" s="31" t="n">
        <f aca="false">MAX(AE584,AD585)</f>
        <v>15756.64</v>
      </c>
      <c r="AF585" s="31" t="n">
        <f aca="false">AE585-AD585</f>
        <v>601.59</v>
      </c>
      <c r="AG585" s="30" t="n">
        <f aca="false">IFERROR(AF585/AE585,0)</f>
        <v>0.0381800942332883</v>
      </c>
    </row>
    <row r="586" customFormat="false" ht="15" hidden="false" customHeight="false" outlineLevel="0" collapsed="false">
      <c r="A586" s="29" t="n">
        <v>585</v>
      </c>
      <c r="B586" s="44" t="n">
        <v>45484.7215277778</v>
      </c>
      <c r="C586" s="44" t="n">
        <v>45484.7259027778</v>
      </c>
      <c r="D586" s="43" t="n">
        <f aca="false">INT(C586)</f>
        <v>45484</v>
      </c>
      <c r="E586" s="43" t="n">
        <f aca="false">D586-WEEKDAY(D586,3)</f>
        <v>45481</v>
      </c>
      <c r="F586" s="29" t="s">
        <v>171</v>
      </c>
      <c r="G586" s="29" t="n">
        <v>2024</v>
      </c>
      <c r="H586" s="29" t="s">
        <v>253</v>
      </c>
      <c r="I586" s="29" t="n">
        <v>17</v>
      </c>
      <c r="J586" s="29" t="s">
        <v>250</v>
      </c>
      <c r="K586" s="29" t="s">
        <v>251</v>
      </c>
      <c r="L586" s="29" t="n">
        <v>0.03</v>
      </c>
      <c r="M586" s="32" t="n">
        <v>20465.29</v>
      </c>
      <c r="N586" s="32" t="n">
        <v>20484.74</v>
      </c>
      <c r="O586" s="32" t="n">
        <v>20408.43</v>
      </c>
      <c r="P586" s="45" t="n">
        <f aca="false">ABS(M586-N586)</f>
        <v>19.4500000000007</v>
      </c>
      <c r="Q586" s="45" t="n">
        <f aca="false">IF(O586="","",ABS(O586-M586))</f>
        <v>56.8600000000006</v>
      </c>
      <c r="R586" s="31" t="n">
        <f aca="false">P586*L586*Summary!$C$6</f>
        <v>58.3500000000022</v>
      </c>
      <c r="S586" s="32" t="n">
        <v>20466.15</v>
      </c>
      <c r="T586" s="29" t="s">
        <v>255</v>
      </c>
      <c r="U586" s="45" t="n">
        <f aca="false">IF(J586="BUY",S586-M586,M586-S586)</f>
        <v>-0.860000000000582</v>
      </c>
      <c r="V586" s="46" t="n">
        <v>0</v>
      </c>
      <c r="W586" s="46" t="n">
        <v>0</v>
      </c>
      <c r="X586" s="46" t="n">
        <v>-2.58</v>
      </c>
      <c r="Y586" s="33" t="n">
        <f aca="false">IFERROR(X586/R586,0)</f>
        <v>-0.0442159383033403</v>
      </c>
      <c r="Z586" s="29" t="str">
        <f aca="false">IF(X586&gt;0,"Win",IF(X586&lt;0,"Loss","Flat"))</f>
        <v>Loss</v>
      </c>
      <c r="AA586" s="29" t="n">
        <f aca="false">ROUND((C586-B586)*1440,1)</f>
        <v>6.3</v>
      </c>
      <c r="AB586" s="29" t="str">
        <f aca="false">IF(AA586&lt;1,"a) &lt;1 min",IF(AA586&lt;10,"b) 1-10 min",IF(AA586&lt;60,"c) 10-60 min",IF(AA586&lt;240,"d) 1-4 h","e) 4 h+"))))</f>
        <v>b) 1-10 min</v>
      </c>
      <c r="AC586" s="29" t="str">
        <f aca="false">IF(P586&lt;10,"a) &lt;10",IF(P586&lt;20,"b) 10-20",IF(P586&lt;40,"c) 20-40",IF(P586&lt;80,"d) 40-80","e) 80+"))))</f>
        <v>b) 10-20</v>
      </c>
      <c r="AD586" s="31" t="n">
        <f aca="false">Summary!$C$5+SUM(X$2:X586)</f>
        <v>15152.47</v>
      </c>
      <c r="AE586" s="31" t="n">
        <f aca="false">MAX(AE585,AD586)</f>
        <v>15756.64</v>
      </c>
      <c r="AF586" s="31" t="n">
        <f aca="false">AE586-AD586</f>
        <v>604.169999999998</v>
      </c>
      <c r="AG586" s="30" t="n">
        <f aca="false">IFERROR(AF586/AE586,0)</f>
        <v>0.0383438347261852</v>
      </c>
    </row>
    <row r="587" customFormat="false" ht="15" hidden="false" customHeight="false" outlineLevel="0" collapsed="false">
      <c r="A587" s="29" t="n">
        <v>586</v>
      </c>
      <c r="B587" s="44" t="n">
        <v>45488.7472222222</v>
      </c>
      <c r="C587" s="44" t="n">
        <v>45488.7489351852</v>
      </c>
      <c r="D587" s="43" t="n">
        <f aca="false">INT(C587)</f>
        <v>45488</v>
      </c>
      <c r="E587" s="43" t="n">
        <f aca="false">D587-WEEKDAY(D587,3)</f>
        <v>45488</v>
      </c>
      <c r="F587" s="29" t="s">
        <v>171</v>
      </c>
      <c r="G587" s="29" t="n">
        <v>2024</v>
      </c>
      <c r="H587" s="29" t="s">
        <v>245</v>
      </c>
      <c r="I587" s="29" t="n">
        <v>17</v>
      </c>
      <c r="J587" s="29" t="s">
        <v>246</v>
      </c>
      <c r="K587" s="29" t="s">
        <v>247</v>
      </c>
      <c r="L587" s="29" t="n">
        <v>0.03</v>
      </c>
      <c r="M587" s="32" t="n">
        <v>20529.61</v>
      </c>
      <c r="N587" s="32" t="n">
        <v>20521.14</v>
      </c>
      <c r="O587" s="32" t="n">
        <v>20550.36</v>
      </c>
      <c r="P587" s="45" t="n">
        <f aca="false">ABS(M587-N587)</f>
        <v>8.47000000000116</v>
      </c>
      <c r="Q587" s="45" t="n">
        <f aca="false">IF(O587="","",ABS(O587-M587))</f>
        <v>20.75</v>
      </c>
      <c r="R587" s="31" t="n">
        <f aca="false">P587*L587*Summary!$C$6</f>
        <v>25.4100000000035</v>
      </c>
      <c r="S587" s="32" t="n">
        <v>20520.8</v>
      </c>
      <c r="T587" s="29" t="s">
        <v>249</v>
      </c>
      <c r="U587" s="45" t="n">
        <f aca="false">IF(J587="BUY",S587-M587,M587-S587)</f>
        <v>-8.81000000000131</v>
      </c>
      <c r="V587" s="46" t="n">
        <v>0</v>
      </c>
      <c r="W587" s="46" t="n">
        <v>0</v>
      </c>
      <c r="X587" s="46" t="n">
        <v>-26.43</v>
      </c>
      <c r="Y587" s="33" t="n">
        <f aca="false">IFERROR(X587/R587,0)</f>
        <v>-1.04014167650517</v>
      </c>
      <c r="Z587" s="29" t="str">
        <f aca="false">IF(X587&gt;0,"Win",IF(X587&lt;0,"Loss","Flat"))</f>
        <v>Loss</v>
      </c>
      <c r="AA587" s="29" t="n">
        <f aca="false">ROUND((C587-B587)*1440,1)</f>
        <v>2.5</v>
      </c>
      <c r="AB587" s="29" t="str">
        <f aca="false">IF(AA587&lt;1,"a) &lt;1 min",IF(AA587&lt;10,"b) 1-10 min",IF(AA587&lt;60,"c) 10-60 min",IF(AA587&lt;240,"d) 1-4 h","e) 4 h+"))))</f>
        <v>b) 1-10 min</v>
      </c>
      <c r="AC587" s="29" t="str">
        <f aca="false">IF(P587&lt;10,"a) &lt;10",IF(P587&lt;20,"b) 10-20",IF(P587&lt;40,"c) 20-40",IF(P587&lt;80,"d) 40-80","e) 80+"))))</f>
        <v>a) &lt;10</v>
      </c>
      <c r="AD587" s="31" t="n">
        <f aca="false">Summary!$C$5+SUM(X$2:X587)</f>
        <v>15126.04</v>
      </c>
      <c r="AE587" s="31" t="n">
        <f aca="false">MAX(AE586,AD587)</f>
        <v>15756.64</v>
      </c>
      <c r="AF587" s="31" t="n">
        <f aca="false">AE587-AD587</f>
        <v>630.599999999999</v>
      </c>
      <c r="AG587" s="30" t="n">
        <f aca="false">IFERROR(AF587/AE587,0)</f>
        <v>0.0400212227987692</v>
      </c>
    </row>
    <row r="588" customFormat="false" ht="15" hidden="false" customHeight="false" outlineLevel="0" collapsed="false">
      <c r="A588" s="29" t="n">
        <v>587</v>
      </c>
      <c r="B588" s="44" t="n">
        <v>45489.7145833333</v>
      </c>
      <c r="C588" s="44" t="n">
        <v>45489.7157291667</v>
      </c>
      <c r="D588" s="43" t="n">
        <f aca="false">INT(C588)</f>
        <v>45489</v>
      </c>
      <c r="E588" s="43" t="n">
        <f aca="false">D588-WEEKDAY(D588,3)</f>
        <v>45488</v>
      </c>
      <c r="F588" s="29" t="s">
        <v>171</v>
      </c>
      <c r="G588" s="29" t="n">
        <v>2024</v>
      </c>
      <c r="H588" s="29" t="s">
        <v>248</v>
      </c>
      <c r="I588" s="29" t="n">
        <v>17</v>
      </c>
      <c r="J588" s="29" t="s">
        <v>250</v>
      </c>
      <c r="K588" s="29" t="s">
        <v>251</v>
      </c>
      <c r="L588" s="29" t="n">
        <v>0.03</v>
      </c>
      <c r="M588" s="32" t="n">
        <v>20294.19</v>
      </c>
      <c r="N588" s="32" t="n">
        <v>20312.42</v>
      </c>
      <c r="O588" s="32" t="n">
        <v>20249.52</v>
      </c>
      <c r="P588" s="45" t="n">
        <f aca="false">ABS(M588-N588)</f>
        <v>18.2299999999996</v>
      </c>
      <c r="Q588" s="45" t="n">
        <f aca="false">IF(O588="","",ABS(O588-M588))</f>
        <v>44.6699999999983</v>
      </c>
      <c r="R588" s="31" t="n">
        <f aca="false">P588*L588*Summary!$C$6</f>
        <v>54.6899999999987</v>
      </c>
      <c r="S588" s="32" t="n">
        <v>20312.65</v>
      </c>
      <c r="T588" s="29" t="s">
        <v>249</v>
      </c>
      <c r="U588" s="45" t="n">
        <f aca="false">IF(J588="BUY",S588-M588,M588-S588)</f>
        <v>-18.4600000000028</v>
      </c>
      <c r="V588" s="46" t="n">
        <v>0</v>
      </c>
      <c r="W588" s="46" t="n">
        <v>0</v>
      </c>
      <c r="X588" s="46" t="n">
        <v>-55.38</v>
      </c>
      <c r="Y588" s="33" t="n">
        <f aca="false">IFERROR(X588/R588,0)</f>
        <v>-1.01261656609986</v>
      </c>
      <c r="Z588" s="29" t="str">
        <f aca="false">IF(X588&gt;0,"Win",IF(X588&lt;0,"Loss","Flat"))</f>
        <v>Loss</v>
      </c>
      <c r="AA588" s="29" t="n">
        <f aca="false">ROUND((C588-B588)*1440,1)</f>
        <v>1.7</v>
      </c>
      <c r="AB588" s="29" t="str">
        <f aca="false">IF(AA588&lt;1,"a) &lt;1 min",IF(AA588&lt;10,"b) 1-10 min",IF(AA588&lt;60,"c) 10-60 min",IF(AA588&lt;240,"d) 1-4 h","e) 4 h+"))))</f>
        <v>b) 1-10 min</v>
      </c>
      <c r="AC588" s="29" t="str">
        <f aca="false">IF(P588&lt;10,"a) &lt;10",IF(P588&lt;20,"b) 10-20",IF(P588&lt;40,"c) 20-40",IF(P588&lt;80,"d) 40-80","e) 80+"))))</f>
        <v>b) 10-20</v>
      </c>
      <c r="AD588" s="31" t="n">
        <f aca="false">Summary!$C$5+SUM(X$2:X588)</f>
        <v>15070.66</v>
      </c>
      <c r="AE588" s="31" t="n">
        <f aca="false">MAX(AE587,AD588)</f>
        <v>15756.64</v>
      </c>
      <c r="AF588" s="31" t="n">
        <f aca="false">AE588-AD588</f>
        <v>685.98</v>
      </c>
      <c r="AG588" s="30" t="n">
        <f aca="false">IFERROR(AF588/AE588,0)</f>
        <v>0.0435359315183948</v>
      </c>
    </row>
    <row r="589" customFormat="false" ht="15" hidden="false" customHeight="false" outlineLevel="0" collapsed="false">
      <c r="A589" s="29" t="n">
        <v>588</v>
      </c>
      <c r="B589" s="44" t="n">
        <v>45490.3875</v>
      </c>
      <c r="C589" s="44" t="n">
        <v>45490.3912615741</v>
      </c>
      <c r="D589" s="43" t="n">
        <f aca="false">INT(C589)</f>
        <v>45490</v>
      </c>
      <c r="E589" s="43" t="n">
        <f aca="false">D589-WEEKDAY(D589,3)</f>
        <v>45488</v>
      </c>
      <c r="F589" s="29" t="s">
        <v>171</v>
      </c>
      <c r="G589" s="29" t="n">
        <v>2024</v>
      </c>
      <c r="H589" s="29" t="s">
        <v>252</v>
      </c>
      <c r="I589" s="29" t="n">
        <v>9</v>
      </c>
      <c r="J589" s="29" t="s">
        <v>250</v>
      </c>
      <c r="K589" s="29" t="s">
        <v>251</v>
      </c>
      <c r="L589" s="29" t="n">
        <v>0.03</v>
      </c>
      <c r="M589" s="32" t="n">
        <v>20257.93</v>
      </c>
      <c r="N589" s="32" t="n">
        <v>20266.88</v>
      </c>
      <c r="O589" s="32" t="n">
        <v>20236.01</v>
      </c>
      <c r="P589" s="45" t="n">
        <f aca="false">ABS(M589-N589)</f>
        <v>8.95000000000073</v>
      </c>
      <c r="Q589" s="45" t="n">
        <f aca="false">IF(O589="","",ABS(O589-M589))</f>
        <v>21.9200000000019</v>
      </c>
      <c r="R589" s="31" t="n">
        <f aca="false">P589*L589*Summary!$C$6</f>
        <v>26.8500000000022</v>
      </c>
      <c r="S589" s="32" t="n">
        <v>20235.46</v>
      </c>
      <c r="T589" s="29" t="s">
        <v>227</v>
      </c>
      <c r="U589" s="45" t="n">
        <f aca="false">IF(J589="BUY",S589-M589,M589-S589)</f>
        <v>22.4700000000012</v>
      </c>
      <c r="V589" s="46" t="n">
        <v>0</v>
      </c>
      <c r="W589" s="46" t="n">
        <v>0</v>
      </c>
      <c r="X589" s="46" t="n">
        <v>67.41</v>
      </c>
      <c r="Y589" s="33" t="n">
        <f aca="false">IFERROR(X589/R589,0)</f>
        <v>2.51061452513946</v>
      </c>
      <c r="Z589" s="29" t="str">
        <f aca="false">IF(X589&gt;0,"Win",IF(X589&lt;0,"Loss","Flat"))</f>
        <v>Win</v>
      </c>
      <c r="AA589" s="29" t="n">
        <f aca="false">ROUND((C589-B589)*1440,1)</f>
        <v>5.4</v>
      </c>
      <c r="AB589" s="29" t="str">
        <f aca="false">IF(AA589&lt;1,"a) &lt;1 min",IF(AA589&lt;10,"b) 1-10 min",IF(AA589&lt;60,"c) 10-60 min",IF(AA589&lt;240,"d) 1-4 h","e) 4 h+"))))</f>
        <v>b) 1-10 min</v>
      </c>
      <c r="AC589" s="29" t="str">
        <f aca="false">IF(P589&lt;10,"a) &lt;10",IF(P589&lt;20,"b) 10-20",IF(P589&lt;40,"c) 20-40",IF(P589&lt;80,"d) 40-80","e) 80+"))))</f>
        <v>a) &lt;10</v>
      </c>
      <c r="AD589" s="31" t="n">
        <f aca="false">Summary!$C$5+SUM(X$2:X589)</f>
        <v>15138.07</v>
      </c>
      <c r="AE589" s="31" t="n">
        <f aca="false">MAX(AE588,AD589)</f>
        <v>15756.64</v>
      </c>
      <c r="AF589" s="31" t="n">
        <f aca="false">AE589-AD589</f>
        <v>618.57</v>
      </c>
      <c r="AG589" s="30" t="n">
        <f aca="false">IFERROR(AF589/AE589,0)</f>
        <v>0.0392577351516567</v>
      </c>
    </row>
    <row r="590" customFormat="false" ht="15" hidden="false" customHeight="false" outlineLevel="0" collapsed="false">
      <c r="A590" s="29" t="n">
        <v>589</v>
      </c>
      <c r="B590" s="44" t="n">
        <v>45491.7326388889</v>
      </c>
      <c r="C590" s="44" t="n">
        <v>45491.7346412037</v>
      </c>
      <c r="D590" s="43" t="n">
        <f aca="false">INT(C590)</f>
        <v>45491</v>
      </c>
      <c r="E590" s="43" t="n">
        <f aca="false">D590-WEEKDAY(D590,3)</f>
        <v>45488</v>
      </c>
      <c r="F590" s="29" t="s">
        <v>171</v>
      </c>
      <c r="G590" s="29" t="n">
        <v>2024</v>
      </c>
      <c r="H590" s="29" t="s">
        <v>253</v>
      </c>
      <c r="I590" s="29" t="n">
        <v>17</v>
      </c>
      <c r="J590" s="29" t="s">
        <v>250</v>
      </c>
      <c r="K590" s="29" t="s">
        <v>251</v>
      </c>
      <c r="L590" s="29" t="n">
        <v>0.03</v>
      </c>
      <c r="M590" s="32" t="n">
        <v>19770.13</v>
      </c>
      <c r="N590" s="32" t="n">
        <v>19794.04</v>
      </c>
      <c r="O590" s="32" t="n">
        <v>19711.54</v>
      </c>
      <c r="P590" s="45" t="n">
        <f aca="false">ABS(M590-N590)</f>
        <v>23.9099999999999</v>
      </c>
      <c r="Q590" s="45" t="n">
        <f aca="false">IF(O590="","",ABS(O590-M590))</f>
        <v>58.5900000000001</v>
      </c>
      <c r="R590" s="31" t="n">
        <f aca="false">P590*L590*Summary!$C$6</f>
        <v>71.7299999999996</v>
      </c>
      <c r="S590" s="32" t="n">
        <v>19770.7</v>
      </c>
      <c r="T590" s="29" t="s">
        <v>255</v>
      </c>
      <c r="U590" s="45" t="n">
        <f aca="false">IF(J590="BUY",S590-M590,M590-S590)</f>
        <v>-0.569999999999709</v>
      </c>
      <c r="V590" s="46" t="n">
        <v>0</v>
      </c>
      <c r="W590" s="46" t="n">
        <v>0</v>
      </c>
      <c r="X590" s="46" t="n">
        <v>-1.71</v>
      </c>
      <c r="Y590" s="33" t="n">
        <f aca="false">IFERROR(X590/R590,0)</f>
        <v>-0.0238393977415309</v>
      </c>
      <c r="Z590" s="29" t="str">
        <f aca="false">IF(X590&gt;0,"Win",IF(X590&lt;0,"Loss","Flat"))</f>
        <v>Loss</v>
      </c>
      <c r="AA590" s="29" t="n">
        <f aca="false">ROUND((C590-B590)*1440,1)</f>
        <v>2.9</v>
      </c>
      <c r="AB590" s="29" t="str">
        <f aca="false">IF(AA590&lt;1,"a) &lt;1 min",IF(AA590&lt;10,"b) 1-10 min",IF(AA590&lt;60,"c) 10-60 min",IF(AA590&lt;240,"d) 1-4 h","e) 4 h+"))))</f>
        <v>b) 1-10 min</v>
      </c>
      <c r="AC590" s="29" t="str">
        <f aca="false">IF(P590&lt;10,"a) &lt;10",IF(P590&lt;20,"b) 10-20",IF(P590&lt;40,"c) 20-40",IF(P590&lt;80,"d) 40-80","e) 80+"))))</f>
        <v>c) 20-40</v>
      </c>
      <c r="AD590" s="31" t="n">
        <f aca="false">Summary!$C$5+SUM(X$2:X590)</f>
        <v>15136.36</v>
      </c>
      <c r="AE590" s="31" t="n">
        <f aca="false">MAX(AE589,AD590)</f>
        <v>15756.64</v>
      </c>
      <c r="AF590" s="31" t="n">
        <f aca="false">AE590-AD590</f>
        <v>620.279999999999</v>
      </c>
      <c r="AG590" s="30" t="n">
        <f aca="false">IFERROR(AF590/AE590,0)</f>
        <v>0.0393662608271814</v>
      </c>
    </row>
    <row r="591" customFormat="false" ht="15" hidden="false" customHeight="false" outlineLevel="0" collapsed="false">
      <c r="A591" s="29" t="n">
        <v>590</v>
      </c>
      <c r="B591" s="44" t="n">
        <v>45492.7708333333</v>
      </c>
      <c r="C591" s="44" t="n">
        <v>45492.7833449074</v>
      </c>
      <c r="D591" s="43" t="n">
        <f aca="false">INT(C591)</f>
        <v>45492</v>
      </c>
      <c r="E591" s="43" t="n">
        <f aca="false">D591-WEEKDAY(D591,3)</f>
        <v>45488</v>
      </c>
      <c r="F591" s="29" t="s">
        <v>171</v>
      </c>
      <c r="G591" s="29" t="n">
        <v>2024</v>
      </c>
      <c r="H591" s="29" t="s">
        <v>254</v>
      </c>
      <c r="I591" s="29" t="n">
        <v>18</v>
      </c>
      <c r="J591" s="29" t="s">
        <v>250</v>
      </c>
      <c r="K591" s="29" t="s">
        <v>251</v>
      </c>
      <c r="L591" s="29" t="n">
        <v>0.03</v>
      </c>
      <c r="M591" s="32" t="n">
        <v>19568.8</v>
      </c>
      <c r="N591" s="32" t="n">
        <v>19586.47</v>
      </c>
      <c r="O591" s="32" t="n">
        <v>19525.51</v>
      </c>
      <c r="P591" s="45" t="n">
        <f aca="false">ABS(M591-N591)</f>
        <v>17.6700000000019</v>
      </c>
      <c r="Q591" s="45" t="n">
        <f aca="false">IF(O591="","",ABS(O591-M591))</f>
        <v>43.2900000000009</v>
      </c>
      <c r="R591" s="31" t="n">
        <f aca="false">P591*L591*Summary!$C$6</f>
        <v>53.0100000000057</v>
      </c>
      <c r="S591" s="32" t="n">
        <v>19569.17</v>
      </c>
      <c r="T591" s="29" t="s">
        <v>255</v>
      </c>
      <c r="U591" s="45" t="n">
        <f aca="false">IF(J591="BUY",S591-M591,M591-S591)</f>
        <v>-0.369999999998981</v>
      </c>
      <c r="V591" s="46" t="n">
        <v>0</v>
      </c>
      <c r="W591" s="46" t="n">
        <v>0</v>
      </c>
      <c r="X591" s="46" t="n">
        <v>-1.11</v>
      </c>
      <c r="Y591" s="33" t="n">
        <f aca="false">IFERROR(X591/R591,0)</f>
        <v>-0.0209394453876605</v>
      </c>
      <c r="Z591" s="29" t="str">
        <f aca="false">IF(X591&gt;0,"Win",IF(X591&lt;0,"Loss","Flat"))</f>
        <v>Loss</v>
      </c>
      <c r="AA591" s="29" t="n">
        <f aca="false">ROUND((C591-B591)*1440,1)</f>
        <v>18</v>
      </c>
      <c r="AB591" s="29" t="str">
        <f aca="false">IF(AA591&lt;1,"a) &lt;1 min",IF(AA591&lt;10,"b) 1-10 min",IF(AA591&lt;60,"c) 10-60 min",IF(AA591&lt;240,"d) 1-4 h","e) 4 h+"))))</f>
        <v>c) 10-60 min</v>
      </c>
      <c r="AC591" s="29" t="str">
        <f aca="false">IF(P591&lt;10,"a) &lt;10",IF(P591&lt;20,"b) 10-20",IF(P591&lt;40,"c) 20-40",IF(P591&lt;80,"d) 40-80","e) 80+"))))</f>
        <v>b) 10-20</v>
      </c>
      <c r="AD591" s="31" t="n">
        <f aca="false">Summary!$C$5+SUM(X$2:X591)</f>
        <v>15135.25</v>
      </c>
      <c r="AE591" s="31" t="n">
        <f aca="false">MAX(AE590,AD591)</f>
        <v>15756.64</v>
      </c>
      <c r="AF591" s="31" t="n">
        <f aca="false">AE591-AD591</f>
        <v>621.389999999999</v>
      </c>
      <c r="AG591" s="30" t="n">
        <f aca="false">IFERROR(AF591/AE591,0)</f>
        <v>0.0394367073183115</v>
      </c>
    </row>
    <row r="592" customFormat="false" ht="15" hidden="false" customHeight="false" outlineLevel="0" collapsed="false">
      <c r="A592" s="29" t="n">
        <v>591</v>
      </c>
      <c r="B592" s="44" t="n">
        <v>45495.69375</v>
      </c>
      <c r="C592" s="44" t="n">
        <v>45495.694375</v>
      </c>
      <c r="D592" s="43" t="n">
        <f aca="false">INT(C592)</f>
        <v>45495</v>
      </c>
      <c r="E592" s="43" t="n">
        <f aca="false">D592-WEEKDAY(D592,3)</f>
        <v>45495</v>
      </c>
      <c r="F592" s="29" t="s">
        <v>171</v>
      </c>
      <c r="G592" s="29" t="n">
        <v>2024</v>
      </c>
      <c r="H592" s="29" t="s">
        <v>245</v>
      </c>
      <c r="I592" s="29" t="n">
        <v>16</v>
      </c>
      <c r="J592" s="29" t="s">
        <v>246</v>
      </c>
      <c r="K592" s="29" t="s">
        <v>247</v>
      </c>
      <c r="L592" s="29" t="n">
        <v>0.03</v>
      </c>
      <c r="M592" s="32" t="n">
        <v>19797.3</v>
      </c>
      <c r="N592" s="32" t="n">
        <v>19772.92</v>
      </c>
      <c r="O592" s="32" t="n">
        <v>19857.02</v>
      </c>
      <c r="P592" s="45" t="n">
        <f aca="false">ABS(M592-N592)</f>
        <v>24.380000000001</v>
      </c>
      <c r="Q592" s="45" t="n">
        <f aca="false">IF(O592="","",ABS(O592-M592))</f>
        <v>59.7200000000012</v>
      </c>
      <c r="R592" s="31" t="n">
        <f aca="false">P592*L592*Summary!$C$6</f>
        <v>73.1400000000031</v>
      </c>
      <c r="S592" s="32" t="n">
        <v>19771.92</v>
      </c>
      <c r="T592" s="29" t="s">
        <v>249</v>
      </c>
      <c r="U592" s="45" t="n">
        <f aca="false">IF(J592="BUY",S592-M592,M592-S592)</f>
        <v>-25.380000000001</v>
      </c>
      <c r="V592" s="46" t="n">
        <v>0</v>
      </c>
      <c r="W592" s="46" t="n">
        <v>0</v>
      </c>
      <c r="X592" s="46" t="n">
        <v>-76.14</v>
      </c>
      <c r="Y592" s="33" t="n">
        <f aca="false">IFERROR(X592/R592,0)</f>
        <v>-1.0410172272354</v>
      </c>
      <c r="Z592" s="29" t="str">
        <f aca="false">IF(X592&gt;0,"Win",IF(X592&lt;0,"Loss","Flat"))</f>
        <v>Loss</v>
      </c>
      <c r="AA592" s="29" t="n">
        <f aca="false">ROUND((C592-B592)*1440,1)</f>
        <v>0.9</v>
      </c>
      <c r="AB592" s="29" t="str">
        <f aca="false">IF(AA592&lt;1,"a) &lt;1 min",IF(AA592&lt;10,"b) 1-10 min",IF(AA592&lt;60,"c) 10-60 min",IF(AA592&lt;240,"d) 1-4 h","e) 4 h+"))))</f>
        <v>a) &lt;1 min</v>
      </c>
      <c r="AC592" s="29" t="str">
        <f aca="false">IF(P592&lt;10,"a) &lt;10",IF(P592&lt;20,"b) 10-20",IF(P592&lt;40,"c) 20-40",IF(P592&lt;80,"d) 40-80","e) 80+"))))</f>
        <v>c) 20-40</v>
      </c>
      <c r="AD592" s="31" t="n">
        <f aca="false">Summary!$C$5+SUM(X$2:X592)</f>
        <v>15059.11</v>
      </c>
      <c r="AE592" s="31" t="n">
        <f aca="false">MAX(AE591,AD592)</f>
        <v>15756.64</v>
      </c>
      <c r="AF592" s="31" t="n">
        <f aca="false">AE592-AD592</f>
        <v>697.529999999999</v>
      </c>
      <c r="AG592" s="30" t="n">
        <f aca="false">IFERROR(AF592/AE592,0)</f>
        <v>0.0442689558179916</v>
      </c>
    </row>
    <row r="593" customFormat="false" ht="15" hidden="false" customHeight="false" outlineLevel="0" collapsed="false">
      <c r="A593" s="29" t="n">
        <v>592</v>
      </c>
      <c r="B593" s="44" t="n">
        <v>45496.7236111111</v>
      </c>
      <c r="C593" s="44" t="n">
        <v>45496.7255671296</v>
      </c>
      <c r="D593" s="43" t="n">
        <f aca="false">INT(C593)</f>
        <v>45496</v>
      </c>
      <c r="E593" s="43" t="n">
        <f aca="false">D593-WEEKDAY(D593,3)</f>
        <v>45495</v>
      </c>
      <c r="F593" s="29" t="s">
        <v>171</v>
      </c>
      <c r="G593" s="29" t="n">
        <v>2024</v>
      </c>
      <c r="H593" s="29" t="s">
        <v>248</v>
      </c>
      <c r="I593" s="29" t="n">
        <v>17</v>
      </c>
      <c r="J593" s="29" t="s">
        <v>246</v>
      </c>
      <c r="K593" s="29" t="s">
        <v>247</v>
      </c>
      <c r="L593" s="29" t="n">
        <v>0.03</v>
      </c>
      <c r="M593" s="32" t="n">
        <v>19867.59</v>
      </c>
      <c r="N593" s="32" t="n">
        <v>19851.99</v>
      </c>
      <c r="O593" s="32" t="n">
        <v>19905.81</v>
      </c>
      <c r="P593" s="45" t="n">
        <f aca="false">ABS(M593-N593)</f>
        <v>15.5999999999985</v>
      </c>
      <c r="Q593" s="45" t="n">
        <f aca="false">IF(O593="","",ABS(O593-M593))</f>
        <v>38.2200000000012</v>
      </c>
      <c r="R593" s="31" t="n">
        <f aca="false">P593*L593*Summary!$C$6</f>
        <v>46.7999999999956</v>
      </c>
      <c r="S593" s="32" t="n">
        <v>19851.82</v>
      </c>
      <c r="T593" s="29" t="s">
        <v>249</v>
      </c>
      <c r="U593" s="45" t="n">
        <f aca="false">IF(J593="BUY",S593-M593,M593-S593)</f>
        <v>-15.7700000000004</v>
      </c>
      <c r="V593" s="46" t="n">
        <v>0</v>
      </c>
      <c r="W593" s="46" t="n">
        <v>0</v>
      </c>
      <c r="X593" s="46" t="n">
        <v>-47.31</v>
      </c>
      <c r="Y593" s="33" t="n">
        <f aca="false">IFERROR(X593/R593,0)</f>
        <v>-1.01089743589753</v>
      </c>
      <c r="Z593" s="29" t="str">
        <f aca="false">IF(X593&gt;0,"Win",IF(X593&lt;0,"Loss","Flat"))</f>
        <v>Loss</v>
      </c>
      <c r="AA593" s="29" t="n">
        <f aca="false">ROUND((C593-B593)*1440,1)</f>
        <v>2.8</v>
      </c>
      <c r="AB593" s="29" t="str">
        <f aca="false">IF(AA593&lt;1,"a) &lt;1 min",IF(AA593&lt;10,"b) 1-10 min",IF(AA593&lt;60,"c) 10-60 min",IF(AA593&lt;240,"d) 1-4 h","e) 4 h+"))))</f>
        <v>b) 1-10 min</v>
      </c>
      <c r="AC593" s="29" t="str">
        <f aca="false">IF(P593&lt;10,"a) &lt;10",IF(P593&lt;20,"b) 10-20",IF(P593&lt;40,"c) 20-40",IF(P593&lt;80,"d) 40-80","e) 80+"))))</f>
        <v>b) 10-20</v>
      </c>
      <c r="AD593" s="31" t="n">
        <f aca="false">Summary!$C$5+SUM(X$2:X593)</f>
        <v>15011.8</v>
      </c>
      <c r="AE593" s="31" t="n">
        <f aca="false">MAX(AE592,AD593)</f>
        <v>15756.64</v>
      </c>
      <c r="AF593" s="31" t="n">
        <f aca="false">AE593-AD593</f>
        <v>744.84</v>
      </c>
      <c r="AG593" s="30" t="n">
        <f aca="false">IFERROR(AF593/AE593,0)</f>
        <v>0.0472714995075092</v>
      </c>
    </row>
    <row r="594" customFormat="false" ht="15" hidden="false" customHeight="false" outlineLevel="0" collapsed="false">
      <c r="A594" s="29" t="n">
        <v>593</v>
      </c>
      <c r="B594" s="44" t="n">
        <v>45497.0465393519</v>
      </c>
      <c r="C594" s="44" t="n">
        <v>45497.0697453704</v>
      </c>
      <c r="D594" s="43" t="n">
        <f aca="false">INT(C594)</f>
        <v>45497</v>
      </c>
      <c r="E594" s="43" t="n">
        <f aca="false">D594-WEEKDAY(D594,3)</f>
        <v>45495</v>
      </c>
      <c r="F594" s="29" t="s">
        <v>171</v>
      </c>
      <c r="G594" s="29" t="n">
        <v>2024</v>
      </c>
      <c r="H594" s="29" t="s">
        <v>252</v>
      </c>
      <c r="I594" s="29" t="n">
        <v>1</v>
      </c>
      <c r="J594" s="29" t="s">
        <v>250</v>
      </c>
      <c r="K594" s="29" t="s">
        <v>251</v>
      </c>
      <c r="L594" s="29" t="n">
        <v>0.03</v>
      </c>
      <c r="M594" s="32" t="n">
        <v>19661.69</v>
      </c>
      <c r="N594" s="32" t="n">
        <v>19693.21</v>
      </c>
      <c r="O594" s="32" t="n">
        <v>19584.47</v>
      </c>
      <c r="P594" s="45" t="n">
        <f aca="false">ABS(M594-N594)</f>
        <v>31.5200000000004</v>
      </c>
      <c r="Q594" s="45" t="n">
        <f aca="false">IF(O594="","",ABS(O594-M594))</f>
        <v>77.2199999999975</v>
      </c>
      <c r="R594" s="31" t="n">
        <f aca="false">P594*L594*Summary!$C$6</f>
        <v>94.5600000000013</v>
      </c>
      <c r="S594" s="32" t="n">
        <v>19662.4</v>
      </c>
      <c r="T594" s="29" t="s">
        <v>255</v>
      </c>
      <c r="U594" s="45" t="n">
        <f aca="false">IF(J594="BUY",S594-M594,M594-S594)</f>
        <v>-0.710000000002765</v>
      </c>
      <c r="V594" s="46" t="n">
        <v>0</v>
      </c>
      <c r="W594" s="46" t="n">
        <v>0</v>
      </c>
      <c r="X594" s="46" t="n">
        <v>-2.13</v>
      </c>
      <c r="Y594" s="33" t="n">
        <f aca="false">IFERROR(X594/R594,0)</f>
        <v>-0.0225253807106596</v>
      </c>
      <c r="Z594" s="29" t="str">
        <f aca="false">IF(X594&gt;0,"Win",IF(X594&lt;0,"Loss","Flat"))</f>
        <v>Loss</v>
      </c>
      <c r="AA594" s="29" t="n">
        <f aca="false">ROUND((C594-B594)*1440,1)</f>
        <v>33.4</v>
      </c>
      <c r="AB594" s="29" t="str">
        <f aca="false">IF(AA594&lt;1,"a) &lt;1 min",IF(AA594&lt;10,"b) 1-10 min",IF(AA594&lt;60,"c) 10-60 min",IF(AA594&lt;240,"d) 1-4 h","e) 4 h+"))))</f>
        <v>c) 10-60 min</v>
      </c>
      <c r="AC594" s="29" t="str">
        <f aca="false">IF(P594&lt;10,"a) &lt;10",IF(P594&lt;20,"b) 10-20",IF(P594&lt;40,"c) 20-40",IF(P594&lt;80,"d) 40-80","e) 80+"))))</f>
        <v>c) 20-40</v>
      </c>
      <c r="AD594" s="31" t="n">
        <f aca="false">Summary!$C$5+SUM(X$2:X594)</f>
        <v>15009.67</v>
      </c>
      <c r="AE594" s="31" t="n">
        <f aca="false">MAX(AE593,AD594)</f>
        <v>15756.64</v>
      </c>
      <c r="AF594" s="31" t="n">
        <f aca="false">AE594-AD594</f>
        <v>746.969999999999</v>
      </c>
      <c r="AG594" s="30" t="n">
        <f aca="false">IFERROR(AF594/AE594,0)</f>
        <v>0.0474066806121102</v>
      </c>
    </row>
    <row r="595" customFormat="false" ht="15" hidden="false" customHeight="false" outlineLevel="0" collapsed="false">
      <c r="A595" s="29" t="n">
        <v>594</v>
      </c>
      <c r="B595" s="44" t="n">
        <v>45498.3826388889</v>
      </c>
      <c r="C595" s="44" t="n">
        <v>45498.3859953704</v>
      </c>
      <c r="D595" s="43" t="n">
        <f aca="false">INT(C595)</f>
        <v>45498</v>
      </c>
      <c r="E595" s="43" t="n">
        <f aca="false">D595-WEEKDAY(D595,3)</f>
        <v>45495</v>
      </c>
      <c r="F595" s="29" t="s">
        <v>171</v>
      </c>
      <c r="G595" s="29" t="n">
        <v>2024</v>
      </c>
      <c r="H595" s="29" t="s">
        <v>253</v>
      </c>
      <c r="I595" s="29" t="n">
        <v>9</v>
      </c>
      <c r="J595" s="29" t="s">
        <v>250</v>
      </c>
      <c r="K595" s="29" t="s">
        <v>251</v>
      </c>
      <c r="L595" s="29" t="n">
        <v>0.03</v>
      </c>
      <c r="M595" s="32" t="n">
        <v>19002.31</v>
      </c>
      <c r="N595" s="32" t="n">
        <v>19016.76</v>
      </c>
      <c r="O595" s="32" t="n">
        <v>18966.91</v>
      </c>
      <c r="P595" s="45" t="n">
        <f aca="false">ABS(M595-N595)</f>
        <v>14.4499999999971</v>
      </c>
      <c r="Q595" s="45" t="n">
        <f aca="false">IF(O595="","",ABS(O595-M595))</f>
        <v>35.4000000000015</v>
      </c>
      <c r="R595" s="31" t="n">
        <f aca="false">P595*L595*Summary!$C$6</f>
        <v>43.3499999999913</v>
      </c>
      <c r="S595" s="32" t="n">
        <v>19016.76</v>
      </c>
      <c r="T595" s="29" t="s">
        <v>249</v>
      </c>
      <c r="U595" s="45" t="n">
        <f aca="false">IF(J595="BUY",S595-M595,M595-S595)</f>
        <v>-14.4499999999971</v>
      </c>
      <c r="V595" s="46" t="n">
        <v>0</v>
      </c>
      <c r="W595" s="46" t="n">
        <v>0</v>
      </c>
      <c r="X595" s="46" t="n">
        <v>-43.35</v>
      </c>
      <c r="Y595" s="33" t="n">
        <f aca="false">IFERROR(X595/R595,0)</f>
        <v>-1.0000000000002</v>
      </c>
      <c r="Z595" s="29" t="str">
        <f aca="false">IF(X595&gt;0,"Win",IF(X595&lt;0,"Loss","Flat"))</f>
        <v>Loss</v>
      </c>
      <c r="AA595" s="29" t="n">
        <f aca="false">ROUND((C595-B595)*1440,1)</f>
        <v>4.8</v>
      </c>
      <c r="AB595" s="29" t="str">
        <f aca="false">IF(AA595&lt;1,"a) &lt;1 min",IF(AA595&lt;10,"b) 1-10 min",IF(AA595&lt;60,"c) 10-60 min",IF(AA595&lt;240,"d) 1-4 h","e) 4 h+"))))</f>
        <v>b) 1-10 min</v>
      </c>
      <c r="AC595" s="29" t="str">
        <f aca="false">IF(P595&lt;10,"a) &lt;10",IF(P595&lt;20,"b) 10-20",IF(P595&lt;40,"c) 20-40",IF(P595&lt;80,"d) 40-80","e) 80+"))))</f>
        <v>b) 10-20</v>
      </c>
      <c r="AD595" s="31" t="n">
        <f aca="false">Summary!$C$5+SUM(X$2:X595)</f>
        <v>14966.32</v>
      </c>
      <c r="AE595" s="31" t="n">
        <f aca="false">MAX(AE594,AD595)</f>
        <v>15756.64</v>
      </c>
      <c r="AF595" s="31" t="n">
        <f aca="false">AE595-AD595</f>
        <v>790.32</v>
      </c>
      <c r="AG595" s="30" t="n">
        <f aca="false">IFERROR(AF595/AE595,0)</f>
        <v>0.0501579016846231</v>
      </c>
    </row>
    <row r="596" customFormat="false" ht="15" hidden="false" customHeight="false" outlineLevel="0" collapsed="false">
      <c r="A596" s="29" t="n">
        <v>595</v>
      </c>
      <c r="B596" s="44" t="n">
        <v>45502.1541666667</v>
      </c>
      <c r="C596" s="44" t="n">
        <v>45502.1615625</v>
      </c>
      <c r="D596" s="43" t="n">
        <f aca="false">INT(C596)</f>
        <v>45502</v>
      </c>
      <c r="E596" s="43" t="n">
        <f aca="false">D596-WEEKDAY(D596,3)</f>
        <v>45502</v>
      </c>
      <c r="F596" s="29" t="s">
        <v>171</v>
      </c>
      <c r="G596" s="29" t="n">
        <v>2024</v>
      </c>
      <c r="H596" s="29" t="s">
        <v>245</v>
      </c>
      <c r="I596" s="29" t="n">
        <v>3</v>
      </c>
      <c r="J596" s="29" t="s">
        <v>246</v>
      </c>
      <c r="K596" s="29" t="s">
        <v>247</v>
      </c>
      <c r="L596" s="29" t="n">
        <v>0.03</v>
      </c>
      <c r="M596" s="32" t="n">
        <v>19147.14</v>
      </c>
      <c r="N596" s="32" t="n">
        <v>19140.32</v>
      </c>
      <c r="O596" s="32" t="n">
        <v>19163.85</v>
      </c>
      <c r="P596" s="45" t="n">
        <f aca="false">ABS(M596-N596)</f>
        <v>6.81999999999971</v>
      </c>
      <c r="Q596" s="45" t="n">
        <f aca="false">IF(O596="","",ABS(O596-M596))</f>
        <v>16.7099999999991</v>
      </c>
      <c r="R596" s="31" t="n">
        <f aca="false">P596*L596*Summary!$C$6</f>
        <v>20.4599999999991</v>
      </c>
      <c r="S596" s="32" t="n">
        <v>19164.44</v>
      </c>
      <c r="T596" s="29" t="s">
        <v>227</v>
      </c>
      <c r="U596" s="45" t="n">
        <f aca="false">IF(J596="BUY",S596-M596,M596-S596)</f>
        <v>17.2999999999993</v>
      </c>
      <c r="V596" s="46" t="n">
        <v>0</v>
      </c>
      <c r="W596" s="46" t="n">
        <v>0</v>
      </c>
      <c r="X596" s="46" t="n">
        <v>51.9</v>
      </c>
      <c r="Y596" s="33" t="n">
        <f aca="false">IFERROR(X596/R596,0)</f>
        <v>2.53665689149571</v>
      </c>
      <c r="Z596" s="29" t="str">
        <f aca="false">IF(X596&gt;0,"Win",IF(X596&lt;0,"Loss","Flat"))</f>
        <v>Win</v>
      </c>
      <c r="AA596" s="29" t="n">
        <f aca="false">ROUND((C596-B596)*1440,1)</f>
        <v>10.7</v>
      </c>
      <c r="AB596" s="29" t="str">
        <f aca="false">IF(AA596&lt;1,"a) &lt;1 min",IF(AA596&lt;10,"b) 1-10 min",IF(AA596&lt;60,"c) 10-60 min",IF(AA596&lt;240,"d) 1-4 h","e) 4 h+"))))</f>
        <v>c) 10-60 min</v>
      </c>
      <c r="AC596" s="29" t="str">
        <f aca="false">IF(P596&lt;10,"a) &lt;10",IF(P596&lt;20,"b) 10-20",IF(P596&lt;40,"c) 20-40",IF(P596&lt;80,"d) 40-80","e) 80+"))))</f>
        <v>a) &lt;10</v>
      </c>
      <c r="AD596" s="31" t="n">
        <f aca="false">Summary!$C$5+SUM(X$2:X596)</f>
        <v>15018.22</v>
      </c>
      <c r="AE596" s="31" t="n">
        <f aca="false">MAX(AE595,AD596)</f>
        <v>15756.64</v>
      </c>
      <c r="AF596" s="31" t="n">
        <f aca="false">AE596-AD596</f>
        <v>738.419999999998</v>
      </c>
      <c r="AG596" s="30" t="n">
        <f aca="false">IFERROR(AF596/AE596,0)</f>
        <v>0.0468640522344864</v>
      </c>
    </row>
    <row r="597" customFormat="false" ht="15" hidden="false" customHeight="false" outlineLevel="0" collapsed="false">
      <c r="A597" s="29" t="n">
        <v>596</v>
      </c>
      <c r="B597" s="44" t="n">
        <v>45503.1923611111</v>
      </c>
      <c r="C597" s="44" t="n">
        <v>45503.1946759259</v>
      </c>
      <c r="D597" s="43" t="n">
        <f aca="false">INT(C597)</f>
        <v>45503</v>
      </c>
      <c r="E597" s="43" t="n">
        <f aca="false">D597-WEEKDAY(D597,3)</f>
        <v>45502</v>
      </c>
      <c r="F597" s="29" t="s">
        <v>171</v>
      </c>
      <c r="G597" s="29" t="n">
        <v>2024</v>
      </c>
      <c r="H597" s="29" t="s">
        <v>248</v>
      </c>
      <c r="I597" s="29" t="n">
        <v>4</v>
      </c>
      <c r="J597" s="29" t="s">
        <v>250</v>
      </c>
      <c r="K597" s="29" t="s">
        <v>251</v>
      </c>
      <c r="L597" s="29" t="n">
        <v>0.03</v>
      </c>
      <c r="M597" s="32" t="n">
        <v>18954.91</v>
      </c>
      <c r="N597" s="32" t="n">
        <v>18966.68</v>
      </c>
      <c r="O597" s="32" t="n">
        <v>18926.07</v>
      </c>
      <c r="P597" s="45" t="n">
        <f aca="false">ABS(M597-N597)</f>
        <v>11.7700000000004</v>
      </c>
      <c r="Q597" s="45" t="n">
        <f aca="false">IF(O597="","",ABS(O597-M597))</f>
        <v>28.8400000000001</v>
      </c>
      <c r="R597" s="31" t="n">
        <f aca="false">P597*L597*Summary!$C$6</f>
        <v>35.3100000000013</v>
      </c>
      <c r="S597" s="32" t="n">
        <v>18967.2</v>
      </c>
      <c r="T597" s="29" t="s">
        <v>249</v>
      </c>
      <c r="U597" s="45" t="n">
        <f aca="false">IF(J597="BUY",S597-M597,M597-S597)</f>
        <v>-12.2900000000009</v>
      </c>
      <c r="V597" s="46" t="n">
        <v>0</v>
      </c>
      <c r="W597" s="46" t="n">
        <v>0</v>
      </c>
      <c r="X597" s="46" t="n">
        <v>-36.87</v>
      </c>
      <c r="Y597" s="33" t="n">
        <f aca="false">IFERROR(X597/R597,0)</f>
        <v>-1.04418011894644</v>
      </c>
      <c r="Z597" s="29" t="str">
        <f aca="false">IF(X597&gt;0,"Win",IF(X597&lt;0,"Loss","Flat"))</f>
        <v>Loss</v>
      </c>
      <c r="AA597" s="29" t="n">
        <f aca="false">ROUND((C597-B597)*1440,1)</f>
        <v>3.3</v>
      </c>
      <c r="AB597" s="29" t="str">
        <f aca="false">IF(AA597&lt;1,"a) &lt;1 min",IF(AA597&lt;10,"b) 1-10 min",IF(AA597&lt;60,"c) 10-60 min",IF(AA597&lt;240,"d) 1-4 h","e) 4 h+"))))</f>
        <v>b) 1-10 min</v>
      </c>
      <c r="AC597" s="29" t="str">
        <f aca="false">IF(P597&lt;10,"a) &lt;10",IF(P597&lt;20,"b) 10-20",IF(P597&lt;40,"c) 20-40",IF(P597&lt;80,"d) 40-80","e) 80+"))))</f>
        <v>b) 10-20</v>
      </c>
      <c r="AD597" s="31" t="n">
        <f aca="false">Summary!$C$5+SUM(X$2:X597)</f>
        <v>14981.35</v>
      </c>
      <c r="AE597" s="31" t="n">
        <f aca="false">MAX(AE596,AD597)</f>
        <v>15756.64</v>
      </c>
      <c r="AF597" s="31" t="n">
        <f aca="false">AE597-AD597</f>
        <v>775.289999999999</v>
      </c>
      <c r="AG597" s="30" t="n">
        <f aca="false">IFERROR(AF597/AE597,0)</f>
        <v>0.0492040181155373</v>
      </c>
    </row>
    <row r="598" customFormat="false" ht="15" hidden="false" customHeight="false" outlineLevel="0" collapsed="false">
      <c r="A598" s="29" t="n">
        <v>597</v>
      </c>
      <c r="B598" s="44" t="n">
        <v>45504.6486111111</v>
      </c>
      <c r="C598" s="44" t="n">
        <v>45504.6506828704</v>
      </c>
      <c r="D598" s="43" t="n">
        <f aca="false">INT(C598)</f>
        <v>45504</v>
      </c>
      <c r="E598" s="43" t="n">
        <f aca="false">D598-WEEKDAY(D598,3)</f>
        <v>45502</v>
      </c>
      <c r="F598" s="29" t="s">
        <v>171</v>
      </c>
      <c r="G598" s="29" t="n">
        <v>2024</v>
      </c>
      <c r="H598" s="29" t="s">
        <v>252</v>
      </c>
      <c r="I598" s="29" t="n">
        <v>15</v>
      </c>
      <c r="J598" s="29" t="s">
        <v>246</v>
      </c>
      <c r="K598" s="29" t="s">
        <v>247</v>
      </c>
      <c r="L598" s="29" t="n">
        <v>0.03</v>
      </c>
      <c r="M598" s="32" t="n">
        <v>19176.24</v>
      </c>
      <c r="N598" s="32" t="n">
        <v>19161.32</v>
      </c>
      <c r="O598" s="32" t="n">
        <v>19212.79</v>
      </c>
      <c r="P598" s="45" t="n">
        <f aca="false">ABS(M598-N598)</f>
        <v>14.9200000000019</v>
      </c>
      <c r="Q598" s="45" t="n">
        <f aca="false">IF(O598="","",ABS(O598-M598))</f>
        <v>36.5499999999993</v>
      </c>
      <c r="R598" s="31" t="n">
        <f aca="false">P598*L598*Summary!$C$6</f>
        <v>44.7600000000057</v>
      </c>
      <c r="S598" s="32" t="n">
        <v>19161.23</v>
      </c>
      <c r="T598" s="29" t="s">
        <v>249</v>
      </c>
      <c r="U598" s="45" t="n">
        <f aca="false">IF(J598="BUY",S598-M598,M598-S598)</f>
        <v>-15.010000000002</v>
      </c>
      <c r="V598" s="46" t="n">
        <v>0</v>
      </c>
      <c r="W598" s="46" t="n">
        <v>0</v>
      </c>
      <c r="X598" s="46" t="n">
        <v>-45.03</v>
      </c>
      <c r="Y598" s="33" t="n">
        <f aca="false">IFERROR(X598/R598,0)</f>
        <v>-1.00603217158164</v>
      </c>
      <c r="Z598" s="29" t="str">
        <f aca="false">IF(X598&gt;0,"Win",IF(X598&lt;0,"Loss","Flat"))</f>
        <v>Loss</v>
      </c>
      <c r="AA598" s="29" t="n">
        <f aca="false">ROUND((C598-B598)*1440,1)</f>
        <v>3</v>
      </c>
      <c r="AB598" s="29" t="str">
        <f aca="false">IF(AA598&lt;1,"a) &lt;1 min",IF(AA598&lt;10,"b) 1-10 min",IF(AA598&lt;60,"c) 10-60 min",IF(AA598&lt;240,"d) 1-4 h","e) 4 h+"))))</f>
        <v>b) 1-10 min</v>
      </c>
      <c r="AC598" s="29" t="str">
        <f aca="false">IF(P598&lt;10,"a) &lt;10",IF(P598&lt;20,"b) 10-20",IF(P598&lt;40,"c) 20-40",IF(P598&lt;80,"d) 40-80","e) 80+"))))</f>
        <v>b) 10-20</v>
      </c>
      <c r="AD598" s="31" t="n">
        <f aca="false">Summary!$C$5+SUM(X$2:X598)</f>
        <v>14936.32</v>
      </c>
      <c r="AE598" s="31" t="n">
        <f aca="false">MAX(AE597,AD598)</f>
        <v>15756.64</v>
      </c>
      <c r="AF598" s="31" t="n">
        <f aca="false">AE598-AD598</f>
        <v>820.32</v>
      </c>
      <c r="AG598" s="30" t="n">
        <f aca="false">IFERROR(AF598/AE598,0)</f>
        <v>0.0520618609043552</v>
      </c>
    </row>
    <row r="599" customFormat="false" ht="15" hidden="false" customHeight="false" outlineLevel="0" collapsed="false">
      <c r="A599" s="29" t="n">
        <v>598</v>
      </c>
      <c r="B599" s="44" t="n">
        <v>45505.0909722222</v>
      </c>
      <c r="C599" s="44" t="n">
        <v>45505.0944212963</v>
      </c>
      <c r="D599" s="43" t="n">
        <f aca="false">INT(C599)</f>
        <v>45505</v>
      </c>
      <c r="E599" s="43" t="n">
        <f aca="false">D599-WEEKDAY(D599,3)</f>
        <v>45502</v>
      </c>
      <c r="F599" s="29" t="s">
        <v>172</v>
      </c>
      <c r="G599" s="29" t="n">
        <v>2024</v>
      </c>
      <c r="H599" s="29" t="s">
        <v>253</v>
      </c>
      <c r="I599" s="29" t="n">
        <v>2</v>
      </c>
      <c r="J599" s="29" t="s">
        <v>246</v>
      </c>
      <c r="K599" s="29" t="s">
        <v>247</v>
      </c>
      <c r="L599" s="29" t="n">
        <v>0.03</v>
      </c>
      <c r="M599" s="32" t="n">
        <v>19501.67</v>
      </c>
      <c r="N599" s="32" t="n">
        <v>19495.44</v>
      </c>
      <c r="O599" s="32" t="n">
        <v>19516.94</v>
      </c>
      <c r="P599" s="45" t="n">
        <f aca="false">ABS(M599-N599)</f>
        <v>6.22999999999956</v>
      </c>
      <c r="Q599" s="45" t="n">
        <f aca="false">IF(O599="","",ABS(O599-M599))</f>
        <v>15.2700000000004</v>
      </c>
      <c r="R599" s="31" t="n">
        <f aca="false">P599*L599*Summary!$C$6</f>
        <v>18.6899999999987</v>
      </c>
      <c r="S599" s="32" t="n">
        <v>19517.29</v>
      </c>
      <c r="T599" s="29" t="s">
        <v>227</v>
      </c>
      <c r="U599" s="45" t="n">
        <f aca="false">IF(J599="BUY",S599-M599,M599-S599)</f>
        <v>15.6200000000026</v>
      </c>
      <c r="V599" s="46" t="n">
        <v>0</v>
      </c>
      <c r="W599" s="46" t="n">
        <v>0</v>
      </c>
      <c r="X599" s="46" t="n">
        <v>46.86</v>
      </c>
      <c r="Y599" s="33" t="n">
        <f aca="false">IFERROR(X599/R599,0)</f>
        <v>2.50722311396486</v>
      </c>
      <c r="Z599" s="29" t="str">
        <f aca="false">IF(X599&gt;0,"Win",IF(X599&lt;0,"Loss","Flat"))</f>
        <v>Win</v>
      </c>
      <c r="AA599" s="29" t="n">
        <f aca="false">ROUND((C599-B599)*1440,1)</f>
        <v>5</v>
      </c>
      <c r="AB599" s="29" t="str">
        <f aca="false">IF(AA599&lt;1,"a) &lt;1 min",IF(AA599&lt;10,"b) 1-10 min",IF(AA599&lt;60,"c) 10-60 min",IF(AA599&lt;240,"d) 1-4 h","e) 4 h+"))))</f>
        <v>b) 1-10 min</v>
      </c>
      <c r="AC599" s="29" t="str">
        <f aca="false">IF(P599&lt;10,"a) &lt;10",IF(P599&lt;20,"b) 10-20",IF(P599&lt;40,"c) 20-40",IF(P599&lt;80,"d) 40-80","e) 80+"))))</f>
        <v>a) &lt;10</v>
      </c>
      <c r="AD599" s="31" t="n">
        <f aca="false">Summary!$C$5+SUM(X$2:X599)</f>
        <v>14983.18</v>
      </c>
      <c r="AE599" s="31" t="n">
        <f aca="false">MAX(AE598,AD599)</f>
        <v>15756.64</v>
      </c>
      <c r="AF599" s="31" t="n">
        <f aca="false">AE599-AD599</f>
        <v>773.459999999999</v>
      </c>
      <c r="AG599" s="30" t="n">
        <f aca="false">IFERROR(AF599/AE599,0)</f>
        <v>0.0490878766031336</v>
      </c>
    </row>
    <row r="600" customFormat="false" ht="15" hidden="false" customHeight="false" outlineLevel="0" collapsed="false">
      <c r="A600" s="29" t="n">
        <v>599</v>
      </c>
      <c r="B600" s="44" t="n">
        <v>45506.0805555556</v>
      </c>
      <c r="C600" s="44" t="n">
        <v>45506.0819328704</v>
      </c>
      <c r="D600" s="43" t="n">
        <f aca="false">INT(C600)</f>
        <v>45506</v>
      </c>
      <c r="E600" s="43" t="n">
        <f aca="false">D600-WEEKDAY(D600,3)</f>
        <v>45502</v>
      </c>
      <c r="F600" s="29" t="s">
        <v>172</v>
      </c>
      <c r="G600" s="29" t="n">
        <v>2024</v>
      </c>
      <c r="H600" s="29" t="s">
        <v>254</v>
      </c>
      <c r="I600" s="29" t="n">
        <v>1</v>
      </c>
      <c r="J600" s="29" t="s">
        <v>250</v>
      </c>
      <c r="K600" s="29" t="s">
        <v>251</v>
      </c>
      <c r="L600" s="29" t="n">
        <v>0.03</v>
      </c>
      <c r="M600" s="32" t="n">
        <v>18735.4</v>
      </c>
      <c r="N600" s="32" t="n">
        <v>18749.1</v>
      </c>
      <c r="O600" s="32" t="n">
        <v>18701.84</v>
      </c>
      <c r="P600" s="45" t="n">
        <f aca="false">ABS(M600-N600)</f>
        <v>13.6999999999971</v>
      </c>
      <c r="Q600" s="45" t="n">
        <f aca="false">IF(O600="","",ABS(O600-M600))</f>
        <v>33.5600000000013</v>
      </c>
      <c r="R600" s="31" t="n">
        <f aca="false">P600*L600*Summary!$C$6</f>
        <v>41.0999999999913</v>
      </c>
      <c r="S600" s="32" t="n">
        <v>18735.68</v>
      </c>
      <c r="T600" s="29" t="s">
        <v>255</v>
      </c>
      <c r="U600" s="45" t="n">
        <f aca="false">IF(J600="BUY",S600-M600,M600-S600)</f>
        <v>-0.279999999998836</v>
      </c>
      <c r="V600" s="46" t="n">
        <v>0</v>
      </c>
      <c r="W600" s="46" t="n">
        <v>0</v>
      </c>
      <c r="X600" s="46" t="n">
        <v>-0.84</v>
      </c>
      <c r="Y600" s="33" t="n">
        <f aca="false">IFERROR(X600/R600,0)</f>
        <v>-0.0204379562043839</v>
      </c>
      <c r="Z600" s="29" t="str">
        <f aca="false">IF(X600&gt;0,"Win",IF(X600&lt;0,"Loss","Flat"))</f>
        <v>Loss</v>
      </c>
      <c r="AA600" s="29" t="n">
        <f aca="false">ROUND((C600-B600)*1440,1)</f>
        <v>2</v>
      </c>
      <c r="AB600" s="29" t="str">
        <f aca="false">IF(AA600&lt;1,"a) &lt;1 min",IF(AA600&lt;10,"b) 1-10 min",IF(AA600&lt;60,"c) 10-60 min",IF(AA600&lt;240,"d) 1-4 h","e) 4 h+"))))</f>
        <v>b) 1-10 min</v>
      </c>
      <c r="AC600" s="29" t="str">
        <f aca="false">IF(P600&lt;10,"a) &lt;10",IF(P600&lt;20,"b) 10-20",IF(P600&lt;40,"c) 20-40",IF(P600&lt;80,"d) 40-80","e) 80+"))))</f>
        <v>b) 10-20</v>
      </c>
      <c r="AD600" s="31" t="n">
        <f aca="false">Summary!$C$5+SUM(X$2:X600)</f>
        <v>14982.34</v>
      </c>
      <c r="AE600" s="31" t="n">
        <f aca="false">MAX(AE599,AD600)</f>
        <v>15756.64</v>
      </c>
      <c r="AF600" s="31" t="n">
        <f aca="false">AE600-AD600</f>
        <v>774.299999999999</v>
      </c>
      <c r="AG600" s="30" t="n">
        <f aca="false">IFERROR(AF600/AE600,0)</f>
        <v>0.0491411874612861</v>
      </c>
    </row>
    <row r="601" customFormat="false" ht="15" hidden="false" customHeight="false" outlineLevel="0" collapsed="false">
      <c r="A601" s="29" t="n">
        <v>600</v>
      </c>
      <c r="B601" s="44" t="n">
        <v>45509.0465393519</v>
      </c>
      <c r="C601" s="44" t="n">
        <v>45509.0627662037</v>
      </c>
      <c r="D601" s="43" t="n">
        <f aca="false">INT(C601)</f>
        <v>45509</v>
      </c>
      <c r="E601" s="43" t="n">
        <f aca="false">D601-WEEKDAY(D601,3)</f>
        <v>45509</v>
      </c>
      <c r="F601" s="29" t="s">
        <v>172</v>
      </c>
      <c r="G601" s="29" t="n">
        <v>2024</v>
      </c>
      <c r="H601" s="29" t="s">
        <v>245</v>
      </c>
      <c r="I601" s="29" t="n">
        <v>1</v>
      </c>
      <c r="J601" s="29" t="s">
        <v>250</v>
      </c>
      <c r="K601" s="29" t="s">
        <v>251</v>
      </c>
      <c r="L601" s="29" t="n">
        <v>0.04</v>
      </c>
      <c r="M601" s="32" t="n">
        <v>18176.73</v>
      </c>
      <c r="N601" s="32" t="n">
        <v>18239.18</v>
      </c>
      <c r="O601" s="32" t="n">
        <v>18023.73</v>
      </c>
      <c r="P601" s="45" t="n">
        <f aca="false">ABS(M601-N601)</f>
        <v>62.4500000000007</v>
      </c>
      <c r="Q601" s="45" t="n">
        <f aca="false">IF(O601="","",ABS(O601-M601))</f>
        <v>153</v>
      </c>
      <c r="R601" s="31" t="n">
        <f aca="false">P601*L601*Summary!$C$6</f>
        <v>249.800000000003</v>
      </c>
      <c r="S601" s="32" t="n">
        <v>18240.18</v>
      </c>
      <c r="T601" s="29" t="s">
        <v>249</v>
      </c>
      <c r="U601" s="45" t="n">
        <f aca="false">IF(J601="BUY",S601-M601,M601-S601)</f>
        <v>-63.4500000000007</v>
      </c>
      <c r="V601" s="46" t="n">
        <v>0</v>
      </c>
      <c r="W601" s="46" t="n">
        <v>0</v>
      </c>
      <c r="X601" s="46" t="n">
        <v>-253.8</v>
      </c>
      <c r="Y601" s="33" t="n">
        <f aca="false">IFERROR(X601/R601,0)</f>
        <v>-1.01601281024819</v>
      </c>
      <c r="Z601" s="29" t="str">
        <f aca="false">IF(X601&gt;0,"Win",IF(X601&lt;0,"Loss","Flat"))</f>
        <v>Loss</v>
      </c>
      <c r="AA601" s="29" t="n">
        <f aca="false">ROUND((C601-B601)*1440,1)</f>
        <v>23.4</v>
      </c>
      <c r="AB601" s="29" t="str">
        <f aca="false">IF(AA601&lt;1,"a) &lt;1 min",IF(AA601&lt;10,"b) 1-10 min",IF(AA601&lt;60,"c) 10-60 min",IF(AA601&lt;240,"d) 1-4 h","e) 4 h+"))))</f>
        <v>c) 10-60 min</v>
      </c>
      <c r="AC601" s="29" t="str">
        <f aca="false">IF(P601&lt;10,"a) &lt;10",IF(P601&lt;20,"b) 10-20",IF(P601&lt;40,"c) 20-40",IF(P601&lt;80,"d) 40-80","e) 80+"))))</f>
        <v>d) 40-80</v>
      </c>
      <c r="AD601" s="31" t="n">
        <f aca="false">Summary!$C$5+SUM(X$2:X601)</f>
        <v>14728.54</v>
      </c>
      <c r="AE601" s="31" t="n">
        <f aca="false">MAX(AE600,AD601)</f>
        <v>15756.64</v>
      </c>
      <c r="AF601" s="31" t="n">
        <f aca="false">AE601-AD601</f>
        <v>1028.1</v>
      </c>
      <c r="AG601" s="30" t="n">
        <f aca="false">IFERROR(AF601/AE601,0)</f>
        <v>0.0652486824602199</v>
      </c>
    </row>
    <row r="602" customFormat="false" ht="15" hidden="false" customHeight="false" outlineLevel="0" collapsed="false">
      <c r="A602" s="29" t="n">
        <v>601</v>
      </c>
      <c r="B602" s="44" t="n">
        <v>45510.1743055556</v>
      </c>
      <c r="C602" s="44" t="n">
        <v>45510.1749074074</v>
      </c>
      <c r="D602" s="43" t="n">
        <f aca="false">INT(C602)</f>
        <v>45510</v>
      </c>
      <c r="E602" s="43" t="n">
        <f aca="false">D602-WEEKDAY(D602,3)</f>
        <v>45509</v>
      </c>
      <c r="F602" s="29" t="s">
        <v>172</v>
      </c>
      <c r="G602" s="29" t="n">
        <v>2024</v>
      </c>
      <c r="H602" s="29" t="s">
        <v>248</v>
      </c>
      <c r="I602" s="29" t="n">
        <v>4</v>
      </c>
      <c r="J602" s="29" t="s">
        <v>246</v>
      </c>
      <c r="K602" s="29" t="s">
        <v>247</v>
      </c>
      <c r="L602" s="29" t="n">
        <v>0.04</v>
      </c>
      <c r="M602" s="32" t="n">
        <v>18269.61</v>
      </c>
      <c r="N602" s="32" t="n">
        <v>18256.66</v>
      </c>
      <c r="O602" s="32" t="n">
        <v>18301.34</v>
      </c>
      <c r="P602" s="45" t="n">
        <f aca="false">ABS(M602-N602)</f>
        <v>12.9500000000007</v>
      </c>
      <c r="Q602" s="45" t="n">
        <f aca="false">IF(O602="","",ABS(O602-M602))</f>
        <v>31.7299999999996</v>
      </c>
      <c r="R602" s="31" t="n">
        <f aca="false">P602*L602*Summary!$C$6</f>
        <v>51.8000000000029</v>
      </c>
      <c r="S602" s="32" t="n">
        <v>18254.18</v>
      </c>
      <c r="T602" s="29" t="s">
        <v>249</v>
      </c>
      <c r="U602" s="45" t="n">
        <f aca="false">IF(J602="BUY",S602-M602,M602-S602)</f>
        <v>-15.4300000000003</v>
      </c>
      <c r="V602" s="46" t="n">
        <v>0</v>
      </c>
      <c r="W602" s="46" t="n">
        <v>0</v>
      </c>
      <c r="X602" s="46" t="n">
        <v>-61.72</v>
      </c>
      <c r="Y602" s="33" t="n">
        <f aca="false">IFERROR(X602/R602,0)</f>
        <v>-1.19150579150572</v>
      </c>
      <c r="Z602" s="29" t="str">
        <f aca="false">IF(X602&gt;0,"Win",IF(X602&lt;0,"Loss","Flat"))</f>
        <v>Loss</v>
      </c>
      <c r="AA602" s="29" t="n">
        <f aca="false">ROUND((C602-B602)*1440,1)</f>
        <v>0.9</v>
      </c>
      <c r="AB602" s="29" t="str">
        <f aca="false">IF(AA602&lt;1,"a) &lt;1 min",IF(AA602&lt;10,"b) 1-10 min",IF(AA602&lt;60,"c) 10-60 min",IF(AA602&lt;240,"d) 1-4 h","e) 4 h+"))))</f>
        <v>a) &lt;1 min</v>
      </c>
      <c r="AC602" s="29" t="str">
        <f aca="false">IF(P602&lt;10,"a) &lt;10",IF(P602&lt;20,"b) 10-20",IF(P602&lt;40,"c) 20-40",IF(P602&lt;80,"d) 40-80","e) 80+"))))</f>
        <v>b) 10-20</v>
      </c>
      <c r="AD602" s="31" t="n">
        <f aca="false">Summary!$C$5+SUM(X$2:X602)</f>
        <v>14666.82</v>
      </c>
      <c r="AE602" s="31" t="n">
        <f aca="false">MAX(AE601,AD602)</f>
        <v>15756.64</v>
      </c>
      <c r="AF602" s="31" t="n">
        <f aca="false">AE602-AD602</f>
        <v>1089.82</v>
      </c>
      <c r="AG602" s="30" t="n">
        <f aca="false">IFERROR(AF602/AE602,0)</f>
        <v>0.0691657612282822</v>
      </c>
    </row>
    <row r="603" customFormat="false" ht="15" hidden="false" customHeight="false" outlineLevel="0" collapsed="false">
      <c r="A603" s="29" t="n">
        <v>602</v>
      </c>
      <c r="B603" s="44" t="n">
        <v>45511.6881944445</v>
      </c>
      <c r="C603" s="44" t="n">
        <v>45511.6894097222</v>
      </c>
      <c r="D603" s="43" t="n">
        <f aca="false">INT(C603)</f>
        <v>45511</v>
      </c>
      <c r="E603" s="43" t="n">
        <f aca="false">D603-WEEKDAY(D603,3)</f>
        <v>45509</v>
      </c>
      <c r="F603" s="29" t="s">
        <v>172</v>
      </c>
      <c r="G603" s="29" t="n">
        <v>2024</v>
      </c>
      <c r="H603" s="29" t="s">
        <v>252</v>
      </c>
      <c r="I603" s="29" t="n">
        <v>16</v>
      </c>
      <c r="J603" s="29" t="s">
        <v>246</v>
      </c>
      <c r="K603" s="29" t="s">
        <v>247</v>
      </c>
      <c r="L603" s="29" t="n">
        <v>0.03</v>
      </c>
      <c r="M603" s="32" t="n">
        <v>18380.89</v>
      </c>
      <c r="N603" s="32" t="n">
        <v>18359.88</v>
      </c>
      <c r="O603" s="32" t="n">
        <v>18423.87</v>
      </c>
      <c r="P603" s="45" t="n">
        <f aca="false">ABS(M603-N603)</f>
        <v>21.0099999999984</v>
      </c>
      <c r="Q603" s="45" t="n">
        <f aca="false">IF(O603="","",ABS(O603-M603))</f>
        <v>42.9799999999996</v>
      </c>
      <c r="R603" s="31" t="n">
        <f aca="false">P603*L603*Summary!$C$6</f>
        <v>63.0299999999952</v>
      </c>
      <c r="S603" s="32" t="n">
        <v>18379.53</v>
      </c>
      <c r="T603" s="29" t="s">
        <v>255</v>
      </c>
      <c r="U603" s="45" t="n">
        <f aca="false">IF(J603="BUY",S603-M603,M603-S603)</f>
        <v>-1.36000000000058</v>
      </c>
      <c r="V603" s="46" t="n">
        <v>0</v>
      </c>
      <c r="W603" s="46" t="n">
        <v>0</v>
      </c>
      <c r="X603" s="46" t="n">
        <v>-4.08</v>
      </c>
      <c r="Y603" s="33" t="n">
        <f aca="false">IFERROR(X603/R603,0)</f>
        <v>-0.0647310804378917</v>
      </c>
      <c r="Z603" s="29" t="str">
        <f aca="false">IF(X603&gt;0,"Win",IF(X603&lt;0,"Loss","Flat"))</f>
        <v>Loss</v>
      </c>
      <c r="AA603" s="29" t="n">
        <f aca="false">ROUND((C603-B603)*1440,1)</f>
        <v>1.8</v>
      </c>
      <c r="AB603" s="29" t="str">
        <f aca="false">IF(AA603&lt;1,"a) &lt;1 min",IF(AA603&lt;10,"b) 1-10 min",IF(AA603&lt;60,"c) 10-60 min",IF(AA603&lt;240,"d) 1-4 h","e) 4 h+"))))</f>
        <v>b) 1-10 min</v>
      </c>
      <c r="AC603" s="29" t="str">
        <f aca="false">IF(P603&lt;10,"a) &lt;10",IF(P603&lt;20,"b) 10-20",IF(P603&lt;40,"c) 20-40",IF(P603&lt;80,"d) 40-80","e) 80+"))))</f>
        <v>c) 20-40</v>
      </c>
      <c r="AD603" s="31" t="n">
        <f aca="false">Summary!$C$5+SUM(X$2:X603)</f>
        <v>14662.74</v>
      </c>
      <c r="AE603" s="31" t="n">
        <f aca="false">MAX(AE602,AD603)</f>
        <v>15756.64</v>
      </c>
      <c r="AF603" s="31" t="n">
        <f aca="false">AE603-AD603</f>
        <v>1093.9</v>
      </c>
      <c r="AG603" s="30" t="n">
        <f aca="false">IFERROR(AF603/AE603,0)</f>
        <v>0.0694246996821657</v>
      </c>
    </row>
    <row r="604" customFormat="false" ht="15" hidden="false" customHeight="false" outlineLevel="0" collapsed="false">
      <c r="A604" s="29" t="n">
        <v>603</v>
      </c>
      <c r="B604" s="44" t="n">
        <v>45512.0464467593</v>
      </c>
      <c r="C604" s="44" t="n">
        <v>45512.0598958333</v>
      </c>
      <c r="D604" s="43" t="n">
        <f aca="false">INT(C604)</f>
        <v>45512</v>
      </c>
      <c r="E604" s="43" t="n">
        <f aca="false">D604-WEEKDAY(D604,3)</f>
        <v>45509</v>
      </c>
      <c r="F604" s="29" t="s">
        <v>172</v>
      </c>
      <c r="G604" s="29" t="n">
        <v>2024</v>
      </c>
      <c r="H604" s="29" t="s">
        <v>253</v>
      </c>
      <c r="I604" s="29" t="n">
        <v>1</v>
      </c>
      <c r="J604" s="29" t="s">
        <v>250</v>
      </c>
      <c r="K604" s="29" t="s">
        <v>251</v>
      </c>
      <c r="L604" s="29" t="n">
        <v>0.04</v>
      </c>
      <c r="M604" s="32" t="n">
        <v>17768.33</v>
      </c>
      <c r="N604" s="32" t="n">
        <v>17795.39</v>
      </c>
      <c r="O604" s="32" t="n">
        <v>17702.04</v>
      </c>
      <c r="P604" s="45" t="n">
        <f aca="false">ABS(M604-N604)</f>
        <v>27.0599999999977</v>
      </c>
      <c r="Q604" s="45" t="n">
        <f aca="false">IF(O604="","",ABS(O604-M604))</f>
        <v>66.2900000000009</v>
      </c>
      <c r="R604" s="31" t="n">
        <f aca="false">P604*L604*Summary!$C$6</f>
        <v>108.239999999991</v>
      </c>
      <c r="S604" s="32" t="n">
        <v>17796.63</v>
      </c>
      <c r="T604" s="29" t="s">
        <v>249</v>
      </c>
      <c r="U604" s="45" t="n">
        <f aca="false">IF(J604="BUY",S604-M604,M604-S604)</f>
        <v>-28.2999999999993</v>
      </c>
      <c r="V604" s="46" t="n">
        <v>0</v>
      </c>
      <c r="W604" s="46" t="n">
        <v>0</v>
      </c>
      <c r="X604" s="46" t="n">
        <v>-113.2</v>
      </c>
      <c r="Y604" s="33" t="n">
        <f aca="false">IFERROR(X604/R604,0)</f>
        <v>-1.04582409460467</v>
      </c>
      <c r="Z604" s="29" t="str">
        <f aca="false">IF(X604&gt;0,"Win",IF(X604&lt;0,"Loss","Flat"))</f>
        <v>Loss</v>
      </c>
      <c r="AA604" s="29" t="n">
        <f aca="false">ROUND((C604-B604)*1440,1)</f>
        <v>19.4</v>
      </c>
      <c r="AB604" s="29" t="str">
        <f aca="false">IF(AA604&lt;1,"a) &lt;1 min",IF(AA604&lt;10,"b) 1-10 min",IF(AA604&lt;60,"c) 10-60 min",IF(AA604&lt;240,"d) 1-4 h","e) 4 h+"))))</f>
        <v>c) 10-60 min</v>
      </c>
      <c r="AC604" s="29" t="str">
        <f aca="false">IF(P604&lt;10,"a) &lt;10",IF(P604&lt;20,"b) 10-20",IF(P604&lt;40,"c) 20-40",IF(P604&lt;80,"d) 40-80","e) 80+"))))</f>
        <v>c) 20-40</v>
      </c>
      <c r="AD604" s="31" t="n">
        <f aca="false">Summary!$C$5+SUM(X$2:X604)</f>
        <v>14549.54</v>
      </c>
      <c r="AE604" s="31" t="n">
        <f aca="false">MAX(AE603,AD604)</f>
        <v>15756.64</v>
      </c>
      <c r="AF604" s="31" t="n">
        <f aca="false">AE604-AD604</f>
        <v>1207.1</v>
      </c>
      <c r="AG604" s="30" t="n">
        <f aca="false">IFERROR(AF604/AE604,0)</f>
        <v>0.0766089724712882</v>
      </c>
    </row>
    <row r="605" customFormat="false" ht="15" hidden="false" customHeight="false" outlineLevel="0" collapsed="false">
      <c r="A605" s="29" t="n">
        <v>604</v>
      </c>
      <c r="B605" s="44" t="n">
        <v>45512.9590277778</v>
      </c>
      <c r="C605" s="44" t="n">
        <v>45512.9599768519</v>
      </c>
      <c r="D605" s="43" t="n">
        <f aca="false">INT(C605)</f>
        <v>45512</v>
      </c>
      <c r="E605" s="43" t="n">
        <f aca="false">D605-WEEKDAY(D605,3)</f>
        <v>45509</v>
      </c>
      <c r="F605" s="29" t="s">
        <v>172</v>
      </c>
      <c r="G605" s="29" t="n">
        <v>2024</v>
      </c>
      <c r="H605" s="29" t="s">
        <v>253</v>
      </c>
      <c r="I605" s="29" t="n">
        <v>23</v>
      </c>
      <c r="J605" s="29" t="s">
        <v>246</v>
      </c>
      <c r="K605" s="29" t="s">
        <v>247</v>
      </c>
      <c r="L605" s="29" t="n">
        <v>0.03</v>
      </c>
      <c r="M605" s="32" t="n">
        <v>18461.39</v>
      </c>
      <c r="N605" s="32" t="n">
        <v>18431.38</v>
      </c>
      <c r="O605" s="32" t="n">
        <v>18546.47</v>
      </c>
      <c r="P605" s="45" t="n">
        <f aca="false">ABS(M605-N605)</f>
        <v>30.0099999999984</v>
      </c>
      <c r="Q605" s="45" t="n">
        <f aca="false">IF(O605="","",ABS(O605-M605))</f>
        <v>85.0800000000018</v>
      </c>
      <c r="R605" s="31" t="n">
        <f aca="false">P605*L605*Summary!$C$6</f>
        <v>90.0299999999952</v>
      </c>
      <c r="S605" s="32" t="n">
        <v>18431.34</v>
      </c>
      <c r="T605" s="29" t="s">
        <v>249</v>
      </c>
      <c r="U605" s="45" t="n">
        <f aca="false">IF(J605="BUY",S605-M605,M605-S605)</f>
        <v>-30.0499999999993</v>
      </c>
      <c r="V605" s="46" t="n">
        <v>0</v>
      </c>
      <c r="W605" s="46" t="n">
        <v>0</v>
      </c>
      <c r="X605" s="46" t="n">
        <v>-90.15</v>
      </c>
      <c r="Y605" s="33" t="n">
        <f aca="false">IFERROR(X605/R605,0)</f>
        <v>-1.00133288903704</v>
      </c>
      <c r="Z605" s="29" t="str">
        <f aca="false">IF(X605&gt;0,"Win",IF(X605&lt;0,"Loss","Flat"))</f>
        <v>Loss</v>
      </c>
      <c r="AA605" s="29" t="n">
        <f aca="false">ROUND((C605-B605)*1440,1)</f>
        <v>1.4</v>
      </c>
      <c r="AB605" s="29" t="str">
        <f aca="false">IF(AA605&lt;1,"a) &lt;1 min",IF(AA605&lt;10,"b) 1-10 min",IF(AA605&lt;60,"c) 10-60 min",IF(AA605&lt;240,"d) 1-4 h","e) 4 h+"))))</f>
        <v>b) 1-10 min</v>
      </c>
      <c r="AC605" s="29" t="str">
        <f aca="false">IF(P605&lt;10,"a) &lt;10",IF(P605&lt;20,"b) 10-20",IF(P605&lt;40,"c) 20-40",IF(P605&lt;80,"d) 40-80","e) 80+"))))</f>
        <v>c) 20-40</v>
      </c>
      <c r="AD605" s="31" t="n">
        <f aca="false">Summary!$C$5+SUM(X$2:X605)</f>
        <v>14459.39</v>
      </c>
      <c r="AE605" s="31" t="n">
        <f aca="false">MAX(AE604,AD605)</f>
        <v>15756.64</v>
      </c>
      <c r="AF605" s="31" t="n">
        <f aca="false">AE605-AD605</f>
        <v>1297.25</v>
      </c>
      <c r="AG605" s="30" t="n">
        <f aca="false">IFERROR(AF605/AE605,0)</f>
        <v>0.0823303699265833</v>
      </c>
    </row>
    <row r="606" customFormat="false" ht="15" hidden="false" customHeight="false" outlineLevel="0" collapsed="false">
      <c r="A606" s="29" t="n">
        <v>605</v>
      </c>
      <c r="B606" s="44" t="n">
        <v>45513.0854166667</v>
      </c>
      <c r="C606" s="44" t="n">
        <v>45513.091087963</v>
      </c>
      <c r="D606" s="43" t="n">
        <f aca="false">INT(C606)</f>
        <v>45513</v>
      </c>
      <c r="E606" s="43" t="n">
        <f aca="false">D606-WEEKDAY(D606,3)</f>
        <v>45509</v>
      </c>
      <c r="F606" s="29" t="s">
        <v>172</v>
      </c>
      <c r="G606" s="29" t="n">
        <v>2024</v>
      </c>
      <c r="H606" s="29" t="s">
        <v>254</v>
      </c>
      <c r="I606" s="29" t="n">
        <v>2</v>
      </c>
      <c r="J606" s="29" t="s">
        <v>246</v>
      </c>
      <c r="K606" s="29" t="s">
        <v>247</v>
      </c>
      <c r="L606" s="29" t="n">
        <v>0.03</v>
      </c>
      <c r="M606" s="32" t="n">
        <v>18467.43</v>
      </c>
      <c r="N606" s="32" t="n">
        <v>18459.19</v>
      </c>
      <c r="O606" s="32" t="n">
        <v>18487.63</v>
      </c>
      <c r="P606" s="45" t="n">
        <f aca="false">ABS(M606-N606)</f>
        <v>8.2400000000016</v>
      </c>
      <c r="Q606" s="45" t="n">
        <f aca="false">IF(O606="","",ABS(O606-M606))</f>
        <v>20.2000000000007</v>
      </c>
      <c r="R606" s="31" t="n">
        <f aca="false">P606*L606*Summary!$C$6</f>
        <v>24.7200000000048</v>
      </c>
      <c r="S606" s="32" t="n">
        <v>18488.38</v>
      </c>
      <c r="T606" s="29" t="s">
        <v>227</v>
      </c>
      <c r="U606" s="45" t="n">
        <f aca="false">IF(J606="BUY",S606-M606,M606-S606)</f>
        <v>20.9500000000007</v>
      </c>
      <c r="V606" s="46" t="n">
        <v>0</v>
      </c>
      <c r="W606" s="46" t="n">
        <v>0</v>
      </c>
      <c r="X606" s="46" t="n">
        <v>62.85</v>
      </c>
      <c r="Y606" s="33" t="n">
        <f aca="false">IFERROR(X606/R606,0)</f>
        <v>2.54247572815485</v>
      </c>
      <c r="Z606" s="29" t="str">
        <f aca="false">IF(X606&gt;0,"Win",IF(X606&lt;0,"Loss","Flat"))</f>
        <v>Win</v>
      </c>
      <c r="AA606" s="29" t="n">
        <f aca="false">ROUND((C606-B606)*1440,1)</f>
        <v>8.2</v>
      </c>
      <c r="AB606" s="29" t="str">
        <f aca="false">IF(AA606&lt;1,"a) &lt;1 min",IF(AA606&lt;10,"b) 1-10 min",IF(AA606&lt;60,"c) 10-60 min",IF(AA606&lt;240,"d) 1-4 h","e) 4 h+"))))</f>
        <v>b) 1-10 min</v>
      </c>
      <c r="AC606" s="29" t="str">
        <f aca="false">IF(P606&lt;10,"a) &lt;10",IF(P606&lt;20,"b) 10-20",IF(P606&lt;40,"c) 20-40",IF(P606&lt;80,"d) 40-80","e) 80+"))))</f>
        <v>a) &lt;10</v>
      </c>
      <c r="AD606" s="31" t="n">
        <f aca="false">Summary!$C$5+SUM(X$2:X606)</f>
        <v>14522.24</v>
      </c>
      <c r="AE606" s="31" t="n">
        <f aca="false">MAX(AE605,AD606)</f>
        <v>15756.64</v>
      </c>
      <c r="AF606" s="31" t="n">
        <f aca="false">AE606-AD606</f>
        <v>1234.4</v>
      </c>
      <c r="AG606" s="30" t="n">
        <f aca="false">IFERROR(AF606/AE606,0)</f>
        <v>0.0783415753612445</v>
      </c>
    </row>
    <row r="607" customFormat="false" ht="15" hidden="false" customHeight="false" outlineLevel="0" collapsed="false">
      <c r="A607" s="29" t="n">
        <v>606</v>
      </c>
      <c r="B607" s="44" t="n">
        <v>45516.4527777778</v>
      </c>
      <c r="C607" s="44" t="n">
        <v>45516.4558449074</v>
      </c>
      <c r="D607" s="43" t="n">
        <f aca="false">INT(C607)</f>
        <v>45516</v>
      </c>
      <c r="E607" s="43" t="n">
        <f aca="false">D607-WEEKDAY(D607,3)</f>
        <v>45516</v>
      </c>
      <c r="F607" s="29" t="s">
        <v>172</v>
      </c>
      <c r="G607" s="29" t="n">
        <v>2024</v>
      </c>
      <c r="H607" s="29" t="s">
        <v>245</v>
      </c>
      <c r="I607" s="29" t="n">
        <v>10</v>
      </c>
      <c r="J607" s="29" t="s">
        <v>246</v>
      </c>
      <c r="K607" s="29" t="s">
        <v>247</v>
      </c>
      <c r="L607" s="29" t="n">
        <v>0.03</v>
      </c>
      <c r="M607" s="32" t="n">
        <v>18581.16</v>
      </c>
      <c r="N607" s="32" t="n">
        <v>18573.59</v>
      </c>
      <c r="O607" s="32" t="n">
        <v>18599.71</v>
      </c>
      <c r="P607" s="45" t="n">
        <f aca="false">ABS(M607-N607)</f>
        <v>7.56999999999971</v>
      </c>
      <c r="Q607" s="45" t="n">
        <f aca="false">IF(O607="","",ABS(O607-M607))</f>
        <v>18.5499999999993</v>
      </c>
      <c r="R607" s="31" t="n">
        <f aca="false">P607*L607*Summary!$C$6</f>
        <v>22.7099999999991</v>
      </c>
      <c r="S607" s="32" t="n">
        <v>18573.49</v>
      </c>
      <c r="T607" s="29" t="s">
        <v>249</v>
      </c>
      <c r="U607" s="45" t="n">
        <f aca="false">IF(J607="BUY",S607-M607,M607-S607)</f>
        <v>-7.66999999999825</v>
      </c>
      <c r="V607" s="46" t="n">
        <v>0</v>
      </c>
      <c r="W607" s="46" t="n">
        <v>0</v>
      </c>
      <c r="X607" s="46" t="n">
        <v>-23.01</v>
      </c>
      <c r="Y607" s="33" t="n">
        <f aca="false">IFERROR(X607/R607,0)</f>
        <v>-1.01321003963016</v>
      </c>
      <c r="Z607" s="29" t="str">
        <f aca="false">IF(X607&gt;0,"Win",IF(X607&lt;0,"Loss","Flat"))</f>
        <v>Loss</v>
      </c>
      <c r="AA607" s="29" t="n">
        <f aca="false">ROUND((C607-B607)*1440,1)</f>
        <v>4.4</v>
      </c>
      <c r="AB607" s="29" t="str">
        <f aca="false">IF(AA607&lt;1,"a) &lt;1 min",IF(AA607&lt;10,"b) 1-10 min",IF(AA607&lt;60,"c) 10-60 min",IF(AA607&lt;240,"d) 1-4 h","e) 4 h+"))))</f>
        <v>b) 1-10 min</v>
      </c>
      <c r="AC607" s="29" t="str">
        <f aca="false">IF(P607&lt;10,"a) &lt;10",IF(P607&lt;20,"b) 10-20",IF(P607&lt;40,"c) 20-40",IF(P607&lt;80,"d) 40-80","e) 80+"))))</f>
        <v>a) &lt;10</v>
      </c>
      <c r="AD607" s="31" t="n">
        <f aca="false">Summary!$C$5+SUM(X$2:X607)</f>
        <v>14499.23</v>
      </c>
      <c r="AE607" s="31" t="n">
        <f aca="false">MAX(AE606,AD607)</f>
        <v>15756.64</v>
      </c>
      <c r="AF607" s="31" t="n">
        <f aca="false">AE607-AD607</f>
        <v>1257.41</v>
      </c>
      <c r="AG607" s="30" t="n">
        <f aca="false">IFERROR(AF607/AE607,0)</f>
        <v>0.0798019120827791</v>
      </c>
    </row>
    <row r="608" customFormat="false" ht="15" hidden="false" customHeight="false" outlineLevel="0" collapsed="false">
      <c r="A608" s="29" t="n">
        <v>607</v>
      </c>
      <c r="B608" s="44" t="n">
        <v>45517.4208333333</v>
      </c>
      <c r="C608" s="44" t="n">
        <v>45517.4232638889</v>
      </c>
      <c r="D608" s="43" t="n">
        <f aca="false">INT(C608)</f>
        <v>45517</v>
      </c>
      <c r="E608" s="43" t="n">
        <f aca="false">D608-WEEKDAY(D608,3)</f>
        <v>45516</v>
      </c>
      <c r="F608" s="29" t="s">
        <v>172</v>
      </c>
      <c r="G608" s="29" t="n">
        <v>2024</v>
      </c>
      <c r="H608" s="29" t="s">
        <v>248</v>
      </c>
      <c r="I608" s="29" t="n">
        <v>10</v>
      </c>
      <c r="J608" s="29" t="s">
        <v>246</v>
      </c>
      <c r="K608" s="29" t="s">
        <v>247</v>
      </c>
      <c r="L608" s="29" t="n">
        <v>0.03</v>
      </c>
      <c r="M608" s="32" t="n">
        <v>18663.93</v>
      </c>
      <c r="N608" s="32" t="n">
        <v>18655.26</v>
      </c>
      <c r="O608" s="32" t="n">
        <v>18685.18</v>
      </c>
      <c r="P608" s="45" t="n">
        <f aca="false">ABS(M608-N608)</f>
        <v>8.67000000000189</v>
      </c>
      <c r="Q608" s="45" t="n">
        <f aca="false">IF(O608="","",ABS(O608-M608))</f>
        <v>21.25</v>
      </c>
      <c r="R608" s="31" t="n">
        <f aca="false">P608*L608*Summary!$C$6</f>
        <v>26.0100000000057</v>
      </c>
      <c r="S608" s="32" t="n">
        <v>18685.69</v>
      </c>
      <c r="T608" s="29" t="s">
        <v>227</v>
      </c>
      <c r="U608" s="45" t="n">
        <f aca="false">IF(J608="BUY",S608-M608,M608-S608)</f>
        <v>21.7599999999984</v>
      </c>
      <c r="V608" s="46" t="n">
        <v>0</v>
      </c>
      <c r="W608" s="46" t="n">
        <v>0</v>
      </c>
      <c r="X608" s="46" t="n">
        <v>65.28</v>
      </c>
      <c r="Y608" s="33" t="n">
        <f aca="false">IFERROR(X608/R608,0)</f>
        <v>2.50980392156808</v>
      </c>
      <c r="Z608" s="29" t="str">
        <f aca="false">IF(X608&gt;0,"Win",IF(X608&lt;0,"Loss","Flat"))</f>
        <v>Win</v>
      </c>
      <c r="AA608" s="29" t="n">
        <f aca="false">ROUND((C608-B608)*1440,1)</f>
        <v>3.5</v>
      </c>
      <c r="AB608" s="29" t="str">
        <f aca="false">IF(AA608&lt;1,"a) &lt;1 min",IF(AA608&lt;10,"b) 1-10 min",IF(AA608&lt;60,"c) 10-60 min",IF(AA608&lt;240,"d) 1-4 h","e) 4 h+"))))</f>
        <v>b) 1-10 min</v>
      </c>
      <c r="AC608" s="29" t="str">
        <f aca="false">IF(P608&lt;10,"a) &lt;10",IF(P608&lt;20,"b) 10-20",IF(P608&lt;40,"c) 20-40",IF(P608&lt;80,"d) 40-80","e) 80+"))))</f>
        <v>a) &lt;10</v>
      </c>
      <c r="AD608" s="31" t="n">
        <f aca="false">Summary!$C$5+SUM(X$2:X608)</f>
        <v>14564.51</v>
      </c>
      <c r="AE608" s="31" t="n">
        <f aca="false">MAX(AE607,AD608)</f>
        <v>15756.64</v>
      </c>
      <c r="AF608" s="31" t="n">
        <f aca="false">AE608-AD608</f>
        <v>1192.13</v>
      </c>
      <c r="AG608" s="30" t="n">
        <f aca="false">IFERROR(AF608/AE608,0)</f>
        <v>0.0756588968206419</v>
      </c>
    </row>
    <row r="609" customFormat="false" ht="15" hidden="false" customHeight="false" outlineLevel="0" collapsed="false">
      <c r="A609" s="29" t="n">
        <v>608</v>
      </c>
      <c r="B609" s="44" t="n">
        <v>45518.0465277778</v>
      </c>
      <c r="C609" s="44" t="n">
        <v>45518.0539930556</v>
      </c>
      <c r="D609" s="43" t="n">
        <f aca="false">INT(C609)</f>
        <v>45518</v>
      </c>
      <c r="E609" s="43" t="n">
        <f aca="false">D609-WEEKDAY(D609,3)</f>
        <v>45516</v>
      </c>
      <c r="F609" s="29" t="s">
        <v>172</v>
      </c>
      <c r="G609" s="29" t="n">
        <v>2024</v>
      </c>
      <c r="H609" s="29" t="s">
        <v>252</v>
      </c>
      <c r="I609" s="29" t="n">
        <v>1</v>
      </c>
      <c r="J609" s="29" t="s">
        <v>246</v>
      </c>
      <c r="K609" s="29" t="s">
        <v>247</v>
      </c>
      <c r="L609" s="29" t="n">
        <v>0.03</v>
      </c>
      <c r="M609" s="32" t="n">
        <v>19021.84</v>
      </c>
      <c r="N609" s="32" t="n">
        <v>19011.99</v>
      </c>
      <c r="O609" s="32" t="n">
        <v>19045.98</v>
      </c>
      <c r="P609" s="45" t="n">
        <f aca="false">ABS(M609-N609)</f>
        <v>9.84999999999855</v>
      </c>
      <c r="Q609" s="45" t="n">
        <f aca="false">IF(O609="","",ABS(O609-M609))</f>
        <v>24.1399999999994</v>
      </c>
      <c r="R609" s="31" t="n">
        <f aca="false">P609*L609*Summary!$C$6</f>
        <v>29.5499999999956</v>
      </c>
      <c r="S609" s="32" t="n">
        <v>19011.99</v>
      </c>
      <c r="T609" s="29" t="s">
        <v>249</v>
      </c>
      <c r="U609" s="45" t="n">
        <f aca="false">IF(J609="BUY",S609-M609,M609-S609)</f>
        <v>-9.84999999999855</v>
      </c>
      <c r="V609" s="46" t="n">
        <v>0</v>
      </c>
      <c r="W609" s="46" t="n">
        <v>0</v>
      </c>
      <c r="X609" s="46" t="n">
        <v>-29.55</v>
      </c>
      <c r="Y609" s="33" t="n">
        <f aca="false">IFERROR(X609/R609,0)</f>
        <v>-1.00000000000015</v>
      </c>
      <c r="Z609" s="29" t="str">
        <f aca="false">IF(X609&gt;0,"Win",IF(X609&lt;0,"Loss","Flat"))</f>
        <v>Loss</v>
      </c>
      <c r="AA609" s="29" t="n">
        <f aca="false">ROUND((C609-B609)*1440,1)</f>
        <v>10.8</v>
      </c>
      <c r="AB609" s="29" t="str">
        <f aca="false">IF(AA609&lt;1,"a) &lt;1 min",IF(AA609&lt;10,"b) 1-10 min",IF(AA609&lt;60,"c) 10-60 min",IF(AA609&lt;240,"d) 1-4 h","e) 4 h+"))))</f>
        <v>c) 10-60 min</v>
      </c>
      <c r="AC609" s="29" t="str">
        <f aca="false">IF(P609&lt;10,"a) &lt;10",IF(P609&lt;20,"b) 10-20",IF(P609&lt;40,"c) 20-40",IF(P609&lt;80,"d) 40-80","e) 80+"))))</f>
        <v>a) &lt;10</v>
      </c>
      <c r="AD609" s="31" t="n">
        <f aca="false">Summary!$C$5+SUM(X$2:X609)</f>
        <v>14534.96</v>
      </c>
      <c r="AE609" s="31" t="n">
        <f aca="false">MAX(AE608,AD609)</f>
        <v>15756.64</v>
      </c>
      <c r="AF609" s="31" t="n">
        <f aca="false">AE609-AD609</f>
        <v>1221.68</v>
      </c>
      <c r="AG609" s="30" t="n">
        <f aca="false">IFERROR(AF609/AE609,0)</f>
        <v>0.0775342966520781</v>
      </c>
    </row>
    <row r="610" customFormat="false" ht="15" hidden="false" customHeight="false" outlineLevel="0" collapsed="false">
      <c r="A610" s="29" t="n">
        <v>609</v>
      </c>
      <c r="B610" s="44" t="n">
        <v>45519.2347222222</v>
      </c>
      <c r="C610" s="44" t="n">
        <v>45519.2348726852</v>
      </c>
      <c r="D610" s="43" t="n">
        <f aca="false">INT(C610)</f>
        <v>45519</v>
      </c>
      <c r="E610" s="43" t="n">
        <f aca="false">D610-WEEKDAY(D610,3)</f>
        <v>45516</v>
      </c>
      <c r="F610" s="29" t="s">
        <v>172</v>
      </c>
      <c r="G610" s="29" t="n">
        <v>2024</v>
      </c>
      <c r="H610" s="29" t="s">
        <v>253</v>
      </c>
      <c r="I610" s="29" t="n">
        <v>5</v>
      </c>
      <c r="J610" s="29" t="s">
        <v>246</v>
      </c>
      <c r="K610" s="29" t="s">
        <v>247</v>
      </c>
      <c r="L610" s="29" t="n">
        <v>0.03</v>
      </c>
      <c r="M610" s="32" t="n">
        <v>19112.56</v>
      </c>
      <c r="N610" s="32" t="n">
        <v>19105.73</v>
      </c>
      <c r="O610" s="32" t="n">
        <v>19129.28</v>
      </c>
      <c r="P610" s="45" t="n">
        <f aca="false">ABS(M610-N610)</f>
        <v>6.83000000000175</v>
      </c>
      <c r="Q610" s="45" t="n">
        <f aca="false">IF(O610="","",ABS(O610-M610))</f>
        <v>16.7199999999975</v>
      </c>
      <c r="R610" s="31" t="n">
        <f aca="false">P610*L610*Summary!$C$6</f>
        <v>20.4900000000052</v>
      </c>
      <c r="S610" s="32" t="n">
        <v>19105.65</v>
      </c>
      <c r="T610" s="29" t="s">
        <v>249</v>
      </c>
      <c r="U610" s="45" t="n">
        <f aca="false">IF(J610="BUY",S610-M610,M610-S610)</f>
        <v>-6.90999999999985</v>
      </c>
      <c r="V610" s="46" t="n">
        <v>0</v>
      </c>
      <c r="W610" s="46" t="n">
        <v>0</v>
      </c>
      <c r="X610" s="46" t="n">
        <v>-20.73</v>
      </c>
      <c r="Y610" s="33" t="n">
        <f aca="false">IFERROR(X610/R610,0)</f>
        <v>-1.01171303074645</v>
      </c>
      <c r="Z610" s="29" t="str">
        <f aca="false">IF(X610&gt;0,"Win",IF(X610&lt;0,"Loss","Flat"))</f>
        <v>Loss</v>
      </c>
      <c r="AA610" s="29" t="n">
        <f aca="false">ROUND((C610-B610)*1440,1)</f>
        <v>0.2</v>
      </c>
      <c r="AB610" s="29" t="str">
        <f aca="false">IF(AA610&lt;1,"a) &lt;1 min",IF(AA610&lt;10,"b) 1-10 min",IF(AA610&lt;60,"c) 10-60 min",IF(AA610&lt;240,"d) 1-4 h","e) 4 h+"))))</f>
        <v>a) &lt;1 min</v>
      </c>
      <c r="AC610" s="29" t="str">
        <f aca="false">IF(P610&lt;10,"a) &lt;10",IF(P610&lt;20,"b) 10-20",IF(P610&lt;40,"c) 20-40",IF(P610&lt;80,"d) 40-80","e) 80+"))))</f>
        <v>a) &lt;10</v>
      </c>
      <c r="AD610" s="31" t="n">
        <f aca="false">Summary!$C$5+SUM(X$2:X610)</f>
        <v>14514.23</v>
      </c>
      <c r="AE610" s="31" t="n">
        <f aca="false">MAX(AE609,AD610)</f>
        <v>15756.64</v>
      </c>
      <c r="AF610" s="31" t="n">
        <f aca="false">AE610-AD610</f>
        <v>1242.41</v>
      </c>
      <c r="AG610" s="30" t="n">
        <f aca="false">IFERROR(AF610/AE610,0)</f>
        <v>0.078849932472913</v>
      </c>
    </row>
    <row r="611" customFormat="false" ht="15" hidden="false" customHeight="false" outlineLevel="0" collapsed="false">
      <c r="A611" s="29" t="n">
        <v>610</v>
      </c>
      <c r="B611" s="44" t="n">
        <v>45520.06875</v>
      </c>
      <c r="C611" s="44" t="n">
        <v>45520.0725578704</v>
      </c>
      <c r="D611" s="43" t="n">
        <f aca="false">INT(C611)</f>
        <v>45520</v>
      </c>
      <c r="E611" s="43" t="n">
        <f aca="false">D611-WEEKDAY(D611,3)</f>
        <v>45516</v>
      </c>
      <c r="F611" s="29" t="s">
        <v>172</v>
      </c>
      <c r="G611" s="29" t="n">
        <v>2024</v>
      </c>
      <c r="H611" s="29" t="s">
        <v>254</v>
      </c>
      <c r="I611" s="29" t="n">
        <v>1</v>
      </c>
      <c r="J611" s="29" t="s">
        <v>246</v>
      </c>
      <c r="K611" s="29" t="s">
        <v>247</v>
      </c>
      <c r="L611" s="29" t="n">
        <v>0.03</v>
      </c>
      <c r="M611" s="32" t="n">
        <v>19504.39</v>
      </c>
      <c r="N611" s="32" t="n">
        <v>19498.11</v>
      </c>
      <c r="O611" s="32" t="n">
        <v>19519.79</v>
      </c>
      <c r="P611" s="45" t="n">
        <f aca="false">ABS(M611-N611)</f>
        <v>6.27999999999884</v>
      </c>
      <c r="Q611" s="45" t="n">
        <f aca="false">IF(O611="","",ABS(O611-M611))</f>
        <v>15.4000000000015</v>
      </c>
      <c r="R611" s="31" t="n">
        <f aca="false">P611*L611*Summary!$C$6</f>
        <v>18.8399999999965</v>
      </c>
      <c r="S611" s="32" t="n">
        <v>19498.04</v>
      </c>
      <c r="T611" s="29" t="s">
        <v>249</v>
      </c>
      <c r="U611" s="45" t="n">
        <f aca="false">IF(J611="BUY",S611-M611,M611-S611)</f>
        <v>-6.34999999999855</v>
      </c>
      <c r="V611" s="46" t="n">
        <v>0</v>
      </c>
      <c r="W611" s="46" t="n">
        <v>0</v>
      </c>
      <c r="X611" s="46" t="n">
        <v>-19.05</v>
      </c>
      <c r="Y611" s="33" t="n">
        <f aca="false">IFERROR(X611/R611,0)</f>
        <v>-1.01114649681547</v>
      </c>
      <c r="Z611" s="29" t="str">
        <f aca="false">IF(X611&gt;0,"Win",IF(X611&lt;0,"Loss","Flat"))</f>
        <v>Loss</v>
      </c>
      <c r="AA611" s="29" t="n">
        <f aca="false">ROUND((C611-B611)*1440,1)</f>
        <v>5.5</v>
      </c>
      <c r="AB611" s="29" t="str">
        <f aca="false">IF(AA611&lt;1,"a) &lt;1 min",IF(AA611&lt;10,"b) 1-10 min",IF(AA611&lt;60,"c) 10-60 min",IF(AA611&lt;240,"d) 1-4 h","e) 4 h+"))))</f>
        <v>b) 1-10 min</v>
      </c>
      <c r="AC611" s="29" t="str">
        <f aca="false">IF(P611&lt;10,"a) &lt;10",IF(P611&lt;20,"b) 10-20",IF(P611&lt;40,"c) 20-40",IF(P611&lt;80,"d) 40-80","e) 80+"))))</f>
        <v>a) &lt;10</v>
      </c>
      <c r="AD611" s="31" t="n">
        <f aca="false">Summary!$C$5+SUM(X$2:X611)</f>
        <v>14495.18</v>
      </c>
      <c r="AE611" s="31" t="n">
        <f aca="false">MAX(AE610,AD611)</f>
        <v>15756.64</v>
      </c>
      <c r="AF611" s="31" t="n">
        <f aca="false">AE611-AD611</f>
        <v>1261.46</v>
      </c>
      <c r="AG611" s="30" t="n">
        <f aca="false">IFERROR(AF611/AE611,0)</f>
        <v>0.0800589465774429</v>
      </c>
    </row>
    <row r="612" customFormat="false" ht="15" hidden="false" customHeight="false" outlineLevel="0" collapsed="false">
      <c r="A612" s="29" t="n">
        <v>611</v>
      </c>
      <c r="B612" s="44" t="n">
        <v>45523.7875</v>
      </c>
      <c r="C612" s="44" t="n">
        <v>45523.7885532407</v>
      </c>
      <c r="D612" s="43" t="n">
        <f aca="false">INT(C612)</f>
        <v>45523</v>
      </c>
      <c r="E612" s="43" t="n">
        <f aca="false">D612-WEEKDAY(D612,3)</f>
        <v>45523</v>
      </c>
      <c r="F612" s="29" t="s">
        <v>172</v>
      </c>
      <c r="G612" s="29" t="n">
        <v>2024</v>
      </c>
      <c r="H612" s="29" t="s">
        <v>245</v>
      </c>
      <c r="I612" s="29" t="n">
        <v>18</v>
      </c>
      <c r="J612" s="29" t="s">
        <v>246</v>
      </c>
      <c r="K612" s="29" t="s">
        <v>247</v>
      </c>
      <c r="L612" s="29" t="n">
        <v>0.03</v>
      </c>
      <c r="M612" s="32" t="n">
        <v>19584.59</v>
      </c>
      <c r="N612" s="32" t="n">
        <v>19576.53</v>
      </c>
      <c r="O612" s="32" t="n">
        <v>19604.33</v>
      </c>
      <c r="P612" s="45" t="n">
        <f aca="false">ABS(M612-N612)</f>
        <v>8.06000000000131</v>
      </c>
      <c r="Q612" s="45" t="n">
        <f aca="false">IF(O612="","",ABS(O612-M612))</f>
        <v>19.7400000000016</v>
      </c>
      <c r="R612" s="31" t="n">
        <f aca="false">P612*L612*Summary!$C$6</f>
        <v>24.1800000000039</v>
      </c>
      <c r="S612" s="32" t="n">
        <v>19576.1</v>
      </c>
      <c r="T612" s="29" t="s">
        <v>249</v>
      </c>
      <c r="U612" s="45" t="n">
        <f aca="false">IF(J612="BUY",S612-M612,M612-S612)</f>
        <v>-8.4900000000016</v>
      </c>
      <c r="V612" s="46" t="n">
        <v>0</v>
      </c>
      <c r="W612" s="46" t="n">
        <v>0</v>
      </c>
      <c r="X612" s="46" t="n">
        <v>-25.47</v>
      </c>
      <c r="Y612" s="33" t="n">
        <f aca="false">IFERROR(X612/R612,0)</f>
        <v>-1.05334987593035</v>
      </c>
      <c r="Z612" s="29" t="str">
        <f aca="false">IF(X612&gt;0,"Win",IF(X612&lt;0,"Loss","Flat"))</f>
        <v>Loss</v>
      </c>
      <c r="AA612" s="29" t="n">
        <f aca="false">ROUND((C612-B612)*1440,1)</f>
        <v>1.5</v>
      </c>
      <c r="AB612" s="29" t="str">
        <f aca="false">IF(AA612&lt;1,"a) &lt;1 min",IF(AA612&lt;10,"b) 1-10 min",IF(AA612&lt;60,"c) 10-60 min",IF(AA612&lt;240,"d) 1-4 h","e) 4 h+"))))</f>
        <v>b) 1-10 min</v>
      </c>
      <c r="AC612" s="29" t="str">
        <f aca="false">IF(P612&lt;10,"a) &lt;10",IF(P612&lt;20,"b) 10-20",IF(P612&lt;40,"c) 20-40",IF(P612&lt;80,"d) 40-80","e) 80+"))))</f>
        <v>a) &lt;10</v>
      </c>
      <c r="AD612" s="31" t="n">
        <f aca="false">Summary!$C$5+SUM(X$2:X612)</f>
        <v>14469.71</v>
      </c>
      <c r="AE612" s="31" t="n">
        <f aca="false">MAX(AE611,AD612)</f>
        <v>15756.64</v>
      </c>
      <c r="AF612" s="31" t="n">
        <f aca="false">AE612-AD612</f>
        <v>1286.93</v>
      </c>
      <c r="AG612" s="30" t="n">
        <f aca="false">IFERROR(AF612/AE612,0)</f>
        <v>0.0816754079549955</v>
      </c>
    </row>
    <row r="613" customFormat="false" ht="15" hidden="false" customHeight="false" outlineLevel="0" collapsed="false">
      <c r="A613" s="29" t="n">
        <v>612</v>
      </c>
      <c r="B613" s="44" t="n">
        <v>45524.0462615741</v>
      </c>
      <c r="C613" s="44" t="n">
        <v>45524.0743865741</v>
      </c>
      <c r="D613" s="43" t="n">
        <f aca="false">INT(C613)</f>
        <v>45524</v>
      </c>
      <c r="E613" s="43" t="n">
        <f aca="false">D613-WEEKDAY(D613,3)</f>
        <v>45523</v>
      </c>
      <c r="F613" s="29" t="s">
        <v>172</v>
      </c>
      <c r="G613" s="29" t="n">
        <v>2024</v>
      </c>
      <c r="H613" s="29" t="s">
        <v>248</v>
      </c>
      <c r="I613" s="29" t="n">
        <v>1</v>
      </c>
      <c r="J613" s="29" t="s">
        <v>246</v>
      </c>
      <c r="K613" s="29" t="s">
        <v>247</v>
      </c>
      <c r="L613" s="29" t="n">
        <v>0.03</v>
      </c>
      <c r="M613" s="32" t="n">
        <v>19779.41</v>
      </c>
      <c r="N613" s="32" t="n">
        <v>19772.5</v>
      </c>
      <c r="O613" s="32" t="n">
        <v>19796.35</v>
      </c>
      <c r="P613" s="45" t="n">
        <f aca="false">ABS(M613-N613)</f>
        <v>6.90999999999985</v>
      </c>
      <c r="Q613" s="45" t="n">
        <f aca="false">IF(O613="","",ABS(O613-M613))</f>
        <v>16.9399999999987</v>
      </c>
      <c r="R613" s="31" t="n">
        <f aca="false">P613*L613*Summary!$C$6</f>
        <v>20.7299999999996</v>
      </c>
      <c r="S613" s="32" t="n">
        <v>19771.83</v>
      </c>
      <c r="T613" s="29" t="s">
        <v>249</v>
      </c>
      <c r="U613" s="45" t="n">
        <f aca="false">IF(J613="BUY",S613-M613,M613-S613)</f>
        <v>-7.57999999999811</v>
      </c>
      <c r="V613" s="46" t="n">
        <v>0</v>
      </c>
      <c r="W613" s="46" t="n">
        <v>0</v>
      </c>
      <c r="X613" s="46" t="n">
        <v>-22.74</v>
      </c>
      <c r="Y613" s="33" t="n">
        <f aca="false">IFERROR(X613/R613,0)</f>
        <v>-1.09696092619394</v>
      </c>
      <c r="Z613" s="29" t="str">
        <f aca="false">IF(X613&gt;0,"Win",IF(X613&lt;0,"Loss","Flat"))</f>
        <v>Loss</v>
      </c>
      <c r="AA613" s="29" t="n">
        <f aca="false">ROUND((C613-B613)*1440,1)</f>
        <v>40.5</v>
      </c>
      <c r="AB613" s="29" t="str">
        <f aca="false">IF(AA613&lt;1,"a) &lt;1 min",IF(AA613&lt;10,"b) 1-10 min",IF(AA613&lt;60,"c) 10-60 min",IF(AA613&lt;240,"d) 1-4 h","e) 4 h+"))))</f>
        <v>c) 10-60 min</v>
      </c>
      <c r="AC613" s="29" t="str">
        <f aca="false">IF(P613&lt;10,"a) &lt;10",IF(P613&lt;20,"b) 10-20",IF(P613&lt;40,"c) 20-40",IF(P613&lt;80,"d) 40-80","e) 80+"))))</f>
        <v>a) &lt;10</v>
      </c>
      <c r="AD613" s="31" t="n">
        <f aca="false">Summary!$C$5+SUM(X$2:X613)</f>
        <v>14446.97</v>
      </c>
      <c r="AE613" s="31" t="n">
        <f aca="false">MAX(AE612,AD613)</f>
        <v>15756.64</v>
      </c>
      <c r="AF613" s="31" t="n">
        <f aca="false">AE613-AD613</f>
        <v>1309.67</v>
      </c>
      <c r="AG613" s="30" t="n">
        <f aca="false">IFERROR(AF613/AE613,0)</f>
        <v>0.0831186090435523</v>
      </c>
    </row>
    <row r="614" customFormat="false" ht="15" hidden="false" customHeight="false" outlineLevel="0" collapsed="false">
      <c r="A614" s="29" t="n">
        <v>613</v>
      </c>
      <c r="B614" s="44" t="n">
        <v>45525.7340277778</v>
      </c>
      <c r="C614" s="44" t="n">
        <v>45525.7418981482</v>
      </c>
      <c r="D614" s="43" t="n">
        <f aca="false">INT(C614)</f>
        <v>45525</v>
      </c>
      <c r="E614" s="43" t="n">
        <f aca="false">D614-WEEKDAY(D614,3)</f>
        <v>45523</v>
      </c>
      <c r="F614" s="29" t="s">
        <v>172</v>
      </c>
      <c r="G614" s="29" t="n">
        <v>2024</v>
      </c>
      <c r="H614" s="29" t="s">
        <v>252</v>
      </c>
      <c r="I614" s="29" t="n">
        <v>17</v>
      </c>
      <c r="J614" s="29" t="s">
        <v>246</v>
      </c>
      <c r="K614" s="29" t="s">
        <v>247</v>
      </c>
      <c r="L614" s="29" t="n">
        <v>0.03</v>
      </c>
      <c r="M614" s="32" t="n">
        <v>19849.01</v>
      </c>
      <c r="N614" s="32" t="n">
        <v>19816.31</v>
      </c>
      <c r="O614" s="32" t="n">
        <v>19929.12</v>
      </c>
      <c r="P614" s="45" t="n">
        <f aca="false">ABS(M614-N614)</f>
        <v>32.6999999999971</v>
      </c>
      <c r="Q614" s="45" t="n">
        <f aca="false">IF(O614="","",ABS(O614-M614))</f>
        <v>80.1100000000006</v>
      </c>
      <c r="R614" s="31" t="n">
        <f aca="false">P614*L614*Summary!$C$6</f>
        <v>98.0999999999913</v>
      </c>
      <c r="S614" s="32" t="n">
        <v>19848.51</v>
      </c>
      <c r="T614" s="29" t="s">
        <v>255</v>
      </c>
      <c r="U614" s="45" t="n">
        <f aca="false">IF(J614="BUY",S614-M614,M614-S614)</f>
        <v>-0.5</v>
      </c>
      <c r="V614" s="46" t="n">
        <v>0</v>
      </c>
      <c r="W614" s="46" t="n">
        <v>0</v>
      </c>
      <c r="X614" s="46" t="n">
        <v>-1.5</v>
      </c>
      <c r="Y614" s="33" t="n">
        <f aca="false">IFERROR(X614/R614,0)</f>
        <v>-0.0152905198776772</v>
      </c>
      <c r="Z614" s="29" t="str">
        <f aca="false">IF(X614&gt;0,"Win",IF(X614&lt;0,"Loss","Flat"))</f>
        <v>Loss</v>
      </c>
      <c r="AA614" s="29" t="n">
        <f aca="false">ROUND((C614-B614)*1440,1)</f>
        <v>11.3</v>
      </c>
      <c r="AB614" s="29" t="str">
        <f aca="false">IF(AA614&lt;1,"a) &lt;1 min",IF(AA614&lt;10,"b) 1-10 min",IF(AA614&lt;60,"c) 10-60 min",IF(AA614&lt;240,"d) 1-4 h","e) 4 h+"))))</f>
        <v>c) 10-60 min</v>
      </c>
      <c r="AC614" s="29" t="str">
        <f aca="false">IF(P614&lt;10,"a) &lt;10",IF(P614&lt;20,"b) 10-20",IF(P614&lt;40,"c) 20-40",IF(P614&lt;80,"d) 40-80","e) 80+"))))</f>
        <v>c) 20-40</v>
      </c>
      <c r="AD614" s="31" t="n">
        <f aca="false">Summary!$C$5+SUM(X$2:X614)</f>
        <v>14445.47</v>
      </c>
      <c r="AE614" s="31" t="n">
        <f aca="false">MAX(AE613,AD614)</f>
        <v>15756.64</v>
      </c>
      <c r="AF614" s="31" t="n">
        <f aca="false">AE614-AD614</f>
        <v>1311.17</v>
      </c>
      <c r="AG614" s="30" t="n">
        <f aca="false">IFERROR(AF614/AE614,0)</f>
        <v>0.0832138070045389</v>
      </c>
    </row>
    <row r="615" customFormat="false" ht="15" hidden="false" customHeight="false" outlineLevel="0" collapsed="false">
      <c r="A615" s="29" t="n">
        <v>614</v>
      </c>
      <c r="B615" s="44" t="n">
        <v>45526.6</v>
      </c>
      <c r="C615" s="44" t="n">
        <v>45526.601087963</v>
      </c>
      <c r="D615" s="43" t="n">
        <f aca="false">INT(C615)</f>
        <v>45526</v>
      </c>
      <c r="E615" s="43" t="n">
        <f aca="false">D615-WEEKDAY(D615,3)</f>
        <v>45523</v>
      </c>
      <c r="F615" s="29" t="s">
        <v>172</v>
      </c>
      <c r="G615" s="29" t="n">
        <v>2024</v>
      </c>
      <c r="H615" s="29" t="s">
        <v>253</v>
      </c>
      <c r="I615" s="29" t="n">
        <v>14</v>
      </c>
      <c r="J615" s="29" t="s">
        <v>246</v>
      </c>
      <c r="K615" s="29" t="s">
        <v>247</v>
      </c>
      <c r="L615" s="29" t="n">
        <v>0.03</v>
      </c>
      <c r="M615" s="32" t="n">
        <v>19896.23</v>
      </c>
      <c r="N615" s="32" t="n">
        <v>19890.73</v>
      </c>
      <c r="O615" s="32" t="n">
        <v>19909.7</v>
      </c>
      <c r="P615" s="45" t="n">
        <f aca="false">ABS(M615-N615)</f>
        <v>5.5</v>
      </c>
      <c r="Q615" s="45" t="n">
        <f aca="false">IF(O615="","",ABS(O615-M615))</f>
        <v>13.4700000000012</v>
      </c>
      <c r="R615" s="31" t="n">
        <f aca="false">P615*L615*Summary!$C$6</f>
        <v>16.5</v>
      </c>
      <c r="S615" s="32" t="n">
        <v>19890.73</v>
      </c>
      <c r="T615" s="29" t="s">
        <v>249</v>
      </c>
      <c r="U615" s="45" t="n">
        <f aca="false">IF(J615="BUY",S615-M615,M615-S615)</f>
        <v>-5.5</v>
      </c>
      <c r="V615" s="46" t="n">
        <v>0</v>
      </c>
      <c r="W615" s="46" t="n">
        <v>0</v>
      </c>
      <c r="X615" s="46" t="n">
        <v>-16.5</v>
      </c>
      <c r="Y615" s="33" t="n">
        <f aca="false">IFERROR(X615/R615,0)</f>
        <v>-1</v>
      </c>
      <c r="Z615" s="29" t="str">
        <f aca="false">IF(X615&gt;0,"Win",IF(X615&lt;0,"Loss","Flat"))</f>
        <v>Loss</v>
      </c>
      <c r="AA615" s="29" t="n">
        <f aca="false">ROUND((C615-B615)*1440,1)</f>
        <v>1.6</v>
      </c>
      <c r="AB615" s="29" t="str">
        <f aca="false">IF(AA615&lt;1,"a) &lt;1 min",IF(AA615&lt;10,"b) 1-10 min",IF(AA615&lt;60,"c) 10-60 min",IF(AA615&lt;240,"d) 1-4 h","e) 4 h+"))))</f>
        <v>b) 1-10 min</v>
      </c>
      <c r="AC615" s="29" t="str">
        <f aca="false">IF(P615&lt;10,"a) &lt;10",IF(P615&lt;20,"b) 10-20",IF(P615&lt;40,"c) 20-40",IF(P615&lt;80,"d) 40-80","e) 80+"))))</f>
        <v>a) &lt;10</v>
      </c>
      <c r="AD615" s="31" t="n">
        <f aca="false">Summary!$C$5+SUM(X$2:X615)</f>
        <v>14428.97</v>
      </c>
      <c r="AE615" s="31" t="n">
        <f aca="false">MAX(AE614,AD615)</f>
        <v>15756.64</v>
      </c>
      <c r="AF615" s="31" t="n">
        <f aca="false">AE615-AD615</f>
        <v>1327.67</v>
      </c>
      <c r="AG615" s="30" t="n">
        <f aca="false">IFERROR(AF615/AE615,0)</f>
        <v>0.0842609845753916</v>
      </c>
    </row>
    <row r="616" customFormat="false" ht="15" hidden="false" customHeight="false" outlineLevel="0" collapsed="false">
      <c r="A616" s="29" t="n">
        <v>615</v>
      </c>
      <c r="B616" s="44" t="n">
        <v>45526.7763888889</v>
      </c>
      <c r="C616" s="44" t="n">
        <v>45526.7797685185</v>
      </c>
      <c r="D616" s="43" t="n">
        <f aca="false">INT(C616)</f>
        <v>45526</v>
      </c>
      <c r="E616" s="43" t="n">
        <f aca="false">D616-WEEKDAY(D616,3)</f>
        <v>45523</v>
      </c>
      <c r="F616" s="29" t="s">
        <v>172</v>
      </c>
      <c r="G616" s="29" t="n">
        <v>2024</v>
      </c>
      <c r="H616" s="29" t="s">
        <v>253</v>
      </c>
      <c r="I616" s="29" t="n">
        <v>18</v>
      </c>
      <c r="J616" s="29" t="s">
        <v>250</v>
      </c>
      <c r="K616" s="29" t="s">
        <v>251</v>
      </c>
      <c r="L616" s="29" t="n">
        <v>0.03</v>
      </c>
      <c r="M616" s="32" t="n">
        <v>19685.02</v>
      </c>
      <c r="N616" s="32" t="n">
        <v>19700.99</v>
      </c>
      <c r="O616" s="32" t="n">
        <v>19645.9</v>
      </c>
      <c r="P616" s="45" t="n">
        <f aca="false">ABS(M616-N616)</f>
        <v>15.9700000000012</v>
      </c>
      <c r="Q616" s="45" t="n">
        <f aca="false">IF(O616="","",ABS(O616-M616))</f>
        <v>39.119999999999</v>
      </c>
      <c r="R616" s="31" t="n">
        <f aca="false">P616*L616*Summary!$C$6</f>
        <v>47.9100000000035</v>
      </c>
      <c r="S616" s="32" t="n">
        <v>19645.8</v>
      </c>
      <c r="T616" s="29" t="s">
        <v>227</v>
      </c>
      <c r="U616" s="45" t="n">
        <f aca="false">IF(J616="BUY",S616-M616,M616-S616)</f>
        <v>39.2200000000012</v>
      </c>
      <c r="V616" s="46" t="n">
        <v>0</v>
      </c>
      <c r="W616" s="46" t="n">
        <v>0</v>
      </c>
      <c r="X616" s="46" t="n">
        <v>117.66</v>
      </c>
      <c r="Y616" s="33" t="n">
        <f aca="false">IFERROR(X616/R616,0)</f>
        <v>2.4558547276141</v>
      </c>
      <c r="Z616" s="29" t="str">
        <f aca="false">IF(X616&gt;0,"Win",IF(X616&lt;0,"Loss","Flat"))</f>
        <v>Win</v>
      </c>
      <c r="AA616" s="29" t="n">
        <f aca="false">ROUND((C616-B616)*1440,1)</f>
        <v>4.9</v>
      </c>
      <c r="AB616" s="29" t="str">
        <f aca="false">IF(AA616&lt;1,"a) &lt;1 min",IF(AA616&lt;10,"b) 1-10 min",IF(AA616&lt;60,"c) 10-60 min",IF(AA616&lt;240,"d) 1-4 h","e) 4 h+"))))</f>
        <v>b) 1-10 min</v>
      </c>
      <c r="AC616" s="29" t="str">
        <f aca="false">IF(P616&lt;10,"a) &lt;10",IF(P616&lt;20,"b) 10-20",IF(P616&lt;40,"c) 20-40",IF(P616&lt;80,"d) 40-80","e) 80+"))))</f>
        <v>b) 10-20</v>
      </c>
      <c r="AD616" s="31" t="n">
        <f aca="false">Summary!$C$5+SUM(X$2:X616)</f>
        <v>14546.63</v>
      </c>
      <c r="AE616" s="31" t="n">
        <f aca="false">MAX(AE615,AD616)</f>
        <v>15756.64</v>
      </c>
      <c r="AF616" s="31" t="n">
        <f aca="false">AE616-AD616</f>
        <v>1210.01</v>
      </c>
      <c r="AG616" s="30" t="n">
        <f aca="false">IFERROR(AF616/AE616,0)</f>
        <v>0.0767936565156022</v>
      </c>
    </row>
    <row r="617" customFormat="false" ht="15" hidden="false" customHeight="false" outlineLevel="0" collapsed="false">
      <c r="A617" s="29" t="n">
        <v>616</v>
      </c>
      <c r="B617" s="44" t="n">
        <v>45530.7305555556</v>
      </c>
      <c r="C617" s="44" t="n">
        <v>45530.7349074074</v>
      </c>
      <c r="D617" s="43" t="n">
        <f aca="false">INT(C617)</f>
        <v>45530</v>
      </c>
      <c r="E617" s="43" t="n">
        <f aca="false">D617-WEEKDAY(D617,3)</f>
        <v>45530</v>
      </c>
      <c r="F617" s="29" t="s">
        <v>172</v>
      </c>
      <c r="G617" s="29" t="n">
        <v>2024</v>
      </c>
      <c r="H617" s="29" t="s">
        <v>245</v>
      </c>
      <c r="I617" s="29" t="n">
        <v>17</v>
      </c>
      <c r="J617" s="29" t="s">
        <v>250</v>
      </c>
      <c r="K617" s="29" t="s">
        <v>251</v>
      </c>
      <c r="L617" s="29" t="n">
        <v>0.03</v>
      </c>
      <c r="M617" s="32" t="n">
        <v>19504.49</v>
      </c>
      <c r="N617" s="32" t="n">
        <v>19524.01</v>
      </c>
      <c r="O617" s="32" t="n">
        <v>19456.67</v>
      </c>
      <c r="P617" s="45" t="n">
        <f aca="false">ABS(M617-N617)</f>
        <v>19.5199999999968</v>
      </c>
      <c r="Q617" s="45" t="n">
        <f aca="false">IF(O617="","",ABS(O617-M617))</f>
        <v>47.8200000000034</v>
      </c>
      <c r="R617" s="31" t="n">
        <f aca="false">P617*L617*Summary!$C$6</f>
        <v>58.5599999999904</v>
      </c>
      <c r="S617" s="32" t="n">
        <v>19456.1</v>
      </c>
      <c r="T617" s="29" t="s">
        <v>227</v>
      </c>
      <c r="U617" s="45" t="n">
        <f aca="false">IF(J617="BUY",S617-M617,M617-S617)</f>
        <v>48.3900000000031</v>
      </c>
      <c r="V617" s="46" t="n">
        <v>0</v>
      </c>
      <c r="W617" s="46" t="n">
        <v>0</v>
      </c>
      <c r="X617" s="46" t="n">
        <v>145.17</v>
      </c>
      <c r="Y617" s="33" t="n">
        <f aca="false">IFERROR(X617/R617,0)</f>
        <v>2.47899590163975</v>
      </c>
      <c r="Z617" s="29" t="str">
        <f aca="false">IF(X617&gt;0,"Win",IF(X617&lt;0,"Loss","Flat"))</f>
        <v>Win</v>
      </c>
      <c r="AA617" s="29" t="n">
        <f aca="false">ROUND((C617-B617)*1440,1)</f>
        <v>6.3</v>
      </c>
      <c r="AB617" s="29" t="str">
        <f aca="false">IF(AA617&lt;1,"a) &lt;1 min",IF(AA617&lt;10,"b) 1-10 min",IF(AA617&lt;60,"c) 10-60 min",IF(AA617&lt;240,"d) 1-4 h","e) 4 h+"))))</f>
        <v>b) 1-10 min</v>
      </c>
      <c r="AC617" s="29" t="str">
        <f aca="false">IF(P617&lt;10,"a) &lt;10",IF(P617&lt;20,"b) 10-20",IF(P617&lt;40,"c) 20-40",IF(P617&lt;80,"d) 40-80","e) 80+"))))</f>
        <v>b) 10-20</v>
      </c>
      <c r="AD617" s="31" t="n">
        <f aca="false">Summary!$C$5+SUM(X$2:X617)</f>
        <v>14691.8</v>
      </c>
      <c r="AE617" s="31" t="n">
        <f aca="false">MAX(AE616,AD617)</f>
        <v>15756.64</v>
      </c>
      <c r="AF617" s="31" t="n">
        <f aca="false">AE617-AD617</f>
        <v>1064.84</v>
      </c>
      <c r="AG617" s="30" t="n">
        <f aca="false">IFERROR(AF617/AE617,0)</f>
        <v>0.0675803978513186</v>
      </c>
    </row>
    <row r="618" customFormat="false" ht="15" hidden="false" customHeight="false" outlineLevel="0" collapsed="false">
      <c r="A618" s="29" t="n">
        <v>617</v>
      </c>
      <c r="B618" s="44" t="n">
        <v>45531.6701388889</v>
      </c>
      <c r="C618" s="44" t="n">
        <v>45531.6726273148</v>
      </c>
      <c r="D618" s="43" t="n">
        <f aca="false">INT(C618)</f>
        <v>45531</v>
      </c>
      <c r="E618" s="43" t="n">
        <f aca="false">D618-WEEKDAY(D618,3)</f>
        <v>45530</v>
      </c>
      <c r="F618" s="29" t="s">
        <v>172</v>
      </c>
      <c r="G618" s="29" t="n">
        <v>2024</v>
      </c>
      <c r="H618" s="29" t="s">
        <v>248</v>
      </c>
      <c r="I618" s="29" t="n">
        <v>16</v>
      </c>
      <c r="J618" s="29" t="s">
        <v>250</v>
      </c>
      <c r="K618" s="29" t="s">
        <v>251</v>
      </c>
      <c r="L618" s="29" t="n">
        <v>0.03</v>
      </c>
      <c r="M618" s="32" t="n">
        <v>19411.63</v>
      </c>
      <c r="N618" s="32" t="n">
        <v>19426.29</v>
      </c>
      <c r="O618" s="32" t="n">
        <v>19375.7</v>
      </c>
      <c r="P618" s="45" t="n">
        <f aca="false">ABS(M618-N618)</f>
        <v>14.6599999999999</v>
      </c>
      <c r="Q618" s="45" t="n">
        <f aca="false">IF(O618="","",ABS(O618-M618))</f>
        <v>35.9300000000003</v>
      </c>
      <c r="R618" s="31" t="n">
        <f aca="false">P618*L618*Summary!$C$6</f>
        <v>43.9799999999996</v>
      </c>
      <c r="S618" s="32" t="n">
        <v>19426.32</v>
      </c>
      <c r="T618" s="29" t="s">
        <v>249</v>
      </c>
      <c r="U618" s="45" t="n">
        <f aca="false">IF(J618="BUY",S618-M618,M618-S618)</f>
        <v>-14.6899999999987</v>
      </c>
      <c r="V618" s="46" t="n">
        <v>0</v>
      </c>
      <c r="W618" s="46" t="n">
        <v>0</v>
      </c>
      <c r="X618" s="46" t="n">
        <v>-44.07</v>
      </c>
      <c r="Y618" s="33" t="n">
        <f aca="false">IFERROR(X618/R618,0)</f>
        <v>-1.00204638472034</v>
      </c>
      <c r="Z618" s="29" t="str">
        <f aca="false">IF(X618&gt;0,"Win",IF(X618&lt;0,"Loss","Flat"))</f>
        <v>Loss</v>
      </c>
      <c r="AA618" s="29" t="n">
        <f aca="false">ROUND((C618-B618)*1440,1)</f>
        <v>3.6</v>
      </c>
      <c r="AB618" s="29" t="str">
        <f aca="false">IF(AA618&lt;1,"a) &lt;1 min",IF(AA618&lt;10,"b) 1-10 min",IF(AA618&lt;60,"c) 10-60 min",IF(AA618&lt;240,"d) 1-4 h","e) 4 h+"))))</f>
        <v>b) 1-10 min</v>
      </c>
      <c r="AC618" s="29" t="str">
        <f aca="false">IF(P618&lt;10,"a) &lt;10",IF(P618&lt;20,"b) 10-20",IF(P618&lt;40,"c) 20-40",IF(P618&lt;80,"d) 40-80","e) 80+"))))</f>
        <v>b) 10-20</v>
      </c>
      <c r="AD618" s="31" t="n">
        <f aca="false">Summary!$C$5+SUM(X$2:X618)</f>
        <v>14647.73</v>
      </c>
      <c r="AE618" s="31" t="n">
        <f aca="false">MAX(AE617,AD618)</f>
        <v>15756.64</v>
      </c>
      <c r="AF618" s="31" t="n">
        <f aca="false">AE618-AD618</f>
        <v>1108.91</v>
      </c>
      <c r="AG618" s="30" t="n">
        <f aca="false">IFERROR(AF618/AE618,0)</f>
        <v>0.0703773139451051</v>
      </c>
    </row>
    <row r="619" customFormat="false" ht="15" hidden="false" customHeight="false" outlineLevel="0" collapsed="false">
      <c r="A619" s="29" t="n">
        <v>618</v>
      </c>
      <c r="B619" s="44" t="n">
        <v>45532.7520833333</v>
      </c>
      <c r="C619" s="44" t="n">
        <v>45532.7555671296</v>
      </c>
      <c r="D619" s="43" t="n">
        <f aca="false">INT(C619)</f>
        <v>45532</v>
      </c>
      <c r="E619" s="43" t="n">
        <f aca="false">D619-WEEKDAY(D619,3)</f>
        <v>45530</v>
      </c>
      <c r="F619" s="29" t="s">
        <v>172</v>
      </c>
      <c r="G619" s="29" t="n">
        <v>2024</v>
      </c>
      <c r="H619" s="29" t="s">
        <v>252</v>
      </c>
      <c r="I619" s="29" t="n">
        <v>18</v>
      </c>
      <c r="J619" s="29" t="s">
        <v>250</v>
      </c>
      <c r="K619" s="29" t="s">
        <v>251</v>
      </c>
      <c r="L619" s="29" t="n">
        <v>0.03</v>
      </c>
      <c r="M619" s="32" t="n">
        <v>19359.14</v>
      </c>
      <c r="N619" s="32" t="n">
        <v>19377.17</v>
      </c>
      <c r="O619" s="32" t="n">
        <v>19314.98</v>
      </c>
      <c r="P619" s="45" t="n">
        <f aca="false">ABS(M619-N619)</f>
        <v>18.0299999999988</v>
      </c>
      <c r="Q619" s="45" t="n">
        <f aca="false">IF(O619="","",ABS(O619-M619))</f>
        <v>44.1599999999999</v>
      </c>
      <c r="R619" s="31" t="n">
        <f aca="false">P619*L619*Summary!$C$6</f>
        <v>54.0899999999965</v>
      </c>
      <c r="S619" s="32" t="n">
        <v>19378.03</v>
      </c>
      <c r="T619" s="29" t="s">
        <v>249</v>
      </c>
      <c r="U619" s="45" t="n">
        <f aca="false">IF(J619="BUY",S619-M619,M619-S619)</f>
        <v>-18.8899999999994</v>
      </c>
      <c r="V619" s="46" t="n">
        <v>0</v>
      </c>
      <c r="W619" s="46" t="n">
        <v>0</v>
      </c>
      <c r="X619" s="46" t="n">
        <v>-56.67</v>
      </c>
      <c r="Y619" s="33" t="n">
        <f aca="false">IFERROR(X619/R619,0)</f>
        <v>-1.04769828064344</v>
      </c>
      <c r="Z619" s="29" t="str">
        <f aca="false">IF(X619&gt;0,"Win",IF(X619&lt;0,"Loss","Flat"))</f>
        <v>Loss</v>
      </c>
      <c r="AA619" s="29" t="n">
        <f aca="false">ROUND((C619-B619)*1440,1)</f>
        <v>5</v>
      </c>
      <c r="AB619" s="29" t="str">
        <f aca="false">IF(AA619&lt;1,"a) &lt;1 min",IF(AA619&lt;10,"b) 1-10 min",IF(AA619&lt;60,"c) 10-60 min",IF(AA619&lt;240,"d) 1-4 h","e) 4 h+"))))</f>
        <v>b) 1-10 min</v>
      </c>
      <c r="AC619" s="29" t="str">
        <f aca="false">IF(P619&lt;10,"a) &lt;10",IF(P619&lt;20,"b) 10-20",IF(P619&lt;40,"c) 20-40",IF(P619&lt;80,"d) 40-80","e) 80+"))))</f>
        <v>b) 10-20</v>
      </c>
      <c r="AD619" s="31" t="n">
        <f aca="false">Summary!$C$5+SUM(X$2:X619)</f>
        <v>14591.06</v>
      </c>
      <c r="AE619" s="31" t="n">
        <f aca="false">MAX(AE618,AD619)</f>
        <v>15756.64</v>
      </c>
      <c r="AF619" s="31" t="n">
        <f aca="false">AE619-AD619</f>
        <v>1165.58</v>
      </c>
      <c r="AG619" s="30" t="n">
        <f aca="false">IFERROR(AF619/AE619,0)</f>
        <v>0.073973892911179</v>
      </c>
    </row>
    <row r="620" customFormat="false" ht="15" hidden="false" customHeight="false" outlineLevel="0" collapsed="false">
      <c r="A620" s="29" t="n">
        <v>619</v>
      </c>
      <c r="B620" s="44" t="n">
        <v>45533.0457523148</v>
      </c>
      <c r="C620" s="44" t="n">
        <v>45533.1559375</v>
      </c>
      <c r="D620" s="43" t="n">
        <f aca="false">INT(C620)</f>
        <v>45533</v>
      </c>
      <c r="E620" s="43" t="n">
        <f aca="false">D620-WEEKDAY(D620,3)</f>
        <v>45530</v>
      </c>
      <c r="F620" s="29" t="s">
        <v>172</v>
      </c>
      <c r="G620" s="29" t="n">
        <v>2024</v>
      </c>
      <c r="H620" s="29" t="s">
        <v>253</v>
      </c>
      <c r="I620" s="29" t="n">
        <v>1</v>
      </c>
      <c r="J620" s="29" t="s">
        <v>250</v>
      </c>
      <c r="K620" s="29" t="s">
        <v>251</v>
      </c>
      <c r="L620" s="29" t="n">
        <v>0.03</v>
      </c>
      <c r="M620" s="32" t="n">
        <v>19186.41</v>
      </c>
      <c r="N620" s="32" t="n">
        <v>19237.11</v>
      </c>
      <c r="O620" s="32" t="n">
        <v>19062.2</v>
      </c>
      <c r="P620" s="45" t="n">
        <f aca="false">ABS(M620-N620)</f>
        <v>50.7000000000007</v>
      </c>
      <c r="Q620" s="45" t="n">
        <f aca="false">IF(O620="","",ABS(O620-M620))</f>
        <v>124.209999999999</v>
      </c>
      <c r="R620" s="31" t="n">
        <f aca="false">P620*L620*Summary!$C$6</f>
        <v>152.100000000002</v>
      </c>
      <c r="S620" s="32" t="n">
        <v>19186.9</v>
      </c>
      <c r="T620" s="29" t="s">
        <v>255</v>
      </c>
      <c r="U620" s="45" t="n">
        <f aca="false">IF(J620="BUY",S620-M620,M620-S620)</f>
        <v>-0.490000000001601</v>
      </c>
      <c r="V620" s="46" t="n">
        <v>0</v>
      </c>
      <c r="W620" s="46" t="n">
        <v>0</v>
      </c>
      <c r="X620" s="46" t="n">
        <v>-1.47</v>
      </c>
      <c r="Y620" s="33" t="n">
        <f aca="false">IFERROR(X620/R620,0)</f>
        <v>-0.00966469428007876</v>
      </c>
      <c r="Z620" s="29" t="str">
        <f aca="false">IF(X620&gt;0,"Win",IF(X620&lt;0,"Loss","Flat"))</f>
        <v>Loss</v>
      </c>
      <c r="AA620" s="29" t="n">
        <f aca="false">ROUND((C620-B620)*1440,1)</f>
        <v>158.7</v>
      </c>
      <c r="AB620" s="29" t="str">
        <f aca="false">IF(AA620&lt;1,"a) &lt;1 min",IF(AA620&lt;10,"b) 1-10 min",IF(AA620&lt;60,"c) 10-60 min",IF(AA620&lt;240,"d) 1-4 h","e) 4 h+"))))</f>
        <v>d) 1-4 h</v>
      </c>
      <c r="AC620" s="29" t="str">
        <f aca="false">IF(P620&lt;10,"a) &lt;10",IF(P620&lt;20,"b) 10-20",IF(P620&lt;40,"c) 20-40",IF(P620&lt;80,"d) 40-80","e) 80+"))))</f>
        <v>d) 40-80</v>
      </c>
      <c r="AD620" s="31" t="n">
        <f aca="false">Summary!$C$5+SUM(X$2:X620)</f>
        <v>14589.59</v>
      </c>
      <c r="AE620" s="31" t="n">
        <f aca="false">MAX(AE619,AD620)</f>
        <v>15756.64</v>
      </c>
      <c r="AF620" s="31" t="n">
        <f aca="false">AE620-AD620</f>
        <v>1167.05</v>
      </c>
      <c r="AG620" s="30" t="n">
        <f aca="false">IFERROR(AF620/AE620,0)</f>
        <v>0.0740671869129459</v>
      </c>
    </row>
    <row r="621" customFormat="false" ht="15" hidden="false" customHeight="false" outlineLevel="0" collapsed="false">
      <c r="A621" s="29" t="n">
        <v>620</v>
      </c>
      <c r="B621" s="44" t="n">
        <v>45533.825</v>
      </c>
      <c r="C621" s="44" t="n">
        <v>45533.8259722222</v>
      </c>
      <c r="D621" s="43" t="n">
        <f aca="false">INT(C621)</f>
        <v>45533</v>
      </c>
      <c r="E621" s="43" t="n">
        <f aca="false">D621-WEEKDAY(D621,3)</f>
        <v>45530</v>
      </c>
      <c r="F621" s="29" t="s">
        <v>172</v>
      </c>
      <c r="G621" s="29" t="n">
        <v>2024</v>
      </c>
      <c r="H621" s="29" t="s">
        <v>253</v>
      </c>
      <c r="I621" s="29" t="n">
        <v>19</v>
      </c>
      <c r="J621" s="29" t="s">
        <v>246</v>
      </c>
      <c r="K621" s="29" t="s">
        <v>247</v>
      </c>
      <c r="L621" s="29" t="n">
        <v>0.03</v>
      </c>
      <c r="M621" s="32" t="n">
        <v>19624.03</v>
      </c>
      <c r="N621" s="32" t="n">
        <v>19614.36</v>
      </c>
      <c r="O621" s="32" t="n">
        <v>19647.72</v>
      </c>
      <c r="P621" s="45" t="n">
        <f aca="false">ABS(M621-N621)</f>
        <v>9.66999999999825</v>
      </c>
      <c r="Q621" s="45" t="n">
        <f aca="false">IF(O621="","",ABS(O621-M621))</f>
        <v>23.6900000000023</v>
      </c>
      <c r="R621" s="31" t="n">
        <f aca="false">P621*L621*Summary!$C$6</f>
        <v>29.0099999999948</v>
      </c>
      <c r="S621" s="32" t="n">
        <v>19613.82</v>
      </c>
      <c r="T621" s="29" t="s">
        <v>249</v>
      </c>
      <c r="U621" s="45" t="n">
        <f aca="false">IF(J621="BUY",S621-M621,M621-S621)</f>
        <v>-10.2099999999991</v>
      </c>
      <c r="V621" s="46" t="n">
        <v>0</v>
      </c>
      <c r="W621" s="46" t="n">
        <v>0</v>
      </c>
      <c r="X621" s="46" t="n">
        <v>-30.63</v>
      </c>
      <c r="Y621" s="33" t="n">
        <f aca="false">IFERROR(X621/R621,0)</f>
        <v>-1.05584281282336</v>
      </c>
      <c r="Z621" s="29" t="str">
        <f aca="false">IF(X621&gt;0,"Win",IF(X621&lt;0,"Loss","Flat"))</f>
        <v>Loss</v>
      </c>
      <c r="AA621" s="29" t="n">
        <f aca="false">ROUND((C621-B621)*1440,1)</f>
        <v>1.4</v>
      </c>
      <c r="AB621" s="29" t="str">
        <f aca="false">IF(AA621&lt;1,"a) &lt;1 min",IF(AA621&lt;10,"b) 1-10 min",IF(AA621&lt;60,"c) 10-60 min",IF(AA621&lt;240,"d) 1-4 h","e) 4 h+"))))</f>
        <v>b) 1-10 min</v>
      </c>
      <c r="AC621" s="29" t="str">
        <f aca="false">IF(P621&lt;10,"a) &lt;10",IF(P621&lt;20,"b) 10-20",IF(P621&lt;40,"c) 20-40",IF(P621&lt;80,"d) 40-80","e) 80+"))))</f>
        <v>a) &lt;10</v>
      </c>
      <c r="AD621" s="31" t="n">
        <f aca="false">Summary!$C$5+SUM(X$2:X621)</f>
        <v>14558.96</v>
      </c>
      <c r="AE621" s="31" t="n">
        <f aca="false">MAX(AE620,AD621)</f>
        <v>15756.64</v>
      </c>
      <c r="AF621" s="31" t="n">
        <f aca="false">AE621-AD621</f>
        <v>1197.68</v>
      </c>
      <c r="AG621" s="30" t="n">
        <f aca="false">IFERROR(AF621/AE621,0)</f>
        <v>0.0760111292762924</v>
      </c>
    </row>
    <row r="622" customFormat="false" ht="15" hidden="false" customHeight="false" outlineLevel="0" collapsed="false">
      <c r="A622" s="29" t="n">
        <v>621</v>
      </c>
      <c r="B622" s="44" t="n">
        <v>45537.6951388889</v>
      </c>
      <c r="C622" s="44" t="n">
        <v>45537.7011226852</v>
      </c>
      <c r="D622" s="43" t="n">
        <f aca="false">INT(C622)</f>
        <v>45537</v>
      </c>
      <c r="E622" s="43" t="n">
        <f aca="false">D622-WEEKDAY(D622,3)</f>
        <v>45537</v>
      </c>
      <c r="F622" s="29" t="s">
        <v>173</v>
      </c>
      <c r="G622" s="29" t="n">
        <v>2024</v>
      </c>
      <c r="H622" s="29" t="s">
        <v>245</v>
      </c>
      <c r="I622" s="29" t="n">
        <v>16</v>
      </c>
      <c r="J622" s="29" t="s">
        <v>246</v>
      </c>
      <c r="K622" s="29" t="s">
        <v>247</v>
      </c>
      <c r="L622" s="29" t="n">
        <v>0.03</v>
      </c>
      <c r="M622" s="32" t="n">
        <v>19582.09</v>
      </c>
      <c r="N622" s="32" t="n">
        <v>19576.84</v>
      </c>
      <c r="O622" s="32" t="n">
        <v>19594.96</v>
      </c>
      <c r="P622" s="45" t="n">
        <f aca="false">ABS(M622-N622)</f>
        <v>5.25</v>
      </c>
      <c r="Q622" s="45" t="n">
        <f aca="false">IF(O622="","",ABS(O622-M622))</f>
        <v>12.869999999999</v>
      </c>
      <c r="R622" s="31" t="n">
        <f aca="false">P622*L622*Summary!$C$6</f>
        <v>15.75</v>
      </c>
      <c r="S622" s="32" t="n">
        <v>19581.88</v>
      </c>
      <c r="T622" s="29" t="s">
        <v>255</v>
      </c>
      <c r="U622" s="45" t="n">
        <f aca="false">IF(J622="BUY",S622-M622,M622-S622)</f>
        <v>-0.209999999999127</v>
      </c>
      <c r="V622" s="46" t="n">
        <v>0</v>
      </c>
      <c r="W622" s="46" t="n">
        <v>0</v>
      </c>
      <c r="X622" s="46" t="n">
        <v>-0.63</v>
      </c>
      <c r="Y622" s="33" t="n">
        <f aca="false">IFERROR(X622/R622,0)</f>
        <v>-0.04</v>
      </c>
      <c r="Z622" s="29" t="str">
        <f aca="false">IF(X622&gt;0,"Win",IF(X622&lt;0,"Loss","Flat"))</f>
        <v>Loss</v>
      </c>
      <c r="AA622" s="29" t="n">
        <f aca="false">ROUND((C622-B622)*1440,1)</f>
        <v>8.6</v>
      </c>
      <c r="AB622" s="29" t="str">
        <f aca="false">IF(AA622&lt;1,"a) &lt;1 min",IF(AA622&lt;10,"b) 1-10 min",IF(AA622&lt;60,"c) 10-60 min",IF(AA622&lt;240,"d) 1-4 h","e) 4 h+"))))</f>
        <v>b) 1-10 min</v>
      </c>
      <c r="AC622" s="29" t="str">
        <f aca="false">IF(P622&lt;10,"a) &lt;10",IF(P622&lt;20,"b) 10-20",IF(P622&lt;40,"c) 20-40",IF(P622&lt;80,"d) 40-80","e) 80+"))))</f>
        <v>a) &lt;10</v>
      </c>
      <c r="AD622" s="31" t="n">
        <f aca="false">Summary!$C$5+SUM(X$2:X622)</f>
        <v>14558.33</v>
      </c>
      <c r="AE622" s="31" t="n">
        <f aca="false">MAX(AE621,AD622)</f>
        <v>15756.64</v>
      </c>
      <c r="AF622" s="31" t="n">
        <f aca="false">AE622-AD622</f>
        <v>1198.31</v>
      </c>
      <c r="AG622" s="30" t="n">
        <f aca="false">IFERROR(AF622/AE622,0)</f>
        <v>0.0760511124199068</v>
      </c>
    </row>
    <row r="623" customFormat="false" ht="15" hidden="false" customHeight="false" outlineLevel="0" collapsed="false">
      <c r="A623" s="29" t="n">
        <v>622</v>
      </c>
      <c r="B623" s="44" t="n">
        <v>45538.0444444444</v>
      </c>
      <c r="C623" s="44" t="n">
        <v>45538.0539930556</v>
      </c>
      <c r="D623" s="43" t="n">
        <f aca="false">INT(C623)</f>
        <v>45538</v>
      </c>
      <c r="E623" s="43" t="n">
        <f aca="false">D623-WEEKDAY(D623,3)</f>
        <v>45537</v>
      </c>
      <c r="F623" s="29" t="s">
        <v>173</v>
      </c>
      <c r="G623" s="29" t="n">
        <v>2024</v>
      </c>
      <c r="H623" s="29" t="s">
        <v>248</v>
      </c>
      <c r="I623" s="29" t="n">
        <v>1</v>
      </c>
      <c r="J623" s="29" t="s">
        <v>246</v>
      </c>
      <c r="K623" s="29" t="s">
        <v>247</v>
      </c>
      <c r="L623" s="29" t="n">
        <v>0.03</v>
      </c>
      <c r="M623" s="32" t="n">
        <v>19629.12</v>
      </c>
      <c r="N623" s="32" t="n">
        <v>19617.64</v>
      </c>
      <c r="O623" s="32" t="n">
        <v>19657.25</v>
      </c>
      <c r="P623" s="45" t="n">
        <f aca="false">ABS(M623-N623)</f>
        <v>11.4799999999996</v>
      </c>
      <c r="Q623" s="45" t="n">
        <f aca="false">IF(O623="","",ABS(O623-M623))</f>
        <v>28.130000000001</v>
      </c>
      <c r="R623" s="31" t="n">
        <f aca="false">P623*L623*Summary!$C$6</f>
        <v>34.4399999999987</v>
      </c>
      <c r="S623" s="32" t="n">
        <v>19617.35</v>
      </c>
      <c r="T623" s="29" t="s">
        <v>249</v>
      </c>
      <c r="U623" s="45" t="n">
        <f aca="false">IF(J623="BUY",S623-M623,M623-S623)</f>
        <v>-11.7700000000004</v>
      </c>
      <c r="V623" s="46" t="n">
        <v>0</v>
      </c>
      <c r="W623" s="46" t="n">
        <v>0</v>
      </c>
      <c r="X623" s="46" t="n">
        <v>-35.31</v>
      </c>
      <c r="Y623" s="33" t="n">
        <f aca="false">IFERROR(X623/R623,0)</f>
        <v>-1.02526132404185</v>
      </c>
      <c r="Z623" s="29" t="str">
        <f aca="false">IF(X623&gt;0,"Win",IF(X623&lt;0,"Loss","Flat"))</f>
        <v>Loss</v>
      </c>
      <c r="AA623" s="29" t="n">
        <f aca="false">ROUND((C623-B623)*1440,1)</f>
        <v>13.8</v>
      </c>
      <c r="AB623" s="29" t="str">
        <f aca="false">IF(AA623&lt;1,"a) &lt;1 min",IF(AA623&lt;10,"b) 1-10 min",IF(AA623&lt;60,"c) 10-60 min",IF(AA623&lt;240,"d) 1-4 h","e) 4 h+"))))</f>
        <v>c) 10-60 min</v>
      </c>
      <c r="AC623" s="29" t="str">
        <f aca="false">IF(P623&lt;10,"a) &lt;10",IF(P623&lt;20,"b) 10-20",IF(P623&lt;40,"c) 20-40",IF(P623&lt;80,"d) 40-80","e) 80+"))))</f>
        <v>b) 10-20</v>
      </c>
      <c r="AD623" s="31" t="n">
        <f aca="false">Summary!$C$5+SUM(X$2:X623)</f>
        <v>14523.02</v>
      </c>
      <c r="AE623" s="31" t="n">
        <f aca="false">MAX(AE622,AD623)</f>
        <v>15756.64</v>
      </c>
      <c r="AF623" s="31" t="n">
        <f aca="false">AE623-AD623</f>
        <v>1233.62</v>
      </c>
      <c r="AG623" s="30" t="n">
        <f aca="false">IFERROR(AF623/AE623,0)</f>
        <v>0.0782920724215314</v>
      </c>
    </row>
    <row r="624" customFormat="false" ht="15" hidden="false" customHeight="false" outlineLevel="0" collapsed="false">
      <c r="A624" s="29" t="n">
        <v>623</v>
      </c>
      <c r="B624" s="44" t="n">
        <v>45538.5</v>
      </c>
      <c r="C624" s="44" t="n">
        <v>45538.5027430556</v>
      </c>
      <c r="D624" s="43" t="n">
        <f aca="false">INT(C624)</f>
        <v>45538</v>
      </c>
      <c r="E624" s="43" t="n">
        <f aca="false">D624-WEEKDAY(D624,3)</f>
        <v>45537</v>
      </c>
      <c r="F624" s="29" t="s">
        <v>173</v>
      </c>
      <c r="G624" s="29" t="n">
        <v>2024</v>
      </c>
      <c r="H624" s="29" t="s">
        <v>248</v>
      </c>
      <c r="I624" s="29" t="n">
        <v>12</v>
      </c>
      <c r="J624" s="29" t="s">
        <v>250</v>
      </c>
      <c r="K624" s="29" t="s">
        <v>251</v>
      </c>
      <c r="L624" s="29" t="n">
        <v>0.03</v>
      </c>
      <c r="M624" s="32" t="n">
        <v>19450.39</v>
      </c>
      <c r="N624" s="32" t="n">
        <v>19463.04</v>
      </c>
      <c r="O624" s="32" t="n">
        <v>19419.4</v>
      </c>
      <c r="P624" s="45" t="n">
        <f aca="false">ABS(M624-N624)</f>
        <v>12.6500000000015</v>
      </c>
      <c r="Q624" s="45" t="n">
        <f aca="false">IF(O624="","",ABS(O624-M624))</f>
        <v>30.989999999998</v>
      </c>
      <c r="R624" s="31" t="n">
        <f aca="false">P624*L624*Summary!$C$6</f>
        <v>37.9500000000044</v>
      </c>
      <c r="S624" s="32" t="n">
        <v>19463.25</v>
      </c>
      <c r="T624" s="29" t="s">
        <v>249</v>
      </c>
      <c r="U624" s="45" t="n">
        <f aca="false">IF(J624="BUY",S624-M624,M624-S624)</f>
        <v>-12.8600000000006</v>
      </c>
      <c r="V624" s="46" t="n">
        <v>0</v>
      </c>
      <c r="W624" s="46" t="n">
        <v>0</v>
      </c>
      <c r="X624" s="46" t="n">
        <v>-38.58</v>
      </c>
      <c r="Y624" s="33" t="n">
        <f aca="false">IFERROR(X624/R624,0)</f>
        <v>-1.01660079051372</v>
      </c>
      <c r="Z624" s="29" t="str">
        <f aca="false">IF(X624&gt;0,"Win",IF(X624&lt;0,"Loss","Flat"))</f>
        <v>Loss</v>
      </c>
      <c r="AA624" s="29" t="n">
        <f aca="false">ROUND((C624-B624)*1440,1)</f>
        <v>4</v>
      </c>
      <c r="AB624" s="29" t="str">
        <f aca="false">IF(AA624&lt;1,"a) &lt;1 min",IF(AA624&lt;10,"b) 1-10 min",IF(AA624&lt;60,"c) 10-60 min",IF(AA624&lt;240,"d) 1-4 h","e) 4 h+"))))</f>
        <v>b) 1-10 min</v>
      </c>
      <c r="AC624" s="29" t="str">
        <f aca="false">IF(P624&lt;10,"a) &lt;10",IF(P624&lt;20,"b) 10-20",IF(P624&lt;40,"c) 20-40",IF(P624&lt;80,"d) 40-80","e) 80+"))))</f>
        <v>b) 10-20</v>
      </c>
      <c r="AD624" s="31" t="n">
        <f aca="false">Summary!$C$5+SUM(X$2:X624)</f>
        <v>14484.44</v>
      </c>
      <c r="AE624" s="31" t="n">
        <f aca="false">MAX(AE623,AD624)</f>
        <v>15756.64</v>
      </c>
      <c r="AF624" s="31" t="n">
        <f aca="false">AE624-AD624</f>
        <v>1272.2</v>
      </c>
      <c r="AG624" s="30" t="n">
        <f aca="false">IFERROR(AF624/AE624,0)</f>
        <v>0.0807405639781071</v>
      </c>
    </row>
    <row r="625" customFormat="false" ht="15" hidden="false" customHeight="false" outlineLevel="0" collapsed="false">
      <c r="A625" s="29" t="n">
        <v>624</v>
      </c>
      <c r="B625" s="44" t="n">
        <v>45539.1520833333</v>
      </c>
      <c r="C625" s="44" t="n">
        <v>45539.1557060185</v>
      </c>
      <c r="D625" s="43" t="n">
        <f aca="false">INT(C625)</f>
        <v>45539</v>
      </c>
      <c r="E625" s="43" t="n">
        <f aca="false">D625-WEEKDAY(D625,3)</f>
        <v>45537</v>
      </c>
      <c r="F625" s="29" t="s">
        <v>173</v>
      </c>
      <c r="G625" s="29" t="n">
        <v>2024</v>
      </c>
      <c r="H625" s="29" t="s">
        <v>252</v>
      </c>
      <c r="I625" s="29" t="n">
        <v>3</v>
      </c>
      <c r="J625" s="29" t="s">
        <v>250</v>
      </c>
      <c r="K625" s="29" t="s">
        <v>251</v>
      </c>
      <c r="L625" s="29" t="n">
        <v>0.03</v>
      </c>
      <c r="M625" s="32" t="n">
        <v>18863.78</v>
      </c>
      <c r="N625" s="32" t="n">
        <v>18879.08</v>
      </c>
      <c r="O625" s="32" t="n">
        <v>18826.29</v>
      </c>
      <c r="P625" s="45" t="n">
        <f aca="false">ABS(M625-N625)</f>
        <v>15.3000000000029</v>
      </c>
      <c r="Q625" s="45" t="n">
        <f aca="false">IF(O625="","",ABS(O625-M625))</f>
        <v>37.489999999998</v>
      </c>
      <c r="R625" s="31" t="n">
        <f aca="false">P625*L625*Summary!$C$6</f>
        <v>45.9000000000087</v>
      </c>
      <c r="S625" s="32" t="n">
        <v>18824.04</v>
      </c>
      <c r="T625" s="29" t="s">
        <v>227</v>
      </c>
      <c r="U625" s="45" t="n">
        <f aca="false">IF(J625="BUY",S625-M625,M625-S625)</f>
        <v>39.739999999998</v>
      </c>
      <c r="V625" s="46" t="n">
        <v>0</v>
      </c>
      <c r="W625" s="46" t="n">
        <v>0</v>
      </c>
      <c r="X625" s="46" t="n">
        <v>119.22</v>
      </c>
      <c r="Y625" s="33" t="n">
        <f aca="false">IFERROR(X625/R625,0)</f>
        <v>2.59738562091454</v>
      </c>
      <c r="Z625" s="29" t="str">
        <f aca="false">IF(X625&gt;0,"Win",IF(X625&lt;0,"Loss","Flat"))</f>
        <v>Win</v>
      </c>
      <c r="AA625" s="29" t="n">
        <f aca="false">ROUND((C625-B625)*1440,1)</f>
        <v>5.2</v>
      </c>
      <c r="AB625" s="29" t="str">
        <f aca="false">IF(AA625&lt;1,"a) &lt;1 min",IF(AA625&lt;10,"b) 1-10 min",IF(AA625&lt;60,"c) 10-60 min",IF(AA625&lt;240,"d) 1-4 h","e) 4 h+"))))</f>
        <v>b) 1-10 min</v>
      </c>
      <c r="AC625" s="29" t="str">
        <f aca="false">IF(P625&lt;10,"a) &lt;10",IF(P625&lt;20,"b) 10-20",IF(P625&lt;40,"c) 20-40",IF(P625&lt;80,"d) 40-80","e) 80+"))))</f>
        <v>b) 10-20</v>
      </c>
      <c r="AD625" s="31" t="n">
        <f aca="false">Summary!$C$5+SUM(X$2:X625)</f>
        <v>14603.66</v>
      </c>
      <c r="AE625" s="31" t="n">
        <f aca="false">MAX(AE624,AD625)</f>
        <v>15756.64</v>
      </c>
      <c r="AF625" s="31" t="n">
        <f aca="false">AE625-AD625</f>
        <v>1152.98</v>
      </c>
      <c r="AG625" s="30" t="n">
        <f aca="false">IFERROR(AF625/AE625,0)</f>
        <v>0.0731742300388915</v>
      </c>
    </row>
    <row r="626" customFormat="false" ht="15" hidden="false" customHeight="false" outlineLevel="0" collapsed="false">
      <c r="A626" s="29" t="n">
        <v>625</v>
      </c>
      <c r="B626" s="44" t="n">
        <v>45540.725</v>
      </c>
      <c r="C626" s="44" t="n">
        <v>45540.7285532407</v>
      </c>
      <c r="D626" s="43" t="n">
        <f aca="false">INT(C626)</f>
        <v>45540</v>
      </c>
      <c r="E626" s="43" t="n">
        <f aca="false">D626-WEEKDAY(D626,3)</f>
        <v>45537</v>
      </c>
      <c r="F626" s="29" t="s">
        <v>173</v>
      </c>
      <c r="G626" s="29" t="n">
        <v>2024</v>
      </c>
      <c r="H626" s="29" t="s">
        <v>253</v>
      </c>
      <c r="I626" s="29" t="n">
        <v>17</v>
      </c>
      <c r="J626" s="29" t="s">
        <v>246</v>
      </c>
      <c r="K626" s="29" t="s">
        <v>247</v>
      </c>
      <c r="L626" s="29" t="n">
        <v>0.03</v>
      </c>
      <c r="M626" s="32" t="n">
        <v>19070.14</v>
      </c>
      <c r="N626" s="32" t="n">
        <v>19051.13</v>
      </c>
      <c r="O626" s="32" t="n">
        <v>19113.92</v>
      </c>
      <c r="P626" s="45" t="n">
        <f aca="false">ABS(M626-N626)</f>
        <v>19.0099999999984</v>
      </c>
      <c r="Q626" s="45" t="n">
        <f aca="false">IF(O626="","",ABS(O626-M626))</f>
        <v>43.7799999999988</v>
      </c>
      <c r="R626" s="31" t="n">
        <f aca="false">P626*L626*Summary!$C$6</f>
        <v>57.0299999999952</v>
      </c>
      <c r="S626" s="32" t="n">
        <v>19069.45</v>
      </c>
      <c r="T626" s="29" t="s">
        <v>255</v>
      </c>
      <c r="U626" s="45" t="n">
        <f aca="false">IF(J626="BUY",S626-M626,M626-S626)</f>
        <v>-0.68999999999869</v>
      </c>
      <c r="V626" s="46" t="n">
        <v>0</v>
      </c>
      <c r="W626" s="46" t="n">
        <v>0</v>
      </c>
      <c r="X626" s="46" t="n">
        <v>-2.07</v>
      </c>
      <c r="Y626" s="33" t="n">
        <f aca="false">IFERROR(X626/R626,0)</f>
        <v>-0.0362966859547637</v>
      </c>
      <c r="Z626" s="29" t="str">
        <f aca="false">IF(X626&gt;0,"Win",IF(X626&lt;0,"Loss","Flat"))</f>
        <v>Loss</v>
      </c>
      <c r="AA626" s="29" t="n">
        <f aca="false">ROUND((C626-B626)*1440,1)</f>
        <v>5.1</v>
      </c>
      <c r="AB626" s="29" t="str">
        <f aca="false">IF(AA626&lt;1,"a) &lt;1 min",IF(AA626&lt;10,"b) 1-10 min",IF(AA626&lt;60,"c) 10-60 min",IF(AA626&lt;240,"d) 1-4 h","e) 4 h+"))))</f>
        <v>b) 1-10 min</v>
      </c>
      <c r="AC626" s="29" t="str">
        <f aca="false">IF(P626&lt;10,"a) &lt;10",IF(P626&lt;20,"b) 10-20",IF(P626&lt;40,"c) 20-40",IF(P626&lt;80,"d) 40-80","e) 80+"))))</f>
        <v>b) 10-20</v>
      </c>
      <c r="AD626" s="31" t="n">
        <f aca="false">Summary!$C$5+SUM(X$2:X626)</f>
        <v>14601.59</v>
      </c>
      <c r="AE626" s="31" t="n">
        <f aca="false">MAX(AE625,AD626)</f>
        <v>15756.64</v>
      </c>
      <c r="AF626" s="31" t="n">
        <f aca="false">AE626-AD626</f>
        <v>1155.05</v>
      </c>
      <c r="AG626" s="30" t="n">
        <f aca="false">IFERROR(AF626/AE626,0)</f>
        <v>0.073305603225053</v>
      </c>
    </row>
    <row r="627" customFormat="false" ht="15" hidden="false" customHeight="false" outlineLevel="0" collapsed="false">
      <c r="A627" s="29" t="n">
        <v>626</v>
      </c>
      <c r="B627" s="44" t="n">
        <v>45541.1680555556</v>
      </c>
      <c r="C627" s="44" t="n">
        <v>45541.1766087963</v>
      </c>
      <c r="D627" s="43" t="n">
        <f aca="false">INT(C627)</f>
        <v>45541</v>
      </c>
      <c r="E627" s="43" t="n">
        <f aca="false">D627-WEEKDAY(D627,3)</f>
        <v>45537</v>
      </c>
      <c r="F627" s="29" t="s">
        <v>173</v>
      </c>
      <c r="G627" s="29" t="n">
        <v>2024</v>
      </c>
      <c r="H627" s="29" t="s">
        <v>254</v>
      </c>
      <c r="I627" s="29" t="n">
        <v>4</v>
      </c>
      <c r="J627" s="29" t="s">
        <v>250</v>
      </c>
      <c r="K627" s="29" t="s">
        <v>251</v>
      </c>
      <c r="L627" s="29" t="n">
        <v>0.03</v>
      </c>
      <c r="M627" s="32" t="n">
        <v>18782.9</v>
      </c>
      <c r="N627" s="32" t="n">
        <v>18793.91</v>
      </c>
      <c r="O627" s="32" t="n">
        <v>18755.93</v>
      </c>
      <c r="P627" s="45" t="n">
        <f aca="false">ABS(M627-N627)</f>
        <v>11.0099999999984</v>
      </c>
      <c r="Q627" s="45" t="n">
        <f aca="false">IF(O627="","",ABS(O627-M627))</f>
        <v>26.9700000000012</v>
      </c>
      <c r="R627" s="31" t="n">
        <f aca="false">P627*L627*Summary!$C$6</f>
        <v>33.0299999999952</v>
      </c>
      <c r="S627" s="32" t="n">
        <v>18782.91</v>
      </c>
      <c r="T627" s="29" t="s">
        <v>255</v>
      </c>
      <c r="U627" s="45" t="n">
        <f aca="false">IF(J627="BUY",S627-M627,M627-S627)</f>
        <v>-0.00999999999839929</v>
      </c>
      <c r="V627" s="46" t="n">
        <v>0</v>
      </c>
      <c r="W627" s="46" t="n">
        <v>0</v>
      </c>
      <c r="X627" s="46" t="n">
        <v>-0.03</v>
      </c>
      <c r="Y627" s="33" t="n">
        <f aca="false">IFERROR(X627/R627,0)</f>
        <v>-0.000908265213442457</v>
      </c>
      <c r="Z627" s="29" t="str">
        <f aca="false">IF(X627&gt;0,"Win",IF(X627&lt;0,"Loss","Flat"))</f>
        <v>Loss</v>
      </c>
      <c r="AA627" s="29" t="n">
        <f aca="false">ROUND((C627-B627)*1440,1)</f>
        <v>12.3</v>
      </c>
      <c r="AB627" s="29" t="str">
        <f aca="false">IF(AA627&lt;1,"a) &lt;1 min",IF(AA627&lt;10,"b) 1-10 min",IF(AA627&lt;60,"c) 10-60 min",IF(AA627&lt;240,"d) 1-4 h","e) 4 h+"))))</f>
        <v>c) 10-60 min</v>
      </c>
      <c r="AC627" s="29" t="str">
        <f aca="false">IF(P627&lt;10,"a) &lt;10",IF(P627&lt;20,"b) 10-20",IF(P627&lt;40,"c) 20-40",IF(P627&lt;80,"d) 40-80","e) 80+"))))</f>
        <v>b) 10-20</v>
      </c>
      <c r="AD627" s="31" t="n">
        <f aca="false">Summary!$C$5+SUM(X$2:X627)</f>
        <v>14601.56</v>
      </c>
      <c r="AE627" s="31" t="n">
        <f aca="false">MAX(AE626,AD627)</f>
        <v>15756.64</v>
      </c>
      <c r="AF627" s="31" t="n">
        <f aca="false">AE627-AD627</f>
        <v>1155.08</v>
      </c>
      <c r="AG627" s="30" t="n">
        <f aca="false">IFERROR(AF627/AE627,0)</f>
        <v>0.0733075071842728</v>
      </c>
    </row>
    <row r="628" customFormat="false" ht="15" hidden="false" customHeight="false" outlineLevel="0" collapsed="false">
      <c r="A628" s="29" t="n">
        <v>627</v>
      </c>
      <c r="B628" s="44" t="n">
        <v>45544.0465277778</v>
      </c>
      <c r="C628" s="44" t="n">
        <v>45544.0480439815</v>
      </c>
      <c r="D628" s="43" t="n">
        <f aca="false">INT(C628)</f>
        <v>45544</v>
      </c>
      <c r="E628" s="43" t="n">
        <f aca="false">D628-WEEKDAY(D628,3)</f>
        <v>45544</v>
      </c>
      <c r="F628" s="29" t="s">
        <v>173</v>
      </c>
      <c r="G628" s="29" t="n">
        <v>2024</v>
      </c>
      <c r="H628" s="29" t="s">
        <v>245</v>
      </c>
      <c r="I628" s="29" t="n">
        <v>1</v>
      </c>
      <c r="J628" s="29" t="s">
        <v>250</v>
      </c>
      <c r="K628" s="29" t="s">
        <v>251</v>
      </c>
      <c r="L628" s="29" t="n">
        <v>0.03</v>
      </c>
      <c r="M628" s="32" t="n">
        <v>18376.31</v>
      </c>
      <c r="N628" s="32" t="n">
        <v>18390.46</v>
      </c>
      <c r="O628" s="32" t="n">
        <v>18341.63</v>
      </c>
      <c r="P628" s="45" t="n">
        <f aca="false">ABS(M628-N628)</f>
        <v>14.1499999999978</v>
      </c>
      <c r="Q628" s="45" t="n">
        <f aca="false">IF(O628="","",ABS(O628-M628))</f>
        <v>34.6800000000003</v>
      </c>
      <c r="R628" s="31" t="n">
        <f aca="false">P628*L628*Summary!$C$6</f>
        <v>42.4499999999935</v>
      </c>
      <c r="S628" s="32" t="n">
        <v>18376.55</v>
      </c>
      <c r="T628" s="29" t="s">
        <v>255</v>
      </c>
      <c r="U628" s="45" t="n">
        <f aca="false">IF(J628="BUY",S628-M628,M628-S628)</f>
        <v>-0.239999999997963</v>
      </c>
      <c r="V628" s="46" t="n">
        <v>0</v>
      </c>
      <c r="W628" s="46" t="n">
        <v>0</v>
      </c>
      <c r="X628" s="46" t="n">
        <v>-0.72</v>
      </c>
      <c r="Y628" s="33" t="n">
        <f aca="false">IFERROR(X628/R628,0)</f>
        <v>-0.0169611307420521</v>
      </c>
      <c r="Z628" s="29" t="str">
        <f aca="false">IF(X628&gt;0,"Win",IF(X628&lt;0,"Loss","Flat"))</f>
        <v>Loss</v>
      </c>
      <c r="AA628" s="29" t="n">
        <f aca="false">ROUND((C628-B628)*1440,1)</f>
        <v>2.2</v>
      </c>
      <c r="AB628" s="29" t="str">
        <f aca="false">IF(AA628&lt;1,"a) &lt;1 min",IF(AA628&lt;10,"b) 1-10 min",IF(AA628&lt;60,"c) 10-60 min",IF(AA628&lt;240,"d) 1-4 h","e) 4 h+"))))</f>
        <v>b) 1-10 min</v>
      </c>
      <c r="AC628" s="29" t="str">
        <f aca="false">IF(P628&lt;10,"a) &lt;10",IF(P628&lt;20,"b) 10-20",IF(P628&lt;40,"c) 20-40",IF(P628&lt;80,"d) 40-80","e) 80+"))))</f>
        <v>b) 10-20</v>
      </c>
      <c r="AD628" s="31" t="n">
        <f aca="false">Summary!$C$5+SUM(X$2:X628)</f>
        <v>14600.84</v>
      </c>
      <c r="AE628" s="31" t="n">
        <f aca="false">MAX(AE627,AD628)</f>
        <v>15756.64</v>
      </c>
      <c r="AF628" s="31" t="n">
        <f aca="false">AE628-AD628</f>
        <v>1155.8</v>
      </c>
      <c r="AG628" s="30" t="n">
        <f aca="false">IFERROR(AF628/AE628,0)</f>
        <v>0.0733532022055463</v>
      </c>
    </row>
    <row r="629" customFormat="false" ht="15" hidden="false" customHeight="false" outlineLevel="0" collapsed="false">
      <c r="A629" s="29" t="n">
        <v>628</v>
      </c>
      <c r="B629" s="44" t="n">
        <v>45545.0472222222</v>
      </c>
      <c r="C629" s="44" t="n">
        <v>45545.0492476852</v>
      </c>
      <c r="D629" s="43" t="n">
        <f aca="false">INT(C629)</f>
        <v>45545</v>
      </c>
      <c r="E629" s="43" t="n">
        <f aca="false">D629-WEEKDAY(D629,3)</f>
        <v>45544</v>
      </c>
      <c r="F629" s="29" t="s">
        <v>173</v>
      </c>
      <c r="G629" s="29" t="n">
        <v>2024</v>
      </c>
      <c r="H629" s="29" t="s">
        <v>248</v>
      </c>
      <c r="I629" s="29" t="n">
        <v>1</v>
      </c>
      <c r="J629" s="29" t="s">
        <v>246</v>
      </c>
      <c r="K629" s="29" t="s">
        <v>247</v>
      </c>
      <c r="L629" s="29" t="n">
        <v>0.03</v>
      </c>
      <c r="M629" s="32" t="n">
        <v>18702.46</v>
      </c>
      <c r="N629" s="32" t="n">
        <v>18689.65</v>
      </c>
      <c r="O629" s="32" t="n">
        <v>18733.85</v>
      </c>
      <c r="P629" s="45" t="n">
        <f aca="false">ABS(M629-N629)</f>
        <v>12.8099999999977</v>
      </c>
      <c r="Q629" s="45" t="n">
        <f aca="false">IF(O629="","",ABS(O629-M629))</f>
        <v>31.3899999999994</v>
      </c>
      <c r="R629" s="31" t="n">
        <f aca="false">P629*L629*Summary!$C$6</f>
        <v>38.429999999993</v>
      </c>
      <c r="S629" s="32" t="n">
        <v>18689.19</v>
      </c>
      <c r="T629" s="29" t="s">
        <v>249</v>
      </c>
      <c r="U629" s="45" t="n">
        <f aca="false">IF(J629="BUY",S629-M629,M629-S629)</f>
        <v>-13.2700000000004</v>
      </c>
      <c r="V629" s="46" t="n">
        <v>0</v>
      </c>
      <c r="W629" s="46" t="n">
        <v>0</v>
      </c>
      <c r="X629" s="46" t="n">
        <v>-39.81</v>
      </c>
      <c r="Y629" s="33" t="n">
        <f aca="false">IFERROR(X629/R629,0)</f>
        <v>-1.0359094457457</v>
      </c>
      <c r="Z629" s="29" t="str">
        <f aca="false">IF(X629&gt;0,"Win",IF(X629&lt;0,"Loss","Flat"))</f>
        <v>Loss</v>
      </c>
      <c r="AA629" s="29" t="n">
        <f aca="false">ROUND((C629-B629)*1440,1)</f>
        <v>2.9</v>
      </c>
      <c r="AB629" s="29" t="str">
        <f aca="false">IF(AA629&lt;1,"a) &lt;1 min",IF(AA629&lt;10,"b) 1-10 min",IF(AA629&lt;60,"c) 10-60 min",IF(AA629&lt;240,"d) 1-4 h","e) 4 h+"))))</f>
        <v>b) 1-10 min</v>
      </c>
      <c r="AC629" s="29" t="str">
        <f aca="false">IF(P629&lt;10,"a) &lt;10",IF(P629&lt;20,"b) 10-20",IF(P629&lt;40,"c) 20-40",IF(P629&lt;80,"d) 40-80","e) 80+"))))</f>
        <v>b) 10-20</v>
      </c>
      <c r="AD629" s="31" t="n">
        <f aca="false">Summary!$C$5+SUM(X$2:X629)</f>
        <v>14561.03</v>
      </c>
      <c r="AE629" s="31" t="n">
        <f aca="false">MAX(AE628,AD629)</f>
        <v>15756.64</v>
      </c>
      <c r="AF629" s="31" t="n">
        <f aca="false">AE629-AD629</f>
        <v>1195.61</v>
      </c>
      <c r="AG629" s="30" t="n">
        <f aca="false">IFERROR(AF629/AE629,0)</f>
        <v>0.0758797560901309</v>
      </c>
    </row>
    <row r="630" customFormat="false" ht="15" hidden="false" customHeight="false" outlineLevel="0" collapsed="false">
      <c r="A630" s="29" t="n">
        <v>629</v>
      </c>
      <c r="B630" s="44" t="n">
        <v>45546.6673611111</v>
      </c>
      <c r="C630" s="44" t="n">
        <v>45546.687650463</v>
      </c>
      <c r="D630" s="43" t="n">
        <f aca="false">INT(C630)</f>
        <v>45546</v>
      </c>
      <c r="E630" s="43" t="n">
        <f aca="false">D630-WEEKDAY(D630,3)</f>
        <v>45544</v>
      </c>
      <c r="F630" s="29" t="s">
        <v>173</v>
      </c>
      <c r="G630" s="29" t="n">
        <v>2024</v>
      </c>
      <c r="H630" s="29" t="s">
        <v>252</v>
      </c>
      <c r="I630" s="29" t="n">
        <v>16</v>
      </c>
      <c r="J630" s="29" t="s">
        <v>246</v>
      </c>
      <c r="K630" s="29" t="s">
        <v>247</v>
      </c>
      <c r="L630" s="29" t="n">
        <v>0.03</v>
      </c>
      <c r="M630" s="32" t="n">
        <v>18856.29</v>
      </c>
      <c r="N630" s="32" t="n">
        <v>18838.68</v>
      </c>
      <c r="O630" s="32" t="n">
        <v>18899.42</v>
      </c>
      <c r="P630" s="45" t="n">
        <f aca="false">ABS(M630-N630)</f>
        <v>17.6100000000006</v>
      </c>
      <c r="Q630" s="45" t="n">
        <f aca="false">IF(O630="","",ABS(O630-M630))</f>
        <v>43.1299999999974</v>
      </c>
      <c r="R630" s="31" t="n">
        <f aca="false">P630*L630*Summary!$C$6</f>
        <v>52.8300000000017</v>
      </c>
      <c r="S630" s="32" t="n">
        <v>18855.72</v>
      </c>
      <c r="T630" s="29" t="s">
        <v>255</v>
      </c>
      <c r="U630" s="45" t="n">
        <f aca="false">IF(J630="BUY",S630-M630,M630-S630)</f>
        <v>-0.569999999999709</v>
      </c>
      <c r="V630" s="46" t="n">
        <v>0</v>
      </c>
      <c r="W630" s="46" t="n">
        <v>0</v>
      </c>
      <c r="X630" s="46" t="n">
        <v>-1.71</v>
      </c>
      <c r="Y630" s="33" t="n">
        <f aca="false">IFERROR(X630/R630,0)</f>
        <v>-0.0323679727427587</v>
      </c>
      <c r="Z630" s="29" t="str">
        <f aca="false">IF(X630&gt;0,"Win",IF(X630&lt;0,"Loss","Flat"))</f>
        <v>Loss</v>
      </c>
      <c r="AA630" s="29" t="n">
        <f aca="false">ROUND((C630-B630)*1440,1)</f>
        <v>29.2</v>
      </c>
      <c r="AB630" s="29" t="str">
        <f aca="false">IF(AA630&lt;1,"a) &lt;1 min",IF(AA630&lt;10,"b) 1-10 min",IF(AA630&lt;60,"c) 10-60 min",IF(AA630&lt;240,"d) 1-4 h","e) 4 h+"))))</f>
        <v>c) 10-60 min</v>
      </c>
      <c r="AC630" s="29" t="str">
        <f aca="false">IF(P630&lt;10,"a) &lt;10",IF(P630&lt;20,"b) 10-20",IF(P630&lt;40,"c) 20-40",IF(P630&lt;80,"d) 40-80","e) 80+"))))</f>
        <v>b) 10-20</v>
      </c>
      <c r="AD630" s="31" t="n">
        <f aca="false">Summary!$C$5+SUM(X$2:X630)</f>
        <v>14559.32</v>
      </c>
      <c r="AE630" s="31" t="n">
        <f aca="false">MAX(AE629,AD630)</f>
        <v>15756.64</v>
      </c>
      <c r="AF630" s="31" t="n">
        <f aca="false">AE630-AD630</f>
        <v>1197.32</v>
      </c>
      <c r="AG630" s="30" t="n">
        <f aca="false">IFERROR(AF630/AE630,0)</f>
        <v>0.0759882817656556</v>
      </c>
    </row>
    <row r="631" customFormat="false" ht="15" hidden="false" customHeight="false" outlineLevel="0" collapsed="false">
      <c r="A631" s="29" t="n">
        <v>630</v>
      </c>
      <c r="B631" s="44" t="n">
        <v>45546.7409722222</v>
      </c>
      <c r="C631" s="44" t="n">
        <v>45546.7495717593</v>
      </c>
      <c r="D631" s="43" t="n">
        <f aca="false">INT(C631)</f>
        <v>45546</v>
      </c>
      <c r="E631" s="43" t="n">
        <f aca="false">D631-WEEKDAY(D631,3)</f>
        <v>45544</v>
      </c>
      <c r="F631" s="29" t="s">
        <v>173</v>
      </c>
      <c r="G631" s="29" t="n">
        <v>2024</v>
      </c>
      <c r="H631" s="29" t="s">
        <v>252</v>
      </c>
      <c r="I631" s="29" t="n">
        <v>17</v>
      </c>
      <c r="J631" s="29" t="s">
        <v>250</v>
      </c>
      <c r="K631" s="29" t="s">
        <v>251</v>
      </c>
      <c r="L631" s="29" t="n">
        <v>0.03</v>
      </c>
      <c r="M631" s="32" t="n">
        <v>18546.59</v>
      </c>
      <c r="N631" s="32" t="n">
        <v>18569.26</v>
      </c>
      <c r="O631" s="32" t="n">
        <v>18494.85</v>
      </c>
      <c r="P631" s="45" t="n">
        <f aca="false">ABS(M631-N631)</f>
        <v>22.6699999999983</v>
      </c>
      <c r="Q631" s="45" t="n">
        <f aca="false">IF(O631="","",ABS(O631-M631))</f>
        <v>51.7400000000016</v>
      </c>
      <c r="R631" s="31" t="n">
        <f aca="false">P631*L631*Summary!$C$6</f>
        <v>68.0099999999948</v>
      </c>
      <c r="S631" s="32" t="n">
        <v>18570.05</v>
      </c>
      <c r="T631" s="29" t="s">
        <v>249</v>
      </c>
      <c r="U631" s="45" t="n">
        <f aca="false">IF(J631="BUY",S631-M631,M631-S631)</f>
        <v>-23.4599999999991</v>
      </c>
      <c r="V631" s="46" t="n">
        <v>0</v>
      </c>
      <c r="W631" s="46" t="n">
        <v>0</v>
      </c>
      <c r="X631" s="46" t="n">
        <v>-70.38</v>
      </c>
      <c r="Y631" s="33" t="n">
        <f aca="false">IFERROR(X631/R631,0)</f>
        <v>-1.03484781649765</v>
      </c>
      <c r="Z631" s="29" t="str">
        <f aca="false">IF(X631&gt;0,"Win",IF(X631&lt;0,"Loss","Flat"))</f>
        <v>Loss</v>
      </c>
      <c r="AA631" s="29" t="n">
        <f aca="false">ROUND((C631-B631)*1440,1)</f>
        <v>12.4</v>
      </c>
      <c r="AB631" s="29" t="str">
        <f aca="false">IF(AA631&lt;1,"a) &lt;1 min",IF(AA631&lt;10,"b) 1-10 min",IF(AA631&lt;60,"c) 10-60 min",IF(AA631&lt;240,"d) 1-4 h","e) 4 h+"))))</f>
        <v>c) 10-60 min</v>
      </c>
      <c r="AC631" s="29" t="str">
        <f aca="false">IF(P631&lt;10,"a) &lt;10",IF(P631&lt;20,"b) 10-20",IF(P631&lt;40,"c) 20-40",IF(P631&lt;80,"d) 40-80","e) 80+"))))</f>
        <v>c) 20-40</v>
      </c>
      <c r="AD631" s="31" t="n">
        <f aca="false">Summary!$C$5+SUM(X$2:X631)</f>
        <v>14488.94</v>
      </c>
      <c r="AE631" s="31" t="n">
        <f aca="false">MAX(AE630,AD631)</f>
        <v>15756.64</v>
      </c>
      <c r="AF631" s="31" t="n">
        <f aca="false">AE631-AD631</f>
        <v>1267.7</v>
      </c>
      <c r="AG631" s="30" t="n">
        <f aca="false">IFERROR(AF631/AE631,0)</f>
        <v>0.0804549700951472</v>
      </c>
    </row>
    <row r="632" customFormat="false" ht="15" hidden="false" customHeight="false" outlineLevel="0" collapsed="false">
      <c r="A632" s="29" t="n">
        <v>631</v>
      </c>
      <c r="B632" s="44" t="n">
        <v>45547.2284722222</v>
      </c>
      <c r="C632" s="44" t="n">
        <v>45547.2297453704</v>
      </c>
      <c r="D632" s="43" t="n">
        <f aca="false">INT(C632)</f>
        <v>45547</v>
      </c>
      <c r="E632" s="43" t="n">
        <f aca="false">D632-WEEKDAY(D632,3)</f>
        <v>45544</v>
      </c>
      <c r="F632" s="29" t="s">
        <v>173</v>
      </c>
      <c r="G632" s="29" t="n">
        <v>2024</v>
      </c>
      <c r="H632" s="29" t="s">
        <v>253</v>
      </c>
      <c r="I632" s="29" t="n">
        <v>5</v>
      </c>
      <c r="J632" s="29" t="s">
        <v>246</v>
      </c>
      <c r="K632" s="29" t="s">
        <v>247</v>
      </c>
      <c r="L632" s="29" t="n">
        <v>0.03</v>
      </c>
      <c r="M632" s="32" t="n">
        <v>19264.7</v>
      </c>
      <c r="N632" s="32" t="n">
        <v>19261.07</v>
      </c>
      <c r="O632" s="32" t="n">
        <v>19273.6</v>
      </c>
      <c r="P632" s="45" t="n">
        <f aca="false">ABS(M632-N632)</f>
        <v>3.63000000000102</v>
      </c>
      <c r="Q632" s="45" t="n">
        <f aca="false">IF(O632="","",ABS(O632-M632))</f>
        <v>8.89999999999782</v>
      </c>
      <c r="R632" s="31" t="n">
        <f aca="false">P632*L632*Summary!$C$6</f>
        <v>10.8900000000031</v>
      </c>
      <c r="S632" s="32" t="n">
        <v>19274.31</v>
      </c>
      <c r="T632" s="29" t="s">
        <v>227</v>
      </c>
      <c r="U632" s="45" t="n">
        <f aca="false">IF(J632="BUY",S632-M632,M632-S632)</f>
        <v>9.61000000000058</v>
      </c>
      <c r="V632" s="46" t="n">
        <v>0</v>
      </c>
      <c r="W632" s="46" t="n">
        <v>0</v>
      </c>
      <c r="X632" s="46" t="n">
        <v>28.83</v>
      </c>
      <c r="Y632" s="33" t="n">
        <f aca="false">IFERROR(X632/R632,0)</f>
        <v>2.64738292010945</v>
      </c>
      <c r="Z632" s="29" t="str">
        <f aca="false">IF(X632&gt;0,"Win",IF(X632&lt;0,"Loss","Flat"))</f>
        <v>Win</v>
      </c>
      <c r="AA632" s="29" t="n">
        <f aca="false">ROUND((C632-B632)*1440,1)</f>
        <v>1.8</v>
      </c>
      <c r="AB632" s="29" t="str">
        <f aca="false">IF(AA632&lt;1,"a) &lt;1 min",IF(AA632&lt;10,"b) 1-10 min",IF(AA632&lt;60,"c) 10-60 min",IF(AA632&lt;240,"d) 1-4 h","e) 4 h+"))))</f>
        <v>b) 1-10 min</v>
      </c>
      <c r="AC632" s="29" t="str">
        <f aca="false">IF(P632&lt;10,"a) &lt;10",IF(P632&lt;20,"b) 10-20",IF(P632&lt;40,"c) 20-40",IF(P632&lt;80,"d) 40-80","e) 80+"))))</f>
        <v>a) &lt;10</v>
      </c>
      <c r="AD632" s="31" t="n">
        <f aca="false">Summary!$C$5+SUM(X$2:X632)</f>
        <v>14517.77</v>
      </c>
      <c r="AE632" s="31" t="n">
        <f aca="false">MAX(AE631,AD632)</f>
        <v>15756.64</v>
      </c>
      <c r="AF632" s="31" t="n">
        <f aca="false">AE632-AD632</f>
        <v>1238.87</v>
      </c>
      <c r="AG632" s="30" t="n">
        <f aca="false">IFERROR(AF632/AE632,0)</f>
        <v>0.0786252652849846</v>
      </c>
    </row>
    <row r="633" customFormat="false" ht="15" hidden="false" customHeight="false" outlineLevel="0" collapsed="false">
      <c r="A633" s="29" t="n">
        <v>632</v>
      </c>
      <c r="B633" s="44" t="n">
        <v>45548.3631944444</v>
      </c>
      <c r="C633" s="44" t="n">
        <v>45548.3647453704</v>
      </c>
      <c r="D633" s="43" t="n">
        <f aca="false">INT(C633)</f>
        <v>45548</v>
      </c>
      <c r="E633" s="43" t="n">
        <f aca="false">D633-WEEKDAY(D633,3)</f>
        <v>45544</v>
      </c>
      <c r="F633" s="29" t="s">
        <v>173</v>
      </c>
      <c r="G633" s="29" t="n">
        <v>2024</v>
      </c>
      <c r="H633" s="29" t="s">
        <v>254</v>
      </c>
      <c r="I633" s="29" t="n">
        <v>8</v>
      </c>
      <c r="J633" s="29" t="s">
        <v>246</v>
      </c>
      <c r="K633" s="29" t="s">
        <v>247</v>
      </c>
      <c r="L633" s="29" t="n">
        <v>0.03</v>
      </c>
      <c r="M633" s="32" t="n">
        <v>19461.57</v>
      </c>
      <c r="N633" s="32" t="n">
        <v>19455.89</v>
      </c>
      <c r="O633" s="32" t="n">
        <v>19475.49</v>
      </c>
      <c r="P633" s="45" t="n">
        <f aca="false">ABS(M633-N633)</f>
        <v>5.68000000000029</v>
      </c>
      <c r="Q633" s="45" t="n">
        <f aca="false">IF(O633="","",ABS(O633-M633))</f>
        <v>13.9200000000019</v>
      </c>
      <c r="R633" s="31" t="n">
        <f aca="false">P633*L633*Summary!$C$6</f>
        <v>17.0400000000009</v>
      </c>
      <c r="S633" s="32" t="n">
        <v>19455.71</v>
      </c>
      <c r="T633" s="29" t="s">
        <v>249</v>
      </c>
      <c r="U633" s="45" t="n">
        <f aca="false">IF(J633="BUY",S633-M633,M633-S633)</f>
        <v>-5.86000000000058</v>
      </c>
      <c r="V633" s="46" t="n">
        <v>0</v>
      </c>
      <c r="W633" s="46" t="n">
        <v>0</v>
      </c>
      <c r="X633" s="46" t="n">
        <v>-17.58</v>
      </c>
      <c r="Y633" s="33" t="n">
        <f aca="false">IFERROR(X633/R633,0)</f>
        <v>-1.03169014084502</v>
      </c>
      <c r="Z633" s="29" t="str">
        <f aca="false">IF(X633&gt;0,"Win",IF(X633&lt;0,"Loss","Flat"))</f>
        <v>Loss</v>
      </c>
      <c r="AA633" s="29" t="n">
        <f aca="false">ROUND((C633-B633)*1440,1)</f>
        <v>2.2</v>
      </c>
      <c r="AB633" s="29" t="str">
        <f aca="false">IF(AA633&lt;1,"a) &lt;1 min",IF(AA633&lt;10,"b) 1-10 min",IF(AA633&lt;60,"c) 10-60 min",IF(AA633&lt;240,"d) 1-4 h","e) 4 h+"))))</f>
        <v>b) 1-10 min</v>
      </c>
      <c r="AC633" s="29" t="str">
        <f aca="false">IF(P633&lt;10,"a) &lt;10",IF(P633&lt;20,"b) 10-20",IF(P633&lt;40,"c) 20-40",IF(P633&lt;80,"d) 40-80","e) 80+"))))</f>
        <v>a) &lt;10</v>
      </c>
      <c r="AD633" s="31" t="n">
        <f aca="false">Summary!$C$5+SUM(X$2:X633)</f>
        <v>14500.19</v>
      </c>
      <c r="AE633" s="31" t="n">
        <f aca="false">MAX(AE632,AD633)</f>
        <v>15756.64</v>
      </c>
      <c r="AF633" s="31" t="n">
        <f aca="false">AE633-AD633</f>
        <v>1256.45</v>
      </c>
      <c r="AG633" s="30" t="n">
        <f aca="false">IFERROR(AF633/AE633,0)</f>
        <v>0.0797409853877477</v>
      </c>
    </row>
    <row r="634" customFormat="false" ht="15" hidden="false" customHeight="false" outlineLevel="0" collapsed="false">
      <c r="A634" s="29" t="n">
        <v>633</v>
      </c>
      <c r="B634" s="44" t="n">
        <v>45551.6895833333</v>
      </c>
      <c r="C634" s="44" t="n">
        <v>45551.6903125</v>
      </c>
      <c r="D634" s="43" t="n">
        <f aca="false">INT(C634)</f>
        <v>45551</v>
      </c>
      <c r="E634" s="43" t="n">
        <f aca="false">D634-WEEKDAY(D634,3)</f>
        <v>45551</v>
      </c>
      <c r="F634" s="29" t="s">
        <v>173</v>
      </c>
      <c r="G634" s="29" t="n">
        <v>2024</v>
      </c>
      <c r="H634" s="29" t="s">
        <v>245</v>
      </c>
      <c r="I634" s="29" t="n">
        <v>16</v>
      </c>
      <c r="J634" s="29" t="s">
        <v>250</v>
      </c>
      <c r="K634" s="29" t="s">
        <v>251</v>
      </c>
      <c r="L634" s="29" t="n">
        <v>0.03</v>
      </c>
      <c r="M634" s="32" t="n">
        <v>19373.77</v>
      </c>
      <c r="N634" s="32" t="n">
        <v>19393.11</v>
      </c>
      <c r="O634" s="32" t="n">
        <v>19326.38</v>
      </c>
      <c r="P634" s="45" t="n">
        <f aca="false">ABS(M634-N634)</f>
        <v>19.3400000000001</v>
      </c>
      <c r="Q634" s="45" t="n">
        <f aca="false">IF(O634="","",ABS(O634-M634))</f>
        <v>47.3899999999994</v>
      </c>
      <c r="R634" s="31" t="n">
        <f aca="false">P634*L634*Summary!$C$6</f>
        <v>58.0200000000004</v>
      </c>
      <c r="S634" s="32" t="n">
        <v>19326.08</v>
      </c>
      <c r="T634" s="29" t="s">
        <v>227</v>
      </c>
      <c r="U634" s="45" t="n">
        <f aca="false">IF(J634="BUY",S634-M634,M634-S634)</f>
        <v>47.6899999999987</v>
      </c>
      <c r="V634" s="46" t="n">
        <v>0</v>
      </c>
      <c r="W634" s="46" t="n">
        <v>0</v>
      </c>
      <c r="X634" s="46" t="n">
        <v>143.07</v>
      </c>
      <c r="Y634" s="33" t="n">
        <f aca="false">IFERROR(X634/R634,0)</f>
        <v>2.46587383660805</v>
      </c>
      <c r="Z634" s="29" t="str">
        <f aca="false">IF(X634&gt;0,"Win",IF(X634&lt;0,"Loss","Flat"))</f>
        <v>Win</v>
      </c>
      <c r="AA634" s="29" t="n">
        <f aca="false">ROUND((C634-B634)*1440,1)</f>
        <v>1.1</v>
      </c>
      <c r="AB634" s="29" t="str">
        <f aca="false">IF(AA634&lt;1,"a) &lt;1 min",IF(AA634&lt;10,"b) 1-10 min",IF(AA634&lt;60,"c) 10-60 min",IF(AA634&lt;240,"d) 1-4 h","e) 4 h+"))))</f>
        <v>b) 1-10 min</v>
      </c>
      <c r="AC634" s="29" t="str">
        <f aca="false">IF(P634&lt;10,"a) &lt;10",IF(P634&lt;20,"b) 10-20",IF(P634&lt;40,"c) 20-40",IF(P634&lt;80,"d) 40-80","e) 80+"))))</f>
        <v>b) 10-20</v>
      </c>
      <c r="AD634" s="31" t="n">
        <f aca="false">Summary!$C$5+SUM(X$2:X634)</f>
        <v>14643.26</v>
      </c>
      <c r="AE634" s="31" t="n">
        <f aca="false">MAX(AE633,AD634)</f>
        <v>15756.64</v>
      </c>
      <c r="AF634" s="31" t="n">
        <f aca="false">AE634-AD634</f>
        <v>1113.38</v>
      </c>
      <c r="AG634" s="30" t="n">
        <f aca="false">IFERROR(AF634/AE634,0)</f>
        <v>0.0706610038688451</v>
      </c>
    </row>
    <row r="635" customFormat="false" ht="15" hidden="false" customHeight="false" outlineLevel="0" collapsed="false">
      <c r="A635" s="29" t="n">
        <v>634</v>
      </c>
      <c r="B635" s="44" t="n">
        <v>45552.5333333333</v>
      </c>
      <c r="C635" s="44" t="n">
        <v>45552.5347222222</v>
      </c>
      <c r="D635" s="43" t="n">
        <f aca="false">INT(C635)</f>
        <v>45552</v>
      </c>
      <c r="E635" s="43" t="n">
        <f aca="false">D635-WEEKDAY(D635,3)</f>
        <v>45551</v>
      </c>
      <c r="F635" s="29" t="s">
        <v>173</v>
      </c>
      <c r="G635" s="29" t="n">
        <v>2024</v>
      </c>
      <c r="H635" s="29" t="s">
        <v>248</v>
      </c>
      <c r="I635" s="29" t="n">
        <v>12</v>
      </c>
      <c r="J635" s="29" t="s">
        <v>246</v>
      </c>
      <c r="K635" s="29" t="s">
        <v>247</v>
      </c>
      <c r="L635" s="29" t="n">
        <v>0.03</v>
      </c>
      <c r="M635" s="32" t="n">
        <v>19526.38</v>
      </c>
      <c r="N635" s="32" t="n">
        <v>19523.88</v>
      </c>
      <c r="O635" s="32" t="n">
        <v>19532.51</v>
      </c>
      <c r="P635" s="45" t="n">
        <f aca="false">ABS(M635-N635)</f>
        <v>2.5</v>
      </c>
      <c r="Q635" s="45" t="n">
        <f aca="false">IF(O635="","",ABS(O635-M635))</f>
        <v>6.12999999999738</v>
      </c>
      <c r="R635" s="31" t="n">
        <f aca="false">P635*L635*Summary!$C$6</f>
        <v>7.5</v>
      </c>
      <c r="S635" s="32" t="n">
        <v>19533.26</v>
      </c>
      <c r="T635" s="29" t="s">
        <v>227</v>
      </c>
      <c r="U635" s="45" t="n">
        <f aca="false">IF(J635="BUY",S635-M635,M635-S635)</f>
        <v>6.87999999999738</v>
      </c>
      <c r="V635" s="46" t="n">
        <v>0</v>
      </c>
      <c r="W635" s="46" t="n">
        <v>0</v>
      </c>
      <c r="X635" s="46" t="n">
        <v>20.64</v>
      </c>
      <c r="Y635" s="33" t="n">
        <f aca="false">IFERROR(X635/R635,0)</f>
        <v>2.752</v>
      </c>
      <c r="Z635" s="29" t="str">
        <f aca="false">IF(X635&gt;0,"Win",IF(X635&lt;0,"Loss","Flat"))</f>
        <v>Win</v>
      </c>
      <c r="AA635" s="29" t="n">
        <f aca="false">ROUND((C635-B635)*1440,1)</f>
        <v>2</v>
      </c>
      <c r="AB635" s="29" t="str">
        <f aca="false">IF(AA635&lt;1,"a) &lt;1 min",IF(AA635&lt;10,"b) 1-10 min",IF(AA635&lt;60,"c) 10-60 min",IF(AA635&lt;240,"d) 1-4 h","e) 4 h+"))))</f>
        <v>b) 1-10 min</v>
      </c>
      <c r="AC635" s="29" t="str">
        <f aca="false">IF(P635&lt;10,"a) &lt;10",IF(P635&lt;20,"b) 10-20",IF(P635&lt;40,"c) 20-40",IF(P635&lt;80,"d) 40-80","e) 80+"))))</f>
        <v>a) &lt;10</v>
      </c>
      <c r="AD635" s="31" t="n">
        <f aca="false">Summary!$C$5+SUM(X$2:X635)</f>
        <v>14663.9</v>
      </c>
      <c r="AE635" s="31" t="n">
        <f aca="false">MAX(AE634,AD635)</f>
        <v>15756.64</v>
      </c>
      <c r="AF635" s="31" t="n">
        <f aca="false">AE635-AD635</f>
        <v>1092.74</v>
      </c>
      <c r="AG635" s="30" t="n">
        <f aca="false">IFERROR(AF635/AE635,0)</f>
        <v>0.0693510799256694</v>
      </c>
    </row>
    <row r="636" customFormat="false" ht="15" hidden="false" customHeight="false" outlineLevel="0" collapsed="false">
      <c r="A636" s="29" t="n">
        <v>635</v>
      </c>
      <c r="B636" s="44" t="n">
        <v>45553.8986111111</v>
      </c>
      <c r="C636" s="44" t="n">
        <v>45553.8998958333</v>
      </c>
      <c r="D636" s="43" t="n">
        <f aca="false">INT(C636)</f>
        <v>45553</v>
      </c>
      <c r="E636" s="43" t="n">
        <f aca="false">D636-WEEKDAY(D636,3)</f>
        <v>45551</v>
      </c>
      <c r="F636" s="29" t="s">
        <v>173</v>
      </c>
      <c r="G636" s="29" t="n">
        <v>2024</v>
      </c>
      <c r="H636" s="29" t="s">
        <v>252</v>
      </c>
      <c r="I636" s="29" t="n">
        <v>21</v>
      </c>
      <c r="J636" s="29" t="s">
        <v>246</v>
      </c>
      <c r="K636" s="29" t="s">
        <v>247</v>
      </c>
      <c r="L636" s="29" t="n">
        <v>0.03</v>
      </c>
      <c r="M636" s="32" t="n">
        <v>19612.49</v>
      </c>
      <c r="N636" s="32" t="n">
        <v>19592.48</v>
      </c>
      <c r="O636" s="32" t="n">
        <v>19661.52</v>
      </c>
      <c r="P636" s="45" t="n">
        <f aca="false">ABS(M636-N636)</f>
        <v>20.010000000002</v>
      </c>
      <c r="Q636" s="45" t="n">
        <f aca="false">IF(O636="","",ABS(O636-M636))</f>
        <v>49.0299999999988</v>
      </c>
      <c r="R636" s="31" t="n">
        <f aca="false">P636*L636*Summary!$C$6</f>
        <v>60.0300000000061</v>
      </c>
      <c r="S636" s="32" t="n">
        <v>19592.4</v>
      </c>
      <c r="T636" s="29" t="s">
        <v>249</v>
      </c>
      <c r="U636" s="45" t="n">
        <f aca="false">IF(J636="BUY",S636-M636,M636-S636)</f>
        <v>-20.0900000000001</v>
      </c>
      <c r="V636" s="46" t="n">
        <v>0</v>
      </c>
      <c r="W636" s="46" t="n">
        <v>0</v>
      </c>
      <c r="X636" s="46" t="n">
        <v>-60.27</v>
      </c>
      <c r="Y636" s="33" t="n">
        <f aca="false">IFERROR(X636/R636,0)</f>
        <v>-1.0039980009994</v>
      </c>
      <c r="Z636" s="29" t="str">
        <f aca="false">IF(X636&gt;0,"Win",IF(X636&lt;0,"Loss","Flat"))</f>
        <v>Loss</v>
      </c>
      <c r="AA636" s="29" t="n">
        <f aca="false">ROUND((C636-B636)*1440,1)</f>
        <v>1.9</v>
      </c>
      <c r="AB636" s="29" t="str">
        <f aca="false">IF(AA636&lt;1,"a) &lt;1 min",IF(AA636&lt;10,"b) 1-10 min",IF(AA636&lt;60,"c) 10-60 min",IF(AA636&lt;240,"d) 1-4 h","e) 4 h+"))))</f>
        <v>b) 1-10 min</v>
      </c>
      <c r="AC636" s="29" t="str">
        <f aca="false">IF(P636&lt;10,"a) &lt;10",IF(P636&lt;20,"b) 10-20",IF(P636&lt;40,"c) 20-40",IF(P636&lt;80,"d) 40-80","e) 80+"))))</f>
        <v>c) 20-40</v>
      </c>
      <c r="AD636" s="31" t="n">
        <f aca="false">Summary!$C$5+SUM(X$2:X636)</f>
        <v>14603.63</v>
      </c>
      <c r="AE636" s="31" t="n">
        <f aca="false">MAX(AE635,AD636)</f>
        <v>15756.64</v>
      </c>
      <c r="AF636" s="31" t="n">
        <f aca="false">AE636-AD636</f>
        <v>1153.01</v>
      </c>
      <c r="AG636" s="30" t="n">
        <f aca="false">IFERROR(AF636/AE636,0)</f>
        <v>0.0731761339981112</v>
      </c>
    </row>
    <row r="637" customFormat="false" ht="15" hidden="false" customHeight="false" outlineLevel="0" collapsed="false">
      <c r="A637" s="29" t="n">
        <v>636</v>
      </c>
      <c r="B637" s="44" t="n">
        <v>45554.3930555556</v>
      </c>
      <c r="C637" s="44" t="n">
        <v>45554.3933449074</v>
      </c>
      <c r="D637" s="43" t="n">
        <f aca="false">INT(C637)</f>
        <v>45554</v>
      </c>
      <c r="E637" s="43" t="n">
        <f aca="false">D637-WEEKDAY(D637,3)</f>
        <v>45551</v>
      </c>
      <c r="F637" s="29" t="s">
        <v>173</v>
      </c>
      <c r="G637" s="29" t="n">
        <v>2024</v>
      </c>
      <c r="H637" s="29" t="s">
        <v>253</v>
      </c>
      <c r="I637" s="29" t="n">
        <v>9</v>
      </c>
      <c r="J637" s="29" t="s">
        <v>246</v>
      </c>
      <c r="K637" s="29" t="s">
        <v>247</v>
      </c>
      <c r="L637" s="29" t="n">
        <v>0.03</v>
      </c>
      <c r="M637" s="32" t="n">
        <v>19670.93</v>
      </c>
      <c r="N637" s="32" t="n">
        <v>19661.44</v>
      </c>
      <c r="O637" s="32" t="n">
        <v>19694.18</v>
      </c>
      <c r="P637" s="45" t="n">
        <f aca="false">ABS(M637-N637)</f>
        <v>9.4900000000016</v>
      </c>
      <c r="Q637" s="45" t="n">
        <f aca="false">IF(O637="","",ABS(O637-M637))</f>
        <v>23.25</v>
      </c>
      <c r="R637" s="31" t="n">
        <f aca="false">P637*L637*Summary!$C$6</f>
        <v>28.4700000000048</v>
      </c>
      <c r="S637" s="32" t="n">
        <v>19661.33</v>
      </c>
      <c r="T637" s="29" t="s">
        <v>249</v>
      </c>
      <c r="U637" s="45" t="n">
        <f aca="false">IF(J637="BUY",S637-M637,M637-S637)</f>
        <v>-9.59999999999855</v>
      </c>
      <c r="V637" s="46" t="n">
        <v>0</v>
      </c>
      <c r="W637" s="46" t="n">
        <v>0</v>
      </c>
      <c r="X637" s="46" t="n">
        <v>-28.8</v>
      </c>
      <c r="Y637" s="33" t="n">
        <f aca="false">IFERROR(X637/R637,0)</f>
        <v>-1.01159114857728</v>
      </c>
      <c r="Z637" s="29" t="str">
        <f aca="false">IF(X637&gt;0,"Win",IF(X637&lt;0,"Loss","Flat"))</f>
        <v>Loss</v>
      </c>
      <c r="AA637" s="29" t="n">
        <f aca="false">ROUND((C637-B637)*1440,1)</f>
        <v>0.4</v>
      </c>
      <c r="AB637" s="29" t="str">
        <f aca="false">IF(AA637&lt;1,"a) &lt;1 min",IF(AA637&lt;10,"b) 1-10 min",IF(AA637&lt;60,"c) 10-60 min",IF(AA637&lt;240,"d) 1-4 h","e) 4 h+"))))</f>
        <v>a) &lt;1 min</v>
      </c>
      <c r="AC637" s="29" t="str">
        <f aca="false">IF(P637&lt;10,"a) &lt;10",IF(P637&lt;20,"b) 10-20",IF(P637&lt;40,"c) 20-40",IF(P637&lt;80,"d) 40-80","e) 80+"))))</f>
        <v>a) &lt;10</v>
      </c>
      <c r="AD637" s="31" t="n">
        <f aca="false">Summary!$C$5+SUM(X$2:X637)</f>
        <v>14574.83</v>
      </c>
      <c r="AE637" s="31" t="n">
        <f aca="false">MAX(AE636,AD637)</f>
        <v>15756.64</v>
      </c>
      <c r="AF637" s="31" t="n">
        <f aca="false">AE637-AD637</f>
        <v>1181.81</v>
      </c>
      <c r="AG637" s="30" t="n">
        <f aca="false">IFERROR(AF637/AE637,0)</f>
        <v>0.0750039348490541</v>
      </c>
    </row>
    <row r="638" customFormat="false" ht="15" hidden="false" customHeight="false" outlineLevel="0" collapsed="false">
      <c r="A638" s="29" t="n">
        <v>637</v>
      </c>
      <c r="B638" s="44" t="n">
        <v>45558.1458333333</v>
      </c>
      <c r="C638" s="44" t="n">
        <v>45558.1465393519</v>
      </c>
      <c r="D638" s="43" t="n">
        <f aca="false">INT(C638)</f>
        <v>45558</v>
      </c>
      <c r="E638" s="43" t="n">
        <f aca="false">D638-WEEKDAY(D638,3)</f>
        <v>45558</v>
      </c>
      <c r="F638" s="29" t="s">
        <v>173</v>
      </c>
      <c r="G638" s="29" t="n">
        <v>2024</v>
      </c>
      <c r="H638" s="29" t="s">
        <v>245</v>
      </c>
      <c r="I638" s="29" t="n">
        <v>3</v>
      </c>
      <c r="J638" s="29" t="s">
        <v>246</v>
      </c>
      <c r="K638" s="29" t="s">
        <v>247</v>
      </c>
      <c r="L638" s="29" t="n">
        <v>0.03</v>
      </c>
      <c r="M638" s="32" t="n">
        <v>19853.22</v>
      </c>
      <c r="N638" s="32" t="n">
        <v>19848.62</v>
      </c>
      <c r="O638" s="32" t="n">
        <v>19864.5</v>
      </c>
      <c r="P638" s="45" t="n">
        <f aca="false">ABS(M638-N638)</f>
        <v>4.60000000000218</v>
      </c>
      <c r="Q638" s="45" t="n">
        <f aca="false">IF(O638="","",ABS(O638-M638))</f>
        <v>11.2799999999988</v>
      </c>
      <c r="R638" s="31" t="n">
        <f aca="false">P638*L638*Summary!$C$6</f>
        <v>13.8000000000065</v>
      </c>
      <c r="S638" s="32" t="n">
        <v>19865.3</v>
      </c>
      <c r="T638" s="29" t="s">
        <v>227</v>
      </c>
      <c r="U638" s="45" t="n">
        <f aca="false">IF(J638="BUY",S638-M638,M638-S638)</f>
        <v>12.0799999999981</v>
      </c>
      <c r="V638" s="46" t="n">
        <v>0</v>
      </c>
      <c r="W638" s="46" t="n">
        <v>0</v>
      </c>
      <c r="X638" s="46" t="n">
        <v>36.24</v>
      </c>
      <c r="Y638" s="33" t="n">
        <f aca="false">IFERROR(X638/R638,0)</f>
        <v>2.62608695652049</v>
      </c>
      <c r="Z638" s="29" t="str">
        <f aca="false">IF(X638&gt;0,"Win",IF(X638&lt;0,"Loss","Flat"))</f>
        <v>Win</v>
      </c>
      <c r="AA638" s="29" t="n">
        <f aca="false">ROUND((C638-B638)*1440,1)</f>
        <v>1</v>
      </c>
      <c r="AB638" s="29" t="str">
        <f aca="false">IF(AA638&lt;1,"a) &lt;1 min",IF(AA638&lt;10,"b) 1-10 min",IF(AA638&lt;60,"c) 10-60 min",IF(AA638&lt;240,"d) 1-4 h","e) 4 h+"))))</f>
        <v>b) 1-10 min</v>
      </c>
      <c r="AC638" s="29" t="str">
        <f aca="false">IF(P638&lt;10,"a) &lt;10",IF(P638&lt;20,"b) 10-20",IF(P638&lt;40,"c) 20-40",IF(P638&lt;80,"d) 40-80","e) 80+"))))</f>
        <v>a) &lt;10</v>
      </c>
      <c r="AD638" s="31" t="n">
        <f aca="false">Summary!$C$5+SUM(X$2:X638)</f>
        <v>14611.07</v>
      </c>
      <c r="AE638" s="31" t="n">
        <f aca="false">MAX(AE637,AD638)</f>
        <v>15756.64</v>
      </c>
      <c r="AF638" s="31" t="n">
        <f aca="false">AE638-AD638</f>
        <v>1145.57</v>
      </c>
      <c r="AG638" s="30" t="n">
        <f aca="false">IFERROR(AF638/AE638,0)</f>
        <v>0.0727039521116177</v>
      </c>
    </row>
    <row r="639" customFormat="false" ht="15" hidden="false" customHeight="false" outlineLevel="0" collapsed="false">
      <c r="A639" s="29" t="n">
        <v>638</v>
      </c>
      <c r="B639" s="44" t="n">
        <v>45559.46875</v>
      </c>
      <c r="C639" s="44" t="n">
        <v>45559.4701273148</v>
      </c>
      <c r="D639" s="43" t="n">
        <f aca="false">INT(C639)</f>
        <v>45559</v>
      </c>
      <c r="E639" s="43" t="n">
        <f aca="false">D639-WEEKDAY(D639,3)</f>
        <v>45558</v>
      </c>
      <c r="F639" s="29" t="s">
        <v>173</v>
      </c>
      <c r="G639" s="29" t="n">
        <v>2024</v>
      </c>
      <c r="H639" s="29" t="s">
        <v>248</v>
      </c>
      <c r="I639" s="29" t="n">
        <v>11</v>
      </c>
      <c r="J639" s="29" t="s">
        <v>246</v>
      </c>
      <c r="K639" s="29" t="s">
        <v>247</v>
      </c>
      <c r="L639" s="29" t="n">
        <v>0.03</v>
      </c>
      <c r="M639" s="32" t="n">
        <v>19933.08</v>
      </c>
      <c r="N639" s="32" t="n">
        <v>19927.54</v>
      </c>
      <c r="O639" s="32" t="n">
        <v>19946.66</v>
      </c>
      <c r="P639" s="45" t="n">
        <f aca="false">ABS(M639-N639)</f>
        <v>5.54000000000087</v>
      </c>
      <c r="Q639" s="45" t="n">
        <f aca="false">IF(O639="","",ABS(O639-M639))</f>
        <v>13.5799999999981</v>
      </c>
      <c r="R639" s="31" t="n">
        <f aca="false">P639*L639*Summary!$C$6</f>
        <v>16.6200000000026</v>
      </c>
      <c r="S639" s="32" t="n">
        <v>19932.83</v>
      </c>
      <c r="T639" s="29" t="s">
        <v>255</v>
      </c>
      <c r="U639" s="45" t="n">
        <f aca="false">IF(J639="BUY",S639-M639,M639-S639)</f>
        <v>-0.25</v>
      </c>
      <c r="V639" s="46" t="n">
        <v>0</v>
      </c>
      <c r="W639" s="46" t="n">
        <v>0</v>
      </c>
      <c r="X639" s="46" t="n">
        <v>-0.75</v>
      </c>
      <c r="Y639" s="33" t="n">
        <f aca="false">IFERROR(X639/R639,0)</f>
        <v>-0.0451263537906066</v>
      </c>
      <c r="Z639" s="29" t="str">
        <f aca="false">IF(X639&gt;0,"Win",IF(X639&lt;0,"Loss","Flat"))</f>
        <v>Loss</v>
      </c>
      <c r="AA639" s="29" t="n">
        <f aca="false">ROUND((C639-B639)*1440,1)</f>
        <v>2</v>
      </c>
      <c r="AB639" s="29" t="str">
        <f aca="false">IF(AA639&lt;1,"a) &lt;1 min",IF(AA639&lt;10,"b) 1-10 min",IF(AA639&lt;60,"c) 10-60 min",IF(AA639&lt;240,"d) 1-4 h","e) 4 h+"))))</f>
        <v>b) 1-10 min</v>
      </c>
      <c r="AC639" s="29" t="str">
        <f aca="false">IF(P639&lt;10,"a) &lt;10",IF(P639&lt;20,"b) 10-20",IF(P639&lt;40,"c) 20-40",IF(P639&lt;80,"d) 40-80","e) 80+"))))</f>
        <v>a) &lt;10</v>
      </c>
      <c r="AD639" s="31" t="n">
        <f aca="false">Summary!$C$5+SUM(X$2:X639)</f>
        <v>14610.32</v>
      </c>
      <c r="AE639" s="31" t="n">
        <f aca="false">MAX(AE638,AD639)</f>
        <v>15756.64</v>
      </c>
      <c r="AF639" s="31" t="n">
        <f aca="false">AE639-AD639</f>
        <v>1146.32</v>
      </c>
      <c r="AG639" s="30" t="n">
        <f aca="false">IFERROR(AF639/AE639,0)</f>
        <v>0.072751551092111</v>
      </c>
    </row>
    <row r="640" customFormat="false" ht="15" hidden="false" customHeight="false" outlineLevel="0" collapsed="false">
      <c r="A640" s="29" t="n">
        <v>639</v>
      </c>
      <c r="B640" s="44" t="n">
        <v>45560.70625</v>
      </c>
      <c r="C640" s="44" t="n">
        <v>45560.7167939815</v>
      </c>
      <c r="D640" s="43" t="n">
        <f aca="false">INT(C640)</f>
        <v>45560</v>
      </c>
      <c r="E640" s="43" t="n">
        <f aca="false">D640-WEEKDAY(D640,3)</f>
        <v>45558</v>
      </c>
      <c r="F640" s="29" t="s">
        <v>173</v>
      </c>
      <c r="G640" s="29" t="n">
        <v>2024</v>
      </c>
      <c r="H640" s="29" t="s">
        <v>252</v>
      </c>
      <c r="I640" s="29" t="n">
        <v>16</v>
      </c>
      <c r="J640" s="29" t="s">
        <v>246</v>
      </c>
      <c r="K640" s="29" t="s">
        <v>247</v>
      </c>
      <c r="L640" s="29" t="n">
        <v>0.03</v>
      </c>
      <c r="M640" s="32" t="n">
        <v>19994.39</v>
      </c>
      <c r="N640" s="32" t="n">
        <v>19981.22</v>
      </c>
      <c r="O640" s="32" t="n">
        <v>20026.67</v>
      </c>
      <c r="P640" s="45" t="n">
        <f aca="false">ABS(M640-N640)</f>
        <v>13.1699999999983</v>
      </c>
      <c r="Q640" s="45" t="n">
        <f aca="false">IF(O640="","",ABS(O640-M640))</f>
        <v>32.2799999999988</v>
      </c>
      <c r="R640" s="31" t="n">
        <f aca="false">P640*L640*Summary!$C$6</f>
        <v>39.5099999999948</v>
      </c>
      <c r="S640" s="32" t="n">
        <v>20027.19</v>
      </c>
      <c r="T640" s="29" t="s">
        <v>227</v>
      </c>
      <c r="U640" s="45" t="n">
        <f aca="false">IF(J640="BUY",S640-M640,M640-S640)</f>
        <v>32.7999999999993</v>
      </c>
      <c r="V640" s="46" t="n">
        <v>0</v>
      </c>
      <c r="W640" s="46" t="n">
        <v>0</v>
      </c>
      <c r="X640" s="46" t="n">
        <v>98.4</v>
      </c>
      <c r="Y640" s="33" t="n">
        <f aca="false">IFERROR(X640/R640,0)</f>
        <v>2.49050873196692</v>
      </c>
      <c r="Z640" s="29" t="str">
        <f aca="false">IF(X640&gt;0,"Win",IF(X640&lt;0,"Loss","Flat"))</f>
        <v>Win</v>
      </c>
      <c r="AA640" s="29" t="n">
        <f aca="false">ROUND((C640-B640)*1440,1)</f>
        <v>15.2</v>
      </c>
      <c r="AB640" s="29" t="str">
        <f aca="false">IF(AA640&lt;1,"a) &lt;1 min",IF(AA640&lt;10,"b) 1-10 min",IF(AA640&lt;60,"c) 10-60 min",IF(AA640&lt;240,"d) 1-4 h","e) 4 h+"))))</f>
        <v>c) 10-60 min</v>
      </c>
      <c r="AC640" s="29" t="str">
        <f aca="false">IF(P640&lt;10,"a) &lt;10",IF(P640&lt;20,"b) 10-20",IF(P640&lt;40,"c) 20-40",IF(P640&lt;80,"d) 40-80","e) 80+"))))</f>
        <v>b) 10-20</v>
      </c>
      <c r="AD640" s="31" t="n">
        <f aca="false">Summary!$C$5+SUM(X$2:X640)</f>
        <v>14708.72</v>
      </c>
      <c r="AE640" s="31" t="n">
        <f aca="false">MAX(AE639,AD640)</f>
        <v>15756.64</v>
      </c>
      <c r="AF640" s="31" t="n">
        <f aca="false">AE640-AD640</f>
        <v>1047.92</v>
      </c>
      <c r="AG640" s="30" t="n">
        <f aca="false">IFERROR(AF640/AE640,0)</f>
        <v>0.0665065648513895</v>
      </c>
    </row>
    <row r="641" customFormat="false" ht="15" hidden="false" customHeight="false" outlineLevel="0" collapsed="false">
      <c r="A641" s="29" t="n">
        <v>640</v>
      </c>
      <c r="B641" s="44" t="n">
        <v>45561.1159722222</v>
      </c>
      <c r="C641" s="44" t="n">
        <v>45561.1276041667</v>
      </c>
      <c r="D641" s="43" t="n">
        <f aca="false">INT(C641)</f>
        <v>45561</v>
      </c>
      <c r="E641" s="43" t="n">
        <f aca="false">D641-WEEKDAY(D641,3)</f>
        <v>45558</v>
      </c>
      <c r="F641" s="29" t="s">
        <v>173</v>
      </c>
      <c r="G641" s="29" t="n">
        <v>2024</v>
      </c>
      <c r="H641" s="29" t="s">
        <v>253</v>
      </c>
      <c r="I641" s="29" t="n">
        <v>2</v>
      </c>
      <c r="J641" s="29" t="s">
        <v>246</v>
      </c>
      <c r="K641" s="29" t="s">
        <v>247</v>
      </c>
      <c r="L641" s="29" t="n">
        <v>0.03</v>
      </c>
      <c r="M641" s="32" t="n">
        <v>20048.72</v>
      </c>
      <c r="N641" s="32" t="n">
        <v>20041.59</v>
      </c>
      <c r="O641" s="32" t="n">
        <v>20066.19</v>
      </c>
      <c r="P641" s="45" t="n">
        <f aca="false">ABS(M641-N641)</f>
        <v>7.13000000000102</v>
      </c>
      <c r="Q641" s="45" t="n">
        <f aca="false">IF(O641="","",ABS(O641-M641))</f>
        <v>17.4699999999975</v>
      </c>
      <c r="R641" s="31" t="n">
        <f aca="false">P641*L641*Summary!$C$6</f>
        <v>21.3900000000031</v>
      </c>
      <c r="S641" s="32" t="n">
        <v>20066.34</v>
      </c>
      <c r="T641" s="29" t="s">
        <v>227</v>
      </c>
      <c r="U641" s="45" t="n">
        <f aca="false">IF(J641="BUY",S641-M641,M641-S641)</f>
        <v>17.619999999999</v>
      </c>
      <c r="V641" s="46" t="n">
        <v>0</v>
      </c>
      <c r="W641" s="46" t="n">
        <v>0</v>
      </c>
      <c r="X641" s="46" t="n">
        <v>52.86</v>
      </c>
      <c r="Y641" s="33" t="n">
        <f aca="false">IFERROR(X641/R641,0)</f>
        <v>2.47124824684397</v>
      </c>
      <c r="Z641" s="29" t="str">
        <f aca="false">IF(X641&gt;0,"Win",IF(X641&lt;0,"Loss","Flat"))</f>
        <v>Win</v>
      </c>
      <c r="AA641" s="29" t="n">
        <f aca="false">ROUND((C641-B641)*1440,1)</f>
        <v>16.8</v>
      </c>
      <c r="AB641" s="29" t="str">
        <f aca="false">IF(AA641&lt;1,"a) &lt;1 min",IF(AA641&lt;10,"b) 1-10 min",IF(AA641&lt;60,"c) 10-60 min",IF(AA641&lt;240,"d) 1-4 h","e) 4 h+"))))</f>
        <v>c) 10-60 min</v>
      </c>
      <c r="AC641" s="29" t="str">
        <f aca="false">IF(P641&lt;10,"a) &lt;10",IF(P641&lt;20,"b) 10-20",IF(P641&lt;40,"c) 20-40",IF(P641&lt;80,"d) 40-80","e) 80+"))))</f>
        <v>a) &lt;10</v>
      </c>
      <c r="AD641" s="31" t="n">
        <f aca="false">Summary!$C$5+SUM(X$2:X641)</f>
        <v>14761.58</v>
      </c>
      <c r="AE641" s="31" t="n">
        <f aca="false">MAX(AE640,AD641)</f>
        <v>15756.64</v>
      </c>
      <c r="AF641" s="31" t="n">
        <f aca="false">AE641-AD641</f>
        <v>995.06</v>
      </c>
      <c r="AG641" s="30" t="n">
        <f aca="false">IFERROR(AF641/AE641,0)</f>
        <v>0.0631517887062216</v>
      </c>
    </row>
    <row r="642" customFormat="false" ht="15" hidden="false" customHeight="false" outlineLevel="0" collapsed="false">
      <c r="A642" s="29" t="n">
        <v>641</v>
      </c>
      <c r="B642" s="44" t="n">
        <v>45565.2159722222</v>
      </c>
      <c r="C642" s="44" t="n">
        <v>45565.2179861111</v>
      </c>
      <c r="D642" s="43" t="n">
        <f aca="false">INT(C642)</f>
        <v>45565</v>
      </c>
      <c r="E642" s="43" t="n">
        <f aca="false">D642-WEEKDAY(D642,3)</f>
        <v>45565</v>
      </c>
      <c r="F642" s="29" t="s">
        <v>173</v>
      </c>
      <c r="G642" s="29" t="n">
        <v>2024</v>
      </c>
      <c r="H642" s="29" t="s">
        <v>245</v>
      </c>
      <c r="I642" s="29" t="n">
        <v>5</v>
      </c>
      <c r="J642" s="29" t="s">
        <v>250</v>
      </c>
      <c r="K642" s="29" t="s">
        <v>251</v>
      </c>
      <c r="L642" s="29" t="n">
        <v>0.03</v>
      </c>
      <c r="M642" s="32" t="n">
        <v>19946.63</v>
      </c>
      <c r="N642" s="32" t="n">
        <v>19953.04</v>
      </c>
      <c r="O642" s="32" t="n">
        <v>19930.93</v>
      </c>
      <c r="P642" s="45" t="n">
        <f aca="false">ABS(M642-N642)</f>
        <v>6.40999999999985</v>
      </c>
      <c r="Q642" s="45" t="n">
        <f aca="false">IF(O642="","",ABS(O642-M642))</f>
        <v>15.7000000000007</v>
      </c>
      <c r="R642" s="31" t="n">
        <f aca="false">P642*L642*Summary!$C$6</f>
        <v>19.2299999999996</v>
      </c>
      <c r="S642" s="32" t="n">
        <v>19953.43</v>
      </c>
      <c r="T642" s="29" t="s">
        <v>249</v>
      </c>
      <c r="U642" s="45" t="n">
        <f aca="false">IF(J642="BUY",S642-M642,M642-S642)</f>
        <v>-6.79999999999927</v>
      </c>
      <c r="V642" s="46" t="n">
        <v>0</v>
      </c>
      <c r="W642" s="46" t="n">
        <v>0</v>
      </c>
      <c r="X642" s="46" t="n">
        <v>-20.4</v>
      </c>
      <c r="Y642" s="33" t="n">
        <f aca="false">IFERROR(X642/R642,0)</f>
        <v>-1.06084243369737</v>
      </c>
      <c r="Z642" s="29" t="str">
        <f aca="false">IF(X642&gt;0,"Win",IF(X642&lt;0,"Loss","Flat"))</f>
        <v>Loss</v>
      </c>
      <c r="AA642" s="29" t="n">
        <f aca="false">ROUND((C642-B642)*1440,1)</f>
        <v>2.9</v>
      </c>
      <c r="AB642" s="29" t="str">
        <f aca="false">IF(AA642&lt;1,"a) &lt;1 min",IF(AA642&lt;10,"b) 1-10 min",IF(AA642&lt;60,"c) 10-60 min",IF(AA642&lt;240,"d) 1-4 h","e) 4 h+"))))</f>
        <v>b) 1-10 min</v>
      </c>
      <c r="AC642" s="29" t="str">
        <f aca="false">IF(P642&lt;10,"a) &lt;10",IF(P642&lt;20,"b) 10-20",IF(P642&lt;40,"c) 20-40",IF(P642&lt;80,"d) 40-80","e) 80+"))))</f>
        <v>a) &lt;10</v>
      </c>
      <c r="AD642" s="31" t="n">
        <f aca="false">Summary!$C$5+SUM(X$2:X642)</f>
        <v>14741.18</v>
      </c>
      <c r="AE642" s="31" t="n">
        <f aca="false">MAX(AE641,AD642)</f>
        <v>15756.64</v>
      </c>
      <c r="AF642" s="31" t="n">
        <f aca="false">AE642-AD642</f>
        <v>1015.46</v>
      </c>
      <c r="AG642" s="30" t="n">
        <f aca="false">IFERROR(AF642/AE642,0)</f>
        <v>0.0644464809756394</v>
      </c>
    </row>
    <row r="643" customFormat="false" ht="15" hidden="false" customHeight="false" outlineLevel="0" collapsed="false">
      <c r="A643" s="29" t="n">
        <v>642</v>
      </c>
      <c r="B643" s="44" t="n">
        <v>45566.1854166667</v>
      </c>
      <c r="C643" s="44" t="n">
        <v>45566.1884027778</v>
      </c>
      <c r="D643" s="43" t="n">
        <f aca="false">INT(C643)</f>
        <v>45566</v>
      </c>
      <c r="E643" s="43" t="n">
        <f aca="false">D643-WEEKDAY(D643,3)</f>
        <v>45565</v>
      </c>
      <c r="F643" s="29" t="s">
        <v>174</v>
      </c>
      <c r="G643" s="29" t="n">
        <v>2024</v>
      </c>
      <c r="H643" s="29" t="s">
        <v>248</v>
      </c>
      <c r="I643" s="29" t="n">
        <v>4</v>
      </c>
      <c r="J643" s="29" t="s">
        <v>246</v>
      </c>
      <c r="K643" s="29" t="s">
        <v>247</v>
      </c>
      <c r="L643" s="29" t="n">
        <v>0.03</v>
      </c>
      <c r="M643" s="32" t="n">
        <v>20075.53</v>
      </c>
      <c r="N643" s="32" t="n">
        <v>20070.14</v>
      </c>
      <c r="O643" s="32" t="n">
        <v>20088.73</v>
      </c>
      <c r="P643" s="45" t="n">
        <f aca="false">ABS(M643-N643)</f>
        <v>5.38999999999942</v>
      </c>
      <c r="Q643" s="45" t="n">
        <f aca="false">IF(O643="","",ABS(O643-M643))</f>
        <v>13.2000000000007</v>
      </c>
      <c r="R643" s="31" t="n">
        <f aca="false">P643*L643*Summary!$C$6</f>
        <v>16.1699999999983</v>
      </c>
      <c r="S643" s="32" t="n">
        <v>20089.52</v>
      </c>
      <c r="T643" s="29" t="s">
        <v>227</v>
      </c>
      <c r="U643" s="45" t="n">
        <f aca="false">IF(J643="BUY",S643-M643,M643-S643)</f>
        <v>13.9900000000016</v>
      </c>
      <c r="V643" s="46" t="n">
        <v>0</v>
      </c>
      <c r="W643" s="46" t="n">
        <v>0</v>
      </c>
      <c r="X643" s="46" t="n">
        <v>41.97</v>
      </c>
      <c r="Y643" s="33" t="n">
        <f aca="false">IFERROR(X643/R643,0)</f>
        <v>2.5955473098333</v>
      </c>
      <c r="Z643" s="29" t="str">
        <f aca="false">IF(X643&gt;0,"Win",IF(X643&lt;0,"Loss","Flat"))</f>
        <v>Win</v>
      </c>
      <c r="AA643" s="29" t="n">
        <f aca="false">ROUND((C643-B643)*1440,1)</f>
        <v>4.3</v>
      </c>
      <c r="AB643" s="29" t="str">
        <f aca="false">IF(AA643&lt;1,"a) &lt;1 min",IF(AA643&lt;10,"b) 1-10 min",IF(AA643&lt;60,"c) 10-60 min",IF(AA643&lt;240,"d) 1-4 h","e) 4 h+"))))</f>
        <v>b) 1-10 min</v>
      </c>
      <c r="AC643" s="29" t="str">
        <f aca="false">IF(P643&lt;10,"a) &lt;10",IF(P643&lt;20,"b) 10-20",IF(P643&lt;40,"c) 20-40",IF(P643&lt;80,"d) 40-80","e) 80+"))))</f>
        <v>a) &lt;10</v>
      </c>
      <c r="AD643" s="31" t="n">
        <f aca="false">Summary!$C$5+SUM(X$2:X643)</f>
        <v>14783.15</v>
      </c>
      <c r="AE643" s="31" t="n">
        <f aca="false">MAX(AE642,AD643)</f>
        <v>15756.64</v>
      </c>
      <c r="AF643" s="31" t="n">
        <f aca="false">AE643-AD643</f>
        <v>973.49</v>
      </c>
      <c r="AG643" s="30" t="n">
        <f aca="false">IFERROR(AF643/AE643,0)</f>
        <v>0.0617828420272342</v>
      </c>
    </row>
    <row r="644" customFormat="false" ht="15" hidden="false" customHeight="false" outlineLevel="0" collapsed="false">
      <c r="A644" s="29" t="n">
        <v>643</v>
      </c>
      <c r="B644" s="44" t="n">
        <v>45566.7</v>
      </c>
      <c r="C644" s="44" t="n">
        <v>45566.7066550926</v>
      </c>
      <c r="D644" s="43" t="n">
        <f aca="false">INT(C644)</f>
        <v>45566</v>
      </c>
      <c r="E644" s="43" t="n">
        <f aca="false">D644-WEEKDAY(D644,3)</f>
        <v>45565</v>
      </c>
      <c r="F644" s="29" t="s">
        <v>174</v>
      </c>
      <c r="G644" s="29" t="n">
        <v>2024</v>
      </c>
      <c r="H644" s="29" t="s">
        <v>248</v>
      </c>
      <c r="I644" s="29" t="n">
        <v>16</v>
      </c>
      <c r="J644" s="29" t="s">
        <v>250</v>
      </c>
      <c r="K644" s="29" t="s">
        <v>251</v>
      </c>
      <c r="L644" s="29" t="n">
        <v>0.03</v>
      </c>
      <c r="M644" s="32" t="n">
        <v>19830.14</v>
      </c>
      <c r="N644" s="32" t="n">
        <v>19859.46</v>
      </c>
      <c r="O644" s="32" t="n">
        <v>19761.66</v>
      </c>
      <c r="P644" s="45" t="n">
        <f aca="false">ABS(M644-N644)</f>
        <v>29.3199999999997</v>
      </c>
      <c r="Q644" s="45" t="n">
        <f aca="false">IF(O644="","",ABS(O644-M644))</f>
        <v>68.4799999999996</v>
      </c>
      <c r="R644" s="31" t="n">
        <f aca="false">P644*L644*Summary!$C$6</f>
        <v>87.9599999999991</v>
      </c>
      <c r="S644" s="32" t="n">
        <v>19830.24</v>
      </c>
      <c r="T644" s="29" t="s">
        <v>255</v>
      </c>
      <c r="U644" s="45" t="n">
        <f aca="false">IF(J644="BUY",S644-M644,M644-S644)</f>
        <v>-0.100000000002183</v>
      </c>
      <c r="V644" s="46" t="n">
        <v>0</v>
      </c>
      <c r="W644" s="46" t="n">
        <v>0</v>
      </c>
      <c r="X644" s="46" t="n">
        <v>-0.3</v>
      </c>
      <c r="Y644" s="33" t="n">
        <f aca="false">IFERROR(X644/R644,0)</f>
        <v>-0.00341064120054574</v>
      </c>
      <c r="Z644" s="29" t="str">
        <f aca="false">IF(X644&gt;0,"Win",IF(X644&lt;0,"Loss","Flat"))</f>
        <v>Loss</v>
      </c>
      <c r="AA644" s="29" t="n">
        <f aca="false">ROUND((C644-B644)*1440,1)</f>
        <v>9.6</v>
      </c>
      <c r="AB644" s="29" t="str">
        <f aca="false">IF(AA644&lt;1,"a) &lt;1 min",IF(AA644&lt;10,"b) 1-10 min",IF(AA644&lt;60,"c) 10-60 min",IF(AA644&lt;240,"d) 1-4 h","e) 4 h+"))))</f>
        <v>b) 1-10 min</v>
      </c>
      <c r="AC644" s="29" t="str">
        <f aca="false">IF(P644&lt;10,"a) &lt;10",IF(P644&lt;20,"b) 10-20",IF(P644&lt;40,"c) 20-40",IF(P644&lt;80,"d) 40-80","e) 80+"))))</f>
        <v>c) 20-40</v>
      </c>
      <c r="AD644" s="31" t="n">
        <f aca="false">Summary!$C$5+SUM(X$2:X644)</f>
        <v>14782.85</v>
      </c>
      <c r="AE644" s="31" t="n">
        <f aca="false">MAX(AE643,AD644)</f>
        <v>15756.64</v>
      </c>
      <c r="AF644" s="31" t="n">
        <f aca="false">AE644-AD644</f>
        <v>973.789999999999</v>
      </c>
      <c r="AG644" s="30" t="n">
        <f aca="false">IFERROR(AF644/AE644,0)</f>
        <v>0.0618018816194315</v>
      </c>
    </row>
    <row r="645" customFormat="false" ht="15" hidden="false" customHeight="false" outlineLevel="0" collapsed="false">
      <c r="A645" s="29" t="n">
        <v>644</v>
      </c>
      <c r="B645" s="44" t="n">
        <v>45568.7118055556</v>
      </c>
      <c r="C645" s="44" t="n">
        <v>45568.7175231482</v>
      </c>
      <c r="D645" s="43" t="n">
        <f aca="false">INT(C645)</f>
        <v>45568</v>
      </c>
      <c r="E645" s="43" t="n">
        <f aca="false">D645-WEEKDAY(D645,3)</f>
        <v>45565</v>
      </c>
      <c r="F645" s="29" t="s">
        <v>174</v>
      </c>
      <c r="G645" s="29" t="n">
        <v>2024</v>
      </c>
      <c r="H645" s="29" t="s">
        <v>253</v>
      </c>
      <c r="I645" s="29" t="n">
        <v>17</v>
      </c>
      <c r="J645" s="29" t="s">
        <v>246</v>
      </c>
      <c r="K645" s="29" t="s">
        <v>247</v>
      </c>
      <c r="L645" s="29" t="n">
        <v>0.03</v>
      </c>
      <c r="M645" s="32" t="n">
        <v>19890.55</v>
      </c>
      <c r="N645" s="32" t="n">
        <v>19860.85</v>
      </c>
      <c r="O645" s="32" t="n">
        <v>19955.68</v>
      </c>
      <c r="P645" s="45" t="n">
        <f aca="false">ABS(M645-N645)</f>
        <v>29.7000000000007</v>
      </c>
      <c r="Q645" s="45" t="n">
        <f aca="false">IF(O645="","",ABS(O645-M645))</f>
        <v>65.130000000001</v>
      </c>
      <c r="R645" s="31" t="n">
        <f aca="false">P645*L645*Summary!$C$6</f>
        <v>89.1000000000022</v>
      </c>
      <c r="S645" s="32" t="n">
        <v>19860.13</v>
      </c>
      <c r="T645" s="29" t="s">
        <v>249</v>
      </c>
      <c r="U645" s="45" t="n">
        <f aca="false">IF(J645="BUY",S645-M645,M645-S645)</f>
        <v>-30.4199999999983</v>
      </c>
      <c r="V645" s="46" t="n">
        <v>0</v>
      </c>
      <c r="W645" s="46" t="n">
        <v>0</v>
      </c>
      <c r="X645" s="46" t="n">
        <v>-91.26</v>
      </c>
      <c r="Y645" s="33" t="n">
        <f aca="false">IFERROR(X645/R645,0)</f>
        <v>-1.0242424242424</v>
      </c>
      <c r="Z645" s="29" t="str">
        <f aca="false">IF(X645&gt;0,"Win",IF(X645&lt;0,"Loss","Flat"))</f>
        <v>Loss</v>
      </c>
      <c r="AA645" s="29" t="n">
        <f aca="false">ROUND((C645-B645)*1440,1)</f>
        <v>8.2</v>
      </c>
      <c r="AB645" s="29" t="str">
        <f aca="false">IF(AA645&lt;1,"a) &lt;1 min",IF(AA645&lt;10,"b) 1-10 min",IF(AA645&lt;60,"c) 10-60 min",IF(AA645&lt;240,"d) 1-4 h","e) 4 h+"))))</f>
        <v>b) 1-10 min</v>
      </c>
      <c r="AC645" s="29" t="str">
        <f aca="false">IF(P645&lt;10,"a) &lt;10",IF(P645&lt;20,"b) 10-20",IF(P645&lt;40,"c) 20-40",IF(P645&lt;80,"d) 40-80","e) 80+"))))</f>
        <v>c) 20-40</v>
      </c>
      <c r="AD645" s="31" t="n">
        <f aca="false">Summary!$C$5+SUM(X$2:X645)</f>
        <v>14691.59</v>
      </c>
      <c r="AE645" s="31" t="n">
        <f aca="false">MAX(AE644,AD645)</f>
        <v>15756.64</v>
      </c>
      <c r="AF645" s="31" t="n">
        <f aca="false">AE645-AD645</f>
        <v>1065.05</v>
      </c>
      <c r="AG645" s="30" t="n">
        <f aca="false">IFERROR(AF645/AE645,0)</f>
        <v>0.0675937255658566</v>
      </c>
    </row>
    <row r="646" customFormat="false" ht="15" hidden="false" customHeight="false" outlineLevel="0" collapsed="false">
      <c r="A646" s="29" t="n">
        <v>645</v>
      </c>
      <c r="B646" s="44" t="n">
        <v>45569.6465277778</v>
      </c>
      <c r="C646" s="44" t="n">
        <v>45569.6469212963</v>
      </c>
      <c r="D646" s="43" t="n">
        <f aca="false">INT(C646)</f>
        <v>45569</v>
      </c>
      <c r="E646" s="43" t="n">
        <f aca="false">D646-WEEKDAY(D646,3)</f>
        <v>45565</v>
      </c>
      <c r="F646" s="29" t="s">
        <v>174</v>
      </c>
      <c r="G646" s="29" t="n">
        <v>2024</v>
      </c>
      <c r="H646" s="29" t="s">
        <v>254</v>
      </c>
      <c r="I646" s="29" t="n">
        <v>15</v>
      </c>
      <c r="J646" s="29" t="s">
        <v>246</v>
      </c>
      <c r="K646" s="29" t="s">
        <v>247</v>
      </c>
      <c r="L646" s="29" t="n">
        <v>0.03</v>
      </c>
      <c r="M646" s="32" t="n">
        <v>19922.4</v>
      </c>
      <c r="N646" s="32" t="n">
        <v>19898.85</v>
      </c>
      <c r="O646" s="32" t="n">
        <v>19979.86</v>
      </c>
      <c r="P646" s="45" t="n">
        <f aca="false">ABS(M646-N646)</f>
        <v>23.5500000000029</v>
      </c>
      <c r="Q646" s="45" t="n">
        <f aca="false">IF(O646="","",ABS(O646-M646))</f>
        <v>57.4599999999991</v>
      </c>
      <c r="R646" s="31" t="n">
        <f aca="false">P646*L646*Summary!$C$6</f>
        <v>70.6500000000087</v>
      </c>
      <c r="S646" s="32" t="n">
        <v>19896.41</v>
      </c>
      <c r="T646" s="29" t="s">
        <v>249</v>
      </c>
      <c r="U646" s="45" t="n">
        <f aca="false">IF(J646="BUY",S646-M646,M646-S646)</f>
        <v>-25.9900000000016</v>
      </c>
      <c r="V646" s="46" t="n">
        <v>0</v>
      </c>
      <c r="W646" s="46" t="n">
        <v>0</v>
      </c>
      <c r="X646" s="46" t="n">
        <v>-77.97</v>
      </c>
      <c r="Y646" s="33" t="n">
        <f aca="false">IFERROR(X646/R646,0)</f>
        <v>-1.10360934182577</v>
      </c>
      <c r="Z646" s="29" t="str">
        <f aca="false">IF(X646&gt;0,"Win",IF(X646&lt;0,"Loss","Flat"))</f>
        <v>Loss</v>
      </c>
      <c r="AA646" s="29" t="n">
        <f aca="false">ROUND((C646-B646)*1440,1)</f>
        <v>0.6</v>
      </c>
      <c r="AB646" s="29" t="str">
        <f aca="false">IF(AA646&lt;1,"a) &lt;1 min",IF(AA646&lt;10,"b) 1-10 min",IF(AA646&lt;60,"c) 10-60 min",IF(AA646&lt;240,"d) 1-4 h","e) 4 h+"))))</f>
        <v>a) &lt;1 min</v>
      </c>
      <c r="AC646" s="29" t="str">
        <f aca="false">IF(P646&lt;10,"a) &lt;10",IF(P646&lt;20,"b) 10-20",IF(P646&lt;40,"c) 20-40",IF(P646&lt;80,"d) 40-80","e) 80+"))))</f>
        <v>c) 20-40</v>
      </c>
      <c r="AD646" s="31" t="n">
        <f aca="false">Summary!$C$5+SUM(X$2:X646)</f>
        <v>14613.62</v>
      </c>
      <c r="AE646" s="31" t="n">
        <f aca="false">MAX(AE645,AD646)</f>
        <v>15756.64</v>
      </c>
      <c r="AF646" s="31" t="n">
        <f aca="false">AE646-AD646</f>
        <v>1143.02</v>
      </c>
      <c r="AG646" s="30" t="n">
        <f aca="false">IFERROR(AF646/AE646,0)</f>
        <v>0.0725421155779405</v>
      </c>
    </row>
    <row r="647" customFormat="false" ht="15" hidden="false" customHeight="false" outlineLevel="0" collapsed="false">
      <c r="A647" s="29" t="n">
        <v>646</v>
      </c>
      <c r="B647" s="44" t="n">
        <v>45572.0861111111</v>
      </c>
      <c r="C647" s="44" t="n">
        <v>45572.0885648148</v>
      </c>
      <c r="D647" s="43" t="n">
        <f aca="false">INT(C647)</f>
        <v>45572</v>
      </c>
      <c r="E647" s="43" t="n">
        <f aca="false">D647-WEEKDAY(D647,3)</f>
        <v>45572</v>
      </c>
      <c r="F647" s="29" t="s">
        <v>174</v>
      </c>
      <c r="G647" s="29" t="n">
        <v>2024</v>
      </c>
      <c r="H647" s="29" t="s">
        <v>245</v>
      </c>
      <c r="I647" s="29" t="n">
        <v>2</v>
      </c>
      <c r="J647" s="29" t="s">
        <v>246</v>
      </c>
      <c r="K647" s="29" t="s">
        <v>247</v>
      </c>
      <c r="L647" s="29" t="n">
        <v>0.03</v>
      </c>
      <c r="M647" s="32" t="n">
        <v>20065.96</v>
      </c>
      <c r="N647" s="32" t="n">
        <v>20059.8</v>
      </c>
      <c r="O647" s="32" t="n">
        <v>20081.05</v>
      </c>
      <c r="P647" s="45" t="n">
        <f aca="false">ABS(M647-N647)</f>
        <v>6.15999999999985</v>
      </c>
      <c r="Q647" s="45" t="n">
        <f aca="false">IF(O647="","",ABS(O647-M647))</f>
        <v>15.0900000000001</v>
      </c>
      <c r="R647" s="31" t="n">
        <f aca="false">P647*L647*Summary!$C$6</f>
        <v>18.4799999999996</v>
      </c>
      <c r="S647" s="32" t="n">
        <v>20058.51</v>
      </c>
      <c r="T647" s="29" t="s">
        <v>249</v>
      </c>
      <c r="U647" s="45" t="n">
        <f aca="false">IF(J647="BUY",S647-M647,M647-S647)</f>
        <v>-7.45000000000073</v>
      </c>
      <c r="V647" s="46" t="n">
        <v>0</v>
      </c>
      <c r="W647" s="46" t="n">
        <v>0</v>
      </c>
      <c r="X647" s="46" t="n">
        <v>-22.35</v>
      </c>
      <c r="Y647" s="33" t="n">
        <f aca="false">IFERROR(X647/R647,0)</f>
        <v>-1.20941558441561</v>
      </c>
      <c r="Z647" s="29" t="str">
        <f aca="false">IF(X647&gt;0,"Win",IF(X647&lt;0,"Loss","Flat"))</f>
        <v>Loss</v>
      </c>
      <c r="AA647" s="29" t="n">
        <f aca="false">ROUND((C647-B647)*1440,1)</f>
        <v>3.5</v>
      </c>
      <c r="AB647" s="29" t="str">
        <f aca="false">IF(AA647&lt;1,"a) &lt;1 min",IF(AA647&lt;10,"b) 1-10 min",IF(AA647&lt;60,"c) 10-60 min",IF(AA647&lt;240,"d) 1-4 h","e) 4 h+"))))</f>
        <v>b) 1-10 min</v>
      </c>
      <c r="AC647" s="29" t="str">
        <f aca="false">IF(P647&lt;10,"a) &lt;10",IF(P647&lt;20,"b) 10-20",IF(P647&lt;40,"c) 20-40",IF(P647&lt;80,"d) 40-80","e) 80+"))))</f>
        <v>a) &lt;10</v>
      </c>
      <c r="AD647" s="31" t="n">
        <f aca="false">Summary!$C$5+SUM(X$2:X647)</f>
        <v>14591.27</v>
      </c>
      <c r="AE647" s="31" t="n">
        <f aca="false">MAX(AE646,AD647)</f>
        <v>15756.64</v>
      </c>
      <c r="AF647" s="31" t="n">
        <f aca="false">AE647-AD647</f>
        <v>1165.37</v>
      </c>
      <c r="AG647" s="30" t="n">
        <f aca="false">IFERROR(AF647/AE647,0)</f>
        <v>0.0739605651966409</v>
      </c>
    </row>
    <row r="648" customFormat="false" ht="15" hidden="false" customHeight="false" outlineLevel="0" collapsed="false">
      <c r="A648" s="29" t="n">
        <v>647</v>
      </c>
      <c r="B648" s="44" t="n">
        <v>45573.0659722222</v>
      </c>
      <c r="C648" s="44" t="n">
        <v>45573.066712963</v>
      </c>
      <c r="D648" s="43" t="n">
        <f aca="false">INT(C648)</f>
        <v>45573</v>
      </c>
      <c r="E648" s="43" t="n">
        <f aca="false">D648-WEEKDAY(D648,3)</f>
        <v>45572</v>
      </c>
      <c r="F648" s="29" t="s">
        <v>174</v>
      </c>
      <c r="G648" s="29" t="n">
        <v>2024</v>
      </c>
      <c r="H648" s="29" t="s">
        <v>248</v>
      </c>
      <c r="I648" s="29" t="n">
        <v>1</v>
      </c>
      <c r="J648" s="29" t="s">
        <v>250</v>
      </c>
      <c r="K648" s="29" t="s">
        <v>251</v>
      </c>
      <c r="L648" s="29" t="n">
        <v>0.03</v>
      </c>
      <c r="M648" s="32" t="n">
        <v>19746.7</v>
      </c>
      <c r="N648" s="32" t="n">
        <v>19777.16</v>
      </c>
      <c r="O648" s="32" t="n">
        <v>19672.06</v>
      </c>
      <c r="P648" s="45" t="n">
        <f aca="false">ABS(M648-N648)</f>
        <v>30.4599999999991</v>
      </c>
      <c r="Q648" s="45" t="n">
        <f aca="false">IF(O648="","",ABS(O648-M648))</f>
        <v>74.6399999999994</v>
      </c>
      <c r="R648" s="31" t="n">
        <f aca="false">P648*L648*Summary!$C$6</f>
        <v>91.3799999999974</v>
      </c>
      <c r="S648" s="32" t="n">
        <v>19783.69</v>
      </c>
      <c r="T648" s="29" t="s">
        <v>249</v>
      </c>
      <c r="U648" s="45" t="n">
        <f aca="false">IF(J648="BUY",S648-M648,M648-S648)</f>
        <v>-36.989999999998</v>
      </c>
      <c r="V648" s="46" t="n">
        <v>0</v>
      </c>
      <c r="W648" s="46" t="n">
        <v>0</v>
      </c>
      <c r="X648" s="46" t="n">
        <v>-110.97</v>
      </c>
      <c r="Y648" s="33" t="n">
        <f aca="false">IFERROR(X648/R648,0)</f>
        <v>-1.21437951411691</v>
      </c>
      <c r="Z648" s="29" t="str">
        <f aca="false">IF(X648&gt;0,"Win",IF(X648&lt;0,"Loss","Flat"))</f>
        <v>Loss</v>
      </c>
      <c r="AA648" s="29" t="n">
        <f aca="false">ROUND((C648-B648)*1440,1)</f>
        <v>1.1</v>
      </c>
      <c r="AB648" s="29" t="str">
        <f aca="false">IF(AA648&lt;1,"a) &lt;1 min",IF(AA648&lt;10,"b) 1-10 min",IF(AA648&lt;60,"c) 10-60 min",IF(AA648&lt;240,"d) 1-4 h","e) 4 h+"))))</f>
        <v>b) 1-10 min</v>
      </c>
      <c r="AC648" s="29" t="str">
        <f aca="false">IF(P648&lt;10,"a) &lt;10",IF(P648&lt;20,"b) 10-20",IF(P648&lt;40,"c) 20-40",IF(P648&lt;80,"d) 40-80","e) 80+"))))</f>
        <v>c) 20-40</v>
      </c>
      <c r="AD648" s="31" t="n">
        <f aca="false">Summary!$C$5+SUM(X$2:X648)</f>
        <v>14480.3</v>
      </c>
      <c r="AE648" s="31" t="n">
        <f aca="false">MAX(AE647,AD648)</f>
        <v>15756.64</v>
      </c>
      <c r="AF648" s="31" t="n">
        <f aca="false">AE648-AD648</f>
        <v>1276.34</v>
      </c>
      <c r="AG648" s="30" t="n">
        <f aca="false">IFERROR(AF648/AE648,0)</f>
        <v>0.0810033103504301</v>
      </c>
    </row>
    <row r="649" customFormat="false" ht="15" hidden="false" customHeight="false" outlineLevel="0" collapsed="false">
      <c r="A649" s="29" t="n">
        <v>648</v>
      </c>
      <c r="B649" s="44" t="n">
        <v>45573.7409722222</v>
      </c>
      <c r="C649" s="44" t="n">
        <v>45573.7440625</v>
      </c>
      <c r="D649" s="43" t="n">
        <f aca="false">INT(C649)</f>
        <v>45573</v>
      </c>
      <c r="E649" s="43" t="n">
        <f aca="false">D649-WEEKDAY(D649,3)</f>
        <v>45572</v>
      </c>
      <c r="F649" s="29" t="s">
        <v>174</v>
      </c>
      <c r="G649" s="29" t="n">
        <v>2024</v>
      </c>
      <c r="H649" s="29" t="s">
        <v>248</v>
      </c>
      <c r="I649" s="29" t="n">
        <v>17</v>
      </c>
      <c r="J649" s="29" t="s">
        <v>246</v>
      </c>
      <c r="K649" s="29" t="s">
        <v>247</v>
      </c>
      <c r="L649" s="29" t="n">
        <v>0.03</v>
      </c>
      <c r="M649" s="32" t="n">
        <v>20069.72</v>
      </c>
      <c r="N649" s="32" t="n">
        <v>20046.28</v>
      </c>
      <c r="O649" s="32" t="n">
        <v>20127.14</v>
      </c>
      <c r="P649" s="45" t="n">
        <f aca="false">ABS(M649-N649)</f>
        <v>23.4400000000023</v>
      </c>
      <c r="Q649" s="45" t="n">
        <f aca="false">IF(O649="","",ABS(O649-M649))</f>
        <v>57.4199999999983</v>
      </c>
      <c r="R649" s="31" t="n">
        <f aca="false">P649*L649*Summary!$C$6</f>
        <v>70.320000000007</v>
      </c>
      <c r="S649" s="32" t="n">
        <v>20046.12</v>
      </c>
      <c r="T649" s="29" t="s">
        <v>249</v>
      </c>
      <c r="U649" s="45" t="n">
        <f aca="false">IF(J649="BUY",S649-M649,M649-S649)</f>
        <v>-23.6000000000022</v>
      </c>
      <c r="V649" s="46" t="n">
        <v>0</v>
      </c>
      <c r="W649" s="46" t="n">
        <v>0</v>
      </c>
      <c r="X649" s="46" t="n">
        <v>-70.8</v>
      </c>
      <c r="Y649" s="33" t="n">
        <f aca="false">IFERROR(X649/R649,0)</f>
        <v>-1.00682593856645</v>
      </c>
      <c r="Z649" s="29" t="str">
        <f aca="false">IF(X649&gt;0,"Win",IF(X649&lt;0,"Loss","Flat"))</f>
        <v>Loss</v>
      </c>
      <c r="AA649" s="29" t="n">
        <f aca="false">ROUND((C649-B649)*1440,1)</f>
        <v>4.5</v>
      </c>
      <c r="AB649" s="29" t="str">
        <f aca="false">IF(AA649&lt;1,"a) &lt;1 min",IF(AA649&lt;10,"b) 1-10 min",IF(AA649&lt;60,"c) 10-60 min",IF(AA649&lt;240,"d) 1-4 h","e) 4 h+"))))</f>
        <v>b) 1-10 min</v>
      </c>
      <c r="AC649" s="29" t="str">
        <f aca="false">IF(P649&lt;10,"a) &lt;10",IF(P649&lt;20,"b) 10-20",IF(P649&lt;40,"c) 20-40",IF(P649&lt;80,"d) 40-80","e) 80+"))))</f>
        <v>c) 20-40</v>
      </c>
      <c r="AD649" s="31" t="n">
        <f aca="false">Summary!$C$5+SUM(X$2:X649)</f>
        <v>14409.5</v>
      </c>
      <c r="AE649" s="31" t="n">
        <f aca="false">MAX(AE648,AD649)</f>
        <v>15756.64</v>
      </c>
      <c r="AF649" s="31" t="n">
        <f aca="false">AE649-AD649</f>
        <v>1347.14</v>
      </c>
      <c r="AG649" s="30" t="n">
        <f aca="false">IFERROR(AF649/AE649,0)</f>
        <v>0.0854966541089978</v>
      </c>
    </row>
    <row r="650" customFormat="false" ht="15" hidden="false" customHeight="false" outlineLevel="0" collapsed="false">
      <c r="A650" s="29" t="n">
        <v>649</v>
      </c>
      <c r="B650" s="44" t="n">
        <v>45574.7256944445</v>
      </c>
      <c r="C650" s="44" t="n">
        <v>45574.7291782407</v>
      </c>
      <c r="D650" s="43" t="n">
        <f aca="false">INT(C650)</f>
        <v>45574</v>
      </c>
      <c r="E650" s="43" t="n">
        <f aca="false">D650-WEEKDAY(D650,3)</f>
        <v>45572</v>
      </c>
      <c r="F650" s="29" t="s">
        <v>174</v>
      </c>
      <c r="G650" s="29" t="n">
        <v>2024</v>
      </c>
      <c r="H650" s="29" t="s">
        <v>252</v>
      </c>
      <c r="I650" s="29" t="n">
        <v>17</v>
      </c>
      <c r="J650" s="29" t="s">
        <v>246</v>
      </c>
      <c r="K650" s="29" t="s">
        <v>247</v>
      </c>
      <c r="L650" s="29" t="n">
        <v>0.03</v>
      </c>
      <c r="M650" s="32" t="n">
        <v>20140.29</v>
      </c>
      <c r="N650" s="32" t="n">
        <v>20125.43</v>
      </c>
      <c r="O650" s="32" t="n">
        <v>20176.69</v>
      </c>
      <c r="P650" s="45" t="n">
        <f aca="false">ABS(M650-N650)</f>
        <v>14.8600000000006</v>
      </c>
      <c r="Q650" s="45" t="n">
        <f aca="false">IF(O650="","",ABS(O650-M650))</f>
        <v>36.3999999999978</v>
      </c>
      <c r="R650" s="31" t="n">
        <f aca="false">P650*L650*Summary!$C$6</f>
        <v>44.5800000000017</v>
      </c>
      <c r="S650" s="32" t="n">
        <v>20140.1</v>
      </c>
      <c r="T650" s="29" t="s">
        <v>255</v>
      </c>
      <c r="U650" s="45" t="n">
        <f aca="false">IF(J650="BUY",S650-M650,M650-S650)</f>
        <v>-0.190000000002328</v>
      </c>
      <c r="V650" s="46" t="n">
        <v>0</v>
      </c>
      <c r="W650" s="46" t="n">
        <v>0</v>
      </c>
      <c r="X650" s="46" t="n">
        <v>-0.57</v>
      </c>
      <c r="Y650" s="33" t="n">
        <f aca="false">IFERROR(X650/R650,0)</f>
        <v>-0.0127860026917895</v>
      </c>
      <c r="Z650" s="29" t="str">
        <f aca="false">IF(X650&gt;0,"Win",IF(X650&lt;0,"Loss","Flat"))</f>
        <v>Loss</v>
      </c>
      <c r="AA650" s="29" t="n">
        <f aca="false">ROUND((C650-B650)*1440,1)</f>
        <v>5</v>
      </c>
      <c r="AB650" s="29" t="str">
        <f aca="false">IF(AA650&lt;1,"a) &lt;1 min",IF(AA650&lt;10,"b) 1-10 min",IF(AA650&lt;60,"c) 10-60 min",IF(AA650&lt;240,"d) 1-4 h","e) 4 h+"))))</f>
        <v>b) 1-10 min</v>
      </c>
      <c r="AC650" s="29" t="str">
        <f aca="false">IF(P650&lt;10,"a) &lt;10",IF(P650&lt;20,"b) 10-20",IF(P650&lt;40,"c) 20-40",IF(P650&lt;80,"d) 40-80","e) 80+"))))</f>
        <v>b) 10-20</v>
      </c>
      <c r="AD650" s="31" t="n">
        <f aca="false">Summary!$C$5+SUM(X$2:X650)</f>
        <v>14408.93</v>
      </c>
      <c r="AE650" s="31" t="n">
        <f aca="false">MAX(AE649,AD650)</f>
        <v>15756.64</v>
      </c>
      <c r="AF650" s="31" t="n">
        <f aca="false">AE650-AD650</f>
        <v>1347.71</v>
      </c>
      <c r="AG650" s="30" t="n">
        <f aca="false">IFERROR(AF650/AE650,0)</f>
        <v>0.0855328293341727</v>
      </c>
    </row>
    <row r="651" customFormat="false" ht="15" hidden="false" customHeight="false" outlineLevel="0" collapsed="false">
      <c r="A651" s="29" t="n">
        <v>650</v>
      </c>
      <c r="B651" s="44" t="n">
        <v>45575.7923611111</v>
      </c>
      <c r="C651" s="44" t="n">
        <v>45575.7936689815</v>
      </c>
      <c r="D651" s="43" t="n">
        <f aca="false">INT(C651)</f>
        <v>45575</v>
      </c>
      <c r="E651" s="43" t="n">
        <f aca="false">D651-WEEKDAY(D651,3)</f>
        <v>45572</v>
      </c>
      <c r="F651" s="29" t="s">
        <v>174</v>
      </c>
      <c r="G651" s="29" t="n">
        <v>2024</v>
      </c>
      <c r="H651" s="29" t="s">
        <v>253</v>
      </c>
      <c r="I651" s="29" t="n">
        <v>19</v>
      </c>
      <c r="J651" s="29" t="s">
        <v>246</v>
      </c>
      <c r="K651" s="29" t="s">
        <v>247</v>
      </c>
      <c r="L651" s="29" t="n">
        <v>0.03</v>
      </c>
      <c r="M651" s="32" t="n">
        <v>20296.5</v>
      </c>
      <c r="N651" s="32" t="n">
        <v>20287.65</v>
      </c>
      <c r="O651" s="32" t="n">
        <v>20319.94</v>
      </c>
      <c r="P651" s="45" t="n">
        <f aca="false">ABS(M651-N651)</f>
        <v>8.84999999999855</v>
      </c>
      <c r="Q651" s="45" t="n">
        <f aca="false">IF(O651="","",ABS(O651-M651))</f>
        <v>23.4399999999987</v>
      </c>
      <c r="R651" s="31" t="n">
        <f aca="false">P651*L651*Summary!$C$6</f>
        <v>26.5499999999956</v>
      </c>
      <c r="S651" s="32" t="n">
        <v>20287.48</v>
      </c>
      <c r="T651" s="29" t="s">
        <v>249</v>
      </c>
      <c r="U651" s="45" t="n">
        <f aca="false">IF(J651="BUY",S651-M651,M651-S651)</f>
        <v>-9.02000000000044</v>
      </c>
      <c r="V651" s="46" t="n">
        <v>0</v>
      </c>
      <c r="W651" s="46" t="n">
        <v>0</v>
      </c>
      <c r="X651" s="46" t="n">
        <v>-27.06</v>
      </c>
      <c r="Y651" s="33" t="n">
        <f aca="false">IFERROR(X651/R651,0)</f>
        <v>-1.01920903954819</v>
      </c>
      <c r="Z651" s="29" t="str">
        <f aca="false">IF(X651&gt;0,"Win",IF(X651&lt;0,"Loss","Flat"))</f>
        <v>Loss</v>
      </c>
      <c r="AA651" s="29" t="n">
        <f aca="false">ROUND((C651-B651)*1440,1)</f>
        <v>1.9</v>
      </c>
      <c r="AB651" s="29" t="str">
        <f aca="false">IF(AA651&lt;1,"a) &lt;1 min",IF(AA651&lt;10,"b) 1-10 min",IF(AA651&lt;60,"c) 10-60 min",IF(AA651&lt;240,"d) 1-4 h","e) 4 h+"))))</f>
        <v>b) 1-10 min</v>
      </c>
      <c r="AC651" s="29" t="str">
        <f aca="false">IF(P651&lt;10,"a) &lt;10",IF(P651&lt;20,"b) 10-20",IF(P651&lt;40,"c) 20-40",IF(P651&lt;80,"d) 40-80","e) 80+"))))</f>
        <v>a) &lt;10</v>
      </c>
      <c r="AD651" s="31" t="n">
        <f aca="false">Summary!$C$5+SUM(X$2:X651)</f>
        <v>14381.87</v>
      </c>
      <c r="AE651" s="31" t="n">
        <f aca="false">MAX(AE650,AD651)</f>
        <v>15756.64</v>
      </c>
      <c r="AF651" s="31" t="n">
        <f aca="false">AE651-AD651</f>
        <v>1374.77</v>
      </c>
      <c r="AG651" s="30" t="n">
        <f aca="false">IFERROR(AF651/AE651,0)</f>
        <v>0.0872502005503712</v>
      </c>
    </row>
    <row r="652" customFormat="false" ht="15" hidden="false" customHeight="false" outlineLevel="0" collapsed="false">
      <c r="A652" s="29" t="n">
        <v>651</v>
      </c>
      <c r="B652" s="44" t="n">
        <v>45579.5423611111</v>
      </c>
      <c r="C652" s="44" t="n">
        <v>45579.542662037</v>
      </c>
      <c r="D652" s="43" t="n">
        <f aca="false">INT(C652)</f>
        <v>45579</v>
      </c>
      <c r="E652" s="43" t="n">
        <f aca="false">D652-WEEKDAY(D652,3)</f>
        <v>45579</v>
      </c>
      <c r="F652" s="29" t="s">
        <v>174</v>
      </c>
      <c r="G652" s="29" t="n">
        <v>2024</v>
      </c>
      <c r="H652" s="29" t="s">
        <v>245</v>
      </c>
      <c r="I652" s="29" t="n">
        <v>13</v>
      </c>
      <c r="J652" s="29" t="s">
        <v>246</v>
      </c>
      <c r="K652" s="29" t="s">
        <v>247</v>
      </c>
      <c r="L652" s="29" t="n">
        <v>0.03</v>
      </c>
      <c r="M652" s="32" t="n">
        <v>20320.25</v>
      </c>
      <c r="N652" s="32" t="n">
        <v>20315.82</v>
      </c>
      <c r="O652" s="32" t="n">
        <v>20331.09</v>
      </c>
      <c r="P652" s="45" t="n">
        <f aca="false">ABS(M652-N652)</f>
        <v>4.43000000000029</v>
      </c>
      <c r="Q652" s="45" t="n">
        <f aca="false">IF(O652="","",ABS(O652-M652))</f>
        <v>10.8400000000001</v>
      </c>
      <c r="R652" s="31" t="n">
        <f aca="false">P652*L652*Summary!$C$6</f>
        <v>13.2900000000009</v>
      </c>
      <c r="S652" s="32" t="n">
        <v>20315.73</v>
      </c>
      <c r="T652" s="29" t="s">
        <v>249</v>
      </c>
      <c r="U652" s="45" t="n">
        <f aca="false">IF(J652="BUY",S652-M652,M652-S652)</f>
        <v>-4.52000000000044</v>
      </c>
      <c r="V652" s="46" t="n">
        <v>0</v>
      </c>
      <c r="W652" s="46" t="n">
        <v>0</v>
      </c>
      <c r="X652" s="46" t="n">
        <v>-13.56</v>
      </c>
      <c r="Y652" s="33" t="n">
        <f aca="false">IFERROR(X652/R652,0)</f>
        <v>-1.02031602708797</v>
      </c>
      <c r="Z652" s="29" t="str">
        <f aca="false">IF(X652&gt;0,"Win",IF(X652&lt;0,"Loss","Flat"))</f>
        <v>Loss</v>
      </c>
      <c r="AA652" s="29" t="n">
        <f aca="false">ROUND((C652-B652)*1440,1)</f>
        <v>0.4</v>
      </c>
      <c r="AB652" s="29" t="str">
        <f aca="false">IF(AA652&lt;1,"a) &lt;1 min",IF(AA652&lt;10,"b) 1-10 min",IF(AA652&lt;60,"c) 10-60 min",IF(AA652&lt;240,"d) 1-4 h","e) 4 h+"))))</f>
        <v>a) &lt;1 min</v>
      </c>
      <c r="AC652" s="29" t="str">
        <f aca="false">IF(P652&lt;10,"a) &lt;10",IF(P652&lt;20,"b) 10-20",IF(P652&lt;40,"c) 20-40",IF(P652&lt;80,"d) 40-80","e) 80+"))))</f>
        <v>a) &lt;10</v>
      </c>
      <c r="AD652" s="31" t="n">
        <f aca="false">Summary!$C$5+SUM(X$2:X652)</f>
        <v>14368.31</v>
      </c>
      <c r="AE652" s="31" t="n">
        <f aca="false">MAX(AE651,AD652)</f>
        <v>15756.64</v>
      </c>
      <c r="AF652" s="31" t="n">
        <f aca="false">AE652-AD652</f>
        <v>1388.33</v>
      </c>
      <c r="AG652" s="30" t="n">
        <f aca="false">IFERROR(AF652/AE652,0)</f>
        <v>0.0881107901176901</v>
      </c>
    </row>
    <row r="653" customFormat="false" ht="15" hidden="false" customHeight="false" outlineLevel="0" collapsed="false">
      <c r="A653" s="29" t="n">
        <v>652</v>
      </c>
      <c r="B653" s="44" t="n">
        <v>45580.7347222222</v>
      </c>
      <c r="C653" s="44" t="n">
        <v>45580.7374884259</v>
      </c>
      <c r="D653" s="43" t="n">
        <f aca="false">INT(C653)</f>
        <v>45580</v>
      </c>
      <c r="E653" s="43" t="n">
        <f aca="false">D653-WEEKDAY(D653,3)</f>
        <v>45579</v>
      </c>
      <c r="F653" s="29" t="s">
        <v>174</v>
      </c>
      <c r="G653" s="29" t="n">
        <v>2024</v>
      </c>
      <c r="H653" s="29" t="s">
        <v>248</v>
      </c>
      <c r="I653" s="29" t="n">
        <v>17</v>
      </c>
      <c r="J653" s="29" t="s">
        <v>250</v>
      </c>
      <c r="K653" s="29" t="s">
        <v>251</v>
      </c>
      <c r="L653" s="29" t="n">
        <v>0.03</v>
      </c>
      <c r="M653" s="32" t="n">
        <v>20200.61</v>
      </c>
      <c r="N653" s="32" t="n">
        <v>20235.27</v>
      </c>
      <c r="O653" s="32" t="n">
        <v>20115.69</v>
      </c>
      <c r="P653" s="45" t="n">
        <f aca="false">ABS(M653-N653)</f>
        <v>34.6599999999999</v>
      </c>
      <c r="Q653" s="45" t="n">
        <f aca="false">IF(O653="","",ABS(O653-M653))</f>
        <v>84.9200000000019</v>
      </c>
      <c r="R653" s="31" t="n">
        <f aca="false">P653*L653*Summary!$C$6</f>
        <v>103.98</v>
      </c>
      <c r="S653" s="32" t="n">
        <v>20200.75</v>
      </c>
      <c r="T653" s="29" t="s">
        <v>255</v>
      </c>
      <c r="U653" s="45" t="n">
        <f aca="false">IF(J653="BUY",S653-M653,M653-S653)</f>
        <v>-0.139999999999418</v>
      </c>
      <c r="V653" s="46" t="n">
        <v>0</v>
      </c>
      <c r="W653" s="46" t="n">
        <v>0</v>
      </c>
      <c r="X653" s="46" t="n">
        <v>-0.42</v>
      </c>
      <c r="Y653" s="33" t="n">
        <f aca="false">IFERROR(X653/R653,0)</f>
        <v>-0.00403923831506061</v>
      </c>
      <c r="Z653" s="29" t="str">
        <f aca="false">IF(X653&gt;0,"Win",IF(X653&lt;0,"Loss","Flat"))</f>
        <v>Loss</v>
      </c>
      <c r="AA653" s="29" t="n">
        <f aca="false">ROUND((C653-B653)*1440,1)</f>
        <v>4</v>
      </c>
      <c r="AB653" s="29" t="str">
        <f aca="false">IF(AA653&lt;1,"a) &lt;1 min",IF(AA653&lt;10,"b) 1-10 min",IF(AA653&lt;60,"c) 10-60 min",IF(AA653&lt;240,"d) 1-4 h","e) 4 h+"))))</f>
        <v>b) 1-10 min</v>
      </c>
      <c r="AC653" s="29" t="str">
        <f aca="false">IF(P653&lt;10,"a) &lt;10",IF(P653&lt;20,"b) 10-20",IF(P653&lt;40,"c) 20-40",IF(P653&lt;80,"d) 40-80","e) 80+"))))</f>
        <v>c) 20-40</v>
      </c>
      <c r="AD653" s="31" t="n">
        <f aca="false">Summary!$C$5+SUM(X$2:X653)</f>
        <v>14367.89</v>
      </c>
      <c r="AE653" s="31" t="n">
        <f aca="false">MAX(AE652,AD653)</f>
        <v>15756.64</v>
      </c>
      <c r="AF653" s="31" t="n">
        <f aca="false">AE653-AD653</f>
        <v>1388.75</v>
      </c>
      <c r="AG653" s="30" t="n">
        <f aca="false">IFERROR(AF653/AE653,0)</f>
        <v>0.0881374455467663</v>
      </c>
    </row>
    <row r="654" customFormat="false" ht="15" hidden="false" customHeight="false" outlineLevel="0" collapsed="false">
      <c r="A654" s="29" t="n">
        <v>653</v>
      </c>
      <c r="B654" s="44" t="n">
        <v>45581.6979166667</v>
      </c>
      <c r="C654" s="44" t="n">
        <v>45581.7046296296</v>
      </c>
      <c r="D654" s="43" t="n">
        <f aca="false">INT(C654)</f>
        <v>45581</v>
      </c>
      <c r="E654" s="43" t="n">
        <f aca="false">D654-WEEKDAY(D654,3)</f>
        <v>45579</v>
      </c>
      <c r="F654" s="29" t="s">
        <v>174</v>
      </c>
      <c r="G654" s="29" t="n">
        <v>2024</v>
      </c>
      <c r="H654" s="29" t="s">
        <v>252</v>
      </c>
      <c r="I654" s="29" t="n">
        <v>16</v>
      </c>
      <c r="J654" s="29" t="s">
        <v>250</v>
      </c>
      <c r="K654" s="29" t="s">
        <v>251</v>
      </c>
      <c r="L654" s="29" t="n">
        <v>0.03</v>
      </c>
      <c r="M654" s="32" t="n">
        <v>20072.08</v>
      </c>
      <c r="N654" s="32" t="n">
        <v>20094.51</v>
      </c>
      <c r="O654" s="32" t="n">
        <v>20014.44</v>
      </c>
      <c r="P654" s="45" t="n">
        <f aca="false">ABS(M654-N654)</f>
        <v>22.4299999999967</v>
      </c>
      <c r="Q654" s="45" t="n">
        <f aca="false">IF(O654="","",ABS(O654-M654))</f>
        <v>57.6400000000031</v>
      </c>
      <c r="R654" s="31" t="n">
        <f aca="false">P654*L654*Summary!$C$6</f>
        <v>67.28999999999</v>
      </c>
      <c r="S654" s="32" t="n">
        <v>20072.28</v>
      </c>
      <c r="T654" s="29" t="s">
        <v>255</v>
      </c>
      <c r="U654" s="45" t="n">
        <f aca="false">IF(J654="BUY",S654-M654,M654-S654)</f>
        <v>-0.19999999999709</v>
      </c>
      <c r="V654" s="46" t="n">
        <v>0</v>
      </c>
      <c r="W654" s="46" t="n">
        <v>0</v>
      </c>
      <c r="X654" s="46" t="n">
        <v>-0.6</v>
      </c>
      <c r="Y654" s="33" t="n">
        <f aca="false">IFERROR(X654/R654,0)</f>
        <v>-0.00891662951404502</v>
      </c>
      <c r="Z654" s="29" t="str">
        <f aca="false">IF(X654&gt;0,"Win",IF(X654&lt;0,"Loss","Flat"))</f>
        <v>Loss</v>
      </c>
      <c r="AA654" s="29" t="n">
        <f aca="false">ROUND((C654-B654)*1440,1)</f>
        <v>9.7</v>
      </c>
      <c r="AB654" s="29" t="str">
        <f aca="false">IF(AA654&lt;1,"a) &lt;1 min",IF(AA654&lt;10,"b) 1-10 min",IF(AA654&lt;60,"c) 10-60 min",IF(AA654&lt;240,"d) 1-4 h","e) 4 h+"))))</f>
        <v>b) 1-10 min</v>
      </c>
      <c r="AC654" s="29" t="str">
        <f aca="false">IF(P654&lt;10,"a) &lt;10",IF(P654&lt;20,"b) 10-20",IF(P654&lt;40,"c) 20-40",IF(P654&lt;80,"d) 40-80","e) 80+"))))</f>
        <v>c) 20-40</v>
      </c>
      <c r="AD654" s="31" t="n">
        <f aca="false">Summary!$C$5+SUM(X$2:X654)</f>
        <v>14367.29</v>
      </c>
      <c r="AE654" s="31" t="n">
        <f aca="false">MAX(AE653,AD654)</f>
        <v>15756.64</v>
      </c>
      <c r="AF654" s="31" t="n">
        <f aca="false">AE654-AD654</f>
        <v>1389.35</v>
      </c>
      <c r="AG654" s="30" t="n">
        <f aca="false">IFERROR(AF654/AE654,0)</f>
        <v>0.0881755247311609</v>
      </c>
    </row>
    <row r="655" customFormat="false" ht="15" hidden="false" customHeight="false" outlineLevel="0" collapsed="false">
      <c r="A655" s="29" t="n">
        <v>654</v>
      </c>
      <c r="B655" s="44" t="n">
        <v>45582.3895833333</v>
      </c>
      <c r="C655" s="44" t="n">
        <v>45582.3908796296</v>
      </c>
      <c r="D655" s="43" t="n">
        <f aca="false">INT(C655)</f>
        <v>45582</v>
      </c>
      <c r="E655" s="43" t="n">
        <f aca="false">D655-WEEKDAY(D655,3)</f>
        <v>45579</v>
      </c>
      <c r="F655" s="29" t="s">
        <v>174</v>
      </c>
      <c r="G655" s="29" t="n">
        <v>2024</v>
      </c>
      <c r="H655" s="29" t="s">
        <v>253</v>
      </c>
      <c r="I655" s="29" t="n">
        <v>9</v>
      </c>
      <c r="J655" s="29" t="s">
        <v>246</v>
      </c>
      <c r="K655" s="29" t="s">
        <v>247</v>
      </c>
      <c r="L655" s="29" t="n">
        <v>0.03</v>
      </c>
      <c r="M655" s="32" t="n">
        <v>20231.88</v>
      </c>
      <c r="N655" s="32" t="n">
        <v>20224.33</v>
      </c>
      <c r="O655" s="32" t="n">
        <v>20250.37</v>
      </c>
      <c r="P655" s="45" t="n">
        <f aca="false">ABS(M655-N655)</f>
        <v>7.54999999999927</v>
      </c>
      <c r="Q655" s="45" t="n">
        <f aca="false">IF(O655="","",ABS(O655-M655))</f>
        <v>18.489999999998</v>
      </c>
      <c r="R655" s="31" t="n">
        <f aca="false">P655*L655*Summary!$C$6</f>
        <v>22.6499999999978</v>
      </c>
      <c r="S655" s="32" t="n">
        <v>20230.99</v>
      </c>
      <c r="T655" s="29" t="s">
        <v>255</v>
      </c>
      <c r="U655" s="45" t="n">
        <f aca="false">IF(J655="BUY",S655-M655,M655-S655)</f>
        <v>-0.889999999999418</v>
      </c>
      <c r="V655" s="46" t="n">
        <v>0</v>
      </c>
      <c r="W655" s="46" t="n">
        <v>0</v>
      </c>
      <c r="X655" s="46" t="n">
        <v>-2.67</v>
      </c>
      <c r="Y655" s="33" t="n">
        <f aca="false">IFERROR(X655/R655,0)</f>
        <v>-0.117880794701998</v>
      </c>
      <c r="Z655" s="29" t="str">
        <f aca="false">IF(X655&gt;0,"Win",IF(X655&lt;0,"Loss","Flat"))</f>
        <v>Loss</v>
      </c>
      <c r="AA655" s="29" t="n">
        <f aca="false">ROUND((C655-B655)*1440,1)</f>
        <v>1.9</v>
      </c>
      <c r="AB655" s="29" t="str">
        <f aca="false">IF(AA655&lt;1,"a) &lt;1 min",IF(AA655&lt;10,"b) 1-10 min",IF(AA655&lt;60,"c) 10-60 min",IF(AA655&lt;240,"d) 1-4 h","e) 4 h+"))))</f>
        <v>b) 1-10 min</v>
      </c>
      <c r="AC655" s="29" t="str">
        <f aca="false">IF(P655&lt;10,"a) &lt;10",IF(P655&lt;20,"b) 10-20",IF(P655&lt;40,"c) 20-40",IF(P655&lt;80,"d) 40-80","e) 80+"))))</f>
        <v>a) &lt;10</v>
      </c>
      <c r="AD655" s="31" t="n">
        <f aca="false">Summary!$C$5+SUM(X$2:X655)</f>
        <v>14364.62</v>
      </c>
      <c r="AE655" s="31" t="n">
        <f aca="false">MAX(AE654,AD655)</f>
        <v>15756.64</v>
      </c>
      <c r="AF655" s="31" t="n">
        <f aca="false">AE655-AD655</f>
        <v>1392.02</v>
      </c>
      <c r="AG655" s="30" t="n">
        <f aca="false">IFERROR(AF655/AE655,0)</f>
        <v>0.0883449771017172</v>
      </c>
    </row>
    <row r="656" customFormat="false" ht="15" hidden="false" customHeight="false" outlineLevel="0" collapsed="false">
      <c r="A656" s="29" t="n">
        <v>655</v>
      </c>
      <c r="B656" s="44" t="n">
        <v>45586.7138888889</v>
      </c>
      <c r="C656" s="44" t="n">
        <v>45586.7175</v>
      </c>
      <c r="D656" s="43" t="n">
        <f aca="false">INT(C656)</f>
        <v>45586</v>
      </c>
      <c r="E656" s="43" t="n">
        <f aca="false">D656-WEEKDAY(D656,3)</f>
        <v>45586</v>
      </c>
      <c r="F656" s="29" t="s">
        <v>174</v>
      </c>
      <c r="G656" s="29" t="n">
        <v>2024</v>
      </c>
      <c r="H656" s="29" t="s">
        <v>245</v>
      </c>
      <c r="I656" s="29" t="n">
        <v>17</v>
      </c>
      <c r="J656" s="29" t="s">
        <v>246</v>
      </c>
      <c r="K656" s="29" t="s">
        <v>247</v>
      </c>
      <c r="L656" s="29" t="n">
        <v>0.03</v>
      </c>
      <c r="M656" s="32" t="n">
        <v>20367.22</v>
      </c>
      <c r="N656" s="32" t="n">
        <v>20351.55</v>
      </c>
      <c r="O656" s="32" t="n">
        <v>20405.61</v>
      </c>
      <c r="P656" s="45" t="n">
        <f aca="false">ABS(M656-N656)</f>
        <v>15.6700000000019</v>
      </c>
      <c r="Q656" s="45" t="n">
        <f aca="false">IF(O656="","",ABS(O656-M656))</f>
        <v>38.3899999999994</v>
      </c>
      <c r="R656" s="31" t="n">
        <f aca="false">P656*L656*Summary!$C$6</f>
        <v>47.0100000000057</v>
      </c>
      <c r="S656" s="32" t="n">
        <v>20351.32</v>
      </c>
      <c r="T656" s="29" t="s">
        <v>249</v>
      </c>
      <c r="U656" s="45" t="n">
        <f aca="false">IF(J656="BUY",S656-M656,M656-S656)</f>
        <v>-15.9000000000015</v>
      </c>
      <c r="V656" s="46" t="n">
        <v>0</v>
      </c>
      <c r="W656" s="46" t="n">
        <v>0</v>
      </c>
      <c r="X656" s="46" t="n">
        <v>-47.7</v>
      </c>
      <c r="Y656" s="33" t="n">
        <f aca="false">IFERROR(X656/R656,0)</f>
        <v>-1.01467772814283</v>
      </c>
      <c r="Z656" s="29" t="str">
        <f aca="false">IF(X656&gt;0,"Win",IF(X656&lt;0,"Loss","Flat"))</f>
        <v>Loss</v>
      </c>
      <c r="AA656" s="29" t="n">
        <f aca="false">ROUND((C656-B656)*1440,1)</f>
        <v>5.2</v>
      </c>
      <c r="AB656" s="29" t="str">
        <f aca="false">IF(AA656&lt;1,"a) &lt;1 min",IF(AA656&lt;10,"b) 1-10 min",IF(AA656&lt;60,"c) 10-60 min",IF(AA656&lt;240,"d) 1-4 h","e) 4 h+"))))</f>
        <v>b) 1-10 min</v>
      </c>
      <c r="AC656" s="29" t="str">
        <f aca="false">IF(P656&lt;10,"a) &lt;10",IF(P656&lt;20,"b) 10-20",IF(P656&lt;40,"c) 20-40",IF(P656&lt;80,"d) 40-80","e) 80+"))))</f>
        <v>b) 10-20</v>
      </c>
      <c r="AD656" s="31" t="n">
        <f aca="false">Summary!$C$5+SUM(X$2:X656)</f>
        <v>14316.92</v>
      </c>
      <c r="AE656" s="31" t="n">
        <f aca="false">MAX(AE655,AD656)</f>
        <v>15756.64</v>
      </c>
      <c r="AF656" s="31" t="n">
        <f aca="false">AE656-AD656</f>
        <v>1439.72</v>
      </c>
      <c r="AG656" s="30" t="n">
        <f aca="false">IFERROR(AF656/AE656,0)</f>
        <v>0.0913722722610912</v>
      </c>
    </row>
    <row r="657" customFormat="false" ht="15" hidden="false" customHeight="false" outlineLevel="0" collapsed="false">
      <c r="A657" s="29" t="n">
        <v>656</v>
      </c>
      <c r="B657" s="44" t="n">
        <v>45587.8618055556</v>
      </c>
      <c r="C657" s="44" t="n">
        <v>45587.8629166667</v>
      </c>
      <c r="D657" s="43" t="n">
        <f aca="false">INT(C657)</f>
        <v>45587</v>
      </c>
      <c r="E657" s="43" t="n">
        <f aca="false">D657-WEEKDAY(D657,3)</f>
        <v>45586</v>
      </c>
      <c r="F657" s="29" t="s">
        <v>174</v>
      </c>
      <c r="G657" s="29" t="n">
        <v>2024</v>
      </c>
      <c r="H657" s="29" t="s">
        <v>248</v>
      </c>
      <c r="I657" s="29" t="n">
        <v>20</v>
      </c>
      <c r="J657" s="29" t="s">
        <v>246</v>
      </c>
      <c r="K657" s="29" t="s">
        <v>247</v>
      </c>
      <c r="L657" s="29" t="n">
        <v>0.03</v>
      </c>
      <c r="M657" s="32" t="n">
        <v>20396.09</v>
      </c>
      <c r="N657" s="32" t="n">
        <v>20384.81</v>
      </c>
      <c r="O657" s="32" t="n">
        <v>20423.73</v>
      </c>
      <c r="P657" s="45" t="n">
        <f aca="false">ABS(M657-N657)</f>
        <v>11.2799999999988</v>
      </c>
      <c r="Q657" s="45" t="n">
        <f aca="false">IF(O657="","",ABS(O657-M657))</f>
        <v>27.6399999999994</v>
      </c>
      <c r="R657" s="31" t="n">
        <f aca="false">P657*L657*Summary!$C$6</f>
        <v>33.8399999999965</v>
      </c>
      <c r="S657" s="32" t="n">
        <v>20384.73</v>
      </c>
      <c r="T657" s="29" t="s">
        <v>249</v>
      </c>
      <c r="U657" s="45" t="n">
        <f aca="false">IF(J657="BUY",S657-M657,M657-S657)</f>
        <v>-11.3600000000006</v>
      </c>
      <c r="V657" s="46" t="n">
        <v>0</v>
      </c>
      <c r="W657" s="46" t="n">
        <v>0</v>
      </c>
      <c r="X657" s="46" t="n">
        <v>-34.08</v>
      </c>
      <c r="Y657" s="33" t="n">
        <f aca="false">IFERROR(X657/R657,0)</f>
        <v>-1.00709219858166</v>
      </c>
      <c r="Z657" s="29" t="str">
        <f aca="false">IF(X657&gt;0,"Win",IF(X657&lt;0,"Loss","Flat"))</f>
        <v>Loss</v>
      </c>
      <c r="AA657" s="29" t="n">
        <f aca="false">ROUND((C657-B657)*1440,1)</f>
        <v>1.6</v>
      </c>
      <c r="AB657" s="29" t="str">
        <f aca="false">IF(AA657&lt;1,"a) &lt;1 min",IF(AA657&lt;10,"b) 1-10 min",IF(AA657&lt;60,"c) 10-60 min",IF(AA657&lt;240,"d) 1-4 h","e) 4 h+"))))</f>
        <v>b) 1-10 min</v>
      </c>
      <c r="AC657" s="29" t="str">
        <f aca="false">IF(P657&lt;10,"a) &lt;10",IF(P657&lt;20,"b) 10-20",IF(P657&lt;40,"c) 20-40",IF(P657&lt;80,"d) 40-80","e) 80+"))))</f>
        <v>b) 10-20</v>
      </c>
      <c r="AD657" s="31" t="n">
        <f aca="false">Summary!$C$5+SUM(X$2:X657)</f>
        <v>14282.84</v>
      </c>
      <c r="AE657" s="31" t="n">
        <f aca="false">MAX(AE656,AD657)</f>
        <v>15756.64</v>
      </c>
      <c r="AF657" s="31" t="n">
        <f aca="false">AE657-AD657</f>
        <v>1473.8</v>
      </c>
      <c r="AG657" s="30" t="n">
        <f aca="false">IFERROR(AF657/AE657,0)</f>
        <v>0.0935351699347069</v>
      </c>
    </row>
    <row r="658" customFormat="false" ht="15" hidden="false" customHeight="false" outlineLevel="0" collapsed="false">
      <c r="A658" s="29" t="n">
        <v>657</v>
      </c>
      <c r="B658" s="44" t="n">
        <v>45588.7597222222</v>
      </c>
      <c r="C658" s="44" t="n">
        <v>45588.7622337963</v>
      </c>
      <c r="D658" s="43" t="n">
        <f aca="false">INT(C658)</f>
        <v>45588</v>
      </c>
      <c r="E658" s="43" t="n">
        <f aca="false">D658-WEEKDAY(D658,3)</f>
        <v>45586</v>
      </c>
      <c r="F658" s="29" t="s">
        <v>174</v>
      </c>
      <c r="G658" s="29" t="n">
        <v>2024</v>
      </c>
      <c r="H658" s="29" t="s">
        <v>252</v>
      </c>
      <c r="I658" s="29" t="n">
        <v>18</v>
      </c>
      <c r="J658" s="29" t="s">
        <v>250</v>
      </c>
      <c r="K658" s="29" t="s">
        <v>251</v>
      </c>
      <c r="L658" s="29" t="n">
        <v>0.03</v>
      </c>
      <c r="M658" s="32" t="n">
        <v>20177.91</v>
      </c>
      <c r="N658" s="32" t="n">
        <v>20197.33</v>
      </c>
      <c r="O658" s="32" t="n">
        <v>20129.22</v>
      </c>
      <c r="P658" s="45" t="n">
        <f aca="false">ABS(M658-N658)</f>
        <v>19.4200000000019</v>
      </c>
      <c r="Q658" s="45" t="n">
        <f aca="false">IF(O658="","",ABS(O658-M658))</f>
        <v>48.6899999999987</v>
      </c>
      <c r="R658" s="31" t="n">
        <f aca="false">P658*L658*Summary!$C$6</f>
        <v>58.2600000000057</v>
      </c>
      <c r="S658" s="32" t="n">
        <v>20197.36</v>
      </c>
      <c r="T658" s="29" t="s">
        <v>249</v>
      </c>
      <c r="U658" s="45" t="n">
        <f aca="false">IF(J658="BUY",S658-M658,M658-S658)</f>
        <v>-19.4500000000007</v>
      </c>
      <c r="V658" s="46" t="n">
        <v>0</v>
      </c>
      <c r="W658" s="46" t="n">
        <v>0</v>
      </c>
      <c r="X658" s="46" t="n">
        <v>-58.35</v>
      </c>
      <c r="Y658" s="33" t="n">
        <f aca="false">IFERROR(X658/R658,0)</f>
        <v>-1.00154479917601</v>
      </c>
      <c r="Z658" s="29" t="str">
        <f aca="false">IF(X658&gt;0,"Win",IF(X658&lt;0,"Loss","Flat"))</f>
        <v>Loss</v>
      </c>
      <c r="AA658" s="29" t="n">
        <f aca="false">ROUND((C658-B658)*1440,1)</f>
        <v>3.6</v>
      </c>
      <c r="AB658" s="29" t="str">
        <f aca="false">IF(AA658&lt;1,"a) &lt;1 min",IF(AA658&lt;10,"b) 1-10 min",IF(AA658&lt;60,"c) 10-60 min",IF(AA658&lt;240,"d) 1-4 h","e) 4 h+"))))</f>
        <v>b) 1-10 min</v>
      </c>
      <c r="AC658" s="29" t="str">
        <f aca="false">IF(P658&lt;10,"a) &lt;10",IF(P658&lt;20,"b) 10-20",IF(P658&lt;40,"c) 20-40",IF(P658&lt;80,"d) 40-80","e) 80+"))))</f>
        <v>b) 10-20</v>
      </c>
      <c r="AD658" s="31" t="n">
        <f aca="false">Summary!$C$5+SUM(X$2:X658)</f>
        <v>14224.49</v>
      </c>
      <c r="AE658" s="31" t="n">
        <f aca="false">MAX(AE657,AD658)</f>
        <v>15756.64</v>
      </c>
      <c r="AF658" s="31" t="n">
        <f aca="false">AE658-AD658</f>
        <v>1532.15</v>
      </c>
      <c r="AG658" s="30" t="n">
        <f aca="false">IFERROR(AF658/AE658,0)</f>
        <v>0.0972383706170859</v>
      </c>
    </row>
    <row r="659" customFormat="false" ht="15" hidden="false" customHeight="false" outlineLevel="0" collapsed="false">
      <c r="A659" s="29" t="n">
        <v>658</v>
      </c>
      <c r="B659" s="44" t="n">
        <v>45590.4479166667</v>
      </c>
      <c r="C659" s="44" t="n">
        <v>45590.449224537</v>
      </c>
      <c r="D659" s="43" t="n">
        <f aca="false">INT(C659)</f>
        <v>45590</v>
      </c>
      <c r="E659" s="43" t="n">
        <f aca="false">D659-WEEKDAY(D659,3)</f>
        <v>45586</v>
      </c>
      <c r="F659" s="29" t="s">
        <v>174</v>
      </c>
      <c r="G659" s="29" t="n">
        <v>2024</v>
      </c>
      <c r="H659" s="29" t="s">
        <v>254</v>
      </c>
      <c r="I659" s="29" t="n">
        <v>10</v>
      </c>
      <c r="J659" s="29" t="s">
        <v>246</v>
      </c>
      <c r="K659" s="29" t="s">
        <v>247</v>
      </c>
      <c r="L659" s="29" t="n">
        <v>0.03</v>
      </c>
      <c r="M659" s="32" t="n">
        <v>20280.01</v>
      </c>
      <c r="N659" s="32" t="n">
        <v>20274.06</v>
      </c>
      <c r="O659" s="32" t="n">
        <v>20294.6</v>
      </c>
      <c r="P659" s="45" t="n">
        <f aca="false">ABS(M659-N659)</f>
        <v>5.94999999999709</v>
      </c>
      <c r="Q659" s="45" t="n">
        <f aca="false">IF(O659="","",ABS(O659-M659))</f>
        <v>14.5900000000001</v>
      </c>
      <c r="R659" s="31" t="n">
        <f aca="false">P659*L659*Summary!$C$6</f>
        <v>17.8499999999913</v>
      </c>
      <c r="S659" s="32" t="n">
        <v>20274.04</v>
      </c>
      <c r="T659" s="29" t="s">
        <v>249</v>
      </c>
      <c r="U659" s="45" t="n">
        <f aca="false">IF(J659="BUY",S659-M659,M659-S659)</f>
        <v>-5.96999999999753</v>
      </c>
      <c r="V659" s="46" t="n">
        <v>0</v>
      </c>
      <c r="W659" s="46" t="n">
        <v>0</v>
      </c>
      <c r="X659" s="46" t="n">
        <v>-17.91</v>
      </c>
      <c r="Y659" s="33" t="n">
        <f aca="false">IFERROR(X659/R659,0)</f>
        <v>-1.00336134453831</v>
      </c>
      <c r="Z659" s="29" t="str">
        <f aca="false">IF(X659&gt;0,"Win",IF(X659&lt;0,"Loss","Flat"))</f>
        <v>Loss</v>
      </c>
      <c r="AA659" s="29" t="n">
        <f aca="false">ROUND((C659-B659)*1440,1)</f>
        <v>1.9</v>
      </c>
      <c r="AB659" s="29" t="str">
        <f aca="false">IF(AA659&lt;1,"a) &lt;1 min",IF(AA659&lt;10,"b) 1-10 min",IF(AA659&lt;60,"c) 10-60 min",IF(AA659&lt;240,"d) 1-4 h","e) 4 h+"))))</f>
        <v>b) 1-10 min</v>
      </c>
      <c r="AC659" s="29" t="str">
        <f aca="false">IF(P659&lt;10,"a) &lt;10",IF(P659&lt;20,"b) 10-20",IF(P659&lt;40,"c) 20-40",IF(P659&lt;80,"d) 40-80","e) 80+"))))</f>
        <v>a) &lt;10</v>
      </c>
      <c r="AD659" s="31" t="n">
        <f aca="false">Summary!$C$5+SUM(X$2:X659)</f>
        <v>14206.58</v>
      </c>
      <c r="AE659" s="31" t="n">
        <f aca="false">MAX(AE658,AD659)</f>
        <v>15756.64</v>
      </c>
      <c r="AF659" s="31" t="n">
        <f aca="false">AE659-AD659</f>
        <v>1550.06</v>
      </c>
      <c r="AG659" s="30" t="n">
        <f aca="false">IFERROR(AF659/AE659,0)</f>
        <v>0.0983750342712659</v>
      </c>
    </row>
    <row r="660" customFormat="false" ht="15" hidden="false" customHeight="false" outlineLevel="0" collapsed="false">
      <c r="A660" s="29" t="n">
        <v>659</v>
      </c>
      <c r="B660" s="44" t="n">
        <v>45594.1319444445</v>
      </c>
      <c r="C660" s="44" t="n">
        <v>45594.1349884259</v>
      </c>
      <c r="D660" s="43" t="n">
        <f aca="false">INT(C660)</f>
        <v>45594</v>
      </c>
      <c r="E660" s="43" t="n">
        <f aca="false">D660-WEEKDAY(D660,3)</f>
        <v>45593</v>
      </c>
      <c r="F660" s="29" t="s">
        <v>174</v>
      </c>
      <c r="G660" s="29" t="n">
        <v>2024</v>
      </c>
      <c r="H660" s="29" t="s">
        <v>248</v>
      </c>
      <c r="I660" s="29" t="n">
        <v>3</v>
      </c>
      <c r="J660" s="29" t="s">
        <v>250</v>
      </c>
      <c r="K660" s="29" t="s">
        <v>251</v>
      </c>
      <c r="L660" s="29" t="n">
        <v>0.03</v>
      </c>
      <c r="M660" s="32" t="n">
        <v>20342.5</v>
      </c>
      <c r="N660" s="32" t="n">
        <v>20352.15</v>
      </c>
      <c r="O660" s="32" t="n">
        <v>20318.87</v>
      </c>
      <c r="P660" s="45" t="n">
        <f aca="false">ABS(M660-N660)</f>
        <v>9.65000000000146</v>
      </c>
      <c r="Q660" s="45" t="n">
        <f aca="false">IF(O660="","",ABS(O660-M660))</f>
        <v>23.630000000001</v>
      </c>
      <c r="R660" s="31" t="n">
        <f aca="false">P660*L660*Summary!$C$6</f>
        <v>28.9500000000044</v>
      </c>
      <c r="S660" s="32" t="n">
        <v>20353.1</v>
      </c>
      <c r="T660" s="29" t="s">
        <v>249</v>
      </c>
      <c r="U660" s="45" t="n">
        <f aca="false">IF(J660="BUY",S660-M660,M660-S660)</f>
        <v>-10.5999999999985</v>
      </c>
      <c r="V660" s="46" t="n">
        <v>0</v>
      </c>
      <c r="W660" s="46" t="n">
        <v>0</v>
      </c>
      <c r="X660" s="46" t="n">
        <v>-31.8</v>
      </c>
      <c r="Y660" s="33" t="n">
        <f aca="false">IFERROR(X660/R660,0)</f>
        <v>-1.09844559585476</v>
      </c>
      <c r="Z660" s="29" t="str">
        <f aca="false">IF(X660&gt;0,"Win",IF(X660&lt;0,"Loss","Flat"))</f>
        <v>Loss</v>
      </c>
      <c r="AA660" s="29" t="n">
        <f aca="false">ROUND((C660-B660)*1440,1)</f>
        <v>4.4</v>
      </c>
      <c r="AB660" s="29" t="str">
        <f aca="false">IF(AA660&lt;1,"a) &lt;1 min",IF(AA660&lt;10,"b) 1-10 min",IF(AA660&lt;60,"c) 10-60 min",IF(AA660&lt;240,"d) 1-4 h","e) 4 h+"))))</f>
        <v>b) 1-10 min</v>
      </c>
      <c r="AC660" s="29" t="str">
        <f aca="false">IF(P660&lt;10,"a) &lt;10",IF(P660&lt;20,"b) 10-20",IF(P660&lt;40,"c) 20-40",IF(P660&lt;80,"d) 40-80","e) 80+"))))</f>
        <v>a) &lt;10</v>
      </c>
      <c r="AD660" s="31" t="n">
        <f aca="false">Summary!$C$5+SUM(X$2:X660)</f>
        <v>14174.78</v>
      </c>
      <c r="AE660" s="31" t="n">
        <f aca="false">MAX(AE659,AD660)</f>
        <v>15756.64</v>
      </c>
      <c r="AF660" s="31" t="n">
        <f aca="false">AE660-AD660</f>
        <v>1581.86</v>
      </c>
      <c r="AG660" s="30" t="n">
        <f aca="false">IFERROR(AF660/AE660,0)</f>
        <v>0.100393231044182</v>
      </c>
    </row>
    <row r="661" customFormat="false" ht="15" hidden="false" customHeight="false" outlineLevel="0" collapsed="false">
      <c r="A661" s="29" t="n">
        <v>660</v>
      </c>
      <c r="B661" s="44" t="n">
        <v>45594.8361111111</v>
      </c>
      <c r="C661" s="44" t="n">
        <v>45594.8369675926</v>
      </c>
      <c r="D661" s="43" t="n">
        <f aca="false">INT(C661)</f>
        <v>45594</v>
      </c>
      <c r="E661" s="43" t="n">
        <f aca="false">D661-WEEKDAY(D661,3)</f>
        <v>45593</v>
      </c>
      <c r="F661" s="29" t="s">
        <v>174</v>
      </c>
      <c r="G661" s="29" t="n">
        <v>2024</v>
      </c>
      <c r="H661" s="29" t="s">
        <v>248</v>
      </c>
      <c r="I661" s="29" t="n">
        <v>20</v>
      </c>
      <c r="J661" s="29" t="s">
        <v>246</v>
      </c>
      <c r="K661" s="29" t="s">
        <v>247</v>
      </c>
      <c r="L661" s="29" t="n">
        <v>0.03</v>
      </c>
      <c r="M661" s="32" t="n">
        <v>20535.25</v>
      </c>
      <c r="N661" s="32" t="n">
        <v>20524.06</v>
      </c>
      <c r="O661" s="32" t="n">
        <v>20562.66</v>
      </c>
      <c r="P661" s="45" t="n">
        <f aca="false">ABS(M661-N661)</f>
        <v>11.1899999999987</v>
      </c>
      <c r="Q661" s="45" t="n">
        <f aca="false">IF(O661="","",ABS(O661-M661))</f>
        <v>27.4099999999999</v>
      </c>
      <c r="R661" s="31" t="n">
        <f aca="false">P661*L661*Summary!$C$6</f>
        <v>33.5699999999961</v>
      </c>
      <c r="S661" s="32" t="n">
        <v>20523.89</v>
      </c>
      <c r="T661" s="29" t="s">
        <v>249</v>
      </c>
      <c r="U661" s="45" t="n">
        <f aca="false">IF(J661="BUY",S661-M661,M661-S661)</f>
        <v>-11.3600000000006</v>
      </c>
      <c r="V661" s="46" t="n">
        <v>0</v>
      </c>
      <c r="W661" s="46" t="n">
        <v>0</v>
      </c>
      <c r="X661" s="46" t="n">
        <v>-34.08</v>
      </c>
      <c r="Y661" s="33" t="n">
        <f aca="false">IFERROR(X661/R661,0)</f>
        <v>-1.01519213583569</v>
      </c>
      <c r="Z661" s="29" t="str">
        <f aca="false">IF(X661&gt;0,"Win",IF(X661&lt;0,"Loss","Flat"))</f>
        <v>Loss</v>
      </c>
      <c r="AA661" s="29" t="n">
        <f aca="false">ROUND((C661-B661)*1440,1)</f>
        <v>1.2</v>
      </c>
      <c r="AB661" s="29" t="str">
        <f aca="false">IF(AA661&lt;1,"a) &lt;1 min",IF(AA661&lt;10,"b) 1-10 min",IF(AA661&lt;60,"c) 10-60 min",IF(AA661&lt;240,"d) 1-4 h","e) 4 h+"))))</f>
        <v>b) 1-10 min</v>
      </c>
      <c r="AC661" s="29" t="str">
        <f aca="false">IF(P661&lt;10,"a) &lt;10",IF(P661&lt;20,"b) 10-20",IF(P661&lt;40,"c) 20-40",IF(P661&lt;80,"d) 40-80","e) 80+"))))</f>
        <v>b) 10-20</v>
      </c>
      <c r="AD661" s="31" t="n">
        <f aca="false">Summary!$C$5+SUM(X$2:X661)</f>
        <v>14140.7</v>
      </c>
      <c r="AE661" s="31" t="n">
        <f aca="false">MAX(AE660,AD661)</f>
        <v>15756.64</v>
      </c>
      <c r="AF661" s="31" t="n">
        <f aca="false">AE661-AD661</f>
        <v>1615.94</v>
      </c>
      <c r="AG661" s="30" t="n">
        <f aca="false">IFERROR(AF661/AE661,0)</f>
        <v>0.102556128717798</v>
      </c>
    </row>
    <row r="662" customFormat="false" ht="15" hidden="false" customHeight="false" outlineLevel="0" collapsed="false">
      <c r="A662" s="29" t="n">
        <v>661</v>
      </c>
      <c r="B662" s="44" t="n">
        <v>45595.1409837963</v>
      </c>
      <c r="C662" s="44" t="n">
        <v>45595.1418634259</v>
      </c>
      <c r="D662" s="43" t="n">
        <f aca="false">INT(C662)</f>
        <v>45595</v>
      </c>
      <c r="E662" s="43" t="n">
        <f aca="false">D662-WEEKDAY(D662,3)</f>
        <v>45593</v>
      </c>
      <c r="F662" s="29" t="s">
        <v>174</v>
      </c>
      <c r="G662" s="29" t="n">
        <v>2024</v>
      </c>
      <c r="H662" s="29" t="s">
        <v>252</v>
      </c>
      <c r="I662" s="29" t="n">
        <v>3</v>
      </c>
      <c r="J662" s="29" t="s">
        <v>246</v>
      </c>
      <c r="K662" s="29" t="s">
        <v>247</v>
      </c>
      <c r="L662" s="29" t="n">
        <v>0.03</v>
      </c>
      <c r="M662" s="32" t="n">
        <v>20619.1</v>
      </c>
      <c r="N662" s="32" t="n">
        <v>20615.71</v>
      </c>
      <c r="O662" s="32" t="n">
        <v>20627.41</v>
      </c>
      <c r="P662" s="45" t="n">
        <f aca="false">ABS(M662-N662)</f>
        <v>3.38999999999942</v>
      </c>
      <c r="Q662" s="45" t="n">
        <f aca="false">IF(O662="","",ABS(O662-M662))</f>
        <v>8.31000000000131</v>
      </c>
      <c r="R662" s="31" t="n">
        <f aca="false">P662*L662*Summary!$C$6</f>
        <v>10.1699999999983</v>
      </c>
      <c r="S662" s="32" t="n">
        <v>20614.73</v>
      </c>
      <c r="T662" s="29" t="s">
        <v>249</v>
      </c>
      <c r="U662" s="45" t="n">
        <f aca="false">IF(J662="BUY",S662-M662,M662-S662)</f>
        <v>-4.36999999999898</v>
      </c>
      <c r="V662" s="46" t="n">
        <v>0</v>
      </c>
      <c r="W662" s="46" t="n">
        <v>0</v>
      </c>
      <c r="X662" s="46" t="n">
        <v>-13.11</v>
      </c>
      <c r="Y662" s="33" t="n">
        <f aca="false">IFERROR(X662/R662,0)</f>
        <v>-1.28908554572294</v>
      </c>
      <c r="Z662" s="29" t="str">
        <f aca="false">IF(X662&gt;0,"Win",IF(X662&lt;0,"Loss","Flat"))</f>
        <v>Loss</v>
      </c>
      <c r="AA662" s="29" t="n">
        <f aca="false">ROUND((C662-B662)*1440,1)</f>
        <v>1.3</v>
      </c>
      <c r="AB662" s="29" t="str">
        <f aca="false">IF(AA662&lt;1,"a) &lt;1 min",IF(AA662&lt;10,"b) 1-10 min",IF(AA662&lt;60,"c) 10-60 min",IF(AA662&lt;240,"d) 1-4 h","e) 4 h+"))))</f>
        <v>b) 1-10 min</v>
      </c>
      <c r="AC662" s="29" t="str">
        <f aca="false">IF(P662&lt;10,"a) &lt;10",IF(P662&lt;20,"b) 10-20",IF(P662&lt;40,"c) 20-40",IF(P662&lt;80,"d) 40-80","e) 80+"))))</f>
        <v>a) &lt;10</v>
      </c>
      <c r="AD662" s="31" t="n">
        <f aca="false">Summary!$C$5+SUM(X$2:X662)</f>
        <v>14127.59</v>
      </c>
      <c r="AE662" s="31" t="n">
        <f aca="false">MAX(AE661,AD662)</f>
        <v>15756.64</v>
      </c>
      <c r="AF662" s="31" t="n">
        <f aca="false">AE662-AD662</f>
        <v>1629.05</v>
      </c>
      <c r="AG662" s="30" t="n">
        <f aca="false">IFERROR(AF662/AE662,0)</f>
        <v>0.103388158896821</v>
      </c>
    </row>
    <row r="663" customFormat="false" ht="15" hidden="false" customHeight="false" outlineLevel="0" collapsed="false">
      <c r="A663" s="29" t="n">
        <v>662</v>
      </c>
      <c r="B663" s="44" t="n">
        <v>45596.0465277778</v>
      </c>
      <c r="C663" s="44" t="n">
        <v>45596.1677314815</v>
      </c>
      <c r="D663" s="43" t="n">
        <f aca="false">INT(C663)</f>
        <v>45596</v>
      </c>
      <c r="E663" s="43" t="n">
        <f aca="false">D663-WEEKDAY(D663,3)</f>
        <v>45593</v>
      </c>
      <c r="F663" s="29" t="s">
        <v>174</v>
      </c>
      <c r="G663" s="29" t="n">
        <v>2024</v>
      </c>
      <c r="H663" s="29" t="s">
        <v>253</v>
      </c>
      <c r="I663" s="29" t="n">
        <v>1</v>
      </c>
      <c r="J663" s="29" t="s">
        <v>250</v>
      </c>
      <c r="K663" s="29" t="s">
        <v>251</v>
      </c>
      <c r="L663" s="29" t="n">
        <v>0.03</v>
      </c>
      <c r="M663" s="32" t="n">
        <v>20307.91</v>
      </c>
      <c r="N663" s="32" t="n">
        <v>20337.23</v>
      </c>
      <c r="O663" s="32" t="n">
        <v>20236.08</v>
      </c>
      <c r="P663" s="45" t="n">
        <f aca="false">ABS(M663-N663)</f>
        <v>29.3199999999997</v>
      </c>
      <c r="Q663" s="45" t="n">
        <f aca="false">IF(O663="","",ABS(O663-M663))</f>
        <v>71.8299999999981</v>
      </c>
      <c r="R663" s="31" t="n">
        <f aca="false">P663*L663*Summary!$C$6</f>
        <v>87.9599999999991</v>
      </c>
      <c r="S663" s="32" t="n">
        <v>20308.25</v>
      </c>
      <c r="T663" s="29" t="s">
        <v>255</v>
      </c>
      <c r="U663" s="45" t="n">
        <f aca="false">IF(J663="BUY",S663-M663,M663-S663)</f>
        <v>-0.340000000000146</v>
      </c>
      <c r="V663" s="46" t="n">
        <v>0</v>
      </c>
      <c r="W663" s="46" t="n">
        <v>0</v>
      </c>
      <c r="X663" s="46" t="n">
        <v>-1.02</v>
      </c>
      <c r="Y663" s="33" t="n">
        <f aca="false">IFERROR(X663/R663,0)</f>
        <v>-0.0115961800818555</v>
      </c>
      <c r="Z663" s="29" t="str">
        <f aca="false">IF(X663&gt;0,"Win",IF(X663&lt;0,"Loss","Flat"))</f>
        <v>Loss</v>
      </c>
      <c r="AA663" s="29" t="n">
        <f aca="false">ROUND((C663-B663)*1440,1)</f>
        <v>174.5</v>
      </c>
      <c r="AB663" s="29" t="str">
        <f aca="false">IF(AA663&lt;1,"a) &lt;1 min",IF(AA663&lt;10,"b) 1-10 min",IF(AA663&lt;60,"c) 10-60 min",IF(AA663&lt;240,"d) 1-4 h","e) 4 h+"))))</f>
        <v>d) 1-4 h</v>
      </c>
      <c r="AC663" s="29" t="str">
        <f aca="false">IF(P663&lt;10,"a) &lt;10",IF(P663&lt;20,"b) 10-20",IF(P663&lt;40,"c) 20-40",IF(P663&lt;80,"d) 40-80","e) 80+"))))</f>
        <v>c) 20-40</v>
      </c>
      <c r="AD663" s="31" t="n">
        <f aca="false">Summary!$C$5+SUM(X$2:X663)</f>
        <v>14126.57</v>
      </c>
      <c r="AE663" s="31" t="n">
        <f aca="false">MAX(AE662,AD663)</f>
        <v>15756.64</v>
      </c>
      <c r="AF663" s="31" t="n">
        <f aca="false">AE663-AD663</f>
        <v>1630.07</v>
      </c>
      <c r="AG663" s="30" t="n">
        <f aca="false">IFERROR(AF663/AE663,0)</f>
        <v>0.103452893510292</v>
      </c>
    </row>
    <row r="664" customFormat="false" ht="15" hidden="false" customHeight="false" outlineLevel="0" collapsed="false">
      <c r="A664" s="29" t="n">
        <v>663</v>
      </c>
      <c r="B664" s="44" t="n">
        <v>45601.7013888889</v>
      </c>
      <c r="C664" s="44" t="n">
        <v>45601.705462963</v>
      </c>
      <c r="D664" s="43" t="n">
        <f aca="false">INT(C664)</f>
        <v>45601</v>
      </c>
      <c r="E664" s="43" t="n">
        <f aca="false">D664-WEEKDAY(D664,3)</f>
        <v>45600</v>
      </c>
      <c r="F664" s="29" t="s">
        <v>175</v>
      </c>
      <c r="G664" s="29" t="n">
        <v>2024</v>
      </c>
      <c r="H664" s="29" t="s">
        <v>248</v>
      </c>
      <c r="I664" s="29" t="n">
        <v>16</v>
      </c>
      <c r="J664" s="29" t="s">
        <v>246</v>
      </c>
      <c r="K664" s="29" t="s">
        <v>247</v>
      </c>
      <c r="L664" s="29" t="n">
        <v>0.03</v>
      </c>
      <c r="M664" s="32" t="n">
        <v>20133.2</v>
      </c>
      <c r="N664" s="32" t="n">
        <v>20115.28</v>
      </c>
      <c r="O664" s="32" t="n">
        <v>20177.11</v>
      </c>
      <c r="P664" s="45" t="n">
        <f aca="false">ABS(M664-N664)</f>
        <v>17.9200000000019</v>
      </c>
      <c r="Q664" s="45" t="n">
        <f aca="false">IF(O664="","",ABS(O664-M664))</f>
        <v>43.9099999999999</v>
      </c>
      <c r="R664" s="31" t="n">
        <f aca="false">P664*L664*Summary!$C$6</f>
        <v>53.7600000000057</v>
      </c>
      <c r="S664" s="32" t="n">
        <v>20178.17</v>
      </c>
      <c r="T664" s="29" t="s">
        <v>227</v>
      </c>
      <c r="U664" s="45" t="n">
        <f aca="false">IF(J664="BUY",S664-M664,M664-S664)</f>
        <v>44.9699999999975</v>
      </c>
      <c r="V664" s="46" t="n">
        <v>0</v>
      </c>
      <c r="W664" s="46" t="n">
        <v>0</v>
      </c>
      <c r="X664" s="46" t="n">
        <v>134.91</v>
      </c>
      <c r="Y664" s="33" t="n">
        <f aca="false">IFERROR(X664/R664,0)</f>
        <v>2.50948660714259</v>
      </c>
      <c r="Z664" s="29" t="str">
        <f aca="false">IF(X664&gt;0,"Win",IF(X664&lt;0,"Loss","Flat"))</f>
        <v>Win</v>
      </c>
      <c r="AA664" s="29" t="n">
        <f aca="false">ROUND((C664-B664)*1440,1)</f>
        <v>5.9</v>
      </c>
      <c r="AB664" s="29" t="str">
        <f aca="false">IF(AA664&lt;1,"a) &lt;1 min",IF(AA664&lt;10,"b) 1-10 min",IF(AA664&lt;60,"c) 10-60 min",IF(AA664&lt;240,"d) 1-4 h","e) 4 h+"))))</f>
        <v>b) 1-10 min</v>
      </c>
      <c r="AC664" s="29" t="str">
        <f aca="false">IF(P664&lt;10,"a) &lt;10",IF(P664&lt;20,"b) 10-20",IF(P664&lt;40,"c) 20-40",IF(P664&lt;80,"d) 40-80","e) 80+"))))</f>
        <v>b) 10-20</v>
      </c>
      <c r="AD664" s="31" t="n">
        <f aca="false">Summary!$C$5+SUM(X$2:X664)</f>
        <v>14261.48</v>
      </c>
      <c r="AE664" s="31" t="n">
        <f aca="false">MAX(AE663,AD664)</f>
        <v>15756.64</v>
      </c>
      <c r="AF664" s="31" t="n">
        <f aca="false">AE664-AD664</f>
        <v>1495.16</v>
      </c>
      <c r="AG664" s="30" t="n">
        <f aca="false">IFERROR(AF664/AE664,0)</f>
        <v>0.0948907888991562</v>
      </c>
    </row>
    <row r="665" customFormat="false" ht="15" hidden="false" customHeight="false" outlineLevel="0" collapsed="false">
      <c r="A665" s="29" t="n">
        <v>664</v>
      </c>
      <c r="B665" s="44" t="n">
        <v>45602.1069444444</v>
      </c>
      <c r="C665" s="44" t="n">
        <v>45602.1084143519</v>
      </c>
      <c r="D665" s="43" t="n">
        <f aca="false">INT(C665)</f>
        <v>45602</v>
      </c>
      <c r="E665" s="43" t="n">
        <f aca="false">D665-WEEKDAY(D665,3)</f>
        <v>45600</v>
      </c>
      <c r="F665" s="29" t="s">
        <v>175</v>
      </c>
      <c r="G665" s="29" t="n">
        <v>2024</v>
      </c>
      <c r="H665" s="29" t="s">
        <v>252</v>
      </c>
      <c r="I665" s="29" t="n">
        <v>2</v>
      </c>
      <c r="J665" s="29" t="s">
        <v>246</v>
      </c>
      <c r="K665" s="29" t="s">
        <v>247</v>
      </c>
      <c r="L665" s="29" t="n">
        <v>0.03</v>
      </c>
      <c r="M665" s="32" t="n">
        <v>20266.47</v>
      </c>
      <c r="N665" s="32" t="n">
        <v>20257.2</v>
      </c>
      <c r="O665" s="32" t="n">
        <v>20289.19</v>
      </c>
      <c r="P665" s="45" t="n">
        <f aca="false">ABS(M665-N665)</f>
        <v>9.27000000000044</v>
      </c>
      <c r="Q665" s="45" t="n">
        <f aca="false">IF(O665="","",ABS(O665-M665))</f>
        <v>22.7199999999975</v>
      </c>
      <c r="R665" s="31" t="n">
        <f aca="false">P665*L665*Summary!$C$6</f>
        <v>27.8100000000013</v>
      </c>
      <c r="S665" s="32" t="n">
        <v>20289.21</v>
      </c>
      <c r="T665" s="29" t="s">
        <v>227</v>
      </c>
      <c r="U665" s="45" t="n">
        <f aca="false">IF(J665="BUY",S665-M665,M665-S665)</f>
        <v>22.739999999998</v>
      </c>
      <c r="V665" s="46" t="n">
        <v>0</v>
      </c>
      <c r="W665" s="46" t="n">
        <v>0</v>
      </c>
      <c r="X665" s="46" t="n">
        <v>68.22</v>
      </c>
      <c r="Y665" s="33" t="n">
        <f aca="false">IFERROR(X665/R665,0)</f>
        <v>2.45307443365684</v>
      </c>
      <c r="Z665" s="29" t="str">
        <f aca="false">IF(X665&gt;0,"Win",IF(X665&lt;0,"Loss","Flat"))</f>
        <v>Win</v>
      </c>
      <c r="AA665" s="29" t="n">
        <f aca="false">ROUND((C665-B665)*1440,1)</f>
        <v>2.1</v>
      </c>
      <c r="AB665" s="29" t="str">
        <f aca="false">IF(AA665&lt;1,"a) &lt;1 min",IF(AA665&lt;10,"b) 1-10 min",IF(AA665&lt;60,"c) 10-60 min",IF(AA665&lt;240,"d) 1-4 h","e) 4 h+"))))</f>
        <v>b) 1-10 min</v>
      </c>
      <c r="AC665" s="29" t="str">
        <f aca="false">IF(P665&lt;10,"a) &lt;10",IF(P665&lt;20,"b) 10-20",IF(P665&lt;40,"c) 20-40",IF(P665&lt;80,"d) 40-80","e) 80+"))))</f>
        <v>a) &lt;10</v>
      </c>
      <c r="AD665" s="31" t="n">
        <f aca="false">Summary!$C$5+SUM(X$2:X665)</f>
        <v>14329.7</v>
      </c>
      <c r="AE665" s="31" t="n">
        <f aca="false">MAX(AE664,AD665)</f>
        <v>15756.64</v>
      </c>
      <c r="AF665" s="31" t="n">
        <f aca="false">AE665-AD665</f>
        <v>1426.94</v>
      </c>
      <c r="AG665" s="30" t="n">
        <f aca="false">IFERROR(AF665/AE665,0)</f>
        <v>0.0905611856334852</v>
      </c>
    </row>
    <row r="666" customFormat="false" ht="15" hidden="false" customHeight="false" outlineLevel="0" collapsed="false">
      <c r="A666" s="29" t="n">
        <v>665</v>
      </c>
      <c r="B666" s="44" t="n">
        <v>45603.225</v>
      </c>
      <c r="C666" s="44" t="n">
        <v>45603.2257407407</v>
      </c>
      <c r="D666" s="43" t="n">
        <f aca="false">INT(C666)</f>
        <v>45603</v>
      </c>
      <c r="E666" s="43" t="n">
        <f aca="false">D666-WEEKDAY(D666,3)</f>
        <v>45600</v>
      </c>
      <c r="F666" s="29" t="s">
        <v>175</v>
      </c>
      <c r="G666" s="29" t="n">
        <v>2024</v>
      </c>
      <c r="H666" s="29" t="s">
        <v>253</v>
      </c>
      <c r="I666" s="29" t="n">
        <v>5</v>
      </c>
      <c r="J666" s="29" t="s">
        <v>246</v>
      </c>
      <c r="K666" s="29" t="s">
        <v>247</v>
      </c>
      <c r="L666" s="29" t="n">
        <v>0.03</v>
      </c>
      <c r="M666" s="32" t="n">
        <v>20804.32</v>
      </c>
      <c r="N666" s="32" t="n">
        <v>20798.98</v>
      </c>
      <c r="O666" s="32" t="n">
        <v>20817.41</v>
      </c>
      <c r="P666" s="45" t="n">
        <f aca="false">ABS(M666-N666)</f>
        <v>5.34000000000015</v>
      </c>
      <c r="Q666" s="45" t="n">
        <f aca="false">IF(O666="","",ABS(O666-M666))</f>
        <v>13.0900000000001</v>
      </c>
      <c r="R666" s="31" t="n">
        <f aca="false">P666*L666*Summary!$C$6</f>
        <v>16.0200000000004</v>
      </c>
      <c r="S666" s="32" t="n">
        <v>20798.98</v>
      </c>
      <c r="T666" s="29" t="s">
        <v>249</v>
      </c>
      <c r="U666" s="45" t="n">
        <f aca="false">IF(J666="BUY",S666-M666,M666-S666)</f>
        <v>-5.34000000000015</v>
      </c>
      <c r="V666" s="46" t="n">
        <v>0</v>
      </c>
      <c r="W666" s="46" t="n">
        <v>0</v>
      </c>
      <c r="X666" s="46" t="n">
        <v>-16.02</v>
      </c>
      <c r="Y666" s="33" t="n">
        <f aca="false">IFERROR(X666/R666,0)</f>
        <v>-0.999999999999973</v>
      </c>
      <c r="Z666" s="29" t="str">
        <f aca="false">IF(X666&gt;0,"Win",IF(X666&lt;0,"Loss","Flat"))</f>
        <v>Loss</v>
      </c>
      <c r="AA666" s="29" t="n">
        <f aca="false">ROUND((C666-B666)*1440,1)</f>
        <v>1.1</v>
      </c>
      <c r="AB666" s="29" t="str">
        <f aca="false">IF(AA666&lt;1,"a) &lt;1 min",IF(AA666&lt;10,"b) 1-10 min",IF(AA666&lt;60,"c) 10-60 min",IF(AA666&lt;240,"d) 1-4 h","e) 4 h+"))))</f>
        <v>b) 1-10 min</v>
      </c>
      <c r="AC666" s="29" t="str">
        <f aca="false">IF(P666&lt;10,"a) &lt;10",IF(P666&lt;20,"b) 10-20",IF(P666&lt;40,"c) 20-40",IF(P666&lt;80,"d) 40-80","e) 80+"))))</f>
        <v>a) &lt;10</v>
      </c>
      <c r="AD666" s="31" t="n">
        <f aca="false">Summary!$C$5+SUM(X$2:X666)</f>
        <v>14313.68</v>
      </c>
      <c r="AE666" s="31" t="n">
        <f aca="false">MAX(AE665,AD666)</f>
        <v>15756.64</v>
      </c>
      <c r="AF666" s="31" t="n">
        <f aca="false">AE666-AD666</f>
        <v>1442.96</v>
      </c>
      <c r="AG666" s="30" t="n">
        <f aca="false">IFERROR(AF666/AE666,0)</f>
        <v>0.0915778998568222</v>
      </c>
    </row>
    <row r="667" customFormat="false" ht="15" hidden="false" customHeight="false" outlineLevel="0" collapsed="false">
      <c r="A667" s="29" t="n">
        <v>666</v>
      </c>
      <c r="B667" s="44" t="n">
        <v>45604.320162037</v>
      </c>
      <c r="C667" s="44" t="n">
        <v>45604.3232638889</v>
      </c>
      <c r="D667" s="43" t="n">
        <f aca="false">INT(C667)</f>
        <v>45604</v>
      </c>
      <c r="E667" s="43" t="n">
        <f aca="false">D667-WEEKDAY(D667,3)</f>
        <v>45600</v>
      </c>
      <c r="F667" s="29" t="s">
        <v>175</v>
      </c>
      <c r="G667" s="29" t="n">
        <v>2024</v>
      </c>
      <c r="H667" s="29" t="s">
        <v>254</v>
      </c>
      <c r="I667" s="29" t="n">
        <v>7</v>
      </c>
      <c r="J667" s="29" t="s">
        <v>246</v>
      </c>
      <c r="K667" s="29" t="s">
        <v>247</v>
      </c>
      <c r="L667" s="29" t="n">
        <v>0.03</v>
      </c>
      <c r="M667" s="32" t="n">
        <v>21137.65</v>
      </c>
      <c r="N667" s="32" t="n">
        <v>21132.86</v>
      </c>
      <c r="O667" s="32" t="n">
        <v>21149.38</v>
      </c>
      <c r="P667" s="45" t="n">
        <f aca="false">ABS(M667-N667)</f>
        <v>4.79000000000087</v>
      </c>
      <c r="Q667" s="45" t="n">
        <f aca="false">IF(O667="","",ABS(O667-M667))</f>
        <v>11.7299999999996</v>
      </c>
      <c r="R667" s="31" t="n">
        <f aca="false">P667*L667*Summary!$C$6</f>
        <v>14.3700000000026</v>
      </c>
      <c r="S667" s="32" t="n">
        <v>21137.34</v>
      </c>
      <c r="T667" s="29" t="s">
        <v>255</v>
      </c>
      <c r="U667" s="45" t="n">
        <f aca="false">IF(J667="BUY",S667-M667,M667-S667)</f>
        <v>-0.31000000000131</v>
      </c>
      <c r="V667" s="46" t="n">
        <v>0</v>
      </c>
      <c r="W667" s="46" t="n">
        <v>0</v>
      </c>
      <c r="X667" s="46" t="n">
        <v>-0.93</v>
      </c>
      <c r="Y667" s="33" t="n">
        <f aca="false">IFERROR(X667/R667,0)</f>
        <v>-0.0647181628392366</v>
      </c>
      <c r="Z667" s="29" t="str">
        <f aca="false">IF(X667&gt;0,"Win",IF(X667&lt;0,"Loss","Flat"))</f>
        <v>Loss</v>
      </c>
      <c r="AA667" s="29" t="n">
        <f aca="false">ROUND((C667-B667)*1440,1)</f>
        <v>4.5</v>
      </c>
      <c r="AB667" s="29" t="str">
        <f aca="false">IF(AA667&lt;1,"a) &lt;1 min",IF(AA667&lt;10,"b) 1-10 min",IF(AA667&lt;60,"c) 10-60 min",IF(AA667&lt;240,"d) 1-4 h","e) 4 h+"))))</f>
        <v>b) 1-10 min</v>
      </c>
      <c r="AC667" s="29" t="str">
        <f aca="false">IF(P667&lt;10,"a) &lt;10",IF(P667&lt;20,"b) 10-20",IF(P667&lt;40,"c) 20-40",IF(P667&lt;80,"d) 40-80","e) 80+"))))</f>
        <v>a) &lt;10</v>
      </c>
      <c r="AD667" s="31" t="n">
        <f aca="false">Summary!$C$5+SUM(X$2:X667)</f>
        <v>14312.75</v>
      </c>
      <c r="AE667" s="31" t="n">
        <f aca="false">MAX(AE666,AD667)</f>
        <v>15756.64</v>
      </c>
      <c r="AF667" s="31" t="n">
        <f aca="false">AE667-AD667</f>
        <v>1443.89</v>
      </c>
      <c r="AG667" s="30" t="n">
        <f aca="false">IFERROR(AF667/AE667,0)</f>
        <v>0.0916369225926339</v>
      </c>
    </row>
    <row r="668" customFormat="false" ht="15" hidden="false" customHeight="false" outlineLevel="0" collapsed="false">
      <c r="A668" s="29" t="n">
        <v>667</v>
      </c>
      <c r="B668" s="44" t="n">
        <v>45607.0423611111</v>
      </c>
      <c r="C668" s="44" t="n">
        <v>45607.0459722222</v>
      </c>
      <c r="D668" s="43" t="n">
        <f aca="false">INT(C668)</f>
        <v>45607</v>
      </c>
      <c r="E668" s="43" t="n">
        <f aca="false">D668-WEEKDAY(D668,3)</f>
        <v>45607</v>
      </c>
      <c r="F668" s="29" t="s">
        <v>175</v>
      </c>
      <c r="G668" s="29" t="n">
        <v>2024</v>
      </c>
      <c r="H668" s="29" t="s">
        <v>245</v>
      </c>
      <c r="I668" s="29" t="n">
        <v>1</v>
      </c>
      <c r="J668" s="29" t="s">
        <v>246</v>
      </c>
      <c r="K668" s="29" t="s">
        <v>247</v>
      </c>
      <c r="L668" s="29" t="n">
        <v>0.03</v>
      </c>
      <c r="M668" s="32" t="n">
        <v>21155.65</v>
      </c>
      <c r="N668" s="32" t="n">
        <v>21142.73</v>
      </c>
      <c r="O668" s="32" t="n">
        <v>21187.3</v>
      </c>
      <c r="P668" s="45" t="n">
        <f aca="false">ABS(M668-N668)</f>
        <v>12.9200000000019</v>
      </c>
      <c r="Q668" s="45" t="n">
        <f aca="false">IF(O668="","",ABS(O668-M668))</f>
        <v>31.6499999999978</v>
      </c>
      <c r="R668" s="31" t="n">
        <f aca="false">P668*L668*Summary!$C$6</f>
        <v>38.7600000000057</v>
      </c>
      <c r="S668" s="32" t="n">
        <v>21188.23</v>
      </c>
      <c r="T668" s="29" t="s">
        <v>227</v>
      </c>
      <c r="U668" s="45" t="n">
        <f aca="false">IF(J668="BUY",S668-M668,M668-S668)</f>
        <v>32.5799999999981</v>
      </c>
      <c r="V668" s="46" t="n">
        <v>0</v>
      </c>
      <c r="W668" s="46" t="n">
        <v>0</v>
      </c>
      <c r="X668" s="46" t="n">
        <v>97.74</v>
      </c>
      <c r="Y668" s="33" t="n">
        <f aca="false">IFERROR(X668/R668,0)</f>
        <v>2.52167182662502</v>
      </c>
      <c r="Z668" s="29" t="str">
        <f aca="false">IF(X668&gt;0,"Win",IF(X668&lt;0,"Loss","Flat"))</f>
        <v>Win</v>
      </c>
      <c r="AA668" s="29" t="n">
        <f aca="false">ROUND((C668-B668)*1440,1)</f>
        <v>5.2</v>
      </c>
      <c r="AB668" s="29" t="str">
        <f aca="false">IF(AA668&lt;1,"a) &lt;1 min",IF(AA668&lt;10,"b) 1-10 min",IF(AA668&lt;60,"c) 10-60 min",IF(AA668&lt;240,"d) 1-4 h","e) 4 h+"))))</f>
        <v>b) 1-10 min</v>
      </c>
      <c r="AC668" s="29" t="str">
        <f aca="false">IF(P668&lt;10,"a) &lt;10",IF(P668&lt;20,"b) 10-20",IF(P668&lt;40,"c) 20-40",IF(P668&lt;80,"d) 40-80","e) 80+"))))</f>
        <v>b) 10-20</v>
      </c>
      <c r="AD668" s="31" t="n">
        <f aca="false">Summary!$C$5+SUM(X$2:X668)</f>
        <v>14410.49</v>
      </c>
      <c r="AE668" s="31" t="n">
        <f aca="false">MAX(AE667,AD668)</f>
        <v>15756.64</v>
      </c>
      <c r="AF668" s="31" t="n">
        <f aca="false">AE668-AD668</f>
        <v>1346.15</v>
      </c>
      <c r="AG668" s="30" t="n">
        <f aca="false">IFERROR(AF668/AE668,0)</f>
        <v>0.0854338234547467</v>
      </c>
    </row>
    <row r="669" customFormat="false" ht="15" hidden="false" customHeight="false" outlineLevel="0" collapsed="false">
      <c r="A669" s="29" t="n">
        <v>668</v>
      </c>
      <c r="B669" s="44" t="n">
        <v>45607.8409722222</v>
      </c>
      <c r="C669" s="44" t="n">
        <v>45607.843587963</v>
      </c>
      <c r="D669" s="43" t="n">
        <f aca="false">INT(C669)</f>
        <v>45607</v>
      </c>
      <c r="E669" s="43" t="n">
        <f aca="false">D669-WEEKDAY(D669,3)</f>
        <v>45607</v>
      </c>
      <c r="F669" s="29" t="s">
        <v>175</v>
      </c>
      <c r="G669" s="29" t="n">
        <v>2024</v>
      </c>
      <c r="H669" s="29" t="s">
        <v>245</v>
      </c>
      <c r="I669" s="29" t="n">
        <v>20</v>
      </c>
      <c r="J669" s="29" t="s">
        <v>250</v>
      </c>
      <c r="K669" s="29" t="s">
        <v>251</v>
      </c>
      <c r="L669" s="29" t="n">
        <v>0.03</v>
      </c>
      <c r="M669" s="32" t="n">
        <v>21005.23</v>
      </c>
      <c r="N669" s="32" t="n">
        <v>21014.09</v>
      </c>
      <c r="O669" s="32" t="n">
        <v>20983.52</v>
      </c>
      <c r="P669" s="45" t="n">
        <f aca="false">ABS(M669-N669)</f>
        <v>8.86000000000058</v>
      </c>
      <c r="Q669" s="45" t="n">
        <f aca="false">IF(O669="","",ABS(O669-M669))</f>
        <v>21.7099999999991</v>
      </c>
      <c r="R669" s="31" t="n">
        <f aca="false">P669*L669*Summary!$C$6</f>
        <v>26.5800000000017</v>
      </c>
      <c r="S669" s="32" t="n">
        <v>21014.54</v>
      </c>
      <c r="T669" s="29" t="s">
        <v>249</v>
      </c>
      <c r="U669" s="45" t="n">
        <f aca="false">IF(J669="BUY",S669-M669,M669-S669)</f>
        <v>-9.31000000000131</v>
      </c>
      <c r="V669" s="46" t="n">
        <v>0</v>
      </c>
      <c r="W669" s="46" t="n">
        <v>0</v>
      </c>
      <c r="X669" s="46" t="n">
        <v>-27.93</v>
      </c>
      <c r="Y669" s="33" t="n">
        <f aca="false">IFERROR(X669/R669,0)</f>
        <v>-1.05079006772002</v>
      </c>
      <c r="Z669" s="29" t="str">
        <f aca="false">IF(X669&gt;0,"Win",IF(X669&lt;0,"Loss","Flat"))</f>
        <v>Loss</v>
      </c>
      <c r="AA669" s="29" t="n">
        <f aca="false">ROUND((C669-B669)*1440,1)</f>
        <v>3.8</v>
      </c>
      <c r="AB669" s="29" t="str">
        <f aca="false">IF(AA669&lt;1,"a) &lt;1 min",IF(AA669&lt;10,"b) 1-10 min",IF(AA669&lt;60,"c) 10-60 min",IF(AA669&lt;240,"d) 1-4 h","e) 4 h+"))))</f>
        <v>b) 1-10 min</v>
      </c>
      <c r="AC669" s="29" t="str">
        <f aca="false">IF(P669&lt;10,"a) &lt;10",IF(P669&lt;20,"b) 10-20",IF(P669&lt;40,"c) 20-40",IF(P669&lt;80,"d) 40-80","e) 80+"))))</f>
        <v>a) &lt;10</v>
      </c>
      <c r="AD669" s="31" t="n">
        <f aca="false">Summary!$C$5+SUM(X$2:X669)</f>
        <v>14382.56</v>
      </c>
      <c r="AE669" s="31" t="n">
        <f aca="false">MAX(AE668,AD669)</f>
        <v>15756.64</v>
      </c>
      <c r="AF669" s="31" t="n">
        <f aca="false">AE669-AD669</f>
        <v>1374.08</v>
      </c>
      <c r="AG669" s="30" t="n">
        <f aca="false">IFERROR(AF669/AE669,0)</f>
        <v>0.0872064094883173</v>
      </c>
    </row>
    <row r="670" customFormat="false" ht="15" hidden="false" customHeight="false" outlineLevel="0" collapsed="false">
      <c r="A670" s="29" t="n">
        <v>669</v>
      </c>
      <c r="B670" s="44" t="n">
        <v>45608.83125</v>
      </c>
      <c r="C670" s="44" t="n">
        <v>45608.8334259259</v>
      </c>
      <c r="D670" s="43" t="n">
        <f aca="false">INT(C670)</f>
        <v>45608</v>
      </c>
      <c r="E670" s="43" t="n">
        <f aca="false">D670-WEEKDAY(D670,3)</f>
        <v>45607</v>
      </c>
      <c r="F670" s="29" t="s">
        <v>175</v>
      </c>
      <c r="G670" s="29" t="n">
        <v>2024</v>
      </c>
      <c r="H670" s="29" t="s">
        <v>248</v>
      </c>
      <c r="I670" s="29" t="n">
        <v>19</v>
      </c>
      <c r="J670" s="29" t="s">
        <v>250</v>
      </c>
      <c r="K670" s="29" t="s">
        <v>251</v>
      </c>
      <c r="L670" s="29" t="n">
        <v>0.03</v>
      </c>
      <c r="M670" s="32" t="n">
        <v>20982.2</v>
      </c>
      <c r="N670" s="32" t="n">
        <v>20995.3</v>
      </c>
      <c r="O670" s="32" t="n">
        <v>20953.41</v>
      </c>
      <c r="P670" s="45" t="n">
        <f aca="false">ABS(M670-N670)</f>
        <v>13.0999999999985</v>
      </c>
      <c r="Q670" s="45" t="n">
        <f aca="false">IF(O670="","",ABS(O670-M670))</f>
        <v>28.7900000000009</v>
      </c>
      <c r="R670" s="31" t="n">
        <f aca="false">P670*L670*Summary!$C$6</f>
        <v>39.2999999999956</v>
      </c>
      <c r="S670" s="32" t="n">
        <v>20950.69</v>
      </c>
      <c r="T670" s="29" t="s">
        <v>227</v>
      </c>
      <c r="U670" s="45" t="n">
        <f aca="false">IF(J670="BUY",S670-M670,M670-S670)</f>
        <v>31.510000000002</v>
      </c>
      <c r="V670" s="46" t="n">
        <v>0</v>
      </c>
      <c r="W670" s="46" t="n">
        <v>0</v>
      </c>
      <c r="X670" s="46" t="n">
        <v>94.53</v>
      </c>
      <c r="Y670" s="33" t="n">
        <f aca="false">IFERROR(X670/R670,0)</f>
        <v>2.40534351145065</v>
      </c>
      <c r="Z670" s="29" t="str">
        <f aca="false">IF(X670&gt;0,"Win",IF(X670&lt;0,"Loss","Flat"))</f>
        <v>Win</v>
      </c>
      <c r="AA670" s="29" t="n">
        <f aca="false">ROUND((C670-B670)*1440,1)</f>
        <v>3.1</v>
      </c>
      <c r="AB670" s="29" t="str">
        <f aca="false">IF(AA670&lt;1,"a) &lt;1 min",IF(AA670&lt;10,"b) 1-10 min",IF(AA670&lt;60,"c) 10-60 min",IF(AA670&lt;240,"d) 1-4 h","e) 4 h+"))))</f>
        <v>b) 1-10 min</v>
      </c>
      <c r="AC670" s="29" t="str">
        <f aca="false">IF(P670&lt;10,"a) &lt;10",IF(P670&lt;20,"b) 10-20",IF(P670&lt;40,"c) 20-40",IF(P670&lt;80,"d) 40-80","e) 80+"))))</f>
        <v>b) 10-20</v>
      </c>
      <c r="AD670" s="31" t="n">
        <f aca="false">Summary!$C$5+SUM(X$2:X670)</f>
        <v>14477.09</v>
      </c>
      <c r="AE670" s="31" t="n">
        <f aca="false">MAX(AE669,AD670)</f>
        <v>15756.64</v>
      </c>
      <c r="AF670" s="31" t="n">
        <f aca="false">AE670-AD670</f>
        <v>1279.55</v>
      </c>
      <c r="AG670" s="30" t="n">
        <f aca="false">IFERROR(AF670/AE670,0)</f>
        <v>0.0812070339869413</v>
      </c>
    </row>
    <row r="671" customFormat="false" ht="15" hidden="false" customHeight="false" outlineLevel="0" collapsed="false">
      <c r="A671" s="29" t="n">
        <v>670</v>
      </c>
      <c r="B671" s="44" t="n">
        <v>45609.8673611111</v>
      </c>
      <c r="C671" s="44" t="n">
        <v>45609.8747222222</v>
      </c>
      <c r="D671" s="43" t="n">
        <f aca="false">INT(C671)</f>
        <v>45609</v>
      </c>
      <c r="E671" s="43" t="n">
        <f aca="false">D671-WEEKDAY(D671,3)</f>
        <v>45607</v>
      </c>
      <c r="F671" s="29" t="s">
        <v>175</v>
      </c>
      <c r="G671" s="29" t="n">
        <v>2024</v>
      </c>
      <c r="H671" s="29" t="s">
        <v>252</v>
      </c>
      <c r="I671" s="29" t="n">
        <v>20</v>
      </c>
      <c r="J671" s="29" t="s">
        <v>246</v>
      </c>
      <c r="K671" s="29" t="s">
        <v>247</v>
      </c>
      <c r="L671" s="29" t="n">
        <v>0.03</v>
      </c>
      <c r="M671" s="32" t="n">
        <v>21144.82</v>
      </c>
      <c r="N671" s="32" t="n">
        <v>21134.12</v>
      </c>
      <c r="O671" s="32" t="n">
        <v>21171.04</v>
      </c>
      <c r="P671" s="45" t="n">
        <f aca="false">ABS(M671-N671)</f>
        <v>10.7000000000007</v>
      </c>
      <c r="Q671" s="45" t="n">
        <f aca="false">IF(O671="","",ABS(O671-M671))</f>
        <v>26.2200000000012</v>
      </c>
      <c r="R671" s="31" t="n">
        <f aca="false">P671*L671*Summary!$C$6</f>
        <v>32.1000000000022</v>
      </c>
      <c r="S671" s="32" t="n">
        <v>21144.6</v>
      </c>
      <c r="T671" s="29" t="s">
        <v>255</v>
      </c>
      <c r="U671" s="45" t="n">
        <f aca="false">IF(J671="BUY",S671-M671,M671-S671)</f>
        <v>-0.220000000001164</v>
      </c>
      <c r="V671" s="46" t="n">
        <v>0</v>
      </c>
      <c r="W671" s="46" t="n">
        <v>0</v>
      </c>
      <c r="X671" s="46" t="n">
        <v>-0.66</v>
      </c>
      <c r="Y671" s="33" t="n">
        <f aca="false">IFERROR(X671/R671,0)</f>
        <v>-0.02056074766355</v>
      </c>
      <c r="Z671" s="29" t="str">
        <f aca="false">IF(X671&gt;0,"Win",IF(X671&lt;0,"Loss","Flat"))</f>
        <v>Loss</v>
      </c>
      <c r="AA671" s="29" t="n">
        <f aca="false">ROUND((C671-B671)*1440,1)</f>
        <v>10.6</v>
      </c>
      <c r="AB671" s="29" t="str">
        <f aca="false">IF(AA671&lt;1,"a) &lt;1 min",IF(AA671&lt;10,"b) 1-10 min",IF(AA671&lt;60,"c) 10-60 min",IF(AA671&lt;240,"d) 1-4 h","e) 4 h+"))))</f>
        <v>c) 10-60 min</v>
      </c>
      <c r="AC671" s="29" t="str">
        <f aca="false">IF(P671&lt;10,"a) &lt;10",IF(P671&lt;20,"b) 10-20",IF(P671&lt;40,"c) 20-40",IF(P671&lt;80,"d) 40-80","e) 80+"))))</f>
        <v>b) 10-20</v>
      </c>
      <c r="AD671" s="31" t="n">
        <f aca="false">Summary!$C$5+SUM(X$2:X671)</f>
        <v>14476.43</v>
      </c>
      <c r="AE671" s="31" t="n">
        <f aca="false">MAX(AE670,AD671)</f>
        <v>15756.64</v>
      </c>
      <c r="AF671" s="31" t="n">
        <f aca="false">AE671-AD671</f>
        <v>1280.21</v>
      </c>
      <c r="AG671" s="30" t="n">
        <f aca="false">IFERROR(AF671/AE671,0)</f>
        <v>0.0812489210897754</v>
      </c>
    </row>
    <row r="672" customFormat="false" ht="15" hidden="false" customHeight="false" outlineLevel="0" collapsed="false">
      <c r="A672" s="29" t="n">
        <v>671</v>
      </c>
      <c r="B672" s="44" t="n">
        <v>45610.7222222222</v>
      </c>
      <c r="C672" s="44" t="n">
        <v>45610.722349537</v>
      </c>
      <c r="D672" s="43" t="n">
        <f aca="false">INT(C672)</f>
        <v>45610</v>
      </c>
      <c r="E672" s="43" t="n">
        <f aca="false">D672-WEEKDAY(D672,3)</f>
        <v>45607</v>
      </c>
      <c r="F672" s="29" t="s">
        <v>175</v>
      </c>
      <c r="G672" s="29" t="n">
        <v>2024</v>
      </c>
      <c r="H672" s="29" t="s">
        <v>253</v>
      </c>
      <c r="I672" s="29" t="n">
        <v>17</v>
      </c>
      <c r="J672" s="29" t="s">
        <v>250</v>
      </c>
      <c r="K672" s="29" t="s">
        <v>251</v>
      </c>
      <c r="L672" s="29" t="n">
        <v>0.03</v>
      </c>
      <c r="M672" s="32" t="n">
        <v>20932.6</v>
      </c>
      <c r="N672" s="32" t="n">
        <v>20951.01</v>
      </c>
      <c r="O672" s="32" t="n">
        <v>20887.49</v>
      </c>
      <c r="P672" s="45" t="n">
        <f aca="false">ABS(M672-N672)</f>
        <v>18.4099999999999</v>
      </c>
      <c r="Q672" s="45" t="n">
        <f aca="false">IF(O672="","",ABS(O672-M672))</f>
        <v>45.1099999999969</v>
      </c>
      <c r="R672" s="31" t="n">
        <f aca="false">P672*L672*Summary!$C$6</f>
        <v>55.2299999999996</v>
      </c>
      <c r="S672" s="32" t="n">
        <v>20951.59</v>
      </c>
      <c r="T672" s="29" t="s">
        <v>249</v>
      </c>
      <c r="U672" s="45" t="n">
        <f aca="false">IF(J672="BUY",S672-M672,M672-S672)</f>
        <v>-18.9900000000016</v>
      </c>
      <c r="V672" s="46" t="n">
        <v>0</v>
      </c>
      <c r="W672" s="46" t="n">
        <v>0</v>
      </c>
      <c r="X672" s="46" t="n">
        <v>-56.97</v>
      </c>
      <c r="Y672" s="33" t="n">
        <f aca="false">IFERROR(X672/R672,0)</f>
        <v>-1.03150461705596</v>
      </c>
      <c r="Z672" s="29" t="str">
        <f aca="false">IF(X672&gt;0,"Win",IF(X672&lt;0,"Loss","Flat"))</f>
        <v>Loss</v>
      </c>
      <c r="AA672" s="29" t="n">
        <f aca="false">ROUND((C672-B672)*1440,1)</f>
        <v>0.2</v>
      </c>
      <c r="AB672" s="29" t="str">
        <f aca="false">IF(AA672&lt;1,"a) &lt;1 min",IF(AA672&lt;10,"b) 1-10 min",IF(AA672&lt;60,"c) 10-60 min",IF(AA672&lt;240,"d) 1-4 h","e) 4 h+"))))</f>
        <v>a) &lt;1 min</v>
      </c>
      <c r="AC672" s="29" t="str">
        <f aca="false">IF(P672&lt;10,"a) &lt;10",IF(P672&lt;20,"b) 10-20",IF(P672&lt;40,"c) 20-40",IF(P672&lt;80,"d) 40-80","e) 80+"))))</f>
        <v>b) 10-20</v>
      </c>
      <c r="AD672" s="31" t="n">
        <f aca="false">Summary!$C$5+SUM(X$2:X672)</f>
        <v>14419.46</v>
      </c>
      <c r="AE672" s="31" t="n">
        <f aca="false">MAX(AE671,AD672)</f>
        <v>15756.64</v>
      </c>
      <c r="AF672" s="31" t="n">
        <f aca="false">AE672-AD672</f>
        <v>1337.18</v>
      </c>
      <c r="AG672" s="30" t="n">
        <f aca="false">IFERROR(AF672/AE672,0)</f>
        <v>0.0848645396480468</v>
      </c>
    </row>
    <row r="673" customFormat="false" ht="15" hidden="false" customHeight="false" outlineLevel="0" collapsed="false">
      <c r="A673" s="29" t="n">
        <v>672</v>
      </c>
      <c r="B673" s="44" t="n">
        <v>45611.0506944444</v>
      </c>
      <c r="C673" s="44" t="n">
        <v>45611.0629166667</v>
      </c>
      <c r="D673" s="43" t="n">
        <f aca="false">INT(C673)</f>
        <v>45611</v>
      </c>
      <c r="E673" s="43" t="n">
        <f aca="false">D673-WEEKDAY(D673,3)</f>
        <v>45607</v>
      </c>
      <c r="F673" s="29" t="s">
        <v>175</v>
      </c>
      <c r="G673" s="29" t="n">
        <v>2024</v>
      </c>
      <c r="H673" s="29" t="s">
        <v>254</v>
      </c>
      <c r="I673" s="29" t="n">
        <v>1</v>
      </c>
      <c r="J673" s="29" t="s">
        <v>250</v>
      </c>
      <c r="K673" s="29" t="s">
        <v>251</v>
      </c>
      <c r="L673" s="29" t="n">
        <v>0.03</v>
      </c>
      <c r="M673" s="32" t="n">
        <v>20837.53</v>
      </c>
      <c r="N673" s="32" t="n">
        <v>20844.01</v>
      </c>
      <c r="O673" s="32" t="n">
        <v>20821.66</v>
      </c>
      <c r="P673" s="45" t="n">
        <f aca="false">ABS(M673-N673)</f>
        <v>6.47999999999956</v>
      </c>
      <c r="Q673" s="45" t="n">
        <f aca="false">IF(O673="","",ABS(O673-M673))</f>
        <v>15.869999999999</v>
      </c>
      <c r="R673" s="31" t="n">
        <f aca="false">P673*L673*Summary!$C$6</f>
        <v>19.4399999999987</v>
      </c>
      <c r="S673" s="32" t="n">
        <v>20844.15</v>
      </c>
      <c r="T673" s="29" t="s">
        <v>249</v>
      </c>
      <c r="U673" s="45" t="n">
        <f aca="false">IF(J673="BUY",S673-M673,M673-S673)</f>
        <v>-6.62000000000262</v>
      </c>
      <c r="V673" s="46" t="n">
        <v>0</v>
      </c>
      <c r="W673" s="46" t="n">
        <v>0</v>
      </c>
      <c r="X673" s="46" t="n">
        <v>-19.86</v>
      </c>
      <c r="Y673" s="33" t="n">
        <f aca="false">IFERROR(X673/R673,0)</f>
        <v>-1.02160493827167</v>
      </c>
      <c r="Z673" s="29" t="str">
        <f aca="false">IF(X673&gt;0,"Win",IF(X673&lt;0,"Loss","Flat"))</f>
        <v>Loss</v>
      </c>
      <c r="AA673" s="29" t="n">
        <f aca="false">ROUND((C673-B673)*1440,1)</f>
        <v>17.6</v>
      </c>
      <c r="AB673" s="29" t="str">
        <f aca="false">IF(AA673&lt;1,"a) &lt;1 min",IF(AA673&lt;10,"b) 1-10 min",IF(AA673&lt;60,"c) 10-60 min",IF(AA673&lt;240,"d) 1-4 h","e) 4 h+"))))</f>
        <v>c) 10-60 min</v>
      </c>
      <c r="AC673" s="29" t="str">
        <f aca="false">IF(P673&lt;10,"a) &lt;10",IF(P673&lt;20,"b) 10-20",IF(P673&lt;40,"c) 20-40",IF(P673&lt;80,"d) 40-80","e) 80+"))))</f>
        <v>a) &lt;10</v>
      </c>
      <c r="AD673" s="31" t="n">
        <f aca="false">Summary!$C$5+SUM(X$2:X673)</f>
        <v>14399.6</v>
      </c>
      <c r="AE673" s="31" t="n">
        <f aca="false">MAX(AE672,AD673)</f>
        <v>15756.64</v>
      </c>
      <c r="AF673" s="31" t="n">
        <f aca="false">AE673-AD673</f>
        <v>1357.04</v>
      </c>
      <c r="AG673" s="30" t="n">
        <f aca="false">IFERROR(AF673/AE673,0)</f>
        <v>0.0861249606515094</v>
      </c>
    </row>
    <row r="674" customFormat="false" ht="15" hidden="false" customHeight="false" outlineLevel="0" collapsed="false">
      <c r="A674" s="29" t="n">
        <v>673</v>
      </c>
      <c r="B674" s="44" t="n">
        <v>45615.6597222222</v>
      </c>
      <c r="C674" s="44" t="n">
        <v>45615.6626273148</v>
      </c>
      <c r="D674" s="43" t="n">
        <f aca="false">INT(C674)</f>
        <v>45615</v>
      </c>
      <c r="E674" s="43" t="n">
        <f aca="false">D674-WEEKDAY(D674,3)</f>
        <v>45614</v>
      </c>
      <c r="F674" s="29" t="s">
        <v>175</v>
      </c>
      <c r="G674" s="29" t="n">
        <v>2024</v>
      </c>
      <c r="H674" s="29" t="s">
        <v>248</v>
      </c>
      <c r="I674" s="29" t="n">
        <v>15</v>
      </c>
      <c r="J674" s="29" t="s">
        <v>250</v>
      </c>
      <c r="K674" s="29" t="s">
        <v>251</v>
      </c>
      <c r="L674" s="29" t="n">
        <v>0.03</v>
      </c>
      <c r="M674" s="32" t="n">
        <v>20376.5</v>
      </c>
      <c r="N674" s="32" t="n">
        <v>20391.39</v>
      </c>
      <c r="O674" s="32" t="n">
        <v>20340.02</v>
      </c>
      <c r="P674" s="45" t="n">
        <f aca="false">ABS(M674-N674)</f>
        <v>14.8899999999994</v>
      </c>
      <c r="Q674" s="45" t="n">
        <f aca="false">IF(O674="","",ABS(O674-M674))</f>
        <v>36.4799999999996</v>
      </c>
      <c r="R674" s="31" t="n">
        <f aca="false">P674*L674*Summary!$C$6</f>
        <v>44.6699999999983</v>
      </c>
      <c r="S674" s="32" t="n">
        <v>20339.91</v>
      </c>
      <c r="T674" s="29" t="s">
        <v>227</v>
      </c>
      <c r="U674" s="45" t="n">
        <f aca="false">IF(J674="BUY",S674-M674,M674-S674)</f>
        <v>36.5900000000001</v>
      </c>
      <c r="V674" s="46" t="n">
        <v>0</v>
      </c>
      <c r="W674" s="46" t="n">
        <v>0</v>
      </c>
      <c r="X674" s="46" t="n">
        <v>109.77</v>
      </c>
      <c r="Y674" s="33" t="n">
        <f aca="false">IFERROR(X674/R674,0)</f>
        <v>2.45735392881138</v>
      </c>
      <c r="Z674" s="29" t="str">
        <f aca="false">IF(X674&gt;0,"Win",IF(X674&lt;0,"Loss","Flat"))</f>
        <v>Win</v>
      </c>
      <c r="AA674" s="29" t="n">
        <f aca="false">ROUND((C674-B674)*1440,1)</f>
        <v>4.2</v>
      </c>
      <c r="AB674" s="29" t="str">
        <f aca="false">IF(AA674&lt;1,"a) &lt;1 min",IF(AA674&lt;10,"b) 1-10 min",IF(AA674&lt;60,"c) 10-60 min",IF(AA674&lt;240,"d) 1-4 h","e) 4 h+"))))</f>
        <v>b) 1-10 min</v>
      </c>
      <c r="AC674" s="29" t="str">
        <f aca="false">IF(P674&lt;10,"a) &lt;10",IF(P674&lt;20,"b) 10-20",IF(P674&lt;40,"c) 20-40",IF(P674&lt;80,"d) 40-80","e) 80+"))))</f>
        <v>b) 10-20</v>
      </c>
      <c r="AD674" s="31" t="n">
        <f aca="false">Summary!$C$5+SUM(X$2:X674)</f>
        <v>14509.37</v>
      </c>
      <c r="AE674" s="31" t="n">
        <f aca="false">MAX(AE673,AD674)</f>
        <v>15756.64</v>
      </c>
      <c r="AF674" s="31" t="n">
        <f aca="false">AE674-AD674</f>
        <v>1247.27</v>
      </c>
      <c r="AG674" s="30" t="n">
        <f aca="false">IFERROR(AF674/AE674,0)</f>
        <v>0.0791583738665097</v>
      </c>
    </row>
    <row r="675" customFormat="false" ht="15" hidden="false" customHeight="false" outlineLevel="0" collapsed="false">
      <c r="A675" s="29" t="n">
        <v>674</v>
      </c>
      <c r="B675" s="44" t="n">
        <v>45615.84375</v>
      </c>
      <c r="C675" s="44" t="n">
        <v>45615.8468171296</v>
      </c>
      <c r="D675" s="43" t="n">
        <f aca="false">INT(C675)</f>
        <v>45615</v>
      </c>
      <c r="E675" s="43" t="n">
        <f aca="false">D675-WEEKDAY(D675,3)</f>
        <v>45614</v>
      </c>
      <c r="F675" s="29" t="s">
        <v>175</v>
      </c>
      <c r="G675" s="29" t="n">
        <v>2024</v>
      </c>
      <c r="H675" s="29" t="s">
        <v>248</v>
      </c>
      <c r="I675" s="29" t="n">
        <v>20</v>
      </c>
      <c r="J675" s="29" t="s">
        <v>246</v>
      </c>
      <c r="K675" s="29" t="s">
        <v>247</v>
      </c>
      <c r="L675" s="29" t="n">
        <v>0.03</v>
      </c>
      <c r="M675" s="32" t="n">
        <v>20629.94</v>
      </c>
      <c r="N675" s="32" t="n">
        <v>20623.64</v>
      </c>
      <c r="O675" s="32" t="n">
        <v>20645.37</v>
      </c>
      <c r="P675" s="45" t="n">
        <f aca="false">ABS(M675-N675)</f>
        <v>6.29999999999927</v>
      </c>
      <c r="Q675" s="45" t="n">
        <f aca="false">IF(O675="","",ABS(O675-M675))</f>
        <v>15.4300000000003</v>
      </c>
      <c r="R675" s="31" t="n">
        <f aca="false">P675*L675*Summary!$C$6</f>
        <v>18.8999999999978</v>
      </c>
      <c r="S675" s="32" t="n">
        <v>20623.44</v>
      </c>
      <c r="T675" s="29" t="s">
        <v>249</v>
      </c>
      <c r="U675" s="45" t="n">
        <f aca="false">IF(J675="BUY",S675-M675,M675-S675)</f>
        <v>-6.5</v>
      </c>
      <c r="V675" s="46" t="n">
        <v>0</v>
      </c>
      <c r="W675" s="46" t="n">
        <v>0</v>
      </c>
      <c r="X675" s="46" t="n">
        <v>-19.5</v>
      </c>
      <c r="Y675" s="33" t="n">
        <f aca="false">IFERROR(X675/R675,0)</f>
        <v>-1.03174603174615</v>
      </c>
      <c r="Z675" s="29" t="str">
        <f aca="false">IF(X675&gt;0,"Win",IF(X675&lt;0,"Loss","Flat"))</f>
        <v>Loss</v>
      </c>
      <c r="AA675" s="29" t="n">
        <f aca="false">ROUND((C675-B675)*1440,1)</f>
        <v>4.4</v>
      </c>
      <c r="AB675" s="29" t="str">
        <f aca="false">IF(AA675&lt;1,"a) &lt;1 min",IF(AA675&lt;10,"b) 1-10 min",IF(AA675&lt;60,"c) 10-60 min",IF(AA675&lt;240,"d) 1-4 h","e) 4 h+"))))</f>
        <v>b) 1-10 min</v>
      </c>
      <c r="AC675" s="29" t="str">
        <f aca="false">IF(P675&lt;10,"a) &lt;10",IF(P675&lt;20,"b) 10-20",IF(P675&lt;40,"c) 20-40",IF(P675&lt;80,"d) 40-80","e) 80+"))))</f>
        <v>a) &lt;10</v>
      </c>
      <c r="AD675" s="31" t="n">
        <f aca="false">Summary!$C$5+SUM(X$2:X675)</f>
        <v>14489.87</v>
      </c>
      <c r="AE675" s="31" t="n">
        <f aca="false">MAX(AE674,AD675)</f>
        <v>15756.64</v>
      </c>
      <c r="AF675" s="31" t="n">
        <f aca="false">AE675-AD675</f>
        <v>1266.77</v>
      </c>
      <c r="AG675" s="30" t="n">
        <f aca="false">IFERROR(AF675/AE675,0)</f>
        <v>0.0803959473593355</v>
      </c>
    </row>
    <row r="676" customFormat="false" ht="15" hidden="false" customHeight="false" outlineLevel="0" collapsed="false">
      <c r="A676" s="29" t="n">
        <v>675</v>
      </c>
      <c r="B676" s="44" t="n">
        <v>45616.0902777778</v>
      </c>
      <c r="C676" s="44" t="n">
        <v>45616.0910648148</v>
      </c>
      <c r="D676" s="43" t="n">
        <f aca="false">INT(C676)</f>
        <v>45616</v>
      </c>
      <c r="E676" s="43" t="n">
        <f aca="false">D676-WEEKDAY(D676,3)</f>
        <v>45614</v>
      </c>
      <c r="F676" s="29" t="s">
        <v>175</v>
      </c>
      <c r="G676" s="29" t="n">
        <v>2024</v>
      </c>
      <c r="H676" s="29" t="s">
        <v>252</v>
      </c>
      <c r="I676" s="29" t="n">
        <v>2</v>
      </c>
      <c r="J676" s="29" t="s">
        <v>246</v>
      </c>
      <c r="K676" s="29" t="s">
        <v>247</v>
      </c>
      <c r="L676" s="29" t="n">
        <v>0.03</v>
      </c>
      <c r="M676" s="32" t="n">
        <v>20704.31</v>
      </c>
      <c r="N676" s="32" t="n">
        <v>20700.06</v>
      </c>
      <c r="O676" s="32" t="n">
        <v>20714.71</v>
      </c>
      <c r="P676" s="45" t="n">
        <f aca="false">ABS(M676-N676)</f>
        <v>4.25</v>
      </c>
      <c r="Q676" s="45" t="n">
        <f aca="false">IF(O676="","",ABS(O676-M676))</f>
        <v>10.3999999999978</v>
      </c>
      <c r="R676" s="31" t="n">
        <f aca="false">P676*L676*Summary!$C$6</f>
        <v>12.75</v>
      </c>
      <c r="S676" s="32" t="n">
        <v>20715.3</v>
      </c>
      <c r="T676" s="29" t="s">
        <v>227</v>
      </c>
      <c r="U676" s="45" t="n">
        <f aca="false">IF(J676="BUY",S676-M676,M676-S676)</f>
        <v>10.989999999998</v>
      </c>
      <c r="V676" s="46" t="n">
        <v>0</v>
      </c>
      <c r="W676" s="46" t="n">
        <v>0</v>
      </c>
      <c r="X676" s="46" t="n">
        <v>32.97</v>
      </c>
      <c r="Y676" s="33" t="n">
        <f aca="false">IFERROR(X676/R676,0)</f>
        <v>2.58588235294118</v>
      </c>
      <c r="Z676" s="29" t="str">
        <f aca="false">IF(X676&gt;0,"Win",IF(X676&lt;0,"Loss","Flat"))</f>
        <v>Win</v>
      </c>
      <c r="AA676" s="29" t="n">
        <f aca="false">ROUND((C676-B676)*1440,1)</f>
        <v>1.1</v>
      </c>
      <c r="AB676" s="29" t="str">
        <f aca="false">IF(AA676&lt;1,"a) &lt;1 min",IF(AA676&lt;10,"b) 1-10 min",IF(AA676&lt;60,"c) 10-60 min",IF(AA676&lt;240,"d) 1-4 h","e) 4 h+"))))</f>
        <v>b) 1-10 min</v>
      </c>
      <c r="AC676" s="29" t="str">
        <f aca="false">IF(P676&lt;10,"a) &lt;10",IF(P676&lt;20,"b) 10-20",IF(P676&lt;40,"c) 20-40",IF(P676&lt;80,"d) 40-80","e) 80+"))))</f>
        <v>a) &lt;10</v>
      </c>
      <c r="AD676" s="31" t="n">
        <f aca="false">Summary!$C$5+SUM(X$2:X676)</f>
        <v>14522.84</v>
      </c>
      <c r="AE676" s="31" t="n">
        <f aca="false">MAX(AE675,AD676)</f>
        <v>15756.64</v>
      </c>
      <c r="AF676" s="31" t="n">
        <f aca="false">AE676-AD676</f>
        <v>1233.8</v>
      </c>
      <c r="AG676" s="30" t="n">
        <f aca="false">IFERROR(AF676/AE676,0)</f>
        <v>0.0783034961768498</v>
      </c>
    </row>
    <row r="677" customFormat="false" ht="15" hidden="false" customHeight="false" outlineLevel="0" collapsed="false">
      <c r="A677" s="29" t="n">
        <v>676</v>
      </c>
      <c r="B677" s="44" t="n">
        <v>45617.6472222222</v>
      </c>
      <c r="C677" s="44" t="n">
        <v>45617.6565740741</v>
      </c>
      <c r="D677" s="43" t="n">
        <f aca="false">INT(C677)</f>
        <v>45617</v>
      </c>
      <c r="E677" s="43" t="n">
        <f aca="false">D677-WEEKDAY(D677,3)</f>
        <v>45614</v>
      </c>
      <c r="F677" s="29" t="s">
        <v>175</v>
      </c>
      <c r="G677" s="29" t="n">
        <v>2024</v>
      </c>
      <c r="H677" s="29" t="s">
        <v>253</v>
      </c>
      <c r="I677" s="29" t="n">
        <v>15</v>
      </c>
      <c r="J677" s="29" t="s">
        <v>246</v>
      </c>
      <c r="K677" s="29" t="s">
        <v>247</v>
      </c>
      <c r="L677" s="29" t="n">
        <v>0.03</v>
      </c>
      <c r="M677" s="32" t="n">
        <v>20768.89</v>
      </c>
      <c r="N677" s="32" t="n">
        <v>20758.31</v>
      </c>
      <c r="O677" s="32" t="n">
        <v>20794.8</v>
      </c>
      <c r="P677" s="45" t="n">
        <f aca="false">ABS(M677-N677)</f>
        <v>10.5799999999981</v>
      </c>
      <c r="Q677" s="45" t="n">
        <f aca="false">IF(O677="","",ABS(O677-M677))</f>
        <v>25.9099999999999</v>
      </c>
      <c r="R677" s="31" t="n">
        <f aca="false">P677*L677*Summary!$C$6</f>
        <v>31.7399999999943</v>
      </c>
      <c r="S677" s="32" t="n">
        <v>20768.58</v>
      </c>
      <c r="T677" s="29" t="s">
        <v>255</v>
      </c>
      <c r="U677" s="45" t="n">
        <f aca="false">IF(J677="BUY",S677-M677,M677-S677)</f>
        <v>-0.309999999997672</v>
      </c>
      <c r="V677" s="46" t="n">
        <v>0</v>
      </c>
      <c r="W677" s="46" t="n">
        <v>0</v>
      </c>
      <c r="X677" s="46" t="n">
        <v>-0.93</v>
      </c>
      <c r="Y677" s="33" t="n">
        <f aca="false">IFERROR(X677/R677,0)</f>
        <v>-0.0293005671077557</v>
      </c>
      <c r="Z677" s="29" t="str">
        <f aca="false">IF(X677&gt;0,"Win",IF(X677&lt;0,"Loss","Flat"))</f>
        <v>Loss</v>
      </c>
      <c r="AA677" s="29" t="n">
        <f aca="false">ROUND((C677-B677)*1440,1)</f>
        <v>13.5</v>
      </c>
      <c r="AB677" s="29" t="str">
        <f aca="false">IF(AA677&lt;1,"a) &lt;1 min",IF(AA677&lt;10,"b) 1-10 min",IF(AA677&lt;60,"c) 10-60 min",IF(AA677&lt;240,"d) 1-4 h","e) 4 h+"))))</f>
        <v>c) 10-60 min</v>
      </c>
      <c r="AC677" s="29" t="str">
        <f aca="false">IF(P677&lt;10,"a) &lt;10",IF(P677&lt;20,"b) 10-20",IF(P677&lt;40,"c) 20-40",IF(P677&lt;80,"d) 40-80","e) 80+"))))</f>
        <v>b) 10-20</v>
      </c>
      <c r="AD677" s="31" t="n">
        <f aca="false">Summary!$C$5+SUM(X$2:X677)</f>
        <v>14521.91</v>
      </c>
      <c r="AE677" s="31" t="n">
        <f aca="false">MAX(AE676,AD677)</f>
        <v>15756.64</v>
      </c>
      <c r="AF677" s="31" t="n">
        <f aca="false">AE677-AD677</f>
        <v>1234.73</v>
      </c>
      <c r="AG677" s="30" t="n">
        <f aca="false">IFERROR(AF677/AE677,0)</f>
        <v>0.0783625189126616</v>
      </c>
    </row>
    <row r="678" customFormat="false" ht="15" hidden="false" customHeight="false" outlineLevel="0" collapsed="false">
      <c r="A678" s="29" t="n">
        <v>677</v>
      </c>
      <c r="B678" s="44" t="n">
        <v>45621.0423611111</v>
      </c>
      <c r="C678" s="44" t="n">
        <v>45621.4326851852</v>
      </c>
      <c r="D678" s="43" t="n">
        <f aca="false">INT(C678)</f>
        <v>45621</v>
      </c>
      <c r="E678" s="43" t="n">
        <f aca="false">D678-WEEKDAY(D678,3)</f>
        <v>45621</v>
      </c>
      <c r="F678" s="29" t="s">
        <v>175</v>
      </c>
      <c r="G678" s="29" t="n">
        <v>2024</v>
      </c>
      <c r="H678" s="29" t="s">
        <v>245</v>
      </c>
      <c r="I678" s="29" t="n">
        <v>1</v>
      </c>
      <c r="J678" s="29" t="s">
        <v>246</v>
      </c>
      <c r="K678" s="29" t="s">
        <v>247</v>
      </c>
      <c r="L678" s="29" t="n">
        <v>0.03</v>
      </c>
      <c r="M678" s="32" t="n">
        <v>20863.14</v>
      </c>
      <c r="N678" s="32" t="n">
        <v>20843.12</v>
      </c>
      <c r="O678" s="32" t="n">
        <v>20912.47</v>
      </c>
      <c r="P678" s="45" t="n">
        <f aca="false">ABS(M678-N678)</f>
        <v>20.0200000000004</v>
      </c>
      <c r="Q678" s="45" t="n">
        <f aca="false">IF(O678="","",ABS(O678-M678))</f>
        <v>49.3300000000017</v>
      </c>
      <c r="R678" s="31" t="n">
        <f aca="false">P678*L678*Summary!$C$6</f>
        <v>60.0600000000013</v>
      </c>
      <c r="S678" s="32" t="n">
        <v>20863.12</v>
      </c>
      <c r="T678" s="29" t="s">
        <v>255</v>
      </c>
      <c r="U678" s="45" t="n">
        <f aca="false">IF(J678="BUY",S678-M678,M678-S678)</f>
        <v>-0.0200000000004366</v>
      </c>
      <c r="V678" s="46" t="n">
        <v>0</v>
      </c>
      <c r="W678" s="46" t="n">
        <v>0</v>
      </c>
      <c r="X678" s="46" t="n">
        <v>-0.06</v>
      </c>
      <c r="Y678" s="33" t="n">
        <f aca="false">IFERROR(X678/R678,0)</f>
        <v>-0.000999000999000977</v>
      </c>
      <c r="Z678" s="29" t="str">
        <f aca="false">IF(X678&gt;0,"Win",IF(X678&lt;0,"Loss","Flat"))</f>
        <v>Loss</v>
      </c>
      <c r="AA678" s="29" t="n">
        <f aca="false">ROUND((C678-B678)*1440,1)</f>
        <v>562.1</v>
      </c>
      <c r="AB678" s="29" t="str">
        <f aca="false">IF(AA678&lt;1,"a) &lt;1 min",IF(AA678&lt;10,"b) 1-10 min",IF(AA678&lt;60,"c) 10-60 min",IF(AA678&lt;240,"d) 1-4 h","e) 4 h+"))))</f>
        <v>e) 4 h+</v>
      </c>
      <c r="AC678" s="29" t="str">
        <f aca="false">IF(P678&lt;10,"a) &lt;10",IF(P678&lt;20,"b) 10-20",IF(P678&lt;40,"c) 20-40",IF(P678&lt;80,"d) 40-80","e) 80+"))))</f>
        <v>c) 20-40</v>
      </c>
      <c r="AD678" s="31" t="n">
        <f aca="false">Summary!$C$5+SUM(X$2:X678)</f>
        <v>14521.85</v>
      </c>
      <c r="AE678" s="31" t="n">
        <f aca="false">MAX(AE677,AD678)</f>
        <v>15756.64</v>
      </c>
      <c r="AF678" s="31" t="n">
        <f aca="false">AE678-AD678</f>
        <v>1234.79</v>
      </c>
      <c r="AG678" s="30" t="n">
        <f aca="false">IFERROR(AF678/AE678,0)</f>
        <v>0.078366326831101</v>
      </c>
    </row>
    <row r="679" customFormat="false" ht="15" hidden="false" customHeight="false" outlineLevel="0" collapsed="false">
      <c r="A679" s="29" t="n">
        <v>678</v>
      </c>
      <c r="B679" s="44" t="n">
        <v>45622.1270833333</v>
      </c>
      <c r="C679" s="44" t="n">
        <v>45622.1286921296</v>
      </c>
      <c r="D679" s="43" t="n">
        <f aca="false">INT(C679)</f>
        <v>45622</v>
      </c>
      <c r="E679" s="43" t="n">
        <f aca="false">D679-WEEKDAY(D679,3)</f>
        <v>45621</v>
      </c>
      <c r="F679" s="29" t="s">
        <v>175</v>
      </c>
      <c r="G679" s="29" t="n">
        <v>2024</v>
      </c>
      <c r="H679" s="29" t="s">
        <v>248</v>
      </c>
      <c r="I679" s="29" t="n">
        <v>3</v>
      </c>
      <c r="J679" s="29" t="s">
        <v>250</v>
      </c>
      <c r="K679" s="29" t="s">
        <v>251</v>
      </c>
      <c r="L679" s="29" t="n">
        <v>0.03</v>
      </c>
      <c r="M679" s="32" t="n">
        <v>20691.2</v>
      </c>
      <c r="N679" s="32" t="n">
        <v>20705.47</v>
      </c>
      <c r="O679" s="32" t="n">
        <v>20656.23</v>
      </c>
      <c r="P679" s="45" t="n">
        <f aca="false">ABS(M679-N679)</f>
        <v>14.2700000000004</v>
      </c>
      <c r="Q679" s="45" t="n">
        <f aca="false">IF(O679="","",ABS(O679-M679))</f>
        <v>34.9700000000012</v>
      </c>
      <c r="R679" s="31" t="n">
        <f aca="false">P679*L679*Summary!$C$6</f>
        <v>42.8100000000013</v>
      </c>
      <c r="S679" s="32" t="n">
        <v>20705.99</v>
      </c>
      <c r="T679" s="29" t="s">
        <v>249</v>
      </c>
      <c r="U679" s="45" t="n">
        <f aca="false">IF(J679="BUY",S679-M679,M679-S679)</f>
        <v>-14.7900000000009</v>
      </c>
      <c r="V679" s="46" t="n">
        <v>0</v>
      </c>
      <c r="W679" s="46" t="n">
        <v>0</v>
      </c>
      <c r="X679" s="46" t="n">
        <v>-44.37</v>
      </c>
      <c r="Y679" s="33" t="n">
        <f aca="false">IFERROR(X679/R679,0)</f>
        <v>-1.03644008409247</v>
      </c>
      <c r="Z679" s="29" t="str">
        <f aca="false">IF(X679&gt;0,"Win",IF(X679&lt;0,"Loss","Flat"))</f>
        <v>Loss</v>
      </c>
      <c r="AA679" s="29" t="n">
        <f aca="false">ROUND((C679-B679)*1440,1)</f>
        <v>2.3</v>
      </c>
      <c r="AB679" s="29" t="str">
        <f aca="false">IF(AA679&lt;1,"a) &lt;1 min",IF(AA679&lt;10,"b) 1-10 min",IF(AA679&lt;60,"c) 10-60 min",IF(AA679&lt;240,"d) 1-4 h","e) 4 h+"))))</f>
        <v>b) 1-10 min</v>
      </c>
      <c r="AC679" s="29" t="str">
        <f aca="false">IF(P679&lt;10,"a) &lt;10",IF(P679&lt;20,"b) 10-20",IF(P679&lt;40,"c) 20-40",IF(P679&lt;80,"d) 40-80","e) 80+"))))</f>
        <v>b) 10-20</v>
      </c>
      <c r="AD679" s="31" t="n">
        <f aca="false">Summary!$C$5+SUM(X$2:X679)</f>
        <v>14477.48</v>
      </c>
      <c r="AE679" s="31" t="n">
        <f aca="false">MAX(AE678,AD679)</f>
        <v>15756.64</v>
      </c>
      <c r="AF679" s="31" t="n">
        <f aca="false">AE679-AD679</f>
        <v>1279.16</v>
      </c>
      <c r="AG679" s="30" t="n">
        <f aca="false">IFERROR(AF679/AE679,0)</f>
        <v>0.0811822825170849</v>
      </c>
    </row>
    <row r="680" customFormat="false" ht="15" hidden="false" customHeight="false" outlineLevel="0" collapsed="false">
      <c r="A680" s="29" t="n">
        <v>679</v>
      </c>
      <c r="B680" s="44" t="n">
        <v>45623.7347222222</v>
      </c>
      <c r="C680" s="44" t="n">
        <v>45623.7370138889</v>
      </c>
      <c r="D680" s="43" t="n">
        <f aca="false">INT(C680)</f>
        <v>45623</v>
      </c>
      <c r="E680" s="43" t="n">
        <f aca="false">D680-WEEKDAY(D680,3)</f>
        <v>45621</v>
      </c>
      <c r="F680" s="29" t="s">
        <v>175</v>
      </c>
      <c r="G680" s="29" t="n">
        <v>2024</v>
      </c>
      <c r="H680" s="29" t="s">
        <v>252</v>
      </c>
      <c r="I680" s="29" t="n">
        <v>17</v>
      </c>
      <c r="J680" s="29" t="s">
        <v>250</v>
      </c>
      <c r="K680" s="29" t="s">
        <v>251</v>
      </c>
      <c r="L680" s="29" t="n">
        <v>0.03</v>
      </c>
      <c r="M680" s="32" t="n">
        <v>20665.85</v>
      </c>
      <c r="N680" s="32" t="n">
        <v>20682.64</v>
      </c>
      <c r="O680" s="32" t="n">
        <v>20624.71</v>
      </c>
      <c r="P680" s="45" t="n">
        <f aca="false">ABS(M680-N680)</f>
        <v>16.7900000000009</v>
      </c>
      <c r="Q680" s="45" t="n">
        <f aca="false">IF(O680="","",ABS(O680-M680))</f>
        <v>41.1399999999994</v>
      </c>
      <c r="R680" s="31" t="n">
        <f aca="false">P680*L680*Summary!$C$6</f>
        <v>50.3700000000026</v>
      </c>
      <c r="S680" s="32" t="n">
        <v>20682.9</v>
      </c>
      <c r="T680" s="29" t="s">
        <v>249</v>
      </c>
      <c r="U680" s="45" t="n">
        <f aca="false">IF(J680="BUY",S680-M680,M680-S680)</f>
        <v>-17.0500000000029</v>
      </c>
      <c r="V680" s="46" t="n">
        <v>0</v>
      </c>
      <c r="W680" s="46" t="n">
        <v>0</v>
      </c>
      <c r="X680" s="46" t="n">
        <v>-51.15</v>
      </c>
      <c r="Y680" s="33" t="n">
        <f aca="false">IFERROR(X680/R680,0)</f>
        <v>-1.01548540798089</v>
      </c>
      <c r="Z680" s="29" t="str">
        <f aca="false">IF(X680&gt;0,"Win",IF(X680&lt;0,"Loss","Flat"))</f>
        <v>Loss</v>
      </c>
      <c r="AA680" s="29" t="n">
        <f aca="false">ROUND((C680-B680)*1440,1)</f>
        <v>3.3</v>
      </c>
      <c r="AB680" s="29" t="str">
        <f aca="false">IF(AA680&lt;1,"a) &lt;1 min",IF(AA680&lt;10,"b) 1-10 min",IF(AA680&lt;60,"c) 10-60 min",IF(AA680&lt;240,"d) 1-4 h","e) 4 h+"))))</f>
        <v>b) 1-10 min</v>
      </c>
      <c r="AC680" s="29" t="str">
        <f aca="false">IF(P680&lt;10,"a) &lt;10",IF(P680&lt;20,"b) 10-20",IF(P680&lt;40,"c) 20-40",IF(P680&lt;80,"d) 40-80","e) 80+"))))</f>
        <v>b) 10-20</v>
      </c>
      <c r="AD680" s="31" t="n">
        <f aca="false">Summary!$C$5+SUM(X$2:X680)</f>
        <v>14426.33</v>
      </c>
      <c r="AE680" s="31" t="n">
        <f aca="false">MAX(AE679,AD680)</f>
        <v>15756.64</v>
      </c>
      <c r="AF680" s="31" t="n">
        <f aca="false">AE680-AD680</f>
        <v>1330.31</v>
      </c>
      <c r="AG680" s="30" t="n">
        <f aca="false">IFERROR(AF680/AE680,0)</f>
        <v>0.0844285329867281</v>
      </c>
    </row>
    <row r="681" customFormat="false" ht="15" hidden="false" customHeight="false" outlineLevel="0" collapsed="false">
      <c r="A681" s="29" t="n">
        <v>680</v>
      </c>
      <c r="B681" s="44" t="n">
        <v>45625.2097222222</v>
      </c>
      <c r="C681" s="44" t="n">
        <v>45625.2157060185</v>
      </c>
      <c r="D681" s="43" t="n">
        <f aca="false">INT(C681)</f>
        <v>45625</v>
      </c>
      <c r="E681" s="43" t="n">
        <f aca="false">D681-WEEKDAY(D681,3)</f>
        <v>45621</v>
      </c>
      <c r="F681" s="29" t="s">
        <v>175</v>
      </c>
      <c r="G681" s="29" t="n">
        <v>2024</v>
      </c>
      <c r="H681" s="29" t="s">
        <v>254</v>
      </c>
      <c r="I681" s="29" t="n">
        <v>5</v>
      </c>
      <c r="J681" s="29" t="s">
        <v>246</v>
      </c>
      <c r="K681" s="29" t="s">
        <v>247</v>
      </c>
      <c r="L681" s="29" t="n">
        <v>0.03</v>
      </c>
      <c r="M681" s="32" t="n">
        <v>20846.14</v>
      </c>
      <c r="N681" s="32" t="n">
        <v>20842.5</v>
      </c>
      <c r="O681" s="32" t="n">
        <v>20855.06</v>
      </c>
      <c r="P681" s="45" t="n">
        <f aca="false">ABS(M681-N681)</f>
        <v>3.63999999999942</v>
      </c>
      <c r="Q681" s="45" t="n">
        <f aca="false">IF(O681="","",ABS(O681-M681))</f>
        <v>8.92000000000189</v>
      </c>
      <c r="R681" s="31" t="n">
        <f aca="false">P681*L681*Summary!$C$6</f>
        <v>10.9199999999983</v>
      </c>
      <c r="S681" s="32" t="n">
        <v>20855.53</v>
      </c>
      <c r="T681" s="29" t="s">
        <v>227</v>
      </c>
      <c r="U681" s="45" t="n">
        <f aca="false">IF(J681="BUY",S681-M681,M681-S681)</f>
        <v>9.38999999999942</v>
      </c>
      <c r="V681" s="46" t="n">
        <v>0</v>
      </c>
      <c r="W681" s="46" t="n">
        <v>0</v>
      </c>
      <c r="X681" s="46" t="n">
        <v>28.17</v>
      </c>
      <c r="Y681" s="33" t="n">
        <f aca="false">IFERROR(X681/R681,0)</f>
        <v>2.57967032967074</v>
      </c>
      <c r="Z681" s="29" t="str">
        <f aca="false">IF(X681&gt;0,"Win",IF(X681&lt;0,"Loss","Flat"))</f>
        <v>Win</v>
      </c>
      <c r="AA681" s="29" t="n">
        <f aca="false">ROUND((C681-B681)*1440,1)</f>
        <v>8.6</v>
      </c>
      <c r="AB681" s="29" t="str">
        <f aca="false">IF(AA681&lt;1,"a) &lt;1 min",IF(AA681&lt;10,"b) 1-10 min",IF(AA681&lt;60,"c) 10-60 min",IF(AA681&lt;240,"d) 1-4 h","e) 4 h+"))))</f>
        <v>b) 1-10 min</v>
      </c>
      <c r="AC681" s="29" t="str">
        <f aca="false">IF(P681&lt;10,"a) &lt;10",IF(P681&lt;20,"b) 10-20",IF(P681&lt;40,"c) 20-40",IF(P681&lt;80,"d) 40-80","e) 80+"))))</f>
        <v>a) &lt;10</v>
      </c>
      <c r="AD681" s="31" t="n">
        <f aca="false">Summary!$C$5+SUM(X$2:X681)</f>
        <v>14454.5</v>
      </c>
      <c r="AE681" s="31" t="n">
        <f aca="false">MAX(AE680,AD681)</f>
        <v>15756.64</v>
      </c>
      <c r="AF681" s="31" t="n">
        <f aca="false">AE681-AD681</f>
        <v>1302.14</v>
      </c>
      <c r="AG681" s="30" t="n">
        <f aca="false">IFERROR(AF681/AE681,0)</f>
        <v>0.0826407152793996</v>
      </c>
    </row>
    <row r="682" customFormat="false" ht="15" hidden="false" customHeight="false" outlineLevel="0" collapsed="false">
      <c r="A682" s="29" t="n">
        <v>681</v>
      </c>
      <c r="B682" s="44" t="n">
        <v>45628.6319444445</v>
      </c>
      <c r="C682" s="44" t="n">
        <v>45628.6368171296</v>
      </c>
      <c r="D682" s="43" t="n">
        <f aca="false">INT(C682)</f>
        <v>45628</v>
      </c>
      <c r="E682" s="43" t="n">
        <f aca="false">D682-WEEKDAY(D682,3)</f>
        <v>45628</v>
      </c>
      <c r="F682" s="29" t="s">
        <v>176</v>
      </c>
      <c r="G682" s="29" t="n">
        <v>2024</v>
      </c>
      <c r="H682" s="29" t="s">
        <v>245</v>
      </c>
      <c r="I682" s="29" t="n">
        <v>15</v>
      </c>
      <c r="J682" s="29" t="s">
        <v>246</v>
      </c>
      <c r="K682" s="29" t="s">
        <v>247</v>
      </c>
      <c r="L682" s="29" t="n">
        <v>0.03</v>
      </c>
      <c r="M682" s="32" t="n">
        <v>20957.6</v>
      </c>
      <c r="N682" s="32" t="n">
        <v>20951.73</v>
      </c>
      <c r="O682" s="32" t="n">
        <v>20971.98</v>
      </c>
      <c r="P682" s="45" t="n">
        <f aca="false">ABS(M682-N682)</f>
        <v>5.86999999999898</v>
      </c>
      <c r="Q682" s="45" t="n">
        <f aca="false">IF(O682="","",ABS(O682-M682))</f>
        <v>14.380000000001</v>
      </c>
      <c r="R682" s="31" t="n">
        <f aca="false">P682*L682*Summary!$C$6</f>
        <v>17.6099999999969</v>
      </c>
      <c r="S682" s="32" t="n">
        <v>20972.57</v>
      </c>
      <c r="T682" s="29" t="s">
        <v>227</v>
      </c>
      <c r="U682" s="45" t="n">
        <f aca="false">IF(J682="BUY",S682-M682,M682-S682)</f>
        <v>14.9700000000012</v>
      </c>
      <c r="V682" s="46" t="n">
        <v>0</v>
      </c>
      <c r="W682" s="46" t="n">
        <v>0</v>
      </c>
      <c r="X682" s="46" t="n">
        <v>44.91</v>
      </c>
      <c r="Y682" s="33" t="n">
        <f aca="false">IFERROR(X682/R682,0)</f>
        <v>2.55025553662736</v>
      </c>
      <c r="Z682" s="29" t="str">
        <f aca="false">IF(X682&gt;0,"Win",IF(X682&lt;0,"Loss","Flat"))</f>
        <v>Win</v>
      </c>
      <c r="AA682" s="29" t="n">
        <f aca="false">ROUND((C682-B682)*1440,1)</f>
        <v>7</v>
      </c>
      <c r="AB682" s="29" t="str">
        <f aca="false">IF(AA682&lt;1,"a) &lt;1 min",IF(AA682&lt;10,"b) 1-10 min",IF(AA682&lt;60,"c) 10-60 min",IF(AA682&lt;240,"d) 1-4 h","e) 4 h+"))))</f>
        <v>b) 1-10 min</v>
      </c>
      <c r="AC682" s="29" t="str">
        <f aca="false">IF(P682&lt;10,"a) &lt;10",IF(P682&lt;20,"b) 10-20",IF(P682&lt;40,"c) 20-40",IF(P682&lt;80,"d) 40-80","e) 80+"))))</f>
        <v>a) &lt;10</v>
      </c>
      <c r="AD682" s="31" t="n">
        <f aca="false">Summary!$C$5+SUM(X$2:X682)</f>
        <v>14499.41</v>
      </c>
      <c r="AE682" s="31" t="n">
        <f aca="false">MAX(AE681,AD682)</f>
        <v>15756.64</v>
      </c>
      <c r="AF682" s="31" t="n">
        <f aca="false">AE682-AD682</f>
        <v>1257.23</v>
      </c>
      <c r="AG682" s="30" t="n">
        <f aca="false">IFERROR(AF682/AE682,0)</f>
        <v>0.0797904883274607</v>
      </c>
    </row>
    <row r="683" customFormat="false" ht="15" hidden="false" customHeight="false" outlineLevel="0" collapsed="false">
      <c r="A683" s="29" t="n">
        <v>682</v>
      </c>
      <c r="B683" s="44" t="n">
        <v>45629.7715277778</v>
      </c>
      <c r="C683" s="44" t="n">
        <v>45629.7718634259</v>
      </c>
      <c r="D683" s="43" t="n">
        <f aca="false">INT(C683)</f>
        <v>45629</v>
      </c>
      <c r="E683" s="43" t="n">
        <f aca="false">D683-WEEKDAY(D683,3)</f>
        <v>45628</v>
      </c>
      <c r="F683" s="29" t="s">
        <v>176</v>
      </c>
      <c r="G683" s="29" t="n">
        <v>2024</v>
      </c>
      <c r="H683" s="29" t="s">
        <v>248</v>
      </c>
      <c r="I683" s="29" t="n">
        <v>18</v>
      </c>
      <c r="J683" s="29" t="s">
        <v>246</v>
      </c>
      <c r="K683" s="29" t="s">
        <v>247</v>
      </c>
      <c r="L683" s="29" t="n">
        <v>0.03</v>
      </c>
      <c r="M683" s="32" t="n">
        <v>21204.84</v>
      </c>
      <c r="N683" s="32" t="n">
        <v>21196.22</v>
      </c>
      <c r="O683" s="32" t="n">
        <v>21232.03</v>
      </c>
      <c r="P683" s="45" t="n">
        <f aca="false">ABS(M683-N683)</f>
        <v>8.61999999999898</v>
      </c>
      <c r="Q683" s="45" t="n">
        <f aca="false">IF(O683="","",ABS(O683-M683))</f>
        <v>27.1899999999987</v>
      </c>
      <c r="R683" s="31" t="n">
        <f aca="false">P683*L683*Summary!$C$6</f>
        <v>25.8599999999969</v>
      </c>
      <c r="S683" s="32" t="n">
        <v>21195.88</v>
      </c>
      <c r="T683" s="29" t="s">
        <v>249</v>
      </c>
      <c r="U683" s="45" t="n">
        <f aca="false">IF(J683="BUY",S683-M683,M683-S683)</f>
        <v>-8.95999999999913</v>
      </c>
      <c r="V683" s="46" t="n">
        <v>0</v>
      </c>
      <c r="W683" s="46" t="n">
        <v>0</v>
      </c>
      <c r="X683" s="46" t="n">
        <v>-26.88</v>
      </c>
      <c r="Y683" s="33" t="n">
        <f aca="false">IFERROR(X683/R683,0)</f>
        <v>-1.03944315545256</v>
      </c>
      <c r="Z683" s="29" t="str">
        <f aca="false">IF(X683&gt;0,"Win",IF(X683&lt;0,"Loss","Flat"))</f>
        <v>Loss</v>
      </c>
      <c r="AA683" s="29" t="n">
        <f aca="false">ROUND((C683-B683)*1440,1)</f>
        <v>0.5</v>
      </c>
      <c r="AB683" s="29" t="str">
        <f aca="false">IF(AA683&lt;1,"a) &lt;1 min",IF(AA683&lt;10,"b) 1-10 min",IF(AA683&lt;60,"c) 10-60 min",IF(AA683&lt;240,"d) 1-4 h","e) 4 h+"))))</f>
        <v>a) &lt;1 min</v>
      </c>
      <c r="AC683" s="29" t="str">
        <f aca="false">IF(P683&lt;10,"a) &lt;10",IF(P683&lt;20,"b) 10-20",IF(P683&lt;40,"c) 20-40",IF(P683&lt;80,"d) 40-80","e) 80+"))))</f>
        <v>a) &lt;10</v>
      </c>
      <c r="AD683" s="31" t="n">
        <f aca="false">Summary!$C$5+SUM(X$2:X683)</f>
        <v>14472.53</v>
      </c>
      <c r="AE683" s="31" t="n">
        <f aca="false">MAX(AE682,AD683)</f>
        <v>15756.64</v>
      </c>
      <c r="AF683" s="31" t="n">
        <f aca="false">AE683-AD683</f>
        <v>1284.11</v>
      </c>
      <c r="AG683" s="30" t="n">
        <f aca="false">IFERROR(AF683/AE683,0)</f>
        <v>0.0814964357883407</v>
      </c>
    </row>
    <row r="684" customFormat="false" ht="15" hidden="false" customHeight="false" outlineLevel="0" collapsed="false">
      <c r="A684" s="29" t="n">
        <v>683</v>
      </c>
      <c r="B684" s="44" t="n">
        <v>45630.0423611111</v>
      </c>
      <c r="C684" s="44" t="n">
        <v>45630.0710416667</v>
      </c>
      <c r="D684" s="43" t="n">
        <f aca="false">INT(C684)</f>
        <v>45630</v>
      </c>
      <c r="E684" s="43" t="n">
        <f aca="false">D684-WEEKDAY(D684,3)</f>
        <v>45628</v>
      </c>
      <c r="F684" s="29" t="s">
        <v>176</v>
      </c>
      <c r="G684" s="29" t="n">
        <v>2024</v>
      </c>
      <c r="H684" s="29" t="s">
        <v>252</v>
      </c>
      <c r="I684" s="29" t="n">
        <v>1</v>
      </c>
      <c r="J684" s="29" t="s">
        <v>246</v>
      </c>
      <c r="K684" s="29" t="s">
        <v>247</v>
      </c>
      <c r="L684" s="29" t="n">
        <v>0.03</v>
      </c>
      <c r="M684" s="32" t="n">
        <v>21256.69</v>
      </c>
      <c r="N684" s="32" t="n">
        <v>21249.62</v>
      </c>
      <c r="O684" s="32" t="n">
        <v>21274.01</v>
      </c>
      <c r="P684" s="45" t="n">
        <f aca="false">ABS(M684-N684)</f>
        <v>7.06999999999971</v>
      </c>
      <c r="Q684" s="45" t="n">
        <f aca="false">IF(O684="","",ABS(O684-M684))</f>
        <v>17.3199999999997</v>
      </c>
      <c r="R684" s="31" t="n">
        <f aca="false">P684*L684*Summary!$C$6</f>
        <v>21.2099999999991</v>
      </c>
      <c r="S684" s="32" t="n">
        <v>21274.13</v>
      </c>
      <c r="T684" s="29" t="s">
        <v>227</v>
      </c>
      <c r="U684" s="45" t="n">
        <f aca="false">IF(J684="BUY",S684-M684,M684-S684)</f>
        <v>17.4400000000023</v>
      </c>
      <c r="V684" s="46" t="n">
        <v>0</v>
      </c>
      <c r="W684" s="46" t="n">
        <v>0</v>
      </c>
      <c r="X684" s="46" t="n">
        <v>52.32</v>
      </c>
      <c r="Y684" s="33" t="n">
        <f aca="false">IFERROR(X684/R684,0)</f>
        <v>2.46676096181057</v>
      </c>
      <c r="Z684" s="29" t="str">
        <f aca="false">IF(X684&gt;0,"Win",IF(X684&lt;0,"Loss","Flat"))</f>
        <v>Win</v>
      </c>
      <c r="AA684" s="29" t="n">
        <f aca="false">ROUND((C684-B684)*1440,1)</f>
        <v>41.3</v>
      </c>
      <c r="AB684" s="29" t="str">
        <f aca="false">IF(AA684&lt;1,"a) &lt;1 min",IF(AA684&lt;10,"b) 1-10 min",IF(AA684&lt;60,"c) 10-60 min",IF(AA684&lt;240,"d) 1-4 h","e) 4 h+"))))</f>
        <v>c) 10-60 min</v>
      </c>
      <c r="AC684" s="29" t="str">
        <f aca="false">IF(P684&lt;10,"a) &lt;10",IF(P684&lt;20,"b) 10-20",IF(P684&lt;40,"c) 20-40",IF(P684&lt;80,"d) 40-80","e) 80+"))))</f>
        <v>a) &lt;10</v>
      </c>
      <c r="AD684" s="31" t="n">
        <f aca="false">Summary!$C$5+SUM(X$2:X684)</f>
        <v>14524.85</v>
      </c>
      <c r="AE684" s="31" t="n">
        <f aca="false">MAX(AE683,AD684)</f>
        <v>15756.64</v>
      </c>
      <c r="AF684" s="31" t="n">
        <f aca="false">AE684-AD684</f>
        <v>1231.79</v>
      </c>
      <c r="AG684" s="30" t="n">
        <f aca="false">IFERROR(AF684/AE684,0)</f>
        <v>0.0781759309091278</v>
      </c>
    </row>
    <row r="685" customFormat="false" ht="15" hidden="false" customHeight="false" outlineLevel="0" collapsed="false">
      <c r="A685" s="29" t="n">
        <v>684</v>
      </c>
      <c r="B685" s="44" t="n">
        <v>45631.8006944444</v>
      </c>
      <c r="C685" s="44" t="n">
        <v>45631.8035763889</v>
      </c>
      <c r="D685" s="43" t="n">
        <f aca="false">INT(C685)</f>
        <v>45631</v>
      </c>
      <c r="E685" s="43" t="n">
        <f aca="false">D685-WEEKDAY(D685,3)</f>
        <v>45628</v>
      </c>
      <c r="F685" s="29" t="s">
        <v>176</v>
      </c>
      <c r="G685" s="29" t="n">
        <v>2024</v>
      </c>
      <c r="H685" s="29" t="s">
        <v>253</v>
      </c>
      <c r="I685" s="29" t="n">
        <v>19</v>
      </c>
      <c r="J685" s="29" t="s">
        <v>246</v>
      </c>
      <c r="K685" s="29" t="s">
        <v>247</v>
      </c>
      <c r="L685" s="29" t="n">
        <v>0.03</v>
      </c>
      <c r="M685" s="32" t="n">
        <v>21502.53</v>
      </c>
      <c r="N685" s="32" t="n">
        <v>21495.45</v>
      </c>
      <c r="O685" s="32" t="n">
        <v>21519.88</v>
      </c>
      <c r="P685" s="45" t="n">
        <f aca="false">ABS(M685-N685)</f>
        <v>7.07999999999811</v>
      </c>
      <c r="Q685" s="45" t="n">
        <f aca="false">IF(O685="","",ABS(O685-M685))</f>
        <v>17.3500000000022</v>
      </c>
      <c r="R685" s="31" t="n">
        <f aca="false">P685*L685*Summary!$C$6</f>
        <v>21.2399999999943</v>
      </c>
      <c r="S685" s="32" t="n">
        <v>21502.4</v>
      </c>
      <c r="T685" s="29" t="s">
        <v>255</v>
      </c>
      <c r="U685" s="45" t="n">
        <f aca="false">IF(J685="BUY",S685-M685,M685-S685)</f>
        <v>-0.129999999997381</v>
      </c>
      <c r="V685" s="46" t="n">
        <v>0</v>
      </c>
      <c r="W685" s="46" t="n">
        <v>0</v>
      </c>
      <c r="X685" s="46" t="n">
        <v>-0.39</v>
      </c>
      <c r="Y685" s="33" t="n">
        <f aca="false">IFERROR(X685/R685,0)</f>
        <v>-0.0183615819209089</v>
      </c>
      <c r="Z685" s="29" t="str">
        <f aca="false">IF(X685&gt;0,"Win",IF(X685&lt;0,"Loss","Flat"))</f>
        <v>Loss</v>
      </c>
      <c r="AA685" s="29" t="n">
        <f aca="false">ROUND((C685-B685)*1440,1)</f>
        <v>4.2</v>
      </c>
      <c r="AB685" s="29" t="str">
        <f aca="false">IF(AA685&lt;1,"a) &lt;1 min",IF(AA685&lt;10,"b) 1-10 min",IF(AA685&lt;60,"c) 10-60 min",IF(AA685&lt;240,"d) 1-4 h","e) 4 h+"))))</f>
        <v>b) 1-10 min</v>
      </c>
      <c r="AC685" s="29" t="str">
        <f aca="false">IF(P685&lt;10,"a) &lt;10",IF(P685&lt;20,"b) 10-20",IF(P685&lt;40,"c) 20-40",IF(P685&lt;80,"d) 40-80","e) 80+"))))</f>
        <v>a) &lt;10</v>
      </c>
      <c r="AD685" s="31" t="n">
        <f aca="false">Summary!$C$5+SUM(X$2:X685)</f>
        <v>14524.46</v>
      </c>
      <c r="AE685" s="31" t="n">
        <f aca="false">MAX(AE684,AD685)</f>
        <v>15756.64</v>
      </c>
      <c r="AF685" s="31" t="n">
        <f aca="false">AE685-AD685</f>
        <v>1232.18</v>
      </c>
      <c r="AG685" s="30" t="n">
        <f aca="false">IFERROR(AF685/AE685,0)</f>
        <v>0.0782006823789844</v>
      </c>
    </row>
    <row r="686" customFormat="false" ht="15" hidden="false" customHeight="false" outlineLevel="0" collapsed="false">
      <c r="A686" s="29" t="n">
        <v>685</v>
      </c>
      <c r="B686" s="44" t="n">
        <v>45632.0444444444</v>
      </c>
      <c r="C686" s="44" t="n">
        <v>45632.0478240741</v>
      </c>
      <c r="D686" s="43" t="n">
        <f aca="false">INT(C686)</f>
        <v>45632</v>
      </c>
      <c r="E686" s="43" t="n">
        <f aca="false">D686-WEEKDAY(D686,3)</f>
        <v>45628</v>
      </c>
      <c r="F686" s="29" t="s">
        <v>176</v>
      </c>
      <c r="G686" s="29" t="n">
        <v>2024</v>
      </c>
      <c r="H686" s="29" t="s">
        <v>254</v>
      </c>
      <c r="I686" s="29" t="n">
        <v>1</v>
      </c>
      <c r="J686" s="29" t="s">
        <v>250</v>
      </c>
      <c r="K686" s="29" t="s">
        <v>251</v>
      </c>
      <c r="L686" s="29" t="n">
        <v>0.03</v>
      </c>
      <c r="M686" s="32" t="n">
        <v>21398.14</v>
      </c>
      <c r="N686" s="32" t="n">
        <v>21402.67</v>
      </c>
      <c r="O686" s="32" t="n">
        <v>21387.03</v>
      </c>
      <c r="P686" s="45" t="n">
        <f aca="false">ABS(M686-N686)</f>
        <v>4.52999999999884</v>
      </c>
      <c r="Q686" s="45" t="n">
        <f aca="false">IF(O686="","",ABS(O686-M686))</f>
        <v>11.1100000000006</v>
      </c>
      <c r="R686" s="31" t="n">
        <f aca="false">P686*L686*Summary!$C$6</f>
        <v>13.5899999999965</v>
      </c>
      <c r="S686" s="32" t="n">
        <v>21387.03</v>
      </c>
      <c r="T686" s="29" t="s">
        <v>227</v>
      </c>
      <c r="U686" s="45" t="n">
        <f aca="false">IF(J686="BUY",S686-M686,M686-S686)</f>
        <v>11.1100000000006</v>
      </c>
      <c r="V686" s="46" t="n">
        <v>0</v>
      </c>
      <c r="W686" s="46" t="n">
        <v>0</v>
      </c>
      <c r="X686" s="46" t="n">
        <v>33.33</v>
      </c>
      <c r="Y686" s="33" t="n">
        <f aca="false">IFERROR(X686/R686,0)</f>
        <v>2.45253863134721</v>
      </c>
      <c r="Z686" s="29" t="str">
        <f aca="false">IF(X686&gt;0,"Win",IF(X686&lt;0,"Loss","Flat"))</f>
        <v>Win</v>
      </c>
      <c r="AA686" s="29" t="n">
        <f aca="false">ROUND((C686-B686)*1440,1)</f>
        <v>4.9</v>
      </c>
      <c r="AB686" s="29" t="str">
        <f aca="false">IF(AA686&lt;1,"a) &lt;1 min",IF(AA686&lt;10,"b) 1-10 min",IF(AA686&lt;60,"c) 10-60 min",IF(AA686&lt;240,"d) 1-4 h","e) 4 h+"))))</f>
        <v>b) 1-10 min</v>
      </c>
      <c r="AC686" s="29" t="str">
        <f aca="false">IF(P686&lt;10,"a) &lt;10",IF(P686&lt;20,"b) 10-20",IF(P686&lt;40,"c) 20-40",IF(P686&lt;80,"d) 40-80","e) 80+"))))</f>
        <v>a) &lt;10</v>
      </c>
      <c r="AD686" s="31" t="n">
        <f aca="false">Summary!$C$5+SUM(X$2:X686)</f>
        <v>14557.79</v>
      </c>
      <c r="AE686" s="31" t="n">
        <f aca="false">MAX(AE685,AD686)</f>
        <v>15756.64</v>
      </c>
      <c r="AF686" s="31" t="n">
        <f aca="false">AE686-AD686</f>
        <v>1198.85</v>
      </c>
      <c r="AG686" s="30" t="n">
        <f aca="false">IFERROR(AF686/AE686,0)</f>
        <v>0.0760853836858619</v>
      </c>
    </row>
    <row r="687" customFormat="false" ht="15" hidden="false" customHeight="false" outlineLevel="0" collapsed="false">
      <c r="A687" s="29" t="n">
        <v>686</v>
      </c>
      <c r="B687" s="44" t="n">
        <v>45632.6986111111</v>
      </c>
      <c r="C687" s="44" t="n">
        <v>45632.7022685185</v>
      </c>
      <c r="D687" s="43" t="n">
        <f aca="false">INT(C687)</f>
        <v>45632</v>
      </c>
      <c r="E687" s="43" t="n">
        <f aca="false">D687-WEEKDAY(D687,3)</f>
        <v>45628</v>
      </c>
      <c r="F687" s="29" t="s">
        <v>176</v>
      </c>
      <c r="G687" s="29" t="n">
        <v>2024</v>
      </c>
      <c r="H687" s="29" t="s">
        <v>254</v>
      </c>
      <c r="I687" s="29" t="n">
        <v>16</v>
      </c>
      <c r="J687" s="29" t="s">
        <v>246</v>
      </c>
      <c r="K687" s="29" t="s">
        <v>247</v>
      </c>
      <c r="L687" s="29" t="n">
        <v>0.03</v>
      </c>
      <c r="M687" s="32" t="n">
        <v>21523.02</v>
      </c>
      <c r="N687" s="32" t="n">
        <v>21509.38</v>
      </c>
      <c r="O687" s="32" t="n">
        <v>21556.44</v>
      </c>
      <c r="P687" s="45" t="n">
        <f aca="false">ABS(M687-N687)</f>
        <v>13.6399999999994</v>
      </c>
      <c r="Q687" s="45" t="n">
        <f aca="false">IF(O687="","",ABS(O687-M687))</f>
        <v>33.4199999999983</v>
      </c>
      <c r="R687" s="31" t="n">
        <f aca="false">P687*L687*Summary!$C$6</f>
        <v>40.9199999999983</v>
      </c>
      <c r="S687" s="32" t="n">
        <v>21557.58</v>
      </c>
      <c r="T687" s="29" t="s">
        <v>227</v>
      </c>
      <c r="U687" s="45" t="n">
        <f aca="false">IF(J687="BUY",S687-M687,M687-S687)</f>
        <v>34.5600000000013</v>
      </c>
      <c r="V687" s="46" t="n">
        <v>0</v>
      </c>
      <c r="W687" s="46" t="n">
        <v>0</v>
      </c>
      <c r="X687" s="46" t="n">
        <v>103.68</v>
      </c>
      <c r="Y687" s="33" t="n">
        <f aca="false">IFERROR(X687/R687,0)</f>
        <v>2.53372434017606</v>
      </c>
      <c r="Z687" s="29" t="str">
        <f aca="false">IF(X687&gt;0,"Win",IF(X687&lt;0,"Loss","Flat"))</f>
        <v>Win</v>
      </c>
      <c r="AA687" s="29" t="n">
        <f aca="false">ROUND((C687-B687)*1440,1)</f>
        <v>5.3</v>
      </c>
      <c r="AB687" s="29" t="str">
        <f aca="false">IF(AA687&lt;1,"a) &lt;1 min",IF(AA687&lt;10,"b) 1-10 min",IF(AA687&lt;60,"c) 10-60 min",IF(AA687&lt;240,"d) 1-4 h","e) 4 h+"))))</f>
        <v>b) 1-10 min</v>
      </c>
      <c r="AC687" s="29" t="str">
        <f aca="false">IF(P687&lt;10,"a) &lt;10",IF(P687&lt;20,"b) 10-20",IF(P687&lt;40,"c) 20-40",IF(P687&lt;80,"d) 40-80","e) 80+"))))</f>
        <v>b) 10-20</v>
      </c>
      <c r="AD687" s="31" t="n">
        <f aca="false">Summary!$C$5+SUM(X$2:X687)</f>
        <v>14661.47</v>
      </c>
      <c r="AE687" s="31" t="n">
        <f aca="false">MAX(AE686,AD687)</f>
        <v>15756.64</v>
      </c>
      <c r="AF687" s="31" t="n">
        <f aca="false">AE687-AD687</f>
        <v>1095.17</v>
      </c>
      <c r="AG687" s="30" t="n">
        <f aca="false">IFERROR(AF687/AE687,0)</f>
        <v>0.0695053006224676</v>
      </c>
    </row>
    <row r="688" customFormat="false" ht="15" hidden="false" customHeight="false" outlineLevel="0" collapsed="false">
      <c r="A688" s="29" t="n">
        <v>687</v>
      </c>
      <c r="B688" s="44" t="n">
        <v>45635.0680555556</v>
      </c>
      <c r="C688" s="44" t="n">
        <v>45635.070787037</v>
      </c>
      <c r="D688" s="43" t="n">
        <f aca="false">INT(C688)</f>
        <v>45635</v>
      </c>
      <c r="E688" s="43" t="n">
        <f aca="false">D688-WEEKDAY(D688,3)</f>
        <v>45635</v>
      </c>
      <c r="F688" s="29" t="s">
        <v>176</v>
      </c>
      <c r="G688" s="29" t="n">
        <v>2024</v>
      </c>
      <c r="H688" s="29" t="s">
        <v>245</v>
      </c>
      <c r="I688" s="29" t="n">
        <v>1</v>
      </c>
      <c r="J688" s="29" t="s">
        <v>246</v>
      </c>
      <c r="K688" s="29" t="s">
        <v>247</v>
      </c>
      <c r="L688" s="29" t="n">
        <v>0.03</v>
      </c>
      <c r="M688" s="32" t="n">
        <v>21624.52</v>
      </c>
      <c r="N688" s="32" t="n">
        <v>21620.32</v>
      </c>
      <c r="O688" s="32" t="n">
        <v>21634.81</v>
      </c>
      <c r="P688" s="45" t="n">
        <f aca="false">ABS(M688-N688)</f>
        <v>4.20000000000073</v>
      </c>
      <c r="Q688" s="45" t="n">
        <f aca="false">IF(O688="","",ABS(O688-M688))</f>
        <v>10.2900000000009</v>
      </c>
      <c r="R688" s="31" t="n">
        <f aca="false">P688*L688*Summary!$C$6</f>
        <v>12.6000000000022</v>
      </c>
      <c r="S688" s="32" t="n">
        <v>21620.03</v>
      </c>
      <c r="T688" s="29" t="s">
        <v>249</v>
      </c>
      <c r="U688" s="45" t="n">
        <f aca="false">IF(J688="BUY",S688-M688,M688-S688)</f>
        <v>-4.4900000000016</v>
      </c>
      <c r="V688" s="46" t="n">
        <v>0</v>
      </c>
      <c r="W688" s="46" t="n">
        <v>0</v>
      </c>
      <c r="X688" s="46" t="n">
        <v>-13.47</v>
      </c>
      <c r="Y688" s="33" t="n">
        <f aca="false">IFERROR(X688/R688,0)</f>
        <v>-1.06904761904743</v>
      </c>
      <c r="Z688" s="29" t="str">
        <f aca="false">IF(X688&gt;0,"Win",IF(X688&lt;0,"Loss","Flat"))</f>
        <v>Loss</v>
      </c>
      <c r="AA688" s="29" t="n">
        <f aca="false">ROUND((C688-B688)*1440,1)</f>
        <v>3.9</v>
      </c>
      <c r="AB688" s="29" t="str">
        <f aca="false">IF(AA688&lt;1,"a) &lt;1 min",IF(AA688&lt;10,"b) 1-10 min",IF(AA688&lt;60,"c) 10-60 min",IF(AA688&lt;240,"d) 1-4 h","e) 4 h+"))))</f>
        <v>b) 1-10 min</v>
      </c>
      <c r="AC688" s="29" t="str">
        <f aca="false">IF(P688&lt;10,"a) &lt;10",IF(P688&lt;20,"b) 10-20",IF(P688&lt;40,"c) 20-40",IF(P688&lt;80,"d) 40-80","e) 80+"))))</f>
        <v>a) &lt;10</v>
      </c>
      <c r="AD688" s="31" t="n">
        <f aca="false">Summary!$C$5+SUM(X$2:X688)</f>
        <v>14648</v>
      </c>
      <c r="AE688" s="31" t="n">
        <f aca="false">MAX(AE687,AD688)</f>
        <v>15756.64</v>
      </c>
      <c r="AF688" s="31" t="n">
        <f aca="false">AE688-AD688</f>
        <v>1108.64</v>
      </c>
      <c r="AG688" s="30" t="n">
        <f aca="false">IFERROR(AF688/AE688,0)</f>
        <v>0.0703601783121274</v>
      </c>
    </row>
    <row r="689" customFormat="false" ht="15" hidden="false" customHeight="false" outlineLevel="0" collapsed="false">
      <c r="A689" s="29" t="n">
        <v>688</v>
      </c>
      <c r="B689" s="44" t="n">
        <v>45636.8861111111</v>
      </c>
      <c r="C689" s="44" t="n">
        <v>45636.8862962963</v>
      </c>
      <c r="D689" s="43" t="n">
        <f aca="false">INT(C689)</f>
        <v>45636</v>
      </c>
      <c r="E689" s="43" t="n">
        <f aca="false">D689-WEEKDAY(D689,3)</f>
        <v>45635</v>
      </c>
      <c r="F689" s="29" t="s">
        <v>176</v>
      </c>
      <c r="G689" s="29" t="n">
        <v>2024</v>
      </c>
      <c r="H689" s="29" t="s">
        <v>248</v>
      </c>
      <c r="I689" s="29" t="n">
        <v>21</v>
      </c>
      <c r="J689" s="29" t="s">
        <v>250</v>
      </c>
      <c r="K689" s="29" t="s">
        <v>251</v>
      </c>
      <c r="L689" s="29" t="n">
        <v>0.03</v>
      </c>
      <c r="M689" s="32" t="n">
        <v>21396.24</v>
      </c>
      <c r="N689" s="32" t="n">
        <v>21401.79</v>
      </c>
      <c r="O689" s="32" t="n">
        <v>21382.54</v>
      </c>
      <c r="P689" s="45" t="n">
        <f aca="false">ABS(M689-N689)</f>
        <v>5.54999999999927</v>
      </c>
      <c r="Q689" s="45" t="n">
        <f aca="false">IF(O689="","",ABS(O689-M689))</f>
        <v>13.7000000000007</v>
      </c>
      <c r="R689" s="31" t="n">
        <f aca="false">P689*L689*Summary!$C$6</f>
        <v>16.6499999999978</v>
      </c>
      <c r="S689" s="32" t="n">
        <v>21402.08</v>
      </c>
      <c r="T689" s="29" t="s">
        <v>249</v>
      </c>
      <c r="U689" s="45" t="n">
        <f aca="false">IF(J689="BUY",S689-M689,M689-S689)</f>
        <v>-5.84000000000015</v>
      </c>
      <c r="V689" s="46" t="n">
        <v>0</v>
      </c>
      <c r="W689" s="46" t="n">
        <v>0</v>
      </c>
      <c r="X689" s="46" t="n">
        <v>-17.52</v>
      </c>
      <c r="Y689" s="33" t="n">
        <f aca="false">IFERROR(X689/R689,0)</f>
        <v>-1.05225225225239</v>
      </c>
      <c r="Z689" s="29" t="str">
        <f aca="false">IF(X689&gt;0,"Win",IF(X689&lt;0,"Loss","Flat"))</f>
        <v>Loss</v>
      </c>
      <c r="AA689" s="29" t="n">
        <f aca="false">ROUND((C689-B689)*1440,1)</f>
        <v>0.3</v>
      </c>
      <c r="AB689" s="29" t="str">
        <f aca="false">IF(AA689&lt;1,"a) &lt;1 min",IF(AA689&lt;10,"b) 1-10 min",IF(AA689&lt;60,"c) 10-60 min",IF(AA689&lt;240,"d) 1-4 h","e) 4 h+"))))</f>
        <v>a) &lt;1 min</v>
      </c>
      <c r="AC689" s="29" t="str">
        <f aca="false">IF(P689&lt;10,"a) &lt;10",IF(P689&lt;20,"b) 10-20",IF(P689&lt;40,"c) 20-40",IF(P689&lt;80,"d) 40-80","e) 80+"))))</f>
        <v>a) &lt;10</v>
      </c>
      <c r="AD689" s="31" t="n">
        <f aca="false">Summary!$C$5+SUM(X$2:X689)</f>
        <v>14630.48</v>
      </c>
      <c r="AE689" s="31" t="n">
        <f aca="false">MAX(AE688,AD689)</f>
        <v>15756.64</v>
      </c>
      <c r="AF689" s="31" t="n">
        <f aca="false">AE689-AD689</f>
        <v>1126.16</v>
      </c>
      <c r="AG689" s="30" t="n">
        <f aca="false">IFERROR(AF689/AE689,0)</f>
        <v>0.071472090496451</v>
      </c>
    </row>
    <row r="690" customFormat="false" ht="15" hidden="false" customHeight="false" outlineLevel="0" collapsed="false">
      <c r="A690" s="29" t="n">
        <v>689</v>
      </c>
      <c r="B690" s="44" t="n">
        <v>45637.6916666667</v>
      </c>
      <c r="C690" s="44" t="n">
        <v>45637.6932523148</v>
      </c>
      <c r="D690" s="43" t="n">
        <f aca="false">INT(C690)</f>
        <v>45637</v>
      </c>
      <c r="E690" s="43" t="n">
        <f aca="false">D690-WEEKDAY(D690,3)</f>
        <v>45635</v>
      </c>
      <c r="F690" s="29" t="s">
        <v>176</v>
      </c>
      <c r="G690" s="29" t="n">
        <v>2024</v>
      </c>
      <c r="H690" s="29" t="s">
        <v>252</v>
      </c>
      <c r="I690" s="29" t="n">
        <v>16</v>
      </c>
      <c r="J690" s="29" t="s">
        <v>246</v>
      </c>
      <c r="K690" s="29" t="s">
        <v>247</v>
      </c>
      <c r="L690" s="29" t="n">
        <v>0.03</v>
      </c>
      <c r="M690" s="32" t="n">
        <v>21579.72</v>
      </c>
      <c r="N690" s="32" t="n">
        <v>21563.01</v>
      </c>
      <c r="O690" s="32" t="n">
        <v>21620.66</v>
      </c>
      <c r="P690" s="45" t="n">
        <f aca="false">ABS(M690-N690)</f>
        <v>16.7100000000028</v>
      </c>
      <c r="Q690" s="45" t="n">
        <f aca="false">IF(O690="","",ABS(O690-M690))</f>
        <v>40.9399999999987</v>
      </c>
      <c r="R690" s="31" t="n">
        <f aca="false">P690*L690*Summary!$C$6</f>
        <v>50.1300000000083</v>
      </c>
      <c r="S690" s="32" t="n">
        <v>21562.84</v>
      </c>
      <c r="T690" s="29" t="s">
        <v>249</v>
      </c>
      <c r="U690" s="45" t="n">
        <f aca="false">IF(J690="BUY",S690-M690,M690-S690)</f>
        <v>-16.880000000001</v>
      </c>
      <c r="V690" s="46" t="n">
        <v>0</v>
      </c>
      <c r="W690" s="46" t="n">
        <v>0</v>
      </c>
      <c r="X690" s="46" t="n">
        <v>-50.64</v>
      </c>
      <c r="Y690" s="33" t="n">
        <f aca="false">IFERROR(X690/R690,0)</f>
        <v>-1.01017354877302</v>
      </c>
      <c r="Z690" s="29" t="str">
        <f aca="false">IF(X690&gt;0,"Win",IF(X690&lt;0,"Loss","Flat"))</f>
        <v>Loss</v>
      </c>
      <c r="AA690" s="29" t="n">
        <f aca="false">ROUND((C690-B690)*1440,1)</f>
        <v>2.3</v>
      </c>
      <c r="AB690" s="29" t="str">
        <f aca="false">IF(AA690&lt;1,"a) &lt;1 min",IF(AA690&lt;10,"b) 1-10 min",IF(AA690&lt;60,"c) 10-60 min",IF(AA690&lt;240,"d) 1-4 h","e) 4 h+"))))</f>
        <v>b) 1-10 min</v>
      </c>
      <c r="AC690" s="29" t="str">
        <f aca="false">IF(P690&lt;10,"a) &lt;10",IF(P690&lt;20,"b) 10-20",IF(P690&lt;40,"c) 20-40",IF(P690&lt;80,"d) 40-80","e) 80+"))))</f>
        <v>b) 10-20</v>
      </c>
      <c r="AD690" s="31" t="n">
        <f aca="false">Summary!$C$5+SUM(X$2:X690)</f>
        <v>14579.84</v>
      </c>
      <c r="AE690" s="31" t="n">
        <f aca="false">MAX(AE689,AD690)</f>
        <v>15756.64</v>
      </c>
      <c r="AF690" s="31" t="n">
        <f aca="false">AE690-AD690</f>
        <v>1176.8</v>
      </c>
      <c r="AG690" s="30" t="n">
        <f aca="false">IFERROR(AF690/AE690,0)</f>
        <v>0.0746859736593588</v>
      </c>
    </row>
    <row r="691" customFormat="false" ht="15" hidden="false" customHeight="false" outlineLevel="0" collapsed="false">
      <c r="A691" s="29" t="n">
        <v>690</v>
      </c>
      <c r="B691" s="44" t="n">
        <v>45639.1013888889</v>
      </c>
      <c r="C691" s="44" t="n">
        <v>45639.1061921296</v>
      </c>
      <c r="D691" s="43" t="n">
        <f aca="false">INT(C691)</f>
        <v>45639</v>
      </c>
      <c r="E691" s="43" t="n">
        <f aca="false">D691-WEEKDAY(D691,3)</f>
        <v>45635</v>
      </c>
      <c r="F691" s="29" t="s">
        <v>176</v>
      </c>
      <c r="G691" s="29" t="n">
        <v>2024</v>
      </c>
      <c r="H691" s="29" t="s">
        <v>254</v>
      </c>
      <c r="I691" s="29" t="n">
        <v>2</v>
      </c>
      <c r="J691" s="29" t="s">
        <v>246</v>
      </c>
      <c r="K691" s="29" t="s">
        <v>247</v>
      </c>
      <c r="L691" s="29" t="n">
        <v>0.03</v>
      </c>
      <c r="M691" s="32" t="n">
        <v>21738.01</v>
      </c>
      <c r="N691" s="32" t="n">
        <v>21734.99</v>
      </c>
      <c r="O691" s="32" t="n">
        <v>21745.4</v>
      </c>
      <c r="P691" s="45" t="n">
        <f aca="false">ABS(M691-N691)</f>
        <v>3.0199999999968</v>
      </c>
      <c r="Q691" s="45" t="n">
        <f aca="false">IF(O691="","",ABS(O691-M691))</f>
        <v>7.39000000000306</v>
      </c>
      <c r="R691" s="31" t="n">
        <f aca="false">P691*L691*Summary!$C$6</f>
        <v>9.0599999999904</v>
      </c>
      <c r="S691" s="32" t="n">
        <v>21737.25</v>
      </c>
      <c r="T691" s="29" t="s">
        <v>255</v>
      </c>
      <c r="U691" s="45" t="n">
        <f aca="false">IF(J691="BUY",S691-M691,M691-S691)</f>
        <v>-0.759999999998399</v>
      </c>
      <c r="V691" s="46" t="n">
        <v>0</v>
      </c>
      <c r="W691" s="46" t="n">
        <v>0</v>
      </c>
      <c r="X691" s="46" t="n">
        <v>-2.28</v>
      </c>
      <c r="Y691" s="33" t="n">
        <f aca="false">IFERROR(X691/R691,0)</f>
        <v>-0.25165562913934</v>
      </c>
      <c r="Z691" s="29" t="str">
        <f aca="false">IF(X691&gt;0,"Win",IF(X691&lt;0,"Loss","Flat"))</f>
        <v>Loss</v>
      </c>
      <c r="AA691" s="29" t="n">
        <f aca="false">ROUND((C691-B691)*1440,1)</f>
        <v>6.9</v>
      </c>
      <c r="AB691" s="29" t="str">
        <f aca="false">IF(AA691&lt;1,"a) &lt;1 min",IF(AA691&lt;10,"b) 1-10 min",IF(AA691&lt;60,"c) 10-60 min",IF(AA691&lt;240,"d) 1-4 h","e) 4 h+"))))</f>
        <v>b) 1-10 min</v>
      </c>
      <c r="AC691" s="29" t="str">
        <f aca="false">IF(P691&lt;10,"a) &lt;10",IF(P691&lt;20,"b) 10-20",IF(P691&lt;40,"c) 20-40",IF(P691&lt;80,"d) 40-80","e) 80+"))))</f>
        <v>a) &lt;10</v>
      </c>
      <c r="AD691" s="31" t="n">
        <f aca="false">Summary!$C$5+SUM(X$2:X691)</f>
        <v>14577.56</v>
      </c>
      <c r="AE691" s="31" t="n">
        <f aca="false">MAX(AE690,AD691)</f>
        <v>15756.64</v>
      </c>
      <c r="AF691" s="31" t="n">
        <f aca="false">AE691-AD691</f>
        <v>1179.08</v>
      </c>
      <c r="AG691" s="30" t="n">
        <f aca="false">IFERROR(AF691/AE691,0)</f>
        <v>0.0748306745600585</v>
      </c>
    </row>
    <row r="692" customFormat="false" ht="15" hidden="false" customHeight="false" outlineLevel="0" collapsed="false">
      <c r="A692" s="29" t="n">
        <v>691</v>
      </c>
      <c r="B692" s="44" t="n">
        <v>45642.6465277778</v>
      </c>
      <c r="C692" s="44" t="n">
        <v>45642.6479976852</v>
      </c>
      <c r="D692" s="43" t="n">
        <f aca="false">INT(C692)</f>
        <v>45642</v>
      </c>
      <c r="E692" s="43" t="n">
        <f aca="false">D692-WEEKDAY(D692,3)</f>
        <v>45642</v>
      </c>
      <c r="F692" s="29" t="s">
        <v>176</v>
      </c>
      <c r="G692" s="29" t="n">
        <v>2024</v>
      </c>
      <c r="H692" s="29" t="s">
        <v>245</v>
      </c>
      <c r="I692" s="29" t="n">
        <v>15</v>
      </c>
      <c r="J692" s="29" t="s">
        <v>246</v>
      </c>
      <c r="K692" s="29" t="s">
        <v>247</v>
      </c>
      <c r="L692" s="29" t="n">
        <v>0.03</v>
      </c>
      <c r="M692" s="32" t="n">
        <v>21892.39</v>
      </c>
      <c r="N692" s="32" t="n">
        <v>21887.4</v>
      </c>
      <c r="O692" s="32" t="n">
        <v>21904.63</v>
      </c>
      <c r="P692" s="45" t="n">
        <f aca="false">ABS(M692-N692)</f>
        <v>4.98999999999796</v>
      </c>
      <c r="Q692" s="45" t="n">
        <f aca="false">IF(O692="","",ABS(O692-M692))</f>
        <v>12.2400000000016</v>
      </c>
      <c r="R692" s="31" t="n">
        <f aca="false">P692*L692*Summary!$C$6</f>
        <v>14.9699999999939</v>
      </c>
      <c r="S692" s="32" t="n">
        <v>21887.4</v>
      </c>
      <c r="T692" s="29" t="s">
        <v>249</v>
      </c>
      <c r="U692" s="45" t="n">
        <f aca="false">IF(J692="BUY",S692-M692,M692-S692)</f>
        <v>-4.98999999999796</v>
      </c>
      <c r="V692" s="46" t="n">
        <v>0</v>
      </c>
      <c r="W692" s="46" t="n">
        <v>0</v>
      </c>
      <c r="X692" s="46" t="n">
        <v>-14.97</v>
      </c>
      <c r="Y692" s="33" t="n">
        <f aca="false">IFERROR(X692/R692,0)</f>
        <v>-1.00000000000041</v>
      </c>
      <c r="Z692" s="29" t="str">
        <f aca="false">IF(X692&gt;0,"Win",IF(X692&lt;0,"Loss","Flat"))</f>
        <v>Loss</v>
      </c>
      <c r="AA692" s="29" t="n">
        <f aca="false">ROUND((C692-B692)*1440,1)</f>
        <v>2.1</v>
      </c>
      <c r="AB692" s="29" t="str">
        <f aca="false">IF(AA692&lt;1,"a) &lt;1 min",IF(AA692&lt;10,"b) 1-10 min",IF(AA692&lt;60,"c) 10-60 min",IF(AA692&lt;240,"d) 1-4 h","e) 4 h+"))))</f>
        <v>b) 1-10 min</v>
      </c>
      <c r="AC692" s="29" t="str">
        <f aca="false">IF(P692&lt;10,"a) &lt;10",IF(P692&lt;20,"b) 10-20",IF(P692&lt;40,"c) 20-40",IF(P692&lt;80,"d) 40-80","e) 80+"))))</f>
        <v>a) &lt;10</v>
      </c>
      <c r="AD692" s="31" t="n">
        <f aca="false">Summary!$C$5+SUM(X$2:X692)</f>
        <v>14562.59</v>
      </c>
      <c r="AE692" s="31" t="n">
        <f aca="false">MAX(AE691,AD692)</f>
        <v>15756.64</v>
      </c>
      <c r="AF692" s="31" t="n">
        <f aca="false">AE692-AD692</f>
        <v>1194.05</v>
      </c>
      <c r="AG692" s="30" t="n">
        <f aca="false">IFERROR(AF692/AE692,0)</f>
        <v>0.0757807502107048</v>
      </c>
    </row>
    <row r="693" customFormat="false" ht="15" hidden="false" customHeight="false" outlineLevel="0" collapsed="false">
      <c r="A693" s="29" t="n">
        <v>692</v>
      </c>
      <c r="B693" s="44" t="n">
        <v>45644.04375</v>
      </c>
      <c r="C693" s="44" t="n">
        <v>45644.0456134259</v>
      </c>
      <c r="D693" s="43" t="n">
        <f aca="false">INT(C693)</f>
        <v>45644</v>
      </c>
      <c r="E693" s="43" t="n">
        <f aca="false">D693-WEEKDAY(D693,3)</f>
        <v>45642</v>
      </c>
      <c r="F693" s="29" t="s">
        <v>176</v>
      </c>
      <c r="G693" s="29" t="n">
        <v>2024</v>
      </c>
      <c r="H693" s="29" t="s">
        <v>252</v>
      </c>
      <c r="I693" s="29" t="n">
        <v>1</v>
      </c>
      <c r="J693" s="29" t="s">
        <v>250</v>
      </c>
      <c r="K693" s="29" t="s">
        <v>251</v>
      </c>
      <c r="L693" s="29" t="n">
        <v>0.03</v>
      </c>
      <c r="M693" s="32" t="n">
        <v>21912.82</v>
      </c>
      <c r="N693" s="32" t="n">
        <v>21929.47</v>
      </c>
      <c r="O693" s="32" t="n">
        <v>21872.03</v>
      </c>
      <c r="P693" s="45" t="n">
        <f aca="false">ABS(M693-N693)</f>
        <v>16.6500000000015</v>
      </c>
      <c r="Q693" s="45" t="n">
        <f aca="false">IF(O693="","",ABS(O693-M693))</f>
        <v>40.7900000000009</v>
      </c>
      <c r="R693" s="31" t="n">
        <f aca="false">P693*L693*Summary!$C$6</f>
        <v>49.9500000000044</v>
      </c>
      <c r="S693" s="32" t="n">
        <v>21913.03</v>
      </c>
      <c r="T693" s="29" t="s">
        <v>255</v>
      </c>
      <c r="U693" s="45" t="n">
        <f aca="false">IF(J693="BUY",S693-M693,M693-S693)</f>
        <v>-0.209999999999127</v>
      </c>
      <c r="V693" s="46" t="n">
        <v>0</v>
      </c>
      <c r="W693" s="46" t="n">
        <v>0</v>
      </c>
      <c r="X693" s="46" t="n">
        <v>-0.63</v>
      </c>
      <c r="Y693" s="33" t="n">
        <f aca="false">IFERROR(X693/R693,0)</f>
        <v>-0.0126126126126115</v>
      </c>
      <c r="Z693" s="29" t="str">
        <f aca="false">IF(X693&gt;0,"Win",IF(X693&lt;0,"Loss","Flat"))</f>
        <v>Loss</v>
      </c>
      <c r="AA693" s="29" t="n">
        <f aca="false">ROUND((C693-B693)*1440,1)</f>
        <v>2.7</v>
      </c>
      <c r="AB693" s="29" t="str">
        <f aca="false">IF(AA693&lt;1,"a) &lt;1 min",IF(AA693&lt;10,"b) 1-10 min",IF(AA693&lt;60,"c) 10-60 min",IF(AA693&lt;240,"d) 1-4 h","e) 4 h+"))))</f>
        <v>b) 1-10 min</v>
      </c>
      <c r="AC693" s="29" t="str">
        <f aca="false">IF(P693&lt;10,"a) &lt;10",IF(P693&lt;20,"b) 10-20",IF(P693&lt;40,"c) 20-40",IF(P693&lt;80,"d) 40-80","e) 80+"))))</f>
        <v>b) 10-20</v>
      </c>
      <c r="AD693" s="31" t="n">
        <f aca="false">Summary!$C$5+SUM(X$2:X693)</f>
        <v>14561.96</v>
      </c>
      <c r="AE693" s="31" t="n">
        <f aca="false">MAX(AE692,AD693)</f>
        <v>15756.64</v>
      </c>
      <c r="AF693" s="31" t="n">
        <f aca="false">AE693-AD693</f>
        <v>1194.68</v>
      </c>
      <c r="AG693" s="30" t="n">
        <f aca="false">IFERROR(AF693/AE693,0)</f>
        <v>0.0758207333543192</v>
      </c>
    </row>
    <row r="694" customFormat="false" ht="15" hidden="false" customHeight="false" outlineLevel="0" collapsed="false">
      <c r="A694" s="29" t="n">
        <v>693</v>
      </c>
      <c r="B694" s="44" t="n">
        <v>45646.0902777778</v>
      </c>
      <c r="C694" s="44" t="n">
        <v>45646.0936921296</v>
      </c>
      <c r="D694" s="43" t="n">
        <f aca="false">INT(C694)</f>
        <v>45646</v>
      </c>
      <c r="E694" s="43" t="n">
        <f aca="false">D694-WEEKDAY(D694,3)</f>
        <v>45642</v>
      </c>
      <c r="F694" s="29" t="s">
        <v>176</v>
      </c>
      <c r="G694" s="29" t="n">
        <v>2024</v>
      </c>
      <c r="H694" s="29" t="s">
        <v>254</v>
      </c>
      <c r="I694" s="29" t="n">
        <v>2</v>
      </c>
      <c r="J694" s="29" t="s">
        <v>250</v>
      </c>
      <c r="K694" s="29" t="s">
        <v>251</v>
      </c>
      <c r="L694" s="29" t="n">
        <v>0.03</v>
      </c>
      <c r="M694" s="32" t="n">
        <v>21061.24</v>
      </c>
      <c r="N694" s="32" t="n">
        <v>21072.16</v>
      </c>
      <c r="O694" s="32" t="n">
        <v>21034.48</v>
      </c>
      <c r="P694" s="45" t="n">
        <f aca="false">ABS(M694-N694)</f>
        <v>10.9199999999983</v>
      </c>
      <c r="Q694" s="45" t="n">
        <f aca="false">IF(O694="","",ABS(O694-M694))</f>
        <v>26.760000000002</v>
      </c>
      <c r="R694" s="31" t="n">
        <f aca="false">P694*L694*Summary!$C$6</f>
        <v>32.7599999999948</v>
      </c>
      <c r="S694" s="32" t="n">
        <v>21063.03</v>
      </c>
      <c r="T694" s="29" t="s">
        <v>255</v>
      </c>
      <c r="U694" s="45" t="n">
        <f aca="false">IF(J694="BUY",S694-M694,M694-S694)</f>
        <v>-1.78999999999724</v>
      </c>
      <c r="V694" s="46" t="n">
        <v>0</v>
      </c>
      <c r="W694" s="46" t="n">
        <v>0</v>
      </c>
      <c r="X694" s="46" t="n">
        <v>-5.37</v>
      </c>
      <c r="Y694" s="33" t="n">
        <f aca="false">IFERROR(X694/R694,0)</f>
        <v>-0.16391941391944</v>
      </c>
      <c r="Z694" s="29" t="str">
        <f aca="false">IF(X694&gt;0,"Win",IF(X694&lt;0,"Loss","Flat"))</f>
        <v>Loss</v>
      </c>
      <c r="AA694" s="29" t="n">
        <f aca="false">ROUND((C694-B694)*1440,1)</f>
        <v>4.9</v>
      </c>
      <c r="AB694" s="29" t="str">
        <f aca="false">IF(AA694&lt;1,"a) &lt;1 min",IF(AA694&lt;10,"b) 1-10 min",IF(AA694&lt;60,"c) 10-60 min",IF(AA694&lt;240,"d) 1-4 h","e) 4 h+"))))</f>
        <v>b) 1-10 min</v>
      </c>
      <c r="AC694" s="29" t="str">
        <f aca="false">IF(P694&lt;10,"a) &lt;10",IF(P694&lt;20,"b) 10-20",IF(P694&lt;40,"c) 20-40",IF(P694&lt;80,"d) 40-80","e) 80+"))))</f>
        <v>b) 10-20</v>
      </c>
      <c r="AD694" s="31" t="n">
        <f aca="false">Summary!$C$5+SUM(X$2:X694)</f>
        <v>14556.59</v>
      </c>
      <c r="AE694" s="31" t="n">
        <f aca="false">MAX(AE693,AD694)</f>
        <v>15756.64</v>
      </c>
      <c r="AF694" s="31" t="n">
        <f aca="false">AE694-AD694</f>
        <v>1200.05</v>
      </c>
      <c r="AG694" s="30" t="n">
        <f aca="false">IFERROR(AF694/AE694,0)</f>
        <v>0.0761615420546512</v>
      </c>
    </row>
    <row r="695" customFormat="false" ht="15" hidden="false" customHeight="false" outlineLevel="0" collapsed="false">
      <c r="A695" s="29" t="n">
        <v>694</v>
      </c>
      <c r="B695" s="44" t="n">
        <v>45646.7652777778</v>
      </c>
      <c r="C695" s="44" t="n">
        <v>45646.7750115741</v>
      </c>
      <c r="D695" s="43" t="n">
        <f aca="false">INT(C695)</f>
        <v>45646</v>
      </c>
      <c r="E695" s="43" t="n">
        <f aca="false">D695-WEEKDAY(D695,3)</f>
        <v>45642</v>
      </c>
      <c r="F695" s="29" t="s">
        <v>176</v>
      </c>
      <c r="G695" s="29" t="n">
        <v>2024</v>
      </c>
      <c r="H695" s="29" t="s">
        <v>254</v>
      </c>
      <c r="I695" s="29" t="n">
        <v>18</v>
      </c>
      <c r="J695" s="29" t="s">
        <v>246</v>
      </c>
      <c r="K695" s="29" t="s">
        <v>247</v>
      </c>
      <c r="L695" s="29" t="n">
        <v>0.03</v>
      </c>
      <c r="M695" s="32" t="n">
        <v>21401.18</v>
      </c>
      <c r="N695" s="32" t="n">
        <v>21383.36</v>
      </c>
      <c r="O695" s="32" t="n">
        <v>21448.02</v>
      </c>
      <c r="P695" s="45" t="n">
        <f aca="false">ABS(M695-N695)</f>
        <v>17.8199999999997</v>
      </c>
      <c r="Q695" s="45" t="n">
        <f aca="false">IF(O695="","",ABS(O695-M695))</f>
        <v>46.8400000000001</v>
      </c>
      <c r="R695" s="31" t="n">
        <f aca="false">P695*L695*Summary!$C$6</f>
        <v>53.4599999999991</v>
      </c>
      <c r="S695" s="32" t="n">
        <v>21448.25</v>
      </c>
      <c r="T695" s="29" t="s">
        <v>227</v>
      </c>
      <c r="U695" s="45" t="n">
        <f aca="false">IF(J695="BUY",S695-M695,M695-S695)</f>
        <v>47.0699999999997</v>
      </c>
      <c r="V695" s="46" t="n">
        <v>0</v>
      </c>
      <c r="W695" s="46" t="n">
        <v>0</v>
      </c>
      <c r="X695" s="46" t="n">
        <v>141.21</v>
      </c>
      <c r="Y695" s="33" t="n">
        <f aca="false">IFERROR(X695/R695,0)</f>
        <v>2.64141414141418</v>
      </c>
      <c r="Z695" s="29" t="str">
        <f aca="false">IF(X695&gt;0,"Win",IF(X695&lt;0,"Loss","Flat"))</f>
        <v>Win</v>
      </c>
      <c r="AA695" s="29" t="n">
        <f aca="false">ROUND((C695-B695)*1440,1)</f>
        <v>14</v>
      </c>
      <c r="AB695" s="29" t="str">
        <f aca="false">IF(AA695&lt;1,"a) &lt;1 min",IF(AA695&lt;10,"b) 1-10 min",IF(AA695&lt;60,"c) 10-60 min",IF(AA695&lt;240,"d) 1-4 h","e) 4 h+"))))</f>
        <v>c) 10-60 min</v>
      </c>
      <c r="AC695" s="29" t="str">
        <f aca="false">IF(P695&lt;10,"a) &lt;10",IF(P695&lt;20,"b) 10-20",IF(P695&lt;40,"c) 20-40",IF(P695&lt;80,"d) 40-80","e) 80+"))))</f>
        <v>b) 10-20</v>
      </c>
      <c r="AD695" s="31" t="n">
        <f aca="false">Summary!$C$5+SUM(X$2:X695)</f>
        <v>14697.8</v>
      </c>
      <c r="AE695" s="31" t="n">
        <f aca="false">MAX(AE694,AD695)</f>
        <v>15756.64</v>
      </c>
      <c r="AF695" s="31" t="n">
        <f aca="false">AE695-AD695</f>
        <v>1058.84</v>
      </c>
      <c r="AG695" s="30" t="n">
        <f aca="false">IFERROR(AF695/AE695,0)</f>
        <v>0.0671996060073721</v>
      </c>
    </row>
    <row r="696" customFormat="false" ht="15" hidden="false" customHeight="false" outlineLevel="0" collapsed="false">
      <c r="A696" s="29" t="n">
        <v>695</v>
      </c>
      <c r="B696" s="44" t="n">
        <v>45650.3763888889</v>
      </c>
      <c r="C696" s="44" t="n">
        <v>45650.3768518519</v>
      </c>
      <c r="D696" s="43" t="n">
        <f aca="false">INT(C696)</f>
        <v>45650</v>
      </c>
      <c r="E696" s="43" t="n">
        <f aca="false">D696-WEEKDAY(D696,3)</f>
        <v>45649</v>
      </c>
      <c r="F696" s="29" t="s">
        <v>176</v>
      </c>
      <c r="G696" s="29" t="n">
        <v>2024</v>
      </c>
      <c r="H696" s="29" t="s">
        <v>248</v>
      </c>
      <c r="I696" s="29" t="n">
        <v>9</v>
      </c>
      <c r="J696" s="29" t="s">
        <v>246</v>
      </c>
      <c r="K696" s="29" t="s">
        <v>247</v>
      </c>
      <c r="L696" s="29" t="n">
        <v>0.03</v>
      </c>
      <c r="M696" s="32" t="n">
        <v>21512.55</v>
      </c>
      <c r="N696" s="32" t="n">
        <v>21509.22</v>
      </c>
      <c r="O696" s="32" t="n">
        <v>21520.71</v>
      </c>
      <c r="P696" s="45" t="n">
        <f aca="false">ABS(M696-N696)</f>
        <v>3.32999999999811</v>
      </c>
      <c r="Q696" s="45" t="n">
        <f aca="false">IF(O696="","",ABS(O696-M696))</f>
        <v>8.15999999999985</v>
      </c>
      <c r="R696" s="31" t="n">
        <f aca="false">P696*L696*Summary!$C$6</f>
        <v>9.98999999999433</v>
      </c>
      <c r="S696" s="32" t="n">
        <v>21508.88</v>
      </c>
      <c r="T696" s="29" t="s">
        <v>249</v>
      </c>
      <c r="U696" s="45" t="n">
        <f aca="false">IF(J696="BUY",S696-M696,M696-S696)</f>
        <v>-3.66999999999825</v>
      </c>
      <c r="V696" s="46" t="n">
        <v>0</v>
      </c>
      <c r="W696" s="46" t="n">
        <v>0</v>
      </c>
      <c r="X696" s="46" t="n">
        <v>-11.01</v>
      </c>
      <c r="Y696" s="33" t="n">
        <f aca="false">IFERROR(X696/R696,0)</f>
        <v>-1.10210210210273</v>
      </c>
      <c r="Z696" s="29" t="str">
        <f aca="false">IF(X696&gt;0,"Win",IF(X696&lt;0,"Loss","Flat"))</f>
        <v>Loss</v>
      </c>
      <c r="AA696" s="29" t="n">
        <f aca="false">ROUND((C696-B696)*1440,1)</f>
        <v>0.7</v>
      </c>
      <c r="AB696" s="29" t="str">
        <f aca="false">IF(AA696&lt;1,"a) &lt;1 min",IF(AA696&lt;10,"b) 1-10 min",IF(AA696&lt;60,"c) 10-60 min",IF(AA696&lt;240,"d) 1-4 h","e) 4 h+"))))</f>
        <v>a) &lt;1 min</v>
      </c>
      <c r="AC696" s="29" t="str">
        <f aca="false">IF(P696&lt;10,"a) &lt;10",IF(P696&lt;20,"b) 10-20",IF(P696&lt;40,"c) 20-40",IF(P696&lt;80,"d) 40-80","e) 80+"))))</f>
        <v>a) &lt;10</v>
      </c>
      <c r="AD696" s="31" t="n">
        <f aca="false">Summary!$C$5+SUM(X$2:X696)</f>
        <v>14686.79</v>
      </c>
      <c r="AE696" s="31" t="n">
        <f aca="false">MAX(AE695,AD696)</f>
        <v>15756.64</v>
      </c>
      <c r="AF696" s="31" t="n">
        <f aca="false">AE696-AD696</f>
        <v>1069.85</v>
      </c>
      <c r="AG696" s="30" t="n">
        <f aca="false">IFERROR(AF696/AE696,0)</f>
        <v>0.0678983590410137</v>
      </c>
    </row>
    <row r="697" customFormat="false" ht="15" hidden="false" customHeight="false" outlineLevel="0" collapsed="false">
      <c r="A697" s="29" t="n">
        <v>696</v>
      </c>
      <c r="B697" s="44" t="n">
        <v>45652.0430555556</v>
      </c>
      <c r="C697" s="44" t="n">
        <v>45652.0483101852</v>
      </c>
      <c r="D697" s="43" t="n">
        <f aca="false">INT(C697)</f>
        <v>45652</v>
      </c>
      <c r="E697" s="43" t="n">
        <f aca="false">D697-WEEKDAY(D697,3)</f>
        <v>45649</v>
      </c>
      <c r="F697" s="29" t="s">
        <v>176</v>
      </c>
      <c r="G697" s="29" t="n">
        <v>2024</v>
      </c>
      <c r="H697" s="29" t="s">
        <v>253</v>
      </c>
      <c r="I697" s="29" t="n">
        <v>1</v>
      </c>
      <c r="J697" s="29" t="s">
        <v>246</v>
      </c>
      <c r="K697" s="29" t="s">
        <v>247</v>
      </c>
      <c r="L697" s="29" t="n">
        <v>0.03</v>
      </c>
      <c r="M697" s="32" t="n">
        <v>21813.5</v>
      </c>
      <c r="N697" s="32" t="n">
        <v>21805.45</v>
      </c>
      <c r="O697" s="32" t="n">
        <v>21833.22</v>
      </c>
      <c r="P697" s="45" t="n">
        <f aca="false">ABS(M697-N697)</f>
        <v>8.04999999999927</v>
      </c>
      <c r="Q697" s="45" t="n">
        <f aca="false">IF(O697="","",ABS(O697-M697))</f>
        <v>19.7200000000012</v>
      </c>
      <c r="R697" s="31" t="n">
        <f aca="false">P697*L697*Summary!$C$6</f>
        <v>24.1499999999978</v>
      </c>
      <c r="S697" s="32" t="n">
        <v>21805.22</v>
      </c>
      <c r="T697" s="29" t="s">
        <v>249</v>
      </c>
      <c r="U697" s="45" t="n">
        <f aca="false">IF(J697="BUY",S697-M697,M697-S697)</f>
        <v>-8.27999999999884</v>
      </c>
      <c r="V697" s="46" t="n">
        <v>0</v>
      </c>
      <c r="W697" s="46" t="n">
        <v>0</v>
      </c>
      <c r="X697" s="46" t="n">
        <v>-24.84</v>
      </c>
      <c r="Y697" s="33" t="n">
        <f aca="false">IFERROR(X697/R697,0)</f>
        <v>-1.02857142857152</v>
      </c>
      <c r="Z697" s="29" t="str">
        <f aca="false">IF(X697&gt;0,"Win",IF(X697&lt;0,"Loss","Flat"))</f>
        <v>Loss</v>
      </c>
      <c r="AA697" s="29" t="n">
        <f aca="false">ROUND((C697-B697)*1440,1)</f>
        <v>7.6</v>
      </c>
      <c r="AB697" s="29" t="str">
        <f aca="false">IF(AA697&lt;1,"a) &lt;1 min",IF(AA697&lt;10,"b) 1-10 min",IF(AA697&lt;60,"c) 10-60 min",IF(AA697&lt;240,"d) 1-4 h","e) 4 h+"))))</f>
        <v>b) 1-10 min</v>
      </c>
      <c r="AC697" s="29" t="str">
        <f aca="false">IF(P697&lt;10,"a) &lt;10",IF(P697&lt;20,"b) 10-20",IF(P697&lt;40,"c) 20-40",IF(P697&lt;80,"d) 40-80","e) 80+"))))</f>
        <v>a) &lt;10</v>
      </c>
      <c r="AD697" s="31" t="n">
        <f aca="false">Summary!$C$5+SUM(X$2:X697)</f>
        <v>14661.95</v>
      </c>
      <c r="AE697" s="31" t="n">
        <f aca="false">MAX(AE696,AD697)</f>
        <v>15756.64</v>
      </c>
      <c r="AF697" s="31" t="n">
        <f aca="false">AE697-AD697</f>
        <v>1094.69</v>
      </c>
      <c r="AG697" s="30" t="n">
        <f aca="false">IFERROR(AF697/AE697,0)</f>
        <v>0.0694748372749519</v>
      </c>
    </row>
    <row r="698" customFormat="false" ht="15" hidden="false" customHeight="false" outlineLevel="0" collapsed="false">
      <c r="A698" s="29" t="n">
        <v>697</v>
      </c>
      <c r="B698" s="44" t="n">
        <v>45653.6861111111</v>
      </c>
      <c r="C698" s="44" t="n">
        <v>45653.6875</v>
      </c>
      <c r="D698" s="43" t="n">
        <f aca="false">INT(C698)</f>
        <v>45653</v>
      </c>
      <c r="E698" s="43" t="n">
        <f aca="false">D698-WEEKDAY(D698,3)</f>
        <v>45649</v>
      </c>
      <c r="F698" s="29" t="s">
        <v>176</v>
      </c>
      <c r="G698" s="29" t="n">
        <v>2024</v>
      </c>
      <c r="H698" s="29" t="s">
        <v>254</v>
      </c>
      <c r="I698" s="29" t="n">
        <v>16</v>
      </c>
      <c r="J698" s="29" t="s">
        <v>250</v>
      </c>
      <c r="K698" s="29" t="s">
        <v>251</v>
      </c>
      <c r="L698" s="29" t="n">
        <v>0.03</v>
      </c>
      <c r="M698" s="32" t="n">
        <v>21628.8</v>
      </c>
      <c r="N698" s="32" t="n">
        <v>21635.9</v>
      </c>
      <c r="O698" s="32" t="n">
        <v>21612.06</v>
      </c>
      <c r="P698" s="45" t="n">
        <f aca="false">ABS(M698-N698)</f>
        <v>7.10000000000218</v>
      </c>
      <c r="Q698" s="45" t="n">
        <f aca="false">IF(O698="","",ABS(O698-M698))</f>
        <v>16.739999999998</v>
      </c>
      <c r="R698" s="31" t="n">
        <f aca="false">P698*L698*Summary!$C$6</f>
        <v>21.3000000000066</v>
      </c>
      <c r="S698" s="32" t="n">
        <v>21610.12</v>
      </c>
      <c r="T698" s="29" t="s">
        <v>227</v>
      </c>
      <c r="U698" s="45" t="n">
        <f aca="false">IF(J698="BUY",S698-M698,M698-S698)</f>
        <v>18.6800000000003</v>
      </c>
      <c r="V698" s="46" t="n">
        <v>0</v>
      </c>
      <c r="W698" s="46" t="n">
        <v>0</v>
      </c>
      <c r="X698" s="46" t="n">
        <v>56.04</v>
      </c>
      <c r="Y698" s="33" t="n">
        <f aca="false">IFERROR(X698/R698,0)</f>
        <v>2.63098591549215</v>
      </c>
      <c r="Z698" s="29" t="str">
        <f aca="false">IF(X698&gt;0,"Win",IF(X698&lt;0,"Loss","Flat"))</f>
        <v>Win</v>
      </c>
      <c r="AA698" s="29" t="n">
        <f aca="false">ROUND((C698-B698)*1440,1)</f>
        <v>2</v>
      </c>
      <c r="AB698" s="29" t="str">
        <f aca="false">IF(AA698&lt;1,"a) &lt;1 min",IF(AA698&lt;10,"b) 1-10 min",IF(AA698&lt;60,"c) 10-60 min",IF(AA698&lt;240,"d) 1-4 h","e) 4 h+"))))</f>
        <v>b) 1-10 min</v>
      </c>
      <c r="AC698" s="29" t="str">
        <f aca="false">IF(P698&lt;10,"a) &lt;10",IF(P698&lt;20,"b) 10-20",IF(P698&lt;40,"c) 20-40",IF(P698&lt;80,"d) 40-80","e) 80+"))))</f>
        <v>a) &lt;10</v>
      </c>
      <c r="AD698" s="31" t="n">
        <f aca="false">Summary!$C$5+SUM(X$2:X698)</f>
        <v>14717.99</v>
      </c>
      <c r="AE698" s="31" t="n">
        <f aca="false">MAX(AE697,AD698)</f>
        <v>15756.64</v>
      </c>
      <c r="AF698" s="31" t="n">
        <f aca="false">AE698-AD698</f>
        <v>1038.65</v>
      </c>
      <c r="AG698" s="30" t="n">
        <f aca="false">IFERROR(AF698/AE698,0)</f>
        <v>0.0659182414524924</v>
      </c>
    </row>
    <row r="699" customFormat="false" ht="15" hidden="false" customHeight="false" outlineLevel="0" collapsed="false">
      <c r="A699" s="29" t="n">
        <v>698</v>
      </c>
      <c r="B699" s="44" t="n">
        <v>45656.6173611111</v>
      </c>
      <c r="C699" s="44" t="n">
        <v>45656.6204282407</v>
      </c>
      <c r="D699" s="43" t="n">
        <f aca="false">INT(C699)</f>
        <v>45656</v>
      </c>
      <c r="E699" s="43" t="n">
        <f aca="false">D699-WEEKDAY(D699,3)</f>
        <v>45656</v>
      </c>
      <c r="F699" s="29" t="s">
        <v>176</v>
      </c>
      <c r="G699" s="29" t="n">
        <v>2024</v>
      </c>
      <c r="H699" s="29" t="s">
        <v>245</v>
      </c>
      <c r="I699" s="29" t="n">
        <v>14</v>
      </c>
      <c r="J699" s="29" t="s">
        <v>250</v>
      </c>
      <c r="K699" s="29" t="s">
        <v>251</v>
      </c>
      <c r="L699" s="29" t="n">
        <v>0.03</v>
      </c>
      <c r="M699" s="32" t="n">
        <v>21257.01</v>
      </c>
      <c r="N699" s="32" t="n">
        <v>21276.29</v>
      </c>
      <c r="O699" s="32" t="n">
        <v>21209.77</v>
      </c>
      <c r="P699" s="45" t="n">
        <f aca="false">ABS(M699-N699)</f>
        <v>19.2800000000025</v>
      </c>
      <c r="Q699" s="45" t="n">
        <f aca="false">IF(O699="","",ABS(O699-M699))</f>
        <v>47.239999999998</v>
      </c>
      <c r="R699" s="31" t="n">
        <f aca="false">P699*L699*Summary!$C$6</f>
        <v>57.8400000000074</v>
      </c>
      <c r="S699" s="32" t="n">
        <v>21257.19</v>
      </c>
      <c r="T699" s="29" t="s">
        <v>255</v>
      </c>
      <c r="U699" s="45" t="n">
        <f aca="false">IF(J699="BUY",S699-M699,M699-S699)</f>
        <v>-0.180000000000291</v>
      </c>
      <c r="V699" s="46" t="n">
        <v>0</v>
      </c>
      <c r="W699" s="46" t="n">
        <v>0</v>
      </c>
      <c r="X699" s="46" t="n">
        <v>-0.54</v>
      </c>
      <c r="Y699" s="33" t="n">
        <f aca="false">IFERROR(X699/R699,0)</f>
        <v>-0.00933609958506104</v>
      </c>
      <c r="Z699" s="29" t="str">
        <f aca="false">IF(X699&gt;0,"Win",IF(X699&lt;0,"Loss","Flat"))</f>
        <v>Loss</v>
      </c>
      <c r="AA699" s="29" t="n">
        <f aca="false">ROUND((C699-B699)*1440,1)</f>
        <v>4.4</v>
      </c>
      <c r="AB699" s="29" t="str">
        <f aca="false">IF(AA699&lt;1,"a) &lt;1 min",IF(AA699&lt;10,"b) 1-10 min",IF(AA699&lt;60,"c) 10-60 min",IF(AA699&lt;240,"d) 1-4 h","e) 4 h+"))))</f>
        <v>b) 1-10 min</v>
      </c>
      <c r="AC699" s="29" t="str">
        <f aca="false">IF(P699&lt;10,"a) &lt;10",IF(P699&lt;20,"b) 10-20",IF(P699&lt;40,"c) 20-40",IF(P699&lt;80,"d) 40-80","e) 80+"))))</f>
        <v>b) 10-20</v>
      </c>
      <c r="AD699" s="31" t="n">
        <f aca="false">Summary!$C$5+SUM(X$2:X699)</f>
        <v>14717.45</v>
      </c>
      <c r="AE699" s="31" t="n">
        <f aca="false">MAX(AE698,AD699)</f>
        <v>15756.64</v>
      </c>
      <c r="AF699" s="31" t="n">
        <f aca="false">AE699-AD699</f>
        <v>1039.19</v>
      </c>
      <c r="AG699" s="30" t="n">
        <f aca="false">IFERROR(AF699/AE699,0)</f>
        <v>0.0659525127184475</v>
      </c>
    </row>
    <row r="700" customFormat="false" ht="15" hidden="false" customHeight="false" outlineLevel="0" collapsed="false">
      <c r="A700" s="29" t="n">
        <v>699</v>
      </c>
      <c r="B700" s="44" t="n">
        <v>45657.8145833333</v>
      </c>
      <c r="C700" s="44" t="n">
        <v>45657.8273032407</v>
      </c>
      <c r="D700" s="43" t="n">
        <f aca="false">INT(C700)</f>
        <v>45657</v>
      </c>
      <c r="E700" s="43" t="n">
        <f aca="false">D700-WEEKDAY(D700,3)</f>
        <v>45656</v>
      </c>
      <c r="F700" s="29" t="s">
        <v>176</v>
      </c>
      <c r="G700" s="29" t="n">
        <v>2024</v>
      </c>
      <c r="H700" s="29" t="s">
        <v>248</v>
      </c>
      <c r="I700" s="29" t="n">
        <v>19</v>
      </c>
      <c r="J700" s="29" t="s">
        <v>250</v>
      </c>
      <c r="K700" s="29" t="s">
        <v>251</v>
      </c>
      <c r="L700" s="29" t="n">
        <v>0.03</v>
      </c>
      <c r="M700" s="32" t="n">
        <v>21035.76</v>
      </c>
      <c r="N700" s="32" t="n">
        <v>21049.99</v>
      </c>
      <c r="O700" s="32" t="n">
        <v>21000.89</v>
      </c>
      <c r="P700" s="45" t="n">
        <f aca="false">ABS(M700-N700)</f>
        <v>14.2300000000032</v>
      </c>
      <c r="Q700" s="45" t="n">
        <f aca="false">IF(O700="","",ABS(O700-M700))</f>
        <v>34.869999999999</v>
      </c>
      <c r="R700" s="31" t="n">
        <f aca="false">P700*L700*Summary!$C$6</f>
        <v>42.6900000000096</v>
      </c>
      <c r="S700" s="32" t="n">
        <v>21036.81</v>
      </c>
      <c r="T700" s="29" t="s">
        <v>255</v>
      </c>
      <c r="U700" s="45" t="n">
        <f aca="false">IF(J700="BUY",S700-M700,M700-S700)</f>
        <v>-1.05000000000291</v>
      </c>
      <c r="V700" s="46" t="n">
        <v>0</v>
      </c>
      <c r="W700" s="46" t="n">
        <v>0</v>
      </c>
      <c r="X700" s="46" t="n">
        <v>-3.15</v>
      </c>
      <c r="Y700" s="33" t="n">
        <f aca="false">IFERROR(X700/R700,0)</f>
        <v>-0.0737877723120003</v>
      </c>
      <c r="Z700" s="29" t="str">
        <f aca="false">IF(X700&gt;0,"Win",IF(X700&lt;0,"Loss","Flat"))</f>
        <v>Loss</v>
      </c>
      <c r="AA700" s="29" t="n">
        <f aca="false">ROUND((C700-B700)*1440,1)</f>
        <v>18.3</v>
      </c>
      <c r="AB700" s="29" t="str">
        <f aca="false">IF(AA700&lt;1,"a) &lt;1 min",IF(AA700&lt;10,"b) 1-10 min",IF(AA700&lt;60,"c) 10-60 min",IF(AA700&lt;240,"d) 1-4 h","e) 4 h+"))))</f>
        <v>c) 10-60 min</v>
      </c>
      <c r="AC700" s="29" t="str">
        <f aca="false">IF(P700&lt;10,"a) &lt;10",IF(P700&lt;20,"b) 10-20",IF(P700&lt;40,"c) 20-40",IF(P700&lt;80,"d) 40-80","e) 80+"))))</f>
        <v>b) 10-20</v>
      </c>
      <c r="AD700" s="31" t="n">
        <f aca="false">Summary!$C$5+SUM(X$2:X700)</f>
        <v>14714.3</v>
      </c>
      <c r="AE700" s="31" t="n">
        <f aca="false">MAX(AE699,AD700)</f>
        <v>15756.64</v>
      </c>
      <c r="AF700" s="31" t="n">
        <f aca="false">AE700-AD700</f>
        <v>1042.34</v>
      </c>
      <c r="AG700" s="30" t="n">
        <f aca="false">IFERROR(AF700/AE700,0)</f>
        <v>0.0661524284365195</v>
      </c>
    </row>
    <row r="701" customFormat="false" ht="15" hidden="false" customHeight="false" outlineLevel="0" collapsed="false">
      <c r="A701" s="29" t="n">
        <v>700</v>
      </c>
      <c r="B701" s="44" t="n">
        <v>45659.0951388889</v>
      </c>
      <c r="C701" s="44" t="n">
        <v>45659.0958912037</v>
      </c>
      <c r="D701" s="43" t="n">
        <f aca="false">INT(C701)</f>
        <v>45659</v>
      </c>
      <c r="E701" s="43" t="n">
        <f aca="false">D701-WEEKDAY(D701,3)</f>
        <v>45656</v>
      </c>
      <c r="F701" s="29" t="s">
        <v>177</v>
      </c>
      <c r="G701" s="29" t="n">
        <v>2025</v>
      </c>
      <c r="H701" s="29" t="s">
        <v>253</v>
      </c>
      <c r="I701" s="29" t="n">
        <v>2</v>
      </c>
      <c r="J701" s="29" t="s">
        <v>250</v>
      </c>
      <c r="K701" s="29" t="s">
        <v>251</v>
      </c>
      <c r="L701" s="29" t="n">
        <v>0.03</v>
      </c>
      <c r="M701" s="32" t="n">
        <v>20967.85</v>
      </c>
      <c r="N701" s="32" t="n">
        <v>20985.97</v>
      </c>
      <c r="O701" s="32" t="n">
        <v>20923.46</v>
      </c>
      <c r="P701" s="45" t="n">
        <f aca="false">ABS(M701-N701)</f>
        <v>18.1200000000026</v>
      </c>
      <c r="Q701" s="45" t="n">
        <f aca="false">IF(O701="","",ABS(O701-M701))</f>
        <v>44.3899999999994</v>
      </c>
      <c r="R701" s="31" t="n">
        <f aca="false">P701*L701*Summary!$C$6</f>
        <v>54.3600000000079</v>
      </c>
      <c r="S701" s="32" t="n">
        <v>20918.3</v>
      </c>
      <c r="T701" s="29" t="s">
        <v>227</v>
      </c>
      <c r="U701" s="45" t="n">
        <f aca="false">IF(J701="BUY",S701-M701,M701-S701)</f>
        <v>49.5499999999993</v>
      </c>
      <c r="V701" s="46" t="n">
        <v>0</v>
      </c>
      <c r="W701" s="46" t="n">
        <v>0</v>
      </c>
      <c r="X701" s="46" t="n">
        <v>148.65</v>
      </c>
      <c r="Y701" s="33" t="n">
        <f aca="false">IFERROR(X701/R701,0)</f>
        <v>2.73454746136826</v>
      </c>
      <c r="Z701" s="29" t="str">
        <f aca="false">IF(X701&gt;0,"Win",IF(X701&lt;0,"Loss","Flat"))</f>
        <v>Win</v>
      </c>
      <c r="AA701" s="29" t="n">
        <f aca="false">ROUND((C701-B701)*1440,1)</f>
        <v>1.1</v>
      </c>
      <c r="AB701" s="29" t="str">
        <f aca="false">IF(AA701&lt;1,"a) &lt;1 min",IF(AA701&lt;10,"b) 1-10 min",IF(AA701&lt;60,"c) 10-60 min",IF(AA701&lt;240,"d) 1-4 h","e) 4 h+"))))</f>
        <v>b) 1-10 min</v>
      </c>
      <c r="AC701" s="29" t="str">
        <f aca="false">IF(P701&lt;10,"a) &lt;10",IF(P701&lt;20,"b) 10-20",IF(P701&lt;40,"c) 20-40",IF(P701&lt;80,"d) 40-80","e) 80+"))))</f>
        <v>b) 10-20</v>
      </c>
      <c r="AD701" s="31" t="n">
        <f aca="false">Summary!$C$5+SUM(X$2:X701)</f>
        <v>14862.95</v>
      </c>
      <c r="AE701" s="31" t="n">
        <f aca="false">MAX(AE700,AD701)</f>
        <v>15756.64</v>
      </c>
      <c r="AF701" s="31" t="n">
        <f aca="false">AE701-AD701</f>
        <v>893.689999999999</v>
      </c>
      <c r="AG701" s="30" t="n">
        <f aca="false">IFERROR(AF701/AE701,0)</f>
        <v>0.0567183105027467</v>
      </c>
    </row>
    <row r="702" customFormat="false" ht="15" hidden="false" customHeight="false" outlineLevel="0" collapsed="false">
      <c r="A702" s="29" t="n">
        <v>701</v>
      </c>
      <c r="B702" s="44" t="n">
        <v>45660.7854166667</v>
      </c>
      <c r="C702" s="44" t="n">
        <v>45660.7859259259</v>
      </c>
      <c r="D702" s="43" t="n">
        <f aca="false">INT(C702)</f>
        <v>45660</v>
      </c>
      <c r="E702" s="43" t="n">
        <f aca="false">D702-WEEKDAY(D702,3)</f>
        <v>45656</v>
      </c>
      <c r="F702" s="29" t="s">
        <v>177</v>
      </c>
      <c r="G702" s="29" t="n">
        <v>2025</v>
      </c>
      <c r="H702" s="29" t="s">
        <v>254</v>
      </c>
      <c r="I702" s="29" t="n">
        <v>18</v>
      </c>
      <c r="J702" s="29" t="s">
        <v>246</v>
      </c>
      <c r="K702" s="29" t="s">
        <v>247</v>
      </c>
      <c r="L702" s="29" t="n">
        <v>0.03</v>
      </c>
      <c r="M702" s="32" t="n">
        <v>21288.57</v>
      </c>
      <c r="N702" s="32" t="n">
        <v>21279.88</v>
      </c>
      <c r="O702" s="32" t="n">
        <v>21309.87</v>
      </c>
      <c r="P702" s="45" t="n">
        <f aca="false">ABS(M702-N702)</f>
        <v>8.68999999999869</v>
      </c>
      <c r="Q702" s="45" t="n">
        <f aca="false">IF(O702="","",ABS(O702-M702))</f>
        <v>21.2999999999993</v>
      </c>
      <c r="R702" s="31" t="n">
        <f aca="false">P702*L702*Summary!$C$6</f>
        <v>26.0699999999961</v>
      </c>
      <c r="S702" s="32" t="n">
        <v>21279.83</v>
      </c>
      <c r="T702" s="29" t="s">
        <v>249</v>
      </c>
      <c r="U702" s="45" t="n">
        <f aca="false">IF(J702="BUY",S702-M702,M702-S702)</f>
        <v>-8.73999999999796</v>
      </c>
      <c r="V702" s="46" t="n">
        <v>0</v>
      </c>
      <c r="W702" s="46" t="n">
        <v>0</v>
      </c>
      <c r="X702" s="46" t="n">
        <v>-26.22</v>
      </c>
      <c r="Y702" s="33" t="n">
        <f aca="false">IFERROR(X702/R702,0)</f>
        <v>-1.00575373993111</v>
      </c>
      <c r="Z702" s="29" t="str">
        <f aca="false">IF(X702&gt;0,"Win",IF(X702&lt;0,"Loss","Flat"))</f>
        <v>Loss</v>
      </c>
      <c r="AA702" s="29" t="n">
        <f aca="false">ROUND((C702-B702)*1440,1)</f>
        <v>0.7</v>
      </c>
      <c r="AB702" s="29" t="str">
        <f aca="false">IF(AA702&lt;1,"a) &lt;1 min",IF(AA702&lt;10,"b) 1-10 min",IF(AA702&lt;60,"c) 10-60 min",IF(AA702&lt;240,"d) 1-4 h","e) 4 h+"))))</f>
        <v>a) &lt;1 min</v>
      </c>
      <c r="AC702" s="29" t="str">
        <f aca="false">IF(P702&lt;10,"a) &lt;10",IF(P702&lt;20,"b) 10-20",IF(P702&lt;40,"c) 20-40",IF(P702&lt;80,"d) 40-80","e) 80+"))))</f>
        <v>a) &lt;10</v>
      </c>
      <c r="AD702" s="31" t="n">
        <f aca="false">Summary!$C$5+SUM(X$2:X702)</f>
        <v>14836.73</v>
      </c>
      <c r="AE702" s="31" t="n">
        <f aca="false">MAX(AE701,AD702)</f>
        <v>15756.64</v>
      </c>
      <c r="AF702" s="31" t="n">
        <f aca="false">AE702-AD702</f>
        <v>919.91</v>
      </c>
      <c r="AG702" s="30" t="n">
        <f aca="false">IFERROR(AF702/AE702,0)</f>
        <v>0.0583823708607927</v>
      </c>
    </row>
    <row r="703" customFormat="false" ht="15" hidden="false" customHeight="false" outlineLevel="0" collapsed="false">
      <c r="A703" s="29" t="n">
        <v>702</v>
      </c>
      <c r="B703" s="44" t="n">
        <v>45663.3847222222</v>
      </c>
      <c r="C703" s="44" t="n">
        <v>45663.3886805556</v>
      </c>
      <c r="D703" s="43" t="n">
        <f aca="false">INT(C703)</f>
        <v>45663</v>
      </c>
      <c r="E703" s="43" t="n">
        <f aca="false">D703-WEEKDAY(D703,3)</f>
        <v>45663</v>
      </c>
      <c r="F703" s="29" t="s">
        <v>177</v>
      </c>
      <c r="G703" s="29" t="n">
        <v>2025</v>
      </c>
      <c r="H703" s="29" t="s">
        <v>245</v>
      </c>
      <c r="I703" s="29" t="n">
        <v>9</v>
      </c>
      <c r="J703" s="29" t="s">
        <v>246</v>
      </c>
      <c r="K703" s="29" t="s">
        <v>247</v>
      </c>
      <c r="L703" s="29" t="n">
        <v>0.03</v>
      </c>
      <c r="M703" s="32" t="n">
        <v>21359.01</v>
      </c>
      <c r="N703" s="32" t="n">
        <v>21353.82</v>
      </c>
      <c r="O703" s="32" t="n">
        <v>21371.73</v>
      </c>
      <c r="P703" s="45" t="n">
        <f aca="false">ABS(M703-N703)</f>
        <v>5.18999999999869</v>
      </c>
      <c r="Q703" s="45" t="n">
        <f aca="false">IF(O703="","",ABS(O703-M703))</f>
        <v>12.7200000000012</v>
      </c>
      <c r="R703" s="31" t="n">
        <f aca="false">P703*L703*Summary!$C$6</f>
        <v>15.5699999999961</v>
      </c>
      <c r="S703" s="32" t="n">
        <v>21358.81</v>
      </c>
      <c r="T703" s="29" t="s">
        <v>255</v>
      </c>
      <c r="U703" s="45" t="n">
        <f aca="false">IF(J703="BUY",S703-M703,M703-S703)</f>
        <v>-0.19999999999709</v>
      </c>
      <c r="V703" s="46" t="n">
        <v>0</v>
      </c>
      <c r="W703" s="46" t="n">
        <v>0</v>
      </c>
      <c r="X703" s="46" t="n">
        <v>-0.6</v>
      </c>
      <c r="Y703" s="33" t="n">
        <f aca="false">IFERROR(X703/R703,0)</f>
        <v>-0.0385356454720714</v>
      </c>
      <c r="Z703" s="29" t="str">
        <f aca="false">IF(X703&gt;0,"Win",IF(X703&lt;0,"Loss","Flat"))</f>
        <v>Loss</v>
      </c>
      <c r="AA703" s="29" t="n">
        <f aca="false">ROUND((C703-B703)*1440,1)</f>
        <v>5.7</v>
      </c>
      <c r="AB703" s="29" t="str">
        <f aca="false">IF(AA703&lt;1,"a) &lt;1 min",IF(AA703&lt;10,"b) 1-10 min",IF(AA703&lt;60,"c) 10-60 min",IF(AA703&lt;240,"d) 1-4 h","e) 4 h+"))))</f>
        <v>b) 1-10 min</v>
      </c>
      <c r="AC703" s="29" t="str">
        <f aca="false">IF(P703&lt;10,"a) &lt;10",IF(P703&lt;20,"b) 10-20",IF(P703&lt;40,"c) 20-40",IF(P703&lt;80,"d) 40-80","e) 80+"))))</f>
        <v>a) &lt;10</v>
      </c>
      <c r="AD703" s="31" t="n">
        <f aca="false">Summary!$C$5+SUM(X$2:X703)</f>
        <v>14836.13</v>
      </c>
      <c r="AE703" s="31" t="n">
        <f aca="false">MAX(AE702,AD703)</f>
        <v>15756.64</v>
      </c>
      <c r="AF703" s="31" t="n">
        <f aca="false">AE703-AD703</f>
        <v>920.509999999998</v>
      </c>
      <c r="AG703" s="30" t="n">
        <f aca="false">IFERROR(AF703/AE703,0)</f>
        <v>0.0584204500451872</v>
      </c>
    </row>
    <row r="704" customFormat="false" ht="15" hidden="false" customHeight="false" outlineLevel="0" collapsed="false">
      <c r="A704" s="29" t="n">
        <v>703</v>
      </c>
      <c r="B704" s="44" t="n">
        <v>45664.7354166667</v>
      </c>
      <c r="C704" s="44" t="n">
        <v>45664.7436921296</v>
      </c>
      <c r="D704" s="43" t="n">
        <f aca="false">INT(C704)</f>
        <v>45664</v>
      </c>
      <c r="E704" s="43" t="n">
        <f aca="false">D704-WEEKDAY(D704,3)</f>
        <v>45663</v>
      </c>
      <c r="F704" s="29" t="s">
        <v>177</v>
      </c>
      <c r="G704" s="29" t="n">
        <v>2025</v>
      </c>
      <c r="H704" s="29" t="s">
        <v>248</v>
      </c>
      <c r="I704" s="29" t="n">
        <v>17</v>
      </c>
      <c r="J704" s="29" t="s">
        <v>250</v>
      </c>
      <c r="K704" s="29" t="s">
        <v>251</v>
      </c>
      <c r="L704" s="29" t="n">
        <v>0.03</v>
      </c>
      <c r="M704" s="32" t="n">
        <v>21278.71</v>
      </c>
      <c r="N704" s="32" t="n">
        <v>21307.62</v>
      </c>
      <c r="O704" s="32" t="n">
        <v>21207.88</v>
      </c>
      <c r="P704" s="45" t="n">
        <f aca="false">ABS(M704-N704)</f>
        <v>28.9099999999999</v>
      </c>
      <c r="Q704" s="45" t="n">
        <f aca="false">IF(O704="","",ABS(O704-M704))</f>
        <v>70.8299999999981</v>
      </c>
      <c r="R704" s="31" t="n">
        <f aca="false">P704*L704*Summary!$C$6</f>
        <v>86.7299999999996</v>
      </c>
      <c r="S704" s="32" t="n">
        <v>21278.9</v>
      </c>
      <c r="T704" s="29" t="s">
        <v>255</v>
      </c>
      <c r="U704" s="45" t="n">
        <f aca="false">IF(J704="BUY",S704-M704,M704-S704)</f>
        <v>-0.190000000002328</v>
      </c>
      <c r="V704" s="46" t="n">
        <v>0</v>
      </c>
      <c r="W704" s="46" t="n">
        <v>0</v>
      </c>
      <c r="X704" s="46" t="n">
        <v>-0.57</v>
      </c>
      <c r="Y704" s="33" t="n">
        <f aca="false">IFERROR(X704/R704,0)</f>
        <v>-0.00657212037357319</v>
      </c>
      <c r="Z704" s="29" t="str">
        <f aca="false">IF(X704&gt;0,"Win",IF(X704&lt;0,"Loss","Flat"))</f>
        <v>Loss</v>
      </c>
      <c r="AA704" s="29" t="n">
        <f aca="false">ROUND((C704-B704)*1440,1)</f>
        <v>11.9</v>
      </c>
      <c r="AB704" s="29" t="str">
        <f aca="false">IF(AA704&lt;1,"a) &lt;1 min",IF(AA704&lt;10,"b) 1-10 min",IF(AA704&lt;60,"c) 10-60 min",IF(AA704&lt;240,"d) 1-4 h","e) 4 h+"))))</f>
        <v>c) 10-60 min</v>
      </c>
      <c r="AC704" s="29" t="str">
        <f aca="false">IF(P704&lt;10,"a) &lt;10",IF(P704&lt;20,"b) 10-20",IF(P704&lt;40,"c) 20-40",IF(P704&lt;80,"d) 40-80","e) 80+"))))</f>
        <v>c) 20-40</v>
      </c>
      <c r="AD704" s="31" t="n">
        <f aca="false">Summary!$C$5+SUM(X$2:X704)</f>
        <v>14835.56</v>
      </c>
      <c r="AE704" s="31" t="n">
        <f aca="false">MAX(AE703,AD704)</f>
        <v>15756.64</v>
      </c>
      <c r="AF704" s="31" t="n">
        <f aca="false">AE704-AD704</f>
        <v>921.08</v>
      </c>
      <c r="AG704" s="30" t="n">
        <f aca="false">IFERROR(AF704/AE704,0)</f>
        <v>0.0584566252703622</v>
      </c>
    </row>
    <row r="705" customFormat="false" ht="15" hidden="false" customHeight="false" outlineLevel="0" collapsed="false">
      <c r="A705" s="29" t="n">
        <v>704</v>
      </c>
      <c r="B705" s="44" t="n">
        <v>45665.5972222222</v>
      </c>
      <c r="C705" s="44" t="n">
        <v>45665.5982060185</v>
      </c>
      <c r="D705" s="43" t="n">
        <f aca="false">INT(C705)</f>
        <v>45665</v>
      </c>
      <c r="E705" s="43" t="n">
        <f aca="false">D705-WEEKDAY(D705,3)</f>
        <v>45663</v>
      </c>
      <c r="F705" s="29" t="s">
        <v>177</v>
      </c>
      <c r="G705" s="29" t="n">
        <v>2025</v>
      </c>
      <c r="H705" s="29" t="s">
        <v>252</v>
      </c>
      <c r="I705" s="29" t="n">
        <v>14</v>
      </c>
      <c r="J705" s="29" t="s">
        <v>250</v>
      </c>
      <c r="K705" s="29" t="s">
        <v>251</v>
      </c>
      <c r="L705" s="29" t="n">
        <v>0.03</v>
      </c>
      <c r="M705" s="32" t="n">
        <v>21093.99</v>
      </c>
      <c r="N705" s="32" t="n">
        <v>21107.31</v>
      </c>
      <c r="O705" s="32" t="n">
        <v>21061.37</v>
      </c>
      <c r="P705" s="45" t="n">
        <f aca="false">ABS(M705-N705)</f>
        <v>13.3199999999997</v>
      </c>
      <c r="Q705" s="45" t="n">
        <f aca="false">IF(O705="","",ABS(O705-M705))</f>
        <v>32.6200000000026</v>
      </c>
      <c r="R705" s="31" t="n">
        <f aca="false">P705*L705*Summary!$C$6</f>
        <v>39.9599999999991</v>
      </c>
      <c r="S705" s="32" t="n">
        <v>21095.07</v>
      </c>
      <c r="T705" s="29" t="s">
        <v>255</v>
      </c>
      <c r="U705" s="45" t="n">
        <f aca="false">IF(J705="BUY",S705-M705,M705-S705)</f>
        <v>-1.07999999999811</v>
      </c>
      <c r="V705" s="46" t="n">
        <v>0</v>
      </c>
      <c r="W705" s="46" t="n">
        <v>0</v>
      </c>
      <c r="X705" s="46" t="n">
        <v>-3.24</v>
      </c>
      <c r="Y705" s="33" t="n">
        <f aca="false">IFERROR(X705/R705,0)</f>
        <v>-0.0810810810810829</v>
      </c>
      <c r="Z705" s="29" t="str">
        <f aca="false">IF(X705&gt;0,"Win",IF(X705&lt;0,"Loss","Flat"))</f>
        <v>Loss</v>
      </c>
      <c r="AA705" s="29" t="n">
        <f aca="false">ROUND((C705-B705)*1440,1)</f>
        <v>1.4</v>
      </c>
      <c r="AB705" s="29" t="str">
        <f aca="false">IF(AA705&lt;1,"a) &lt;1 min",IF(AA705&lt;10,"b) 1-10 min",IF(AA705&lt;60,"c) 10-60 min",IF(AA705&lt;240,"d) 1-4 h","e) 4 h+"))))</f>
        <v>b) 1-10 min</v>
      </c>
      <c r="AC705" s="29" t="str">
        <f aca="false">IF(P705&lt;10,"a) &lt;10",IF(P705&lt;20,"b) 10-20",IF(P705&lt;40,"c) 20-40",IF(P705&lt;80,"d) 40-80","e) 80+"))))</f>
        <v>b) 10-20</v>
      </c>
      <c r="AD705" s="31" t="n">
        <f aca="false">Summary!$C$5+SUM(X$2:X705)</f>
        <v>14832.32</v>
      </c>
      <c r="AE705" s="31" t="n">
        <f aca="false">MAX(AE704,AD705)</f>
        <v>15756.64</v>
      </c>
      <c r="AF705" s="31" t="n">
        <f aca="false">AE705-AD705</f>
        <v>924.32</v>
      </c>
      <c r="AG705" s="30" t="n">
        <f aca="false">IFERROR(AF705/AE705,0)</f>
        <v>0.0586622528660933</v>
      </c>
    </row>
    <row r="706" customFormat="false" ht="15" hidden="false" customHeight="false" outlineLevel="0" collapsed="false">
      <c r="A706" s="29" t="n">
        <v>705</v>
      </c>
      <c r="B706" s="44" t="n">
        <v>45667.09375</v>
      </c>
      <c r="C706" s="44" t="n">
        <v>45667.0979976852</v>
      </c>
      <c r="D706" s="43" t="n">
        <f aca="false">INT(C706)</f>
        <v>45667</v>
      </c>
      <c r="E706" s="43" t="n">
        <f aca="false">D706-WEEKDAY(D706,3)</f>
        <v>45663</v>
      </c>
      <c r="F706" s="29" t="s">
        <v>177</v>
      </c>
      <c r="G706" s="29" t="n">
        <v>2025</v>
      </c>
      <c r="H706" s="29" t="s">
        <v>254</v>
      </c>
      <c r="I706" s="29" t="n">
        <v>2</v>
      </c>
      <c r="J706" s="29" t="s">
        <v>250</v>
      </c>
      <c r="K706" s="29" t="s">
        <v>251</v>
      </c>
      <c r="L706" s="29" t="n">
        <v>0.03</v>
      </c>
      <c r="M706" s="32" t="n">
        <v>21024.89</v>
      </c>
      <c r="N706" s="32" t="n">
        <v>21035.51</v>
      </c>
      <c r="O706" s="32" t="n">
        <v>20998.86</v>
      </c>
      <c r="P706" s="45" t="n">
        <f aca="false">ABS(M706-N706)</f>
        <v>10.619999999999</v>
      </c>
      <c r="Q706" s="45" t="n">
        <f aca="false">IF(O706="","",ABS(O706-M706))</f>
        <v>26.0299999999988</v>
      </c>
      <c r="R706" s="31" t="n">
        <f aca="false">P706*L706*Summary!$C$6</f>
        <v>31.8599999999969</v>
      </c>
      <c r="S706" s="32" t="n">
        <v>21026.71</v>
      </c>
      <c r="T706" s="29" t="s">
        <v>255</v>
      </c>
      <c r="U706" s="45" t="n">
        <f aca="false">IF(J706="BUY",S706-M706,M706-S706)</f>
        <v>-1.81999999999971</v>
      </c>
      <c r="V706" s="46" t="n">
        <v>0</v>
      </c>
      <c r="W706" s="46" t="n">
        <v>0</v>
      </c>
      <c r="X706" s="46" t="n">
        <v>-5.46</v>
      </c>
      <c r="Y706" s="33" t="n">
        <f aca="false">IFERROR(X706/R706,0)</f>
        <v>-0.17137476459512</v>
      </c>
      <c r="Z706" s="29" t="str">
        <f aca="false">IF(X706&gt;0,"Win",IF(X706&lt;0,"Loss","Flat"))</f>
        <v>Loss</v>
      </c>
      <c r="AA706" s="29" t="n">
        <f aca="false">ROUND((C706-B706)*1440,1)</f>
        <v>6.1</v>
      </c>
      <c r="AB706" s="29" t="str">
        <f aca="false">IF(AA706&lt;1,"a) &lt;1 min",IF(AA706&lt;10,"b) 1-10 min",IF(AA706&lt;60,"c) 10-60 min",IF(AA706&lt;240,"d) 1-4 h","e) 4 h+"))))</f>
        <v>b) 1-10 min</v>
      </c>
      <c r="AC706" s="29" t="str">
        <f aca="false">IF(P706&lt;10,"a) &lt;10",IF(P706&lt;20,"b) 10-20",IF(P706&lt;40,"c) 20-40",IF(P706&lt;80,"d) 40-80","e) 80+"))))</f>
        <v>b) 10-20</v>
      </c>
      <c r="AD706" s="31" t="n">
        <f aca="false">Summary!$C$5+SUM(X$2:X706)</f>
        <v>14826.86</v>
      </c>
      <c r="AE706" s="31" t="n">
        <f aca="false">MAX(AE705,AD706)</f>
        <v>15756.64</v>
      </c>
      <c r="AF706" s="31" t="n">
        <f aca="false">AE706-AD706</f>
        <v>929.779999999999</v>
      </c>
      <c r="AG706" s="30" t="n">
        <f aca="false">IFERROR(AF706/AE706,0)</f>
        <v>0.0590087734440845</v>
      </c>
    </row>
    <row r="707" customFormat="false" ht="15" hidden="false" customHeight="false" outlineLevel="0" collapsed="false">
      <c r="A707" s="29" t="n">
        <v>706</v>
      </c>
      <c r="B707" s="44" t="n">
        <v>45667.5486111111</v>
      </c>
      <c r="C707" s="44" t="n">
        <v>45667.5499768519</v>
      </c>
      <c r="D707" s="43" t="n">
        <f aca="false">INT(C707)</f>
        <v>45667</v>
      </c>
      <c r="E707" s="43" t="n">
        <f aca="false">D707-WEEKDAY(D707,3)</f>
        <v>45663</v>
      </c>
      <c r="F707" s="29" t="s">
        <v>177</v>
      </c>
      <c r="G707" s="29" t="n">
        <v>2025</v>
      </c>
      <c r="H707" s="29" t="s">
        <v>254</v>
      </c>
      <c r="I707" s="29" t="n">
        <v>13</v>
      </c>
      <c r="J707" s="29" t="s">
        <v>246</v>
      </c>
      <c r="K707" s="29" t="s">
        <v>247</v>
      </c>
      <c r="L707" s="29" t="n">
        <v>0.03</v>
      </c>
      <c r="M707" s="32" t="n">
        <v>21169.91</v>
      </c>
      <c r="N707" s="32" t="n">
        <v>21163.26</v>
      </c>
      <c r="O707" s="32" t="n">
        <v>21186.19</v>
      </c>
      <c r="P707" s="45" t="n">
        <f aca="false">ABS(M707-N707)</f>
        <v>6.65000000000146</v>
      </c>
      <c r="Q707" s="45" t="n">
        <f aca="false">IF(O707="","",ABS(O707-M707))</f>
        <v>16.2799999999988</v>
      </c>
      <c r="R707" s="31" t="n">
        <f aca="false">P707*L707*Summary!$C$6</f>
        <v>19.9500000000044</v>
      </c>
      <c r="S707" s="32" t="n">
        <v>21186.39</v>
      </c>
      <c r="T707" s="29" t="s">
        <v>227</v>
      </c>
      <c r="U707" s="45" t="n">
        <f aca="false">IF(J707="BUY",S707-M707,M707-S707)</f>
        <v>16.4799999999996</v>
      </c>
      <c r="V707" s="46" t="n">
        <v>0</v>
      </c>
      <c r="W707" s="46" t="n">
        <v>0</v>
      </c>
      <c r="X707" s="46" t="n">
        <v>49.44</v>
      </c>
      <c r="Y707" s="33" t="n">
        <f aca="false">IFERROR(X707/R707,0)</f>
        <v>2.47819548872126</v>
      </c>
      <c r="Z707" s="29" t="str">
        <f aca="false">IF(X707&gt;0,"Win",IF(X707&lt;0,"Loss","Flat"))</f>
        <v>Win</v>
      </c>
      <c r="AA707" s="29" t="n">
        <f aca="false">ROUND((C707-B707)*1440,1)</f>
        <v>2</v>
      </c>
      <c r="AB707" s="29" t="str">
        <f aca="false">IF(AA707&lt;1,"a) &lt;1 min",IF(AA707&lt;10,"b) 1-10 min",IF(AA707&lt;60,"c) 10-60 min",IF(AA707&lt;240,"d) 1-4 h","e) 4 h+"))))</f>
        <v>b) 1-10 min</v>
      </c>
      <c r="AC707" s="29" t="str">
        <f aca="false">IF(P707&lt;10,"a) &lt;10",IF(P707&lt;20,"b) 10-20",IF(P707&lt;40,"c) 20-40",IF(P707&lt;80,"d) 40-80","e) 80+"))))</f>
        <v>a) &lt;10</v>
      </c>
      <c r="AD707" s="31" t="n">
        <f aca="false">Summary!$C$5+SUM(X$2:X707)</f>
        <v>14876.3</v>
      </c>
      <c r="AE707" s="31" t="n">
        <f aca="false">MAX(AE706,AD707)</f>
        <v>15756.64</v>
      </c>
      <c r="AF707" s="31" t="n">
        <f aca="false">AE707-AD707</f>
        <v>880.34</v>
      </c>
      <c r="AG707" s="30" t="n">
        <f aca="false">IFERROR(AF707/AE707,0)</f>
        <v>0.055871048649966</v>
      </c>
    </row>
    <row r="708" customFormat="false" ht="15" hidden="false" customHeight="false" outlineLevel="0" collapsed="false">
      <c r="A708" s="29" t="n">
        <v>707</v>
      </c>
      <c r="B708" s="44" t="n">
        <v>45670.2277777778</v>
      </c>
      <c r="C708" s="44" t="n">
        <v>45670.2311111111</v>
      </c>
      <c r="D708" s="43" t="n">
        <f aca="false">INT(C708)</f>
        <v>45670</v>
      </c>
      <c r="E708" s="43" t="n">
        <f aca="false">D708-WEEKDAY(D708,3)</f>
        <v>45670</v>
      </c>
      <c r="F708" s="29" t="s">
        <v>177</v>
      </c>
      <c r="G708" s="29" t="n">
        <v>2025</v>
      </c>
      <c r="H708" s="29" t="s">
        <v>245</v>
      </c>
      <c r="I708" s="29" t="n">
        <v>5</v>
      </c>
      <c r="J708" s="29" t="s">
        <v>250</v>
      </c>
      <c r="K708" s="29" t="s">
        <v>251</v>
      </c>
      <c r="L708" s="29" t="n">
        <v>0.03</v>
      </c>
      <c r="M708" s="32" t="n">
        <v>20701.72</v>
      </c>
      <c r="N708" s="32" t="n">
        <v>20719.02</v>
      </c>
      <c r="O708" s="32" t="n">
        <v>20659.33</v>
      </c>
      <c r="P708" s="45" t="n">
        <f aca="false">ABS(M708-N708)</f>
        <v>17.2999999999993</v>
      </c>
      <c r="Q708" s="45" t="n">
        <f aca="false">IF(O708="","",ABS(O708-M708))</f>
        <v>42.3899999999994</v>
      </c>
      <c r="R708" s="31" t="n">
        <f aca="false">P708*L708*Summary!$C$6</f>
        <v>51.8999999999978</v>
      </c>
      <c r="S708" s="32" t="n">
        <v>20719.3</v>
      </c>
      <c r="T708" s="29" t="s">
        <v>249</v>
      </c>
      <c r="U708" s="45" t="n">
        <f aca="false">IF(J708="BUY",S708-M708,M708-S708)</f>
        <v>-17.5799999999981</v>
      </c>
      <c r="V708" s="46" t="n">
        <v>0</v>
      </c>
      <c r="W708" s="46" t="n">
        <v>0</v>
      </c>
      <c r="X708" s="46" t="n">
        <v>-52.74</v>
      </c>
      <c r="Y708" s="33" t="n">
        <f aca="false">IFERROR(X708/R708,0)</f>
        <v>-1.01618497109831</v>
      </c>
      <c r="Z708" s="29" t="str">
        <f aca="false">IF(X708&gt;0,"Win",IF(X708&lt;0,"Loss","Flat"))</f>
        <v>Loss</v>
      </c>
      <c r="AA708" s="29" t="n">
        <f aca="false">ROUND((C708-B708)*1440,1)</f>
        <v>4.8</v>
      </c>
      <c r="AB708" s="29" t="str">
        <f aca="false">IF(AA708&lt;1,"a) &lt;1 min",IF(AA708&lt;10,"b) 1-10 min",IF(AA708&lt;60,"c) 10-60 min",IF(AA708&lt;240,"d) 1-4 h","e) 4 h+"))))</f>
        <v>b) 1-10 min</v>
      </c>
      <c r="AC708" s="29" t="str">
        <f aca="false">IF(P708&lt;10,"a) &lt;10",IF(P708&lt;20,"b) 10-20",IF(P708&lt;40,"c) 20-40",IF(P708&lt;80,"d) 40-80","e) 80+"))))</f>
        <v>b) 10-20</v>
      </c>
      <c r="AD708" s="31" t="n">
        <f aca="false">Summary!$C$5+SUM(X$2:X708)</f>
        <v>14823.56</v>
      </c>
      <c r="AE708" s="31" t="n">
        <f aca="false">MAX(AE707,AD708)</f>
        <v>15756.64</v>
      </c>
      <c r="AF708" s="31" t="n">
        <f aca="false">AE708-AD708</f>
        <v>933.08</v>
      </c>
      <c r="AG708" s="30" t="n">
        <f aca="false">IFERROR(AF708/AE708,0)</f>
        <v>0.0592182089582551</v>
      </c>
    </row>
    <row r="709" customFormat="false" ht="15" hidden="false" customHeight="false" outlineLevel="0" collapsed="false">
      <c r="A709" s="29" t="n">
        <v>708</v>
      </c>
      <c r="B709" s="44" t="n">
        <v>45671.0472222222</v>
      </c>
      <c r="C709" s="44" t="n">
        <v>45671.0647106482</v>
      </c>
      <c r="D709" s="43" t="n">
        <f aca="false">INT(C709)</f>
        <v>45671</v>
      </c>
      <c r="E709" s="43" t="n">
        <f aca="false">D709-WEEKDAY(D709,3)</f>
        <v>45670</v>
      </c>
      <c r="F709" s="29" t="s">
        <v>177</v>
      </c>
      <c r="G709" s="29" t="n">
        <v>2025</v>
      </c>
      <c r="H709" s="29" t="s">
        <v>248</v>
      </c>
      <c r="I709" s="29" t="n">
        <v>1</v>
      </c>
      <c r="J709" s="29" t="s">
        <v>246</v>
      </c>
      <c r="K709" s="29" t="s">
        <v>247</v>
      </c>
      <c r="L709" s="29" t="n">
        <v>0.03</v>
      </c>
      <c r="M709" s="32" t="n">
        <v>20878.09</v>
      </c>
      <c r="N709" s="32" t="n">
        <v>20869.94</v>
      </c>
      <c r="O709" s="32" t="n">
        <v>20898.06</v>
      </c>
      <c r="P709" s="45" t="n">
        <f aca="false">ABS(M709-N709)</f>
        <v>8.15000000000146</v>
      </c>
      <c r="Q709" s="45" t="n">
        <f aca="false">IF(O709="","",ABS(O709-M709))</f>
        <v>19.9700000000012</v>
      </c>
      <c r="R709" s="31" t="n">
        <f aca="false">P709*L709*Summary!$C$6</f>
        <v>24.4500000000044</v>
      </c>
      <c r="S709" s="32" t="n">
        <v>20898.1</v>
      </c>
      <c r="T709" s="29" t="s">
        <v>227</v>
      </c>
      <c r="U709" s="45" t="n">
        <f aca="false">IF(J709="BUY",S709-M709,M709-S709)</f>
        <v>20.0099999999984</v>
      </c>
      <c r="V709" s="46" t="n">
        <v>0</v>
      </c>
      <c r="W709" s="46" t="n">
        <v>0</v>
      </c>
      <c r="X709" s="46" t="n">
        <v>60.03</v>
      </c>
      <c r="Y709" s="33" t="n">
        <f aca="false">IFERROR(X709/R709,0)</f>
        <v>2.45521472392594</v>
      </c>
      <c r="Z709" s="29" t="str">
        <f aca="false">IF(X709&gt;0,"Win",IF(X709&lt;0,"Loss","Flat"))</f>
        <v>Win</v>
      </c>
      <c r="AA709" s="29" t="n">
        <f aca="false">ROUND((C709-B709)*1440,1)</f>
        <v>25.2</v>
      </c>
      <c r="AB709" s="29" t="str">
        <f aca="false">IF(AA709&lt;1,"a) &lt;1 min",IF(AA709&lt;10,"b) 1-10 min",IF(AA709&lt;60,"c) 10-60 min",IF(AA709&lt;240,"d) 1-4 h","e) 4 h+"))))</f>
        <v>c) 10-60 min</v>
      </c>
      <c r="AC709" s="29" t="str">
        <f aca="false">IF(P709&lt;10,"a) &lt;10",IF(P709&lt;20,"b) 10-20",IF(P709&lt;40,"c) 20-40",IF(P709&lt;80,"d) 40-80","e) 80+"))))</f>
        <v>a) &lt;10</v>
      </c>
      <c r="AD709" s="31" t="n">
        <f aca="false">Summary!$C$5+SUM(X$2:X709)</f>
        <v>14883.59</v>
      </c>
      <c r="AE709" s="31" t="n">
        <f aca="false">MAX(AE708,AD709)</f>
        <v>15756.64</v>
      </c>
      <c r="AF709" s="31" t="n">
        <f aca="false">AE709-AD709</f>
        <v>873.049999999999</v>
      </c>
      <c r="AG709" s="30" t="n">
        <f aca="false">IFERROR(AF709/AE709,0)</f>
        <v>0.055408386559571</v>
      </c>
    </row>
    <row r="710" customFormat="false" ht="15" hidden="false" customHeight="false" outlineLevel="0" collapsed="false">
      <c r="A710" s="29" t="n">
        <v>709</v>
      </c>
      <c r="B710" s="44" t="n">
        <v>45672.6465277778</v>
      </c>
      <c r="C710" s="44" t="n">
        <v>45672.6530671296</v>
      </c>
      <c r="D710" s="43" t="n">
        <f aca="false">INT(C710)</f>
        <v>45672</v>
      </c>
      <c r="E710" s="43" t="n">
        <f aca="false">D710-WEEKDAY(D710,3)</f>
        <v>45670</v>
      </c>
      <c r="F710" s="29" t="s">
        <v>177</v>
      </c>
      <c r="G710" s="29" t="n">
        <v>2025</v>
      </c>
      <c r="H710" s="29" t="s">
        <v>252</v>
      </c>
      <c r="I710" s="29" t="n">
        <v>15</v>
      </c>
      <c r="J710" s="29" t="s">
        <v>246</v>
      </c>
      <c r="K710" s="29" t="s">
        <v>247</v>
      </c>
      <c r="L710" s="29" t="n">
        <v>0.03</v>
      </c>
      <c r="M710" s="32" t="n">
        <v>21024.03</v>
      </c>
      <c r="N710" s="32" t="n">
        <v>20971.44</v>
      </c>
      <c r="O710" s="32" t="n">
        <v>21153.02</v>
      </c>
      <c r="P710" s="45" t="n">
        <f aca="false">ABS(M710-N710)</f>
        <v>52.5900000000001</v>
      </c>
      <c r="Q710" s="45" t="n">
        <f aca="false">IF(O710="","",ABS(O710-M710))</f>
        <v>128.990000000002</v>
      </c>
      <c r="R710" s="31" t="n">
        <f aca="false">P710*L710*Summary!$C$6</f>
        <v>157.77</v>
      </c>
      <c r="S710" s="32" t="n">
        <v>21153.92</v>
      </c>
      <c r="T710" s="29" t="s">
        <v>227</v>
      </c>
      <c r="U710" s="45" t="n">
        <f aca="false">IF(J710="BUY",S710-M710,M710-S710)</f>
        <v>129.889999999999</v>
      </c>
      <c r="V710" s="46" t="n">
        <v>0</v>
      </c>
      <c r="W710" s="46" t="n">
        <v>0</v>
      </c>
      <c r="X710" s="46" t="n">
        <v>389.67</v>
      </c>
      <c r="Y710" s="33" t="n">
        <f aca="false">IFERROR(X710/R710,0)</f>
        <v>2.46986119034036</v>
      </c>
      <c r="Z710" s="29" t="str">
        <f aca="false">IF(X710&gt;0,"Win",IF(X710&lt;0,"Loss","Flat"))</f>
        <v>Win</v>
      </c>
      <c r="AA710" s="29" t="n">
        <f aca="false">ROUND((C710-B710)*1440,1)</f>
        <v>9.4</v>
      </c>
      <c r="AB710" s="29" t="str">
        <f aca="false">IF(AA710&lt;1,"a) &lt;1 min",IF(AA710&lt;10,"b) 1-10 min",IF(AA710&lt;60,"c) 10-60 min",IF(AA710&lt;240,"d) 1-4 h","e) 4 h+"))))</f>
        <v>b) 1-10 min</v>
      </c>
      <c r="AC710" s="29" t="str">
        <f aca="false">IF(P710&lt;10,"a) &lt;10",IF(P710&lt;20,"b) 10-20",IF(P710&lt;40,"c) 20-40",IF(P710&lt;80,"d) 40-80","e) 80+"))))</f>
        <v>d) 40-80</v>
      </c>
      <c r="AD710" s="31" t="n">
        <f aca="false">Summary!$C$5+SUM(X$2:X710)</f>
        <v>15273.26</v>
      </c>
      <c r="AE710" s="31" t="n">
        <f aca="false">MAX(AE709,AD710)</f>
        <v>15756.64</v>
      </c>
      <c r="AF710" s="31" t="n">
        <f aca="false">AE710-AD710</f>
        <v>483.379999999999</v>
      </c>
      <c r="AG710" s="30" t="n">
        <f aca="false">IFERROR(AF710/AE710,0)</f>
        <v>0.0306778602544704</v>
      </c>
    </row>
    <row r="711" customFormat="false" ht="15" hidden="false" customHeight="false" outlineLevel="0" collapsed="false">
      <c r="A711" s="29" t="n">
        <v>710</v>
      </c>
      <c r="B711" s="44" t="n">
        <v>45673.3770833333</v>
      </c>
      <c r="C711" s="44" t="n">
        <v>45673.3822337963</v>
      </c>
      <c r="D711" s="43" t="n">
        <f aca="false">INT(C711)</f>
        <v>45673</v>
      </c>
      <c r="E711" s="43" t="n">
        <f aca="false">D711-WEEKDAY(D711,3)</f>
        <v>45670</v>
      </c>
      <c r="F711" s="29" t="s">
        <v>177</v>
      </c>
      <c r="G711" s="29" t="n">
        <v>2025</v>
      </c>
      <c r="H711" s="29" t="s">
        <v>253</v>
      </c>
      <c r="I711" s="29" t="n">
        <v>9</v>
      </c>
      <c r="J711" s="29" t="s">
        <v>246</v>
      </c>
      <c r="K711" s="29" t="s">
        <v>247</v>
      </c>
      <c r="L711" s="29" t="n">
        <v>0.03</v>
      </c>
      <c r="M711" s="32" t="n">
        <v>21284.5</v>
      </c>
      <c r="N711" s="32" t="n">
        <v>21274.95</v>
      </c>
      <c r="O711" s="32" t="n">
        <v>21307.89</v>
      </c>
      <c r="P711" s="45" t="n">
        <f aca="false">ABS(M711-N711)</f>
        <v>9.54999999999927</v>
      </c>
      <c r="Q711" s="45" t="n">
        <f aca="false">IF(O711="","",ABS(O711-M711))</f>
        <v>23.3899999999994</v>
      </c>
      <c r="R711" s="31" t="n">
        <f aca="false">P711*L711*Summary!$C$6</f>
        <v>28.6499999999978</v>
      </c>
      <c r="S711" s="32" t="n">
        <v>21309.19</v>
      </c>
      <c r="T711" s="29" t="s">
        <v>227</v>
      </c>
      <c r="U711" s="45" t="n">
        <f aca="false">IF(J711="BUY",S711-M711,M711-S711)</f>
        <v>24.6899999999987</v>
      </c>
      <c r="V711" s="46" t="n">
        <v>0</v>
      </c>
      <c r="W711" s="46" t="n">
        <v>0</v>
      </c>
      <c r="X711" s="46" t="n">
        <v>74.07</v>
      </c>
      <c r="Y711" s="33" t="n">
        <f aca="false">IFERROR(X711/R711,0)</f>
        <v>2.58534031413632</v>
      </c>
      <c r="Z711" s="29" t="str">
        <f aca="false">IF(X711&gt;0,"Win",IF(X711&lt;0,"Loss","Flat"))</f>
        <v>Win</v>
      </c>
      <c r="AA711" s="29" t="n">
        <f aca="false">ROUND((C711-B711)*1440,1)</f>
        <v>7.4</v>
      </c>
      <c r="AB711" s="29" t="str">
        <f aca="false">IF(AA711&lt;1,"a) &lt;1 min",IF(AA711&lt;10,"b) 1-10 min",IF(AA711&lt;60,"c) 10-60 min",IF(AA711&lt;240,"d) 1-4 h","e) 4 h+"))))</f>
        <v>b) 1-10 min</v>
      </c>
      <c r="AC711" s="29" t="str">
        <f aca="false">IF(P711&lt;10,"a) &lt;10",IF(P711&lt;20,"b) 10-20",IF(P711&lt;40,"c) 20-40",IF(P711&lt;80,"d) 40-80","e) 80+"))))</f>
        <v>a) &lt;10</v>
      </c>
      <c r="AD711" s="31" t="n">
        <f aca="false">Summary!$C$5+SUM(X$2:X711)</f>
        <v>15347.33</v>
      </c>
      <c r="AE711" s="31" t="n">
        <f aca="false">MAX(AE710,AD711)</f>
        <v>15756.64</v>
      </c>
      <c r="AF711" s="31" t="n">
        <f aca="false">AE711-AD711</f>
        <v>409.31</v>
      </c>
      <c r="AG711" s="30" t="n">
        <f aca="false">IFERROR(AF711/AE711,0)</f>
        <v>0.0259769849409518</v>
      </c>
    </row>
    <row r="712" customFormat="false" ht="15" hidden="false" customHeight="false" outlineLevel="0" collapsed="false">
      <c r="A712" s="29" t="n">
        <v>711</v>
      </c>
      <c r="B712" s="44" t="n">
        <v>45674.6673611111</v>
      </c>
      <c r="C712" s="44" t="n">
        <v>45674.6740393519</v>
      </c>
      <c r="D712" s="43" t="n">
        <f aca="false">INT(C712)</f>
        <v>45674</v>
      </c>
      <c r="E712" s="43" t="n">
        <f aca="false">D712-WEEKDAY(D712,3)</f>
        <v>45670</v>
      </c>
      <c r="F712" s="29" t="s">
        <v>177</v>
      </c>
      <c r="G712" s="29" t="n">
        <v>2025</v>
      </c>
      <c r="H712" s="29" t="s">
        <v>254</v>
      </c>
      <c r="I712" s="29" t="n">
        <v>16</v>
      </c>
      <c r="J712" s="29" t="s">
        <v>246</v>
      </c>
      <c r="K712" s="29" t="s">
        <v>247</v>
      </c>
      <c r="L712" s="29" t="n">
        <v>0.03</v>
      </c>
      <c r="M712" s="32" t="n">
        <v>21401.35</v>
      </c>
      <c r="N712" s="32" t="n">
        <v>21387.45</v>
      </c>
      <c r="O712" s="32" t="n">
        <v>21436.55</v>
      </c>
      <c r="P712" s="45" t="n">
        <f aca="false">ABS(M712-N712)</f>
        <v>13.8999999999978</v>
      </c>
      <c r="Q712" s="45" t="n">
        <f aca="false">IF(O712="","",ABS(O712-M712))</f>
        <v>35.2000000000007</v>
      </c>
      <c r="R712" s="31" t="n">
        <f aca="false">P712*L712*Summary!$C$6</f>
        <v>41.6999999999934</v>
      </c>
      <c r="S712" s="32" t="n">
        <v>21436.79</v>
      </c>
      <c r="T712" s="29" t="s">
        <v>227</v>
      </c>
      <c r="U712" s="45" t="n">
        <f aca="false">IF(J712="BUY",S712-M712,M712-S712)</f>
        <v>35.4400000000023</v>
      </c>
      <c r="V712" s="46" t="n">
        <v>0</v>
      </c>
      <c r="W712" s="46" t="n">
        <v>0</v>
      </c>
      <c r="X712" s="46" t="n">
        <v>106.32</v>
      </c>
      <c r="Y712" s="33" t="n">
        <f aca="false">IFERROR(X712/R712,0)</f>
        <v>2.54964028777018</v>
      </c>
      <c r="Z712" s="29" t="str">
        <f aca="false">IF(X712&gt;0,"Win",IF(X712&lt;0,"Loss","Flat"))</f>
        <v>Win</v>
      </c>
      <c r="AA712" s="29" t="n">
        <f aca="false">ROUND((C712-B712)*1440,1)</f>
        <v>9.6</v>
      </c>
      <c r="AB712" s="29" t="str">
        <f aca="false">IF(AA712&lt;1,"a) &lt;1 min",IF(AA712&lt;10,"b) 1-10 min",IF(AA712&lt;60,"c) 10-60 min",IF(AA712&lt;240,"d) 1-4 h","e) 4 h+"))))</f>
        <v>b) 1-10 min</v>
      </c>
      <c r="AC712" s="29" t="str">
        <f aca="false">IF(P712&lt;10,"a) &lt;10",IF(P712&lt;20,"b) 10-20",IF(P712&lt;40,"c) 20-40",IF(P712&lt;80,"d) 40-80","e) 80+"))))</f>
        <v>b) 10-20</v>
      </c>
      <c r="AD712" s="31" t="n">
        <f aca="false">Summary!$C$5+SUM(X$2:X712)</f>
        <v>15453.65</v>
      </c>
      <c r="AE712" s="31" t="n">
        <f aca="false">MAX(AE711,AD712)</f>
        <v>15756.64</v>
      </c>
      <c r="AF712" s="31" t="n">
        <f aca="false">AE712-AD712</f>
        <v>302.99</v>
      </c>
      <c r="AG712" s="30" t="n">
        <f aca="false">IFERROR(AF712/AE712,0)</f>
        <v>0.0192293534662212</v>
      </c>
    </row>
    <row r="713" customFormat="false" ht="15" hidden="false" customHeight="false" outlineLevel="0" collapsed="false">
      <c r="A713" s="29" t="n">
        <v>712</v>
      </c>
      <c r="B713" s="44" t="n">
        <v>45677.6645833333</v>
      </c>
      <c r="C713" s="44" t="n">
        <v>45677.6754282407</v>
      </c>
      <c r="D713" s="43" t="n">
        <f aca="false">INT(C713)</f>
        <v>45677</v>
      </c>
      <c r="E713" s="43" t="n">
        <f aca="false">D713-WEEKDAY(D713,3)</f>
        <v>45677</v>
      </c>
      <c r="F713" s="29" t="s">
        <v>177</v>
      </c>
      <c r="G713" s="29" t="n">
        <v>2025</v>
      </c>
      <c r="H713" s="29" t="s">
        <v>245</v>
      </c>
      <c r="I713" s="29" t="n">
        <v>15</v>
      </c>
      <c r="J713" s="29" t="s">
        <v>246</v>
      </c>
      <c r="K713" s="29" t="s">
        <v>247</v>
      </c>
      <c r="L713" s="29" t="n">
        <v>0.03</v>
      </c>
      <c r="M713" s="32" t="n">
        <v>21526.84</v>
      </c>
      <c r="N713" s="32" t="n">
        <v>21515.44</v>
      </c>
      <c r="O713" s="32" t="n">
        <v>21556.67</v>
      </c>
      <c r="P713" s="45" t="n">
        <f aca="false">ABS(M713-N713)</f>
        <v>11.4000000000015</v>
      </c>
      <c r="Q713" s="45" t="n">
        <f aca="false">IF(O713="","",ABS(O713-M713))</f>
        <v>29.8299999999981</v>
      </c>
      <c r="R713" s="31" t="n">
        <f aca="false">P713*L713*Summary!$C$6</f>
        <v>34.2000000000044</v>
      </c>
      <c r="S713" s="32" t="n">
        <v>21526.77</v>
      </c>
      <c r="T713" s="29" t="s">
        <v>255</v>
      </c>
      <c r="U713" s="45" t="n">
        <f aca="false">IF(J713="BUY",S713-M713,M713-S713)</f>
        <v>-0.069999999999709</v>
      </c>
      <c r="V713" s="46" t="n">
        <v>0</v>
      </c>
      <c r="W713" s="46" t="n">
        <v>0</v>
      </c>
      <c r="X713" s="46" t="n">
        <v>-0.21</v>
      </c>
      <c r="Y713" s="33" t="n">
        <f aca="false">IFERROR(X713/R713,0)</f>
        <v>-0.0061403508771922</v>
      </c>
      <c r="Z713" s="29" t="str">
        <f aca="false">IF(X713&gt;0,"Win",IF(X713&lt;0,"Loss","Flat"))</f>
        <v>Loss</v>
      </c>
      <c r="AA713" s="29" t="n">
        <f aca="false">ROUND((C713-B713)*1440,1)</f>
        <v>15.6</v>
      </c>
      <c r="AB713" s="29" t="str">
        <f aca="false">IF(AA713&lt;1,"a) &lt;1 min",IF(AA713&lt;10,"b) 1-10 min",IF(AA713&lt;60,"c) 10-60 min",IF(AA713&lt;240,"d) 1-4 h","e) 4 h+"))))</f>
        <v>c) 10-60 min</v>
      </c>
      <c r="AC713" s="29" t="str">
        <f aca="false">IF(P713&lt;10,"a) &lt;10",IF(P713&lt;20,"b) 10-20",IF(P713&lt;40,"c) 20-40",IF(P713&lt;80,"d) 40-80","e) 80+"))))</f>
        <v>b) 10-20</v>
      </c>
      <c r="AD713" s="31" t="n">
        <f aca="false">Summary!$C$5+SUM(X$2:X713)</f>
        <v>15453.44</v>
      </c>
      <c r="AE713" s="31" t="n">
        <f aca="false">MAX(AE712,AD713)</f>
        <v>15756.64</v>
      </c>
      <c r="AF713" s="31" t="n">
        <f aca="false">AE713-AD713</f>
        <v>303.200000000001</v>
      </c>
      <c r="AG713" s="30" t="n">
        <f aca="false">IFERROR(AF713/AE713,0)</f>
        <v>0.0192426811807594</v>
      </c>
    </row>
    <row r="714" customFormat="false" ht="15" hidden="false" customHeight="false" outlineLevel="0" collapsed="false">
      <c r="A714" s="29" t="n">
        <v>713</v>
      </c>
      <c r="B714" s="44" t="n">
        <v>45678.1243055556</v>
      </c>
      <c r="C714" s="44" t="n">
        <v>45678.125150463</v>
      </c>
      <c r="D714" s="43" t="n">
        <f aca="false">INT(C714)</f>
        <v>45678</v>
      </c>
      <c r="E714" s="43" t="n">
        <f aca="false">D714-WEEKDAY(D714,3)</f>
        <v>45677</v>
      </c>
      <c r="F714" s="29" t="s">
        <v>177</v>
      </c>
      <c r="G714" s="29" t="n">
        <v>2025</v>
      </c>
      <c r="H714" s="29" t="s">
        <v>248</v>
      </c>
      <c r="I714" s="29" t="n">
        <v>2</v>
      </c>
      <c r="J714" s="29" t="s">
        <v>250</v>
      </c>
      <c r="K714" s="29" t="s">
        <v>251</v>
      </c>
      <c r="L714" s="29" t="n">
        <v>0.03</v>
      </c>
      <c r="M714" s="32" t="n">
        <v>21336.48</v>
      </c>
      <c r="N714" s="32" t="n">
        <v>21376.95</v>
      </c>
      <c r="O714" s="32" t="n">
        <v>21237.32</v>
      </c>
      <c r="P714" s="45" t="n">
        <f aca="false">ABS(M714-N714)</f>
        <v>40.4700000000012</v>
      </c>
      <c r="Q714" s="45" t="n">
        <f aca="false">IF(O714="","",ABS(O714-M714))</f>
        <v>99.1599999999999</v>
      </c>
      <c r="R714" s="31" t="n">
        <f aca="false">P714*L714*Summary!$C$6</f>
        <v>121.410000000003</v>
      </c>
      <c r="S714" s="32" t="n">
        <v>21234.03</v>
      </c>
      <c r="T714" s="29" t="s">
        <v>227</v>
      </c>
      <c r="U714" s="45" t="n">
        <f aca="false">IF(J714="BUY",S714-M714,M714-S714)</f>
        <v>102.450000000001</v>
      </c>
      <c r="V714" s="46" t="n">
        <v>0</v>
      </c>
      <c r="W714" s="46" t="n">
        <v>0</v>
      </c>
      <c r="X714" s="46" t="n">
        <v>307.35</v>
      </c>
      <c r="Y714" s="33" t="n">
        <f aca="false">IFERROR(X714/R714,0)</f>
        <v>2.53150481838392</v>
      </c>
      <c r="Z714" s="29" t="str">
        <f aca="false">IF(X714&gt;0,"Win",IF(X714&lt;0,"Loss","Flat"))</f>
        <v>Win</v>
      </c>
      <c r="AA714" s="29" t="n">
        <f aca="false">ROUND((C714-B714)*1440,1)</f>
        <v>1.2</v>
      </c>
      <c r="AB714" s="29" t="str">
        <f aca="false">IF(AA714&lt;1,"a) &lt;1 min",IF(AA714&lt;10,"b) 1-10 min",IF(AA714&lt;60,"c) 10-60 min",IF(AA714&lt;240,"d) 1-4 h","e) 4 h+"))))</f>
        <v>b) 1-10 min</v>
      </c>
      <c r="AC714" s="29" t="str">
        <f aca="false">IF(P714&lt;10,"a) &lt;10",IF(P714&lt;20,"b) 10-20",IF(P714&lt;40,"c) 20-40",IF(P714&lt;80,"d) 40-80","e) 80+"))))</f>
        <v>d) 40-80</v>
      </c>
      <c r="AD714" s="31" t="n">
        <f aca="false">Summary!$C$5+SUM(X$2:X714)</f>
        <v>15760.79</v>
      </c>
      <c r="AE714" s="31" t="n">
        <f aca="false">MAX(AE713,AD714)</f>
        <v>15760.79</v>
      </c>
      <c r="AF714" s="31" t="n">
        <f aca="false">AE714-AD714</f>
        <v>0</v>
      </c>
      <c r="AG714" s="30" t="n">
        <f aca="false">IFERROR(AF714/AE714,0)</f>
        <v>0</v>
      </c>
    </row>
    <row r="715" customFormat="false" ht="15" hidden="false" customHeight="false" outlineLevel="0" collapsed="false">
      <c r="A715" s="29" t="n">
        <v>714</v>
      </c>
      <c r="B715" s="44" t="n">
        <v>45679.0423611111</v>
      </c>
      <c r="C715" s="44" t="n">
        <v>45679.0451273148</v>
      </c>
      <c r="D715" s="43" t="n">
        <f aca="false">INT(C715)</f>
        <v>45679</v>
      </c>
      <c r="E715" s="43" t="n">
        <f aca="false">D715-WEEKDAY(D715,3)</f>
        <v>45677</v>
      </c>
      <c r="F715" s="29" t="s">
        <v>177</v>
      </c>
      <c r="G715" s="29" t="n">
        <v>2025</v>
      </c>
      <c r="H715" s="29" t="s">
        <v>252</v>
      </c>
      <c r="I715" s="29" t="n">
        <v>1</v>
      </c>
      <c r="J715" s="29" t="s">
        <v>246</v>
      </c>
      <c r="K715" s="29" t="s">
        <v>247</v>
      </c>
      <c r="L715" s="29" t="n">
        <v>0.03</v>
      </c>
      <c r="M715" s="32" t="n">
        <v>21638.3</v>
      </c>
      <c r="N715" s="32" t="n">
        <v>21623.09</v>
      </c>
      <c r="O715" s="32" t="n">
        <v>21675.56</v>
      </c>
      <c r="P715" s="45" t="n">
        <f aca="false">ABS(M715-N715)</f>
        <v>15.2099999999991</v>
      </c>
      <c r="Q715" s="45" t="n">
        <f aca="false">IF(O715="","",ABS(O715-M715))</f>
        <v>37.260000000002</v>
      </c>
      <c r="R715" s="31" t="n">
        <f aca="false">P715*L715*Summary!$C$6</f>
        <v>45.6299999999974</v>
      </c>
      <c r="S715" s="32" t="n">
        <v>21636.95</v>
      </c>
      <c r="T715" s="29" t="s">
        <v>255</v>
      </c>
      <c r="U715" s="45" t="n">
        <f aca="false">IF(J715="BUY",S715-M715,M715-S715)</f>
        <v>-1.34999999999854</v>
      </c>
      <c r="V715" s="46" t="n">
        <v>0</v>
      </c>
      <c r="W715" s="46" t="n">
        <v>0</v>
      </c>
      <c r="X715" s="46" t="n">
        <v>-4.05</v>
      </c>
      <c r="Y715" s="33" t="n">
        <f aca="false">IFERROR(X715/R715,0)</f>
        <v>-0.0887573964497092</v>
      </c>
      <c r="Z715" s="29" t="str">
        <f aca="false">IF(X715&gt;0,"Win",IF(X715&lt;0,"Loss","Flat"))</f>
        <v>Loss</v>
      </c>
      <c r="AA715" s="29" t="n">
        <f aca="false">ROUND((C715-B715)*1440,1)</f>
        <v>4</v>
      </c>
      <c r="AB715" s="29" t="str">
        <f aca="false">IF(AA715&lt;1,"a) &lt;1 min",IF(AA715&lt;10,"b) 1-10 min",IF(AA715&lt;60,"c) 10-60 min",IF(AA715&lt;240,"d) 1-4 h","e) 4 h+"))))</f>
        <v>b) 1-10 min</v>
      </c>
      <c r="AC715" s="29" t="str">
        <f aca="false">IF(P715&lt;10,"a) &lt;10",IF(P715&lt;20,"b) 10-20",IF(P715&lt;40,"c) 20-40",IF(P715&lt;80,"d) 40-80","e) 80+"))))</f>
        <v>b) 10-20</v>
      </c>
      <c r="AD715" s="31" t="n">
        <f aca="false">Summary!$C$5+SUM(X$2:X715)</f>
        <v>15756.74</v>
      </c>
      <c r="AE715" s="31" t="n">
        <f aca="false">MAX(AE714,AD715)</f>
        <v>15760.79</v>
      </c>
      <c r="AF715" s="31" t="n">
        <f aca="false">AE715-AD715</f>
        <v>4.05000000000109</v>
      </c>
      <c r="AG715" s="30" t="n">
        <f aca="false">IFERROR(AF715/AE715,0)</f>
        <v>0.000256966814480815</v>
      </c>
    </row>
    <row r="716" customFormat="false" ht="15" hidden="false" customHeight="false" outlineLevel="0" collapsed="false">
      <c r="A716" s="29" t="n">
        <v>715</v>
      </c>
      <c r="B716" s="44" t="n">
        <v>45681.1784722222</v>
      </c>
      <c r="C716" s="44" t="n">
        <v>45681.1821643519</v>
      </c>
      <c r="D716" s="43" t="n">
        <f aca="false">INT(C716)</f>
        <v>45681</v>
      </c>
      <c r="E716" s="43" t="n">
        <f aca="false">D716-WEEKDAY(D716,3)</f>
        <v>45677</v>
      </c>
      <c r="F716" s="29" t="s">
        <v>177</v>
      </c>
      <c r="G716" s="29" t="n">
        <v>2025</v>
      </c>
      <c r="H716" s="29" t="s">
        <v>254</v>
      </c>
      <c r="I716" s="29" t="n">
        <v>4</v>
      </c>
      <c r="J716" s="29" t="s">
        <v>246</v>
      </c>
      <c r="K716" s="29" t="s">
        <v>247</v>
      </c>
      <c r="L716" s="29" t="n">
        <v>0.03</v>
      </c>
      <c r="M716" s="32" t="n">
        <v>21907.67</v>
      </c>
      <c r="N716" s="32" t="n">
        <v>21899.94</v>
      </c>
      <c r="O716" s="32" t="n">
        <v>21926.61</v>
      </c>
      <c r="P716" s="45" t="n">
        <f aca="false">ABS(M716-N716)</f>
        <v>7.72999999999956</v>
      </c>
      <c r="Q716" s="45" t="n">
        <f aca="false">IF(O716="","",ABS(O716-M716))</f>
        <v>18.9400000000023</v>
      </c>
      <c r="R716" s="31" t="n">
        <f aca="false">P716*L716*Summary!$C$6</f>
        <v>23.1899999999987</v>
      </c>
      <c r="S716" s="32" t="n">
        <v>21907.41</v>
      </c>
      <c r="T716" s="29" t="s">
        <v>255</v>
      </c>
      <c r="U716" s="45" t="n">
        <f aca="false">IF(J716="BUY",S716-M716,M716-S716)</f>
        <v>-0.259999999998399</v>
      </c>
      <c r="V716" s="46" t="n">
        <v>0</v>
      </c>
      <c r="W716" s="46" t="n">
        <v>0</v>
      </c>
      <c r="X716" s="46" t="n">
        <v>-0.78</v>
      </c>
      <c r="Y716" s="33" t="n">
        <f aca="false">IFERROR(X716/R716,0)</f>
        <v>-0.0336351875808557</v>
      </c>
      <c r="Z716" s="29" t="str">
        <f aca="false">IF(X716&gt;0,"Win",IF(X716&lt;0,"Loss","Flat"))</f>
        <v>Loss</v>
      </c>
      <c r="AA716" s="29" t="n">
        <f aca="false">ROUND((C716-B716)*1440,1)</f>
        <v>5.3</v>
      </c>
      <c r="AB716" s="29" t="str">
        <f aca="false">IF(AA716&lt;1,"a) &lt;1 min",IF(AA716&lt;10,"b) 1-10 min",IF(AA716&lt;60,"c) 10-60 min",IF(AA716&lt;240,"d) 1-4 h","e) 4 h+"))))</f>
        <v>b) 1-10 min</v>
      </c>
      <c r="AC716" s="29" t="str">
        <f aca="false">IF(P716&lt;10,"a) &lt;10",IF(P716&lt;20,"b) 10-20",IF(P716&lt;40,"c) 20-40",IF(P716&lt;80,"d) 40-80","e) 80+"))))</f>
        <v>a) &lt;10</v>
      </c>
      <c r="AD716" s="31" t="n">
        <f aca="false">Summary!$C$5+SUM(X$2:X716)</f>
        <v>15755.96</v>
      </c>
      <c r="AE716" s="31" t="n">
        <f aca="false">MAX(AE715,AD716)</f>
        <v>15760.79</v>
      </c>
      <c r="AF716" s="31" t="n">
        <f aca="false">AE716-AD716</f>
        <v>4.83000000000175</v>
      </c>
      <c r="AG716" s="30" t="n">
        <f aca="false">IFERROR(AF716/AE716,0)</f>
        <v>0.000306456719491964</v>
      </c>
    </row>
    <row r="717" customFormat="false" ht="15" hidden="false" customHeight="false" outlineLevel="0" collapsed="false">
      <c r="A717" s="29" t="n">
        <v>716</v>
      </c>
      <c r="B717" s="44" t="n">
        <v>45684.0423611111</v>
      </c>
      <c r="C717" s="44" t="n">
        <v>45684.1214699074</v>
      </c>
      <c r="D717" s="43" t="n">
        <f aca="false">INT(C717)</f>
        <v>45684</v>
      </c>
      <c r="E717" s="43" t="n">
        <f aca="false">D717-WEEKDAY(D717,3)</f>
        <v>45684</v>
      </c>
      <c r="F717" s="29" t="s">
        <v>177</v>
      </c>
      <c r="G717" s="29" t="n">
        <v>2025</v>
      </c>
      <c r="H717" s="29" t="s">
        <v>245</v>
      </c>
      <c r="I717" s="29" t="n">
        <v>1</v>
      </c>
      <c r="J717" s="29" t="s">
        <v>250</v>
      </c>
      <c r="K717" s="29" t="s">
        <v>251</v>
      </c>
      <c r="L717" s="29" t="n">
        <v>0.03</v>
      </c>
      <c r="M717" s="32" t="n">
        <v>21558.12</v>
      </c>
      <c r="N717" s="32" t="n">
        <v>21604.34</v>
      </c>
      <c r="O717" s="32" t="n">
        <v>21444.87</v>
      </c>
      <c r="P717" s="45" t="n">
        <f aca="false">ABS(M717-N717)</f>
        <v>46.2200000000012</v>
      </c>
      <c r="Q717" s="45" t="n">
        <f aca="false">IF(O717="","",ABS(O717-M717))</f>
        <v>113.25</v>
      </c>
      <c r="R717" s="31" t="n">
        <f aca="false">P717*L717*Summary!$C$6</f>
        <v>138.660000000004</v>
      </c>
      <c r="S717" s="32" t="n">
        <v>21443.6</v>
      </c>
      <c r="T717" s="29" t="s">
        <v>227</v>
      </c>
      <c r="U717" s="45" t="n">
        <f aca="false">IF(J717="BUY",S717-M717,M717-S717)</f>
        <v>114.52</v>
      </c>
      <c r="V717" s="46" t="n">
        <v>0</v>
      </c>
      <c r="W717" s="46" t="n">
        <v>0</v>
      </c>
      <c r="X717" s="46" t="n">
        <v>343.56</v>
      </c>
      <c r="Y717" s="33" t="n">
        <f aca="false">IFERROR(X717/R717,0)</f>
        <v>2.47771527477276</v>
      </c>
      <c r="Z717" s="29" t="str">
        <f aca="false">IF(X717&gt;0,"Win",IF(X717&lt;0,"Loss","Flat"))</f>
        <v>Win</v>
      </c>
      <c r="AA717" s="29" t="n">
        <f aca="false">ROUND((C717-B717)*1440,1)</f>
        <v>113.9</v>
      </c>
      <c r="AB717" s="29" t="str">
        <f aca="false">IF(AA717&lt;1,"a) &lt;1 min",IF(AA717&lt;10,"b) 1-10 min",IF(AA717&lt;60,"c) 10-60 min",IF(AA717&lt;240,"d) 1-4 h","e) 4 h+"))))</f>
        <v>d) 1-4 h</v>
      </c>
      <c r="AC717" s="29" t="str">
        <f aca="false">IF(P717&lt;10,"a) &lt;10",IF(P717&lt;20,"b) 10-20",IF(P717&lt;40,"c) 20-40",IF(P717&lt;80,"d) 40-80","e) 80+"))))</f>
        <v>d) 40-80</v>
      </c>
      <c r="AD717" s="31" t="n">
        <f aca="false">Summary!$C$5+SUM(X$2:X717)</f>
        <v>16099.52</v>
      </c>
      <c r="AE717" s="31" t="n">
        <f aca="false">MAX(AE716,AD717)</f>
        <v>16099.52</v>
      </c>
      <c r="AF717" s="31" t="n">
        <f aca="false">AE717-AD717</f>
        <v>0</v>
      </c>
      <c r="AG717" s="30" t="n">
        <f aca="false">IFERROR(AF717/AE717,0)</f>
        <v>0</v>
      </c>
    </row>
    <row r="718" customFormat="false" ht="15" hidden="false" customHeight="false" outlineLevel="0" collapsed="false">
      <c r="A718" s="29" t="n">
        <v>717</v>
      </c>
      <c r="B718" s="44" t="n">
        <v>45686.3340277778</v>
      </c>
      <c r="C718" s="44" t="n">
        <v>45686.3374074074</v>
      </c>
      <c r="D718" s="43" t="n">
        <f aca="false">INT(C718)</f>
        <v>45686</v>
      </c>
      <c r="E718" s="43" t="n">
        <f aca="false">D718-WEEKDAY(D718,3)</f>
        <v>45684</v>
      </c>
      <c r="F718" s="29" t="s">
        <v>177</v>
      </c>
      <c r="G718" s="29" t="n">
        <v>2025</v>
      </c>
      <c r="H718" s="29" t="s">
        <v>252</v>
      </c>
      <c r="I718" s="29" t="n">
        <v>8</v>
      </c>
      <c r="J718" s="29" t="s">
        <v>246</v>
      </c>
      <c r="K718" s="29" t="s">
        <v>247</v>
      </c>
      <c r="L718" s="29" t="n">
        <v>0.03</v>
      </c>
      <c r="M718" s="32" t="n">
        <v>21520.33</v>
      </c>
      <c r="N718" s="32" t="n">
        <v>21505.25</v>
      </c>
      <c r="O718" s="32" t="n">
        <v>21557.27</v>
      </c>
      <c r="P718" s="45" t="n">
        <f aca="false">ABS(M718-N718)</f>
        <v>15.0800000000017</v>
      </c>
      <c r="Q718" s="45" t="n">
        <f aca="false">IF(O718="","",ABS(O718-M718))</f>
        <v>36.9399999999987</v>
      </c>
      <c r="R718" s="31" t="n">
        <f aca="false">P718*L718*Summary!$C$6</f>
        <v>45.2400000000052</v>
      </c>
      <c r="S718" s="32" t="n">
        <v>21520.03</v>
      </c>
      <c r="T718" s="29" t="s">
        <v>255</v>
      </c>
      <c r="U718" s="45" t="n">
        <f aca="false">IF(J718="BUY",S718-M718,M718-S718)</f>
        <v>-0.30000000000291</v>
      </c>
      <c r="V718" s="46" t="n">
        <v>0</v>
      </c>
      <c r="W718" s="46" t="n">
        <v>0</v>
      </c>
      <c r="X718" s="46" t="n">
        <v>-0.9</v>
      </c>
      <c r="Y718" s="33" t="n">
        <f aca="false">IFERROR(X718/R718,0)</f>
        <v>-0.0198938992042417</v>
      </c>
      <c r="Z718" s="29" t="str">
        <f aca="false">IF(X718&gt;0,"Win",IF(X718&lt;0,"Loss","Flat"))</f>
        <v>Loss</v>
      </c>
      <c r="AA718" s="29" t="n">
        <f aca="false">ROUND((C718-B718)*1440,1)</f>
        <v>4.9</v>
      </c>
      <c r="AB718" s="29" t="str">
        <f aca="false">IF(AA718&lt;1,"a) &lt;1 min",IF(AA718&lt;10,"b) 1-10 min",IF(AA718&lt;60,"c) 10-60 min",IF(AA718&lt;240,"d) 1-4 h","e) 4 h+"))))</f>
        <v>b) 1-10 min</v>
      </c>
      <c r="AC718" s="29" t="str">
        <f aca="false">IF(P718&lt;10,"a) &lt;10",IF(P718&lt;20,"b) 10-20",IF(P718&lt;40,"c) 20-40",IF(P718&lt;80,"d) 40-80","e) 80+"))))</f>
        <v>b) 10-20</v>
      </c>
      <c r="AD718" s="31" t="n">
        <f aca="false">Summary!$C$5+SUM(X$2:X718)</f>
        <v>16098.62</v>
      </c>
      <c r="AE718" s="31" t="n">
        <f aca="false">MAX(AE717,AD718)</f>
        <v>16099.52</v>
      </c>
      <c r="AF718" s="31" t="n">
        <f aca="false">AE718-AD718</f>
        <v>0.900000000001455</v>
      </c>
      <c r="AG718" s="30" t="n">
        <f aca="false">IFERROR(AF718/AE718,0)</f>
        <v>5.59022877701605E-005</v>
      </c>
    </row>
    <row r="719" customFormat="false" ht="15" hidden="false" customHeight="false" outlineLevel="0" collapsed="false">
      <c r="A719" s="29" t="n">
        <v>718</v>
      </c>
      <c r="B719" s="44" t="n">
        <v>45687.4305555556</v>
      </c>
      <c r="C719" s="44" t="n">
        <v>45687.4324074074</v>
      </c>
      <c r="D719" s="43" t="n">
        <f aca="false">INT(C719)</f>
        <v>45687</v>
      </c>
      <c r="E719" s="43" t="n">
        <f aca="false">D719-WEEKDAY(D719,3)</f>
        <v>45684</v>
      </c>
      <c r="F719" s="29" t="s">
        <v>177</v>
      </c>
      <c r="G719" s="29" t="n">
        <v>2025</v>
      </c>
      <c r="H719" s="29" t="s">
        <v>253</v>
      </c>
      <c r="I719" s="29" t="n">
        <v>10</v>
      </c>
      <c r="J719" s="29" t="s">
        <v>246</v>
      </c>
      <c r="K719" s="29" t="s">
        <v>247</v>
      </c>
      <c r="L719" s="29" t="n">
        <v>0.03</v>
      </c>
      <c r="M719" s="32" t="n">
        <v>21579.28</v>
      </c>
      <c r="N719" s="32" t="n">
        <v>21572.23</v>
      </c>
      <c r="O719" s="32" t="n">
        <v>21596.55</v>
      </c>
      <c r="P719" s="45" t="n">
        <f aca="false">ABS(M719-N719)</f>
        <v>7.04999999999927</v>
      </c>
      <c r="Q719" s="45" t="n">
        <f aca="false">IF(O719="","",ABS(O719-M719))</f>
        <v>17.2700000000004</v>
      </c>
      <c r="R719" s="31" t="n">
        <f aca="false">P719*L719*Summary!$C$6</f>
        <v>21.1499999999978</v>
      </c>
      <c r="S719" s="32" t="n">
        <v>21579.25</v>
      </c>
      <c r="T719" s="29" t="s">
        <v>255</v>
      </c>
      <c r="U719" s="45" t="n">
        <f aca="false">IF(J719="BUY",S719-M719,M719-S719)</f>
        <v>-0.0299999999988358</v>
      </c>
      <c r="V719" s="46" t="n">
        <v>0</v>
      </c>
      <c r="W719" s="46" t="n">
        <v>0</v>
      </c>
      <c r="X719" s="46" t="n">
        <v>-0.09</v>
      </c>
      <c r="Y719" s="33" t="n">
        <f aca="false">IFERROR(X719/R719,0)</f>
        <v>-0.00425531914893661</v>
      </c>
      <c r="Z719" s="29" t="str">
        <f aca="false">IF(X719&gt;0,"Win",IF(X719&lt;0,"Loss","Flat"))</f>
        <v>Loss</v>
      </c>
      <c r="AA719" s="29" t="n">
        <f aca="false">ROUND((C719-B719)*1440,1)</f>
        <v>2.7</v>
      </c>
      <c r="AB719" s="29" t="str">
        <f aca="false">IF(AA719&lt;1,"a) &lt;1 min",IF(AA719&lt;10,"b) 1-10 min",IF(AA719&lt;60,"c) 10-60 min",IF(AA719&lt;240,"d) 1-4 h","e) 4 h+"))))</f>
        <v>b) 1-10 min</v>
      </c>
      <c r="AC719" s="29" t="str">
        <f aca="false">IF(P719&lt;10,"a) &lt;10",IF(P719&lt;20,"b) 10-20",IF(P719&lt;40,"c) 20-40",IF(P719&lt;80,"d) 40-80","e) 80+"))))</f>
        <v>a) &lt;10</v>
      </c>
      <c r="AD719" s="31" t="n">
        <f aca="false">Summary!$C$5+SUM(X$2:X719)</f>
        <v>16098.53</v>
      </c>
      <c r="AE719" s="31" t="n">
        <f aca="false">MAX(AE718,AD719)</f>
        <v>16099.52</v>
      </c>
      <c r="AF719" s="31" t="n">
        <f aca="false">AE719-AD719</f>
        <v>0.990000000001601</v>
      </c>
      <c r="AG719" s="30" t="n">
        <f aca="false">IFERROR(AF719/AE719,0)</f>
        <v>6.14925165471766E-005</v>
      </c>
    </row>
    <row r="720" customFormat="false" ht="15" hidden="false" customHeight="false" outlineLevel="0" collapsed="false">
      <c r="A720" s="29" t="n">
        <v>719</v>
      </c>
      <c r="B720" s="44" t="n">
        <v>45688.1569444445</v>
      </c>
      <c r="C720" s="44" t="n">
        <v>45688.1654976852</v>
      </c>
      <c r="D720" s="43" t="n">
        <f aca="false">INT(C720)</f>
        <v>45688</v>
      </c>
      <c r="E720" s="43" t="n">
        <f aca="false">D720-WEEKDAY(D720,3)</f>
        <v>45684</v>
      </c>
      <c r="F720" s="29" t="s">
        <v>177</v>
      </c>
      <c r="G720" s="29" t="n">
        <v>2025</v>
      </c>
      <c r="H720" s="29" t="s">
        <v>254</v>
      </c>
      <c r="I720" s="29" t="n">
        <v>3</v>
      </c>
      <c r="J720" s="29" t="s">
        <v>246</v>
      </c>
      <c r="K720" s="29" t="s">
        <v>247</v>
      </c>
      <c r="L720" s="29" t="n">
        <v>0.03</v>
      </c>
      <c r="M720" s="32" t="n">
        <v>21644.2</v>
      </c>
      <c r="N720" s="32" t="n">
        <v>21637.01</v>
      </c>
      <c r="O720" s="32" t="n">
        <v>21661.83</v>
      </c>
      <c r="P720" s="45" t="n">
        <f aca="false">ABS(M720-N720)</f>
        <v>7.19000000000233</v>
      </c>
      <c r="Q720" s="45" t="n">
        <f aca="false">IF(O720="","",ABS(O720-M720))</f>
        <v>17.630000000001</v>
      </c>
      <c r="R720" s="31" t="n">
        <f aca="false">P720*L720*Summary!$C$6</f>
        <v>21.570000000007</v>
      </c>
      <c r="S720" s="32" t="n">
        <v>21661.92</v>
      </c>
      <c r="T720" s="29" t="s">
        <v>227</v>
      </c>
      <c r="U720" s="45" t="n">
        <f aca="false">IF(J720="BUY",S720-M720,M720-S720)</f>
        <v>17.7199999999975</v>
      </c>
      <c r="V720" s="46" t="n">
        <v>0</v>
      </c>
      <c r="W720" s="46" t="n">
        <v>0</v>
      </c>
      <c r="X720" s="46" t="n">
        <v>53.16</v>
      </c>
      <c r="Y720" s="33" t="n">
        <f aca="false">IFERROR(X720/R720,0)</f>
        <v>2.46453407510351</v>
      </c>
      <c r="Z720" s="29" t="str">
        <f aca="false">IF(X720&gt;0,"Win",IF(X720&lt;0,"Loss","Flat"))</f>
        <v>Win</v>
      </c>
      <c r="AA720" s="29" t="n">
        <f aca="false">ROUND((C720-B720)*1440,1)</f>
        <v>12.3</v>
      </c>
      <c r="AB720" s="29" t="str">
        <f aca="false">IF(AA720&lt;1,"a) &lt;1 min",IF(AA720&lt;10,"b) 1-10 min",IF(AA720&lt;60,"c) 10-60 min",IF(AA720&lt;240,"d) 1-4 h","e) 4 h+"))))</f>
        <v>c) 10-60 min</v>
      </c>
      <c r="AC720" s="29" t="str">
        <f aca="false">IF(P720&lt;10,"a) &lt;10",IF(P720&lt;20,"b) 10-20",IF(P720&lt;40,"c) 20-40",IF(P720&lt;80,"d) 40-80","e) 80+"))))</f>
        <v>a) &lt;10</v>
      </c>
      <c r="AD720" s="31" t="n">
        <f aca="false">Summary!$C$5+SUM(X$2:X720)</f>
        <v>16151.69</v>
      </c>
      <c r="AE720" s="31" t="n">
        <f aca="false">MAX(AE719,AD720)</f>
        <v>16151.69</v>
      </c>
      <c r="AF720" s="31" t="n">
        <f aca="false">AE720-AD720</f>
        <v>0</v>
      </c>
      <c r="AG720" s="30" t="n">
        <f aca="false">IFERROR(AF720/AE720,0)</f>
        <v>0</v>
      </c>
    </row>
    <row r="721" customFormat="false" ht="15" hidden="false" customHeight="false" outlineLevel="0" collapsed="false">
      <c r="A721" s="29" t="n">
        <v>720</v>
      </c>
      <c r="B721" s="44" t="n">
        <v>45691.0423611111</v>
      </c>
      <c r="C721" s="44" t="n">
        <v>45691.0732638889</v>
      </c>
      <c r="D721" s="43" t="n">
        <f aca="false">INT(C721)</f>
        <v>45691</v>
      </c>
      <c r="E721" s="43" t="n">
        <f aca="false">D721-WEEKDAY(D721,3)</f>
        <v>45691</v>
      </c>
      <c r="F721" s="29" t="s">
        <v>178</v>
      </c>
      <c r="G721" s="29" t="n">
        <v>2025</v>
      </c>
      <c r="H721" s="29" t="s">
        <v>245</v>
      </c>
      <c r="I721" s="29" t="n">
        <v>1</v>
      </c>
      <c r="J721" s="29" t="s">
        <v>250</v>
      </c>
      <c r="K721" s="29" t="s">
        <v>251</v>
      </c>
      <c r="L721" s="29" t="n">
        <v>0.03</v>
      </c>
      <c r="M721" s="32" t="n">
        <v>20874.19</v>
      </c>
      <c r="N721" s="32" t="n">
        <v>21011.54</v>
      </c>
      <c r="O721" s="32" t="n">
        <v>20537.68</v>
      </c>
      <c r="P721" s="45" t="n">
        <f aca="false">ABS(M721-N721)</f>
        <v>137.350000000002</v>
      </c>
      <c r="Q721" s="45" t="n">
        <f aca="false">IF(O721="","",ABS(O721-M721))</f>
        <v>336.509999999998</v>
      </c>
      <c r="R721" s="31" t="n">
        <f aca="false">P721*L721*Summary!$C$6</f>
        <v>412.050000000007</v>
      </c>
      <c r="S721" s="32" t="n">
        <v>21009.61</v>
      </c>
      <c r="T721" s="29" t="s">
        <v>256</v>
      </c>
      <c r="U721" s="45" t="n">
        <f aca="false">IF(J721="BUY",S721-M721,M721-S721)</f>
        <v>-135.420000000002</v>
      </c>
      <c r="V721" s="46" t="n">
        <v>0</v>
      </c>
      <c r="W721" s="46" t="n">
        <v>0</v>
      </c>
      <c r="X721" s="46" t="n">
        <v>-406.26</v>
      </c>
      <c r="Y721" s="33" t="n">
        <f aca="false">IFERROR(X721/R721,0)</f>
        <v>-0.985948307244251</v>
      </c>
      <c r="Z721" s="29" t="str">
        <f aca="false">IF(X721&gt;0,"Win",IF(X721&lt;0,"Loss","Flat"))</f>
        <v>Loss</v>
      </c>
      <c r="AA721" s="29" t="n">
        <f aca="false">ROUND((C721-B721)*1440,1)</f>
        <v>44.5</v>
      </c>
      <c r="AB721" s="29" t="str">
        <f aca="false">IF(AA721&lt;1,"a) &lt;1 min",IF(AA721&lt;10,"b) 1-10 min",IF(AA721&lt;60,"c) 10-60 min",IF(AA721&lt;240,"d) 1-4 h","e) 4 h+"))))</f>
        <v>c) 10-60 min</v>
      </c>
      <c r="AC721" s="29" t="str">
        <f aca="false">IF(P721&lt;10,"a) &lt;10",IF(P721&lt;20,"b) 10-20",IF(P721&lt;40,"c) 20-40",IF(P721&lt;80,"d) 40-80","e) 80+"))))</f>
        <v>e) 80+</v>
      </c>
      <c r="AD721" s="31" t="n">
        <f aca="false">Summary!$C$5+SUM(X$2:X721)</f>
        <v>15745.43</v>
      </c>
      <c r="AE721" s="31" t="n">
        <f aca="false">MAX(AE720,AD721)</f>
        <v>16151.69</v>
      </c>
      <c r="AF721" s="31" t="n">
        <f aca="false">AE721-AD721</f>
        <v>406.259999999998</v>
      </c>
      <c r="AG721" s="30" t="n">
        <f aca="false">IFERROR(AF721/AE721,0)</f>
        <v>0.0251527858694662</v>
      </c>
    </row>
    <row r="722" customFormat="false" ht="15" hidden="false" customHeight="false" outlineLevel="0" collapsed="false">
      <c r="A722" s="29" t="n">
        <v>721</v>
      </c>
      <c r="B722" s="44" t="n">
        <v>45692.0423611111</v>
      </c>
      <c r="C722" s="44" t="n">
        <v>45692.0963425926</v>
      </c>
      <c r="D722" s="43" t="n">
        <f aca="false">INT(C722)</f>
        <v>45692</v>
      </c>
      <c r="E722" s="43" t="n">
        <f aca="false">D722-WEEKDAY(D722,3)</f>
        <v>45691</v>
      </c>
      <c r="F722" s="29" t="s">
        <v>178</v>
      </c>
      <c r="G722" s="29" t="n">
        <v>2025</v>
      </c>
      <c r="H722" s="29" t="s">
        <v>248</v>
      </c>
      <c r="I722" s="29" t="n">
        <v>1</v>
      </c>
      <c r="J722" s="29" t="s">
        <v>246</v>
      </c>
      <c r="K722" s="29" t="s">
        <v>247</v>
      </c>
      <c r="L722" s="29" t="n">
        <v>0.03</v>
      </c>
      <c r="M722" s="32" t="n">
        <v>21472.45</v>
      </c>
      <c r="N722" s="32" t="n">
        <v>21432</v>
      </c>
      <c r="O722" s="32" t="n">
        <v>21571.55</v>
      </c>
      <c r="P722" s="45" t="n">
        <f aca="false">ABS(M722-N722)</f>
        <v>40.4500000000007</v>
      </c>
      <c r="Q722" s="45" t="n">
        <f aca="false">IF(O722="","",ABS(O722-M722))</f>
        <v>99.0999999999985</v>
      </c>
      <c r="R722" s="31" t="n">
        <f aca="false">P722*L722*Summary!$C$6</f>
        <v>121.350000000002</v>
      </c>
      <c r="S722" s="32" t="n">
        <v>21431.22</v>
      </c>
      <c r="T722" s="29" t="s">
        <v>249</v>
      </c>
      <c r="U722" s="45" t="n">
        <f aca="false">IF(J722="BUY",S722-M722,M722-S722)</f>
        <v>-41.2299999999996</v>
      </c>
      <c r="V722" s="46" t="n">
        <v>0</v>
      </c>
      <c r="W722" s="46" t="n">
        <v>0</v>
      </c>
      <c r="X722" s="46" t="n">
        <v>-123.69</v>
      </c>
      <c r="Y722" s="33" t="n">
        <f aca="false">IFERROR(X722/R722,0)</f>
        <v>-1.01928306551296</v>
      </c>
      <c r="Z722" s="29" t="str">
        <f aca="false">IF(X722&gt;0,"Win",IF(X722&lt;0,"Loss","Flat"))</f>
        <v>Loss</v>
      </c>
      <c r="AA722" s="29" t="n">
        <f aca="false">ROUND((C722-B722)*1440,1)</f>
        <v>77.7</v>
      </c>
      <c r="AB722" s="29" t="str">
        <f aca="false">IF(AA722&lt;1,"a) &lt;1 min",IF(AA722&lt;10,"b) 1-10 min",IF(AA722&lt;60,"c) 10-60 min",IF(AA722&lt;240,"d) 1-4 h","e) 4 h+"))))</f>
        <v>d) 1-4 h</v>
      </c>
      <c r="AC722" s="29" t="str">
        <f aca="false">IF(P722&lt;10,"a) &lt;10",IF(P722&lt;20,"b) 10-20",IF(P722&lt;40,"c) 20-40",IF(P722&lt;80,"d) 40-80","e) 80+"))))</f>
        <v>d) 40-80</v>
      </c>
      <c r="AD722" s="31" t="n">
        <f aca="false">Summary!$C$5+SUM(X$2:X722)</f>
        <v>15621.74</v>
      </c>
      <c r="AE722" s="31" t="n">
        <f aca="false">MAX(AE721,AD722)</f>
        <v>16151.69</v>
      </c>
      <c r="AF722" s="31" t="n">
        <f aca="false">AE722-AD722</f>
        <v>529.949999999999</v>
      </c>
      <c r="AG722" s="30" t="n">
        <f aca="false">IFERROR(AF722/AE722,0)</f>
        <v>0.0328108080330912</v>
      </c>
    </row>
    <row r="723" customFormat="false" ht="15" hidden="false" customHeight="false" outlineLevel="0" collapsed="false">
      <c r="A723" s="29" t="n">
        <v>722</v>
      </c>
      <c r="B723" s="44" t="n">
        <v>45693.7854166667</v>
      </c>
      <c r="C723" s="44" t="n">
        <v>45693.7904166667</v>
      </c>
      <c r="D723" s="43" t="n">
        <f aca="false">INT(C723)</f>
        <v>45693</v>
      </c>
      <c r="E723" s="43" t="n">
        <f aca="false">D723-WEEKDAY(D723,3)</f>
        <v>45691</v>
      </c>
      <c r="F723" s="29" t="s">
        <v>178</v>
      </c>
      <c r="G723" s="29" t="n">
        <v>2025</v>
      </c>
      <c r="H723" s="29" t="s">
        <v>252</v>
      </c>
      <c r="I723" s="29" t="n">
        <v>18</v>
      </c>
      <c r="J723" s="29" t="s">
        <v>246</v>
      </c>
      <c r="K723" s="29" t="s">
        <v>247</v>
      </c>
      <c r="L723" s="29" t="n">
        <v>0.03</v>
      </c>
      <c r="M723" s="32" t="n">
        <v>21588.95</v>
      </c>
      <c r="N723" s="32" t="n">
        <v>21579.34</v>
      </c>
      <c r="O723" s="32" t="n">
        <v>21612.5</v>
      </c>
      <c r="P723" s="45" t="n">
        <f aca="false">ABS(M723-N723)</f>
        <v>9.61000000000058</v>
      </c>
      <c r="Q723" s="45" t="n">
        <f aca="false">IF(O723="","",ABS(O723-M723))</f>
        <v>23.5499999999993</v>
      </c>
      <c r="R723" s="31" t="n">
        <f aca="false">P723*L723*Summary!$C$6</f>
        <v>28.8300000000017</v>
      </c>
      <c r="S723" s="32" t="n">
        <v>21613.14</v>
      </c>
      <c r="T723" s="29" t="s">
        <v>227</v>
      </c>
      <c r="U723" s="45" t="n">
        <f aca="false">IF(J723="BUY",S723-M723,M723-S723)</f>
        <v>24.1899999999987</v>
      </c>
      <c r="V723" s="46" t="n">
        <v>0</v>
      </c>
      <c r="W723" s="46" t="n">
        <v>0</v>
      </c>
      <c r="X723" s="46" t="n">
        <v>72.57</v>
      </c>
      <c r="Y723" s="33" t="n">
        <f aca="false">IFERROR(X723/R723,0)</f>
        <v>2.51716961498424</v>
      </c>
      <c r="Z723" s="29" t="str">
        <f aca="false">IF(X723&gt;0,"Win",IF(X723&lt;0,"Loss","Flat"))</f>
        <v>Win</v>
      </c>
      <c r="AA723" s="29" t="n">
        <f aca="false">ROUND((C723-B723)*1440,1)</f>
        <v>7.2</v>
      </c>
      <c r="AB723" s="29" t="str">
        <f aca="false">IF(AA723&lt;1,"a) &lt;1 min",IF(AA723&lt;10,"b) 1-10 min",IF(AA723&lt;60,"c) 10-60 min",IF(AA723&lt;240,"d) 1-4 h","e) 4 h+"))))</f>
        <v>b) 1-10 min</v>
      </c>
      <c r="AC723" s="29" t="str">
        <f aca="false">IF(P723&lt;10,"a) &lt;10",IF(P723&lt;20,"b) 10-20",IF(P723&lt;40,"c) 20-40",IF(P723&lt;80,"d) 40-80","e) 80+"))))</f>
        <v>a) &lt;10</v>
      </c>
      <c r="AD723" s="31" t="n">
        <f aca="false">Summary!$C$5+SUM(X$2:X723)</f>
        <v>15694.31</v>
      </c>
      <c r="AE723" s="31" t="n">
        <f aca="false">MAX(AE722,AD723)</f>
        <v>16151.69</v>
      </c>
      <c r="AF723" s="31" t="n">
        <f aca="false">AE723-AD723</f>
        <v>457.379999999997</v>
      </c>
      <c r="AG723" s="30" t="n">
        <f aca="false">IFERROR(AF723/AE723,0)</f>
        <v>0.0283177797493635</v>
      </c>
    </row>
    <row r="724" customFormat="false" ht="15" hidden="false" customHeight="false" outlineLevel="0" collapsed="false">
      <c r="A724" s="29" t="n">
        <v>723</v>
      </c>
      <c r="B724" s="44" t="n">
        <v>45694.0854166667</v>
      </c>
      <c r="C724" s="44" t="n">
        <v>45694.0893981482</v>
      </c>
      <c r="D724" s="43" t="n">
        <f aca="false">INT(C724)</f>
        <v>45694</v>
      </c>
      <c r="E724" s="43" t="n">
        <f aca="false">D724-WEEKDAY(D724,3)</f>
        <v>45691</v>
      </c>
      <c r="F724" s="29" t="s">
        <v>178</v>
      </c>
      <c r="G724" s="29" t="n">
        <v>2025</v>
      </c>
      <c r="H724" s="29" t="s">
        <v>253</v>
      </c>
      <c r="I724" s="29" t="n">
        <v>2</v>
      </c>
      <c r="J724" s="29" t="s">
        <v>246</v>
      </c>
      <c r="K724" s="29" t="s">
        <v>247</v>
      </c>
      <c r="L724" s="29" t="n">
        <v>0.03</v>
      </c>
      <c r="M724" s="32" t="n">
        <v>21682.08</v>
      </c>
      <c r="N724" s="32" t="n">
        <v>21676.26</v>
      </c>
      <c r="O724" s="32" t="n">
        <v>21696.34</v>
      </c>
      <c r="P724" s="45" t="n">
        <f aca="false">ABS(M724-N724)</f>
        <v>5.82000000000335</v>
      </c>
      <c r="Q724" s="45" t="n">
        <f aca="false">IF(O724="","",ABS(O724-M724))</f>
        <v>14.2599999999984</v>
      </c>
      <c r="R724" s="31" t="n">
        <f aca="false">P724*L724*Summary!$C$6</f>
        <v>17.46000000001</v>
      </c>
      <c r="S724" s="32" t="n">
        <v>21681.99</v>
      </c>
      <c r="T724" s="29" t="s">
        <v>255</v>
      </c>
      <c r="U724" s="45" t="n">
        <f aca="false">IF(J724="BUY",S724-M724,M724-S724)</f>
        <v>-0.0900000000001455</v>
      </c>
      <c r="V724" s="46" t="n">
        <v>0</v>
      </c>
      <c r="W724" s="46" t="n">
        <v>0</v>
      </c>
      <c r="X724" s="46" t="n">
        <v>-0.27</v>
      </c>
      <c r="Y724" s="33" t="n">
        <f aca="false">IFERROR(X724/R724,0)</f>
        <v>-0.0154639175257643</v>
      </c>
      <c r="Z724" s="29" t="str">
        <f aca="false">IF(X724&gt;0,"Win",IF(X724&lt;0,"Loss","Flat"))</f>
        <v>Loss</v>
      </c>
      <c r="AA724" s="29" t="n">
        <f aca="false">ROUND((C724-B724)*1440,1)</f>
        <v>5.7</v>
      </c>
      <c r="AB724" s="29" t="str">
        <f aca="false">IF(AA724&lt;1,"a) &lt;1 min",IF(AA724&lt;10,"b) 1-10 min",IF(AA724&lt;60,"c) 10-60 min",IF(AA724&lt;240,"d) 1-4 h","e) 4 h+"))))</f>
        <v>b) 1-10 min</v>
      </c>
      <c r="AC724" s="29" t="str">
        <f aca="false">IF(P724&lt;10,"a) &lt;10",IF(P724&lt;20,"b) 10-20",IF(P724&lt;40,"c) 20-40",IF(P724&lt;80,"d) 40-80","e) 80+"))))</f>
        <v>a) &lt;10</v>
      </c>
      <c r="AD724" s="31" t="n">
        <f aca="false">Summary!$C$5+SUM(X$2:X724)</f>
        <v>15694.04</v>
      </c>
      <c r="AE724" s="31" t="n">
        <f aca="false">MAX(AE723,AD724)</f>
        <v>16151.69</v>
      </c>
      <c r="AF724" s="31" t="n">
        <f aca="false">AE724-AD724</f>
        <v>457.649999999998</v>
      </c>
      <c r="AG724" s="30" t="n">
        <f aca="false">IFERROR(AF724/AE724,0)</f>
        <v>0.0283344962663348</v>
      </c>
    </row>
    <row r="725" customFormat="false" ht="15" hidden="false" customHeight="false" outlineLevel="0" collapsed="false">
      <c r="A725" s="29" t="n">
        <v>724</v>
      </c>
      <c r="B725" s="44" t="n">
        <v>45695.15</v>
      </c>
      <c r="C725" s="44" t="n">
        <v>45695.1504050926</v>
      </c>
      <c r="D725" s="43" t="n">
        <f aca="false">INT(C725)</f>
        <v>45695</v>
      </c>
      <c r="E725" s="43" t="n">
        <f aca="false">D725-WEEKDAY(D725,3)</f>
        <v>45691</v>
      </c>
      <c r="F725" s="29" t="s">
        <v>178</v>
      </c>
      <c r="G725" s="29" t="n">
        <v>2025</v>
      </c>
      <c r="H725" s="29" t="s">
        <v>254</v>
      </c>
      <c r="I725" s="29" t="n">
        <v>3</v>
      </c>
      <c r="J725" s="29" t="s">
        <v>246</v>
      </c>
      <c r="K725" s="29" t="s">
        <v>247</v>
      </c>
      <c r="L725" s="29" t="n">
        <v>0.03</v>
      </c>
      <c r="M725" s="32" t="n">
        <v>21780</v>
      </c>
      <c r="N725" s="32" t="n">
        <v>21776.85</v>
      </c>
      <c r="O725" s="32" t="n">
        <v>21787.71</v>
      </c>
      <c r="P725" s="45" t="n">
        <f aca="false">ABS(M725-N725)</f>
        <v>3.15000000000146</v>
      </c>
      <c r="Q725" s="45" t="n">
        <f aca="false">IF(O725="","",ABS(O725-M725))</f>
        <v>7.70999999999913</v>
      </c>
      <c r="R725" s="31" t="n">
        <f aca="false">P725*L725*Summary!$C$6</f>
        <v>9.45000000000436</v>
      </c>
      <c r="S725" s="32" t="n">
        <v>21788.3</v>
      </c>
      <c r="T725" s="29" t="s">
        <v>227</v>
      </c>
      <c r="U725" s="45" t="n">
        <f aca="false">IF(J725="BUY",S725-M725,M725-S725)</f>
        <v>8.29999999999927</v>
      </c>
      <c r="V725" s="46" t="n">
        <v>0</v>
      </c>
      <c r="W725" s="46" t="n">
        <v>0</v>
      </c>
      <c r="X725" s="46" t="n">
        <v>24.9</v>
      </c>
      <c r="Y725" s="33" t="n">
        <f aca="false">IFERROR(X725/R725,0)</f>
        <v>2.63492063491942</v>
      </c>
      <c r="Z725" s="29" t="str">
        <f aca="false">IF(X725&gt;0,"Win",IF(X725&lt;0,"Loss","Flat"))</f>
        <v>Win</v>
      </c>
      <c r="AA725" s="29" t="n">
        <f aca="false">ROUND((C725-B725)*1440,1)</f>
        <v>0.6</v>
      </c>
      <c r="AB725" s="29" t="str">
        <f aca="false">IF(AA725&lt;1,"a) &lt;1 min",IF(AA725&lt;10,"b) 1-10 min",IF(AA725&lt;60,"c) 10-60 min",IF(AA725&lt;240,"d) 1-4 h","e) 4 h+"))))</f>
        <v>a) &lt;1 min</v>
      </c>
      <c r="AC725" s="29" t="str">
        <f aca="false">IF(P725&lt;10,"a) &lt;10",IF(P725&lt;20,"b) 10-20",IF(P725&lt;40,"c) 20-40",IF(P725&lt;80,"d) 40-80","e) 80+"))))</f>
        <v>a) &lt;10</v>
      </c>
      <c r="AD725" s="31" t="n">
        <f aca="false">Summary!$C$5+SUM(X$2:X725)</f>
        <v>15718.94</v>
      </c>
      <c r="AE725" s="31" t="n">
        <f aca="false">MAX(AE724,AD725)</f>
        <v>16151.69</v>
      </c>
      <c r="AF725" s="31" t="n">
        <f aca="false">AE725-AD725</f>
        <v>432.75</v>
      </c>
      <c r="AG725" s="30" t="n">
        <f aca="false">IFERROR(AF725/AE725,0)</f>
        <v>0.0267928619234272</v>
      </c>
    </row>
    <row r="726" customFormat="false" ht="15" hidden="false" customHeight="false" outlineLevel="0" collapsed="false">
      <c r="A726" s="29" t="n">
        <v>725</v>
      </c>
      <c r="B726" s="44" t="n">
        <v>45695.7180555556</v>
      </c>
      <c r="C726" s="44" t="n">
        <v>45695.7188541667</v>
      </c>
      <c r="D726" s="43" t="n">
        <f aca="false">INT(C726)</f>
        <v>45695</v>
      </c>
      <c r="E726" s="43" t="n">
        <f aca="false">D726-WEEKDAY(D726,3)</f>
        <v>45691</v>
      </c>
      <c r="F726" s="29" t="s">
        <v>178</v>
      </c>
      <c r="G726" s="29" t="n">
        <v>2025</v>
      </c>
      <c r="H726" s="29" t="s">
        <v>254</v>
      </c>
      <c r="I726" s="29" t="n">
        <v>17</v>
      </c>
      <c r="J726" s="29" t="s">
        <v>250</v>
      </c>
      <c r="K726" s="29" t="s">
        <v>251</v>
      </c>
      <c r="L726" s="29" t="n">
        <v>0.03</v>
      </c>
      <c r="M726" s="32" t="n">
        <v>21598.9</v>
      </c>
      <c r="N726" s="32" t="n">
        <v>21630.34</v>
      </c>
      <c r="O726" s="32" t="n">
        <v>21521.87</v>
      </c>
      <c r="P726" s="45" t="n">
        <f aca="false">ABS(M726-N726)</f>
        <v>31.4399999999987</v>
      </c>
      <c r="Q726" s="45" t="n">
        <f aca="false">IF(O726="","",ABS(O726-M726))</f>
        <v>77.0300000000025</v>
      </c>
      <c r="R726" s="31" t="n">
        <f aca="false">P726*L726*Summary!$C$6</f>
        <v>94.3199999999961</v>
      </c>
      <c r="S726" s="32" t="n">
        <v>21631.2</v>
      </c>
      <c r="T726" s="29" t="s">
        <v>249</v>
      </c>
      <c r="U726" s="45" t="n">
        <f aca="false">IF(J726="BUY",S726-M726,M726-S726)</f>
        <v>-32.2999999999993</v>
      </c>
      <c r="V726" s="46" t="n">
        <v>0</v>
      </c>
      <c r="W726" s="46" t="n">
        <v>0</v>
      </c>
      <c r="X726" s="46" t="n">
        <v>-96.9</v>
      </c>
      <c r="Y726" s="33" t="n">
        <f aca="false">IFERROR(X726/R726,0)</f>
        <v>-1.02735368956747</v>
      </c>
      <c r="Z726" s="29" t="str">
        <f aca="false">IF(X726&gt;0,"Win",IF(X726&lt;0,"Loss","Flat"))</f>
        <v>Loss</v>
      </c>
      <c r="AA726" s="29" t="n">
        <f aca="false">ROUND((C726-B726)*1440,1)</f>
        <v>1.2</v>
      </c>
      <c r="AB726" s="29" t="str">
        <f aca="false">IF(AA726&lt;1,"a) &lt;1 min",IF(AA726&lt;10,"b) 1-10 min",IF(AA726&lt;60,"c) 10-60 min",IF(AA726&lt;240,"d) 1-4 h","e) 4 h+"))))</f>
        <v>b) 1-10 min</v>
      </c>
      <c r="AC726" s="29" t="str">
        <f aca="false">IF(P726&lt;10,"a) &lt;10",IF(P726&lt;20,"b) 10-20",IF(P726&lt;40,"c) 20-40",IF(P726&lt;80,"d) 40-80","e) 80+"))))</f>
        <v>c) 20-40</v>
      </c>
      <c r="AD726" s="31" t="n">
        <f aca="false">Summary!$C$5+SUM(X$2:X726)</f>
        <v>15622.04</v>
      </c>
      <c r="AE726" s="31" t="n">
        <f aca="false">MAX(AE725,AD726)</f>
        <v>16151.69</v>
      </c>
      <c r="AF726" s="31" t="n">
        <f aca="false">AE726-AD726</f>
        <v>529.649999999998</v>
      </c>
      <c r="AG726" s="30" t="n">
        <f aca="false">IFERROR(AF726/AE726,0)</f>
        <v>0.0327922341253453</v>
      </c>
    </row>
    <row r="727" customFormat="false" ht="15" hidden="false" customHeight="false" outlineLevel="0" collapsed="false">
      <c r="A727" s="29" t="n">
        <v>726</v>
      </c>
      <c r="B727" s="44" t="n">
        <v>45698.0423611111</v>
      </c>
      <c r="C727" s="44" t="n">
        <v>45698.0468287037</v>
      </c>
      <c r="D727" s="43" t="n">
        <f aca="false">INT(C727)</f>
        <v>45698</v>
      </c>
      <c r="E727" s="43" t="n">
        <f aca="false">D727-WEEKDAY(D727,3)</f>
        <v>45698</v>
      </c>
      <c r="F727" s="29" t="s">
        <v>178</v>
      </c>
      <c r="G727" s="29" t="n">
        <v>2025</v>
      </c>
      <c r="H727" s="29" t="s">
        <v>245</v>
      </c>
      <c r="I727" s="29" t="n">
        <v>1</v>
      </c>
      <c r="J727" s="29" t="s">
        <v>250</v>
      </c>
      <c r="K727" s="29" t="s">
        <v>251</v>
      </c>
      <c r="L727" s="29" t="n">
        <v>0.03</v>
      </c>
      <c r="M727" s="32" t="n">
        <v>21414.63</v>
      </c>
      <c r="N727" s="32" t="n">
        <v>21452.43</v>
      </c>
      <c r="O727" s="32" t="n">
        <v>21322.02</v>
      </c>
      <c r="P727" s="45" t="n">
        <f aca="false">ABS(M727-N727)</f>
        <v>37.7999999999993</v>
      </c>
      <c r="Q727" s="45" t="n">
        <f aca="false">IF(O727="","",ABS(O727-M727))</f>
        <v>92.6100000000006</v>
      </c>
      <c r="R727" s="31" t="n">
        <f aca="false">P727*L727*Summary!$C$6</f>
        <v>113.399999999998</v>
      </c>
      <c r="S727" s="32" t="n">
        <v>21455.91</v>
      </c>
      <c r="T727" s="29" t="s">
        <v>249</v>
      </c>
      <c r="U727" s="45" t="n">
        <f aca="false">IF(J727="BUY",S727-M727,M727-S727)</f>
        <v>-41.2799999999988</v>
      </c>
      <c r="V727" s="46" t="n">
        <v>0</v>
      </c>
      <c r="W727" s="46" t="n">
        <v>0</v>
      </c>
      <c r="X727" s="46" t="n">
        <v>-123.84</v>
      </c>
      <c r="Y727" s="33" t="n">
        <f aca="false">IFERROR(X727/R727,0)</f>
        <v>-1.09206349206351</v>
      </c>
      <c r="Z727" s="29" t="str">
        <f aca="false">IF(X727&gt;0,"Win",IF(X727&lt;0,"Loss","Flat"))</f>
        <v>Loss</v>
      </c>
      <c r="AA727" s="29" t="n">
        <f aca="false">ROUND((C727-B727)*1440,1)</f>
        <v>6.4</v>
      </c>
      <c r="AB727" s="29" t="str">
        <f aca="false">IF(AA727&lt;1,"a) &lt;1 min",IF(AA727&lt;10,"b) 1-10 min",IF(AA727&lt;60,"c) 10-60 min",IF(AA727&lt;240,"d) 1-4 h","e) 4 h+"))))</f>
        <v>b) 1-10 min</v>
      </c>
      <c r="AC727" s="29" t="str">
        <f aca="false">IF(P727&lt;10,"a) &lt;10",IF(P727&lt;20,"b) 10-20",IF(P727&lt;40,"c) 20-40",IF(P727&lt;80,"d) 40-80","e) 80+"))))</f>
        <v>c) 20-40</v>
      </c>
      <c r="AD727" s="31" t="n">
        <f aca="false">Summary!$C$5+SUM(X$2:X727)</f>
        <v>15498.2</v>
      </c>
      <c r="AE727" s="31" t="n">
        <f aca="false">MAX(AE726,AD727)</f>
        <v>16151.69</v>
      </c>
      <c r="AF727" s="31" t="n">
        <f aca="false">AE727-AD727</f>
        <v>653.489999999998</v>
      </c>
      <c r="AG727" s="30" t="n">
        <f aca="false">IFERROR(AF727/AE727,0)</f>
        <v>0.0404595432428432</v>
      </c>
    </row>
    <row r="728" customFormat="false" ht="15" hidden="false" customHeight="false" outlineLevel="0" collapsed="false">
      <c r="A728" s="29" t="n">
        <v>727</v>
      </c>
      <c r="B728" s="44" t="n">
        <v>45700.6465277778</v>
      </c>
      <c r="C728" s="44" t="n">
        <v>45700.6583101852</v>
      </c>
      <c r="D728" s="43" t="n">
        <f aca="false">INT(C728)</f>
        <v>45700</v>
      </c>
      <c r="E728" s="43" t="n">
        <f aca="false">D728-WEEKDAY(D728,3)</f>
        <v>45698</v>
      </c>
      <c r="F728" s="29" t="s">
        <v>178</v>
      </c>
      <c r="G728" s="29" t="n">
        <v>2025</v>
      </c>
      <c r="H728" s="29" t="s">
        <v>252</v>
      </c>
      <c r="I728" s="29" t="n">
        <v>15</v>
      </c>
      <c r="J728" s="29" t="s">
        <v>250</v>
      </c>
      <c r="K728" s="29" t="s">
        <v>251</v>
      </c>
      <c r="L728" s="29" t="n">
        <v>0.03</v>
      </c>
      <c r="M728" s="32" t="n">
        <v>21495.28</v>
      </c>
      <c r="N728" s="32" t="n">
        <v>21554.92</v>
      </c>
      <c r="O728" s="32" t="n">
        <v>21358.69</v>
      </c>
      <c r="P728" s="45" t="n">
        <f aca="false">ABS(M728-N728)</f>
        <v>59.6399999999994</v>
      </c>
      <c r="Q728" s="45" t="n">
        <f aca="false">IF(O728="","",ABS(O728-M728))</f>
        <v>136.59</v>
      </c>
      <c r="R728" s="31" t="n">
        <f aca="false">P728*L728*Summary!$C$6</f>
        <v>178.919999999998</v>
      </c>
      <c r="S728" s="32" t="n">
        <v>21495.5</v>
      </c>
      <c r="T728" s="29" t="s">
        <v>255</v>
      </c>
      <c r="U728" s="45" t="n">
        <f aca="false">IF(J728="BUY",S728-M728,M728-S728)</f>
        <v>-0.220000000001164</v>
      </c>
      <c r="V728" s="46" t="n">
        <v>0</v>
      </c>
      <c r="W728" s="46" t="n">
        <v>0</v>
      </c>
      <c r="X728" s="46" t="n">
        <v>-0.66</v>
      </c>
      <c r="Y728" s="33" t="n">
        <f aca="false">IFERROR(X728/R728,0)</f>
        <v>-0.00368879946344739</v>
      </c>
      <c r="Z728" s="29" t="str">
        <f aca="false">IF(X728&gt;0,"Win",IF(X728&lt;0,"Loss","Flat"))</f>
        <v>Loss</v>
      </c>
      <c r="AA728" s="29" t="n">
        <f aca="false">ROUND((C728-B728)*1440,1)</f>
        <v>17</v>
      </c>
      <c r="AB728" s="29" t="str">
        <f aca="false">IF(AA728&lt;1,"a) &lt;1 min",IF(AA728&lt;10,"b) 1-10 min",IF(AA728&lt;60,"c) 10-60 min",IF(AA728&lt;240,"d) 1-4 h","e) 4 h+"))))</f>
        <v>c) 10-60 min</v>
      </c>
      <c r="AC728" s="29" t="str">
        <f aca="false">IF(P728&lt;10,"a) &lt;10",IF(P728&lt;20,"b) 10-20",IF(P728&lt;40,"c) 20-40",IF(P728&lt;80,"d) 40-80","e) 80+"))))</f>
        <v>d) 40-80</v>
      </c>
      <c r="AD728" s="31" t="n">
        <f aca="false">Summary!$C$5+SUM(X$2:X728)</f>
        <v>15497.54</v>
      </c>
      <c r="AE728" s="31" t="n">
        <f aca="false">MAX(AE727,AD728)</f>
        <v>16151.69</v>
      </c>
      <c r="AF728" s="31" t="n">
        <f aca="false">AE728-AD728</f>
        <v>654.149999999998</v>
      </c>
      <c r="AG728" s="30" t="n">
        <f aca="false">IFERROR(AF728/AE728,0)</f>
        <v>0.0405004058398841</v>
      </c>
    </row>
    <row r="729" customFormat="false" ht="15" hidden="false" customHeight="false" outlineLevel="0" collapsed="false">
      <c r="A729" s="29" t="n">
        <v>728</v>
      </c>
      <c r="B729" s="44" t="n">
        <v>45701.0423611111</v>
      </c>
      <c r="C729" s="44" t="n">
        <v>45701.0784375</v>
      </c>
      <c r="D729" s="43" t="n">
        <f aca="false">INT(C729)</f>
        <v>45701</v>
      </c>
      <c r="E729" s="43" t="n">
        <f aca="false">D729-WEEKDAY(D729,3)</f>
        <v>45698</v>
      </c>
      <c r="F729" s="29" t="s">
        <v>178</v>
      </c>
      <c r="G729" s="29" t="n">
        <v>2025</v>
      </c>
      <c r="H729" s="29" t="s">
        <v>253</v>
      </c>
      <c r="I729" s="29" t="n">
        <v>1</v>
      </c>
      <c r="J729" s="29" t="s">
        <v>246</v>
      </c>
      <c r="K729" s="29" t="s">
        <v>247</v>
      </c>
      <c r="L729" s="29" t="n">
        <v>0.03</v>
      </c>
      <c r="M729" s="32" t="n">
        <v>21769.1</v>
      </c>
      <c r="N729" s="32" t="n">
        <v>21754.2</v>
      </c>
      <c r="O729" s="32" t="n">
        <v>21805.61</v>
      </c>
      <c r="P729" s="45" t="n">
        <f aca="false">ABS(M729-N729)</f>
        <v>14.8999999999978</v>
      </c>
      <c r="Q729" s="45" t="n">
        <f aca="false">IF(O729="","",ABS(O729-M729))</f>
        <v>36.510000000002</v>
      </c>
      <c r="R729" s="31" t="n">
        <f aca="false">P729*L729*Summary!$C$6</f>
        <v>44.6999999999935</v>
      </c>
      <c r="S729" s="32" t="n">
        <v>21808.75</v>
      </c>
      <c r="T729" s="29" t="s">
        <v>227</v>
      </c>
      <c r="U729" s="45" t="n">
        <f aca="false">IF(J729="BUY",S729-M729,M729-S729)</f>
        <v>39.6500000000015</v>
      </c>
      <c r="V729" s="46" t="n">
        <v>0</v>
      </c>
      <c r="W729" s="46" t="n">
        <v>0</v>
      </c>
      <c r="X729" s="46" t="n">
        <v>118.95</v>
      </c>
      <c r="Y729" s="33" t="n">
        <f aca="false">IFERROR(X729/R729,0)</f>
        <v>2.66107382550375</v>
      </c>
      <c r="Z729" s="29" t="str">
        <f aca="false">IF(X729&gt;0,"Win",IF(X729&lt;0,"Loss","Flat"))</f>
        <v>Win</v>
      </c>
      <c r="AA729" s="29" t="n">
        <f aca="false">ROUND((C729-B729)*1440,1)</f>
        <v>52</v>
      </c>
      <c r="AB729" s="29" t="str">
        <f aca="false">IF(AA729&lt;1,"a) &lt;1 min",IF(AA729&lt;10,"b) 1-10 min",IF(AA729&lt;60,"c) 10-60 min",IF(AA729&lt;240,"d) 1-4 h","e) 4 h+"))))</f>
        <v>c) 10-60 min</v>
      </c>
      <c r="AC729" s="29" t="str">
        <f aca="false">IF(P729&lt;10,"a) &lt;10",IF(P729&lt;20,"b) 10-20",IF(P729&lt;40,"c) 20-40",IF(P729&lt;80,"d) 40-80","e) 80+"))))</f>
        <v>b) 10-20</v>
      </c>
      <c r="AD729" s="31" t="n">
        <f aca="false">Summary!$C$5+SUM(X$2:X729)</f>
        <v>15616.49</v>
      </c>
      <c r="AE729" s="31" t="n">
        <f aca="false">MAX(AE728,AD729)</f>
        <v>16151.69</v>
      </c>
      <c r="AF729" s="31" t="n">
        <f aca="false">AE729-AD729</f>
        <v>535.199999999999</v>
      </c>
      <c r="AG729" s="30" t="n">
        <f aca="false">IFERROR(AF729/AE729,0)</f>
        <v>0.0331358514186441</v>
      </c>
    </row>
    <row r="730" customFormat="false" ht="15" hidden="false" customHeight="false" outlineLevel="0" collapsed="false">
      <c r="A730" s="29" t="n">
        <v>729</v>
      </c>
      <c r="B730" s="44" t="n">
        <v>45702.1479166667</v>
      </c>
      <c r="C730" s="44" t="n">
        <v>45702.1720949074</v>
      </c>
      <c r="D730" s="43" t="n">
        <f aca="false">INT(C730)</f>
        <v>45702</v>
      </c>
      <c r="E730" s="43" t="n">
        <f aca="false">D730-WEEKDAY(D730,3)</f>
        <v>45698</v>
      </c>
      <c r="F730" s="29" t="s">
        <v>178</v>
      </c>
      <c r="G730" s="29" t="n">
        <v>2025</v>
      </c>
      <c r="H730" s="29" t="s">
        <v>254</v>
      </c>
      <c r="I730" s="29" t="n">
        <v>3</v>
      </c>
      <c r="J730" s="29" t="s">
        <v>246</v>
      </c>
      <c r="K730" s="29" t="s">
        <v>247</v>
      </c>
      <c r="L730" s="29" t="n">
        <v>0.03</v>
      </c>
      <c r="M730" s="32" t="n">
        <v>22041.48</v>
      </c>
      <c r="N730" s="32" t="n">
        <v>22033.98</v>
      </c>
      <c r="O730" s="32" t="n">
        <v>22059.86</v>
      </c>
      <c r="P730" s="45" t="n">
        <f aca="false">ABS(M730-N730)</f>
        <v>7.5</v>
      </c>
      <c r="Q730" s="45" t="n">
        <f aca="false">IF(O730="","",ABS(O730-M730))</f>
        <v>18.380000000001</v>
      </c>
      <c r="R730" s="31" t="n">
        <f aca="false">P730*L730*Summary!$C$6</f>
        <v>22.5</v>
      </c>
      <c r="S730" s="32" t="n">
        <v>22060.17</v>
      </c>
      <c r="T730" s="29" t="s">
        <v>227</v>
      </c>
      <c r="U730" s="45" t="n">
        <f aca="false">IF(J730="BUY",S730-M730,M730-S730)</f>
        <v>18.6899999999987</v>
      </c>
      <c r="V730" s="46" t="n">
        <v>0</v>
      </c>
      <c r="W730" s="46" t="n">
        <v>0</v>
      </c>
      <c r="X730" s="46" t="n">
        <v>56.07</v>
      </c>
      <c r="Y730" s="33" t="n">
        <f aca="false">IFERROR(X730/R730,0)</f>
        <v>2.492</v>
      </c>
      <c r="Z730" s="29" t="str">
        <f aca="false">IF(X730&gt;0,"Win",IF(X730&lt;0,"Loss","Flat"))</f>
        <v>Win</v>
      </c>
      <c r="AA730" s="29" t="n">
        <f aca="false">ROUND((C730-B730)*1440,1)</f>
        <v>34.8</v>
      </c>
      <c r="AB730" s="29" t="str">
        <f aca="false">IF(AA730&lt;1,"a) &lt;1 min",IF(AA730&lt;10,"b) 1-10 min",IF(AA730&lt;60,"c) 10-60 min",IF(AA730&lt;240,"d) 1-4 h","e) 4 h+"))))</f>
        <v>c) 10-60 min</v>
      </c>
      <c r="AC730" s="29" t="str">
        <f aca="false">IF(P730&lt;10,"a) &lt;10",IF(P730&lt;20,"b) 10-20",IF(P730&lt;40,"c) 20-40",IF(P730&lt;80,"d) 40-80","e) 80+"))))</f>
        <v>a) &lt;10</v>
      </c>
      <c r="AD730" s="31" t="n">
        <f aca="false">Summary!$C$5+SUM(X$2:X730)</f>
        <v>15672.56</v>
      </c>
      <c r="AE730" s="31" t="n">
        <f aca="false">MAX(AE729,AD730)</f>
        <v>16151.69</v>
      </c>
      <c r="AF730" s="31" t="n">
        <f aca="false">AE730-AD730</f>
        <v>479.129999999997</v>
      </c>
      <c r="AG730" s="30" t="n">
        <f aca="false">IFERROR(AF730/AE730,0)</f>
        <v>0.0296643880609396</v>
      </c>
    </row>
    <row r="731" customFormat="false" ht="15" hidden="false" customHeight="false" outlineLevel="0" collapsed="false">
      <c r="A731" s="29" t="n">
        <v>730</v>
      </c>
      <c r="B731" s="44" t="n">
        <v>45705.0423611111</v>
      </c>
      <c r="C731" s="44" t="n">
        <v>45705.0431712963</v>
      </c>
      <c r="D731" s="43" t="n">
        <f aca="false">INT(C731)</f>
        <v>45705</v>
      </c>
      <c r="E731" s="43" t="n">
        <f aca="false">D731-WEEKDAY(D731,3)</f>
        <v>45705</v>
      </c>
      <c r="F731" s="29" t="s">
        <v>178</v>
      </c>
      <c r="G731" s="29" t="n">
        <v>2025</v>
      </c>
      <c r="H731" s="29" t="s">
        <v>245</v>
      </c>
      <c r="I731" s="29" t="n">
        <v>1</v>
      </c>
      <c r="J731" s="29" t="s">
        <v>246</v>
      </c>
      <c r="K731" s="29" t="s">
        <v>247</v>
      </c>
      <c r="L731" s="29" t="n">
        <v>0.03</v>
      </c>
      <c r="M731" s="32" t="n">
        <v>22147.71</v>
      </c>
      <c r="N731" s="32" t="n">
        <v>22138.85</v>
      </c>
      <c r="O731" s="32" t="n">
        <v>22169.42</v>
      </c>
      <c r="P731" s="45" t="n">
        <f aca="false">ABS(M731-N731)</f>
        <v>8.86000000000058</v>
      </c>
      <c r="Q731" s="45" t="n">
        <f aca="false">IF(O731="","",ABS(O731-M731))</f>
        <v>21.7099999999991</v>
      </c>
      <c r="R731" s="31" t="n">
        <f aca="false">P731*L731*Summary!$C$6</f>
        <v>26.5800000000017</v>
      </c>
      <c r="S731" s="32" t="n">
        <v>22138.42</v>
      </c>
      <c r="T731" s="29" t="s">
        <v>249</v>
      </c>
      <c r="U731" s="45" t="n">
        <f aca="false">IF(J731="BUY",S731-M731,M731-S731)</f>
        <v>-9.29000000000087</v>
      </c>
      <c r="V731" s="46" t="n">
        <v>0</v>
      </c>
      <c r="W731" s="46" t="n">
        <v>0</v>
      </c>
      <c r="X731" s="46" t="n">
        <v>-27.87</v>
      </c>
      <c r="Y731" s="33" t="n">
        <f aca="false">IFERROR(X731/R731,0)</f>
        <v>-1.04853273137691</v>
      </c>
      <c r="Z731" s="29" t="str">
        <f aca="false">IF(X731&gt;0,"Win",IF(X731&lt;0,"Loss","Flat"))</f>
        <v>Loss</v>
      </c>
      <c r="AA731" s="29" t="n">
        <f aca="false">ROUND((C731-B731)*1440,1)</f>
        <v>1.2</v>
      </c>
      <c r="AB731" s="29" t="str">
        <f aca="false">IF(AA731&lt;1,"a) &lt;1 min",IF(AA731&lt;10,"b) 1-10 min",IF(AA731&lt;60,"c) 10-60 min",IF(AA731&lt;240,"d) 1-4 h","e) 4 h+"))))</f>
        <v>b) 1-10 min</v>
      </c>
      <c r="AC731" s="29" t="str">
        <f aca="false">IF(P731&lt;10,"a) &lt;10",IF(P731&lt;20,"b) 10-20",IF(P731&lt;40,"c) 20-40",IF(P731&lt;80,"d) 40-80","e) 80+"))))</f>
        <v>a) &lt;10</v>
      </c>
      <c r="AD731" s="31" t="n">
        <f aca="false">Summary!$C$5+SUM(X$2:X731)</f>
        <v>15644.69</v>
      </c>
      <c r="AE731" s="31" t="n">
        <f aca="false">MAX(AE730,AD731)</f>
        <v>16151.69</v>
      </c>
      <c r="AF731" s="31" t="n">
        <f aca="false">AE731-AD731</f>
        <v>507</v>
      </c>
      <c r="AG731" s="30" t="n">
        <f aca="false">IFERROR(AF731/AE731,0)</f>
        <v>0.0313899040905317</v>
      </c>
    </row>
    <row r="732" customFormat="false" ht="15" hidden="false" customHeight="false" outlineLevel="0" collapsed="false">
      <c r="A732" s="29" t="n">
        <v>731</v>
      </c>
      <c r="B732" s="44" t="n">
        <v>45706.3611111111</v>
      </c>
      <c r="C732" s="44" t="n">
        <v>45706.3652662037</v>
      </c>
      <c r="D732" s="43" t="n">
        <f aca="false">INT(C732)</f>
        <v>45706</v>
      </c>
      <c r="E732" s="43" t="n">
        <f aca="false">D732-WEEKDAY(D732,3)</f>
        <v>45705</v>
      </c>
      <c r="F732" s="29" t="s">
        <v>178</v>
      </c>
      <c r="G732" s="29" t="n">
        <v>2025</v>
      </c>
      <c r="H732" s="29" t="s">
        <v>248</v>
      </c>
      <c r="I732" s="29" t="n">
        <v>8</v>
      </c>
      <c r="J732" s="29" t="s">
        <v>246</v>
      </c>
      <c r="K732" s="29" t="s">
        <v>247</v>
      </c>
      <c r="L732" s="29" t="n">
        <v>0.03</v>
      </c>
      <c r="M732" s="32" t="n">
        <v>22212.18</v>
      </c>
      <c r="N732" s="32" t="n">
        <v>22206.03</v>
      </c>
      <c r="O732" s="32" t="n">
        <v>22227.24</v>
      </c>
      <c r="P732" s="45" t="n">
        <f aca="false">ABS(M732-N732)</f>
        <v>6.15000000000146</v>
      </c>
      <c r="Q732" s="45" t="n">
        <f aca="false">IF(O732="","",ABS(O732-M732))</f>
        <v>15.0600000000013</v>
      </c>
      <c r="R732" s="31" t="n">
        <f aca="false">P732*L732*Summary!$C$6</f>
        <v>18.4500000000044</v>
      </c>
      <c r="S732" s="32" t="n">
        <v>22227.24</v>
      </c>
      <c r="T732" s="29" t="s">
        <v>227</v>
      </c>
      <c r="U732" s="45" t="n">
        <f aca="false">IF(J732="BUY",S732-M732,M732-S732)</f>
        <v>15.0600000000013</v>
      </c>
      <c r="V732" s="46" t="n">
        <v>0</v>
      </c>
      <c r="W732" s="46" t="n">
        <v>0</v>
      </c>
      <c r="X732" s="46" t="n">
        <v>45.18</v>
      </c>
      <c r="Y732" s="33" t="n">
        <f aca="false">IFERROR(X732/R732,0)</f>
        <v>2.4487804878043</v>
      </c>
      <c r="Z732" s="29" t="str">
        <f aca="false">IF(X732&gt;0,"Win",IF(X732&lt;0,"Loss","Flat"))</f>
        <v>Win</v>
      </c>
      <c r="AA732" s="29" t="n">
        <f aca="false">ROUND((C732-B732)*1440,1)</f>
        <v>6</v>
      </c>
      <c r="AB732" s="29" t="str">
        <f aca="false">IF(AA732&lt;1,"a) &lt;1 min",IF(AA732&lt;10,"b) 1-10 min",IF(AA732&lt;60,"c) 10-60 min",IF(AA732&lt;240,"d) 1-4 h","e) 4 h+"))))</f>
        <v>b) 1-10 min</v>
      </c>
      <c r="AC732" s="29" t="str">
        <f aca="false">IF(P732&lt;10,"a) &lt;10",IF(P732&lt;20,"b) 10-20",IF(P732&lt;40,"c) 20-40",IF(P732&lt;80,"d) 40-80","e) 80+"))))</f>
        <v>a) &lt;10</v>
      </c>
      <c r="AD732" s="31" t="n">
        <f aca="false">Summary!$C$5+SUM(X$2:X732)</f>
        <v>15689.87</v>
      </c>
      <c r="AE732" s="31" t="n">
        <f aca="false">MAX(AE731,AD732)</f>
        <v>16151.69</v>
      </c>
      <c r="AF732" s="31" t="n">
        <f aca="false">AE732-AD732</f>
        <v>461.82</v>
      </c>
      <c r="AG732" s="30" t="n">
        <f aca="false">IFERROR(AF732/AE732,0)</f>
        <v>0.0285926735840026</v>
      </c>
    </row>
    <row r="733" customFormat="false" ht="15" hidden="false" customHeight="false" outlineLevel="0" collapsed="false">
      <c r="A733" s="29" t="n">
        <v>732</v>
      </c>
      <c r="B733" s="44" t="n">
        <v>45706.7</v>
      </c>
      <c r="C733" s="44" t="n">
        <v>45706.7028703704</v>
      </c>
      <c r="D733" s="43" t="n">
        <f aca="false">INT(C733)</f>
        <v>45706</v>
      </c>
      <c r="E733" s="43" t="n">
        <f aca="false">D733-WEEKDAY(D733,3)</f>
        <v>45705</v>
      </c>
      <c r="F733" s="29" t="s">
        <v>178</v>
      </c>
      <c r="G733" s="29" t="n">
        <v>2025</v>
      </c>
      <c r="H733" s="29" t="s">
        <v>248</v>
      </c>
      <c r="I733" s="29" t="n">
        <v>16</v>
      </c>
      <c r="J733" s="29" t="s">
        <v>250</v>
      </c>
      <c r="K733" s="29" t="s">
        <v>251</v>
      </c>
      <c r="L733" s="29" t="n">
        <v>0.03</v>
      </c>
      <c r="M733" s="32" t="n">
        <v>22099.53</v>
      </c>
      <c r="N733" s="32" t="n">
        <v>22123.17</v>
      </c>
      <c r="O733" s="32" t="n">
        <v>22041.61</v>
      </c>
      <c r="P733" s="45" t="n">
        <f aca="false">ABS(M733-N733)</f>
        <v>23.6399999999994</v>
      </c>
      <c r="Q733" s="45" t="n">
        <f aca="false">IF(O733="","",ABS(O733-M733))</f>
        <v>57.9199999999983</v>
      </c>
      <c r="R733" s="31" t="n">
        <f aca="false">P733*L733*Summary!$C$6</f>
        <v>70.9199999999983</v>
      </c>
      <c r="S733" s="32" t="n">
        <v>22123.22</v>
      </c>
      <c r="T733" s="29" t="s">
        <v>249</v>
      </c>
      <c r="U733" s="45" t="n">
        <f aca="false">IF(J733="BUY",S733-M733,M733-S733)</f>
        <v>-23.6900000000023</v>
      </c>
      <c r="V733" s="46" t="n">
        <v>0</v>
      </c>
      <c r="W733" s="46" t="n">
        <v>0</v>
      </c>
      <c r="X733" s="46" t="n">
        <v>-71.07</v>
      </c>
      <c r="Y733" s="33" t="n">
        <f aca="false">IFERROR(X733/R733,0)</f>
        <v>-1.00211505922168</v>
      </c>
      <c r="Z733" s="29" t="str">
        <f aca="false">IF(X733&gt;0,"Win",IF(X733&lt;0,"Loss","Flat"))</f>
        <v>Loss</v>
      </c>
      <c r="AA733" s="29" t="n">
        <f aca="false">ROUND((C733-B733)*1440,1)</f>
        <v>4.1</v>
      </c>
      <c r="AB733" s="29" t="str">
        <f aca="false">IF(AA733&lt;1,"a) &lt;1 min",IF(AA733&lt;10,"b) 1-10 min",IF(AA733&lt;60,"c) 10-60 min",IF(AA733&lt;240,"d) 1-4 h","e) 4 h+"))))</f>
        <v>b) 1-10 min</v>
      </c>
      <c r="AC733" s="29" t="str">
        <f aca="false">IF(P733&lt;10,"a) &lt;10",IF(P733&lt;20,"b) 10-20",IF(P733&lt;40,"c) 20-40",IF(P733&lt;80,"d) 40-80","e) 80+"))))</f>
        <v>c) 20-40</v>
      </c>
      <c r="AD733" s="31" t="n">
        <f aca="false">Summary!$C$5+SUM(X$2:X733)</f>
        <v>15618.8</v>
      </c>
      <c r="AE733" s="31" t="n">
        <f aca="false">MAX(AE732,AD733)</f>
        <v>16151.69</v>
      </c>
      <c r="AF733" s="31" t="n">
        <f aca="false">AE733-AD733</f>
        <v>532.889999999999</v>
      </c>
      <c r="AG733" s="30" t="n">
        <f aca="false">IFERROR(AF733/AE733,0)</f>
        <v>0.0329928323290008</v>
      </c>
    </row>
    <row r="734" customFormat="false" ht="15" hidden="false" customHeight="false" outlineLevel="0" collapsed="false">
      <c r="A734" s="29" t="n">
        <v>733</v>
      </c>
      <c r="B734" s="44" t="n">
        <v>45708.7027777778</v>
      </c>
      <c r="C734" s="44" t="n">
        <v>45708.7037152778</v>
      </c>
      <c r="D734" s="43" t="n">
        <f aca="false">INT(C734)</f>
        <v>45708</v>
      </c>
      <c r="E734" s="43" t="n">
        <f aca="false">D734-WEEKDAY(D734,3)</f>
        <v>45705</v>
      </c>
      <c r="F734" s="29" t="s">
        <v>178</v>
      </c>
      <c r="G734" s="29" t="n">
        <v>2025</v>
      </c>
      <c r="H734" s="29" t="s">
        <v>253</v>
      </c>
      <c r="I734" s="29" t="n">
        <v>16</v>
      </c>
      <c r="J734" s="29" t="s">
        <v>250</v>
      </c>
      <c r="K734" s="29" t="s">
        <v>251</v>
      </c>
      <c r="L734" s="29" t="n">
        <v>0.03</v>
      </c>
      <c r="M734" s="32" t="n">
        <v>22038.01</v>
      </c>
      <c r="N734" s="32" t="n">
        <v>22057.11</v>
      </c>
      <c r="O734" s="32" t="n">
        <v>21991.22</v>
      </c>
      <c r="P734" s="45" t="n">
        <f aca="false">ABS(M734-N734)</f>
        <v>19.1000000000022</v>
      </c>
      <c r="Q734" s="45" t="n">
        <f aca="false">IF(O734="","",ABS(O734-M734))</f>
        <v>46.7899999999972</v>
      </c>
      <c r="R734" s="31" t="n">
        <f aca="false">P734*L734*Summary!$C$6</f>
        <v>57.3000000000066</v>
      </c>
      <c r="S734" s="32" t="n">
        <v>21990.7</v>
      </c>
      <c r="T734" s="29" t="s">
        <v>227</v>
      </c>
      <c r="U734" s="45" t="n">
        <f aca="false">IF(J734="BUY",S734-M734,M734-S734)</f>
        <v>47.3099999999977</v>
      </c>
      <c r="V734" s="46" t="n">
        <v>0</v>
      </c>
      <c r="W734" s="46" t="n">
        <v>0</v>
      </c>
      <c r="X734" s="46" t="n">
        <v>141.93</v>
      </c>
      <c r="Y734" s="33" t="n">
        <f aca="false">IFERROR(X734/R734,0)</f>
        <v>2.47696335078506</v>
      </c>
      <c r="Z734" s="29" t="str">
        <f aca="false">IF(X734&gt;0,"Win",IF(X734&lt;0,"Loss","Flat"))</f>
        <v>Win</v>
      </c>
      <c r="AA734" s="29" t="n">
        <f aca="false">ROUND((C734-B734)*1440,1)</f>
        <v>1.4</v>
      </c>
      <c r="AB734" s="29" t="str">
        <f aca="false">IF(AA734&lt;1,"a) &lt;1 min",IF(AA734&lt;10,"b) 1-10 min",IF(AA734&lt;60,"c) 10-60 min",IF(AA734&lt;240,"d) 1-4 h","e) 4 h+"))))</f>
        <v>b) 1-10 min</v>
      </c>
      <c r="AC734" s="29" t="str">
        <f aca="false">IF(P734&lt;10,"a) &lt;10",IF(P734&lt;20,"b) 10-20",IF(P734&lt;40,"c) 20-40",IF(P734&lt;80,"d) 40-80","e) 80+"))))</f>
        <v>b) 10-20</v>
      </c>
      <c r="AD734" s="31" t="n">
        <f aca="false">Summary!$C$5+SUM(X$2:X734)</f>
        <v>15760.73</v>
      </c>
      <c r="AE734" s="31" t="n">
        <f aca="false">MAX(AE733,AD734)</f>
        <v>16151.69</v>
      </c>
      <c r="AF734" s="31" t="n">
        <f aca="false">AE734-AD734</f>
        <v>390.959999999999</v>
      </c>
      <c r="AG734" s="30" t="n">
        <f aca="false">IFERROR(AF734/AE734,0)</f>
        <v>0.0242055165744265</v>
      </c>
    </row>
    <row r="735" customFormat="false" ht="15" hidden="false" customHeight="false" outlineLevel="0" collapsed="false">
      <c r="A735" s="29" t="n">
        <v>734</v>
      </c>
      <c r="B735" s="44" t="n">
        <v>45709.6361111111</v>
      </c>
      <c r="C735" s="44" t="n">
        <v>45709.6383333333</v>
      </c>
      <c r="D735" s="43" t="n">
        <f aca="false">INT(C735)</f>
        <v>45709</v>
      </c>
      <c r="E735" s="43" t="n">
        <f aca="false">D735-WEEKDAY(D735,3)</f>
        <v>45705</v>
      </c>
      <c r="F735" s="29" t="s">
        <v>178</v>
      </c>
      <c r="G735" s="29" t="n">
        <v>2025</v>
      </c>
      <c r="H735" s="29" t="s">
        <v>254</v>
      </c>
      <c r="I735" s="29" t="n">
        <v>15</v>
      </c>
      <c r="J735" s="29" t="s">
        <v>246</v>
      </c>
      <c r="K735" s="29" t="s">
        <v>247</v>
      </c>
      <c r="L735" s="29" t="n">
        <v>0.03</v>
      </c>
      <c r="M735" s="32" t="n">
        <v>22156.82</v>
      </c>
      <c r="N735" s="32" t="n">
        <v>22152.47</v>
      </c>
      <c r="O735" s="32" t="n">
        <v>22167.48</v>
      </c>
      <c r="P735" s="45" t="n">
        <f aca="false">ABS(M735-N735)</f>
        <v>4.34999999999855</v>
      </c>
      <c r="Q735" s="45" t="n">
        <f aca="false">IF(O735="","",ABS(O735-M735))</f>
        <v>10.6599999999999</v>
      </c>
      <c r="R735" s="31" t="n">
        <f aca="false">P735*L735*Summary!$C$6</f>
        <v>13.0499999999956</v>
      </c>
      <c r="S735" s="32" t="n">
        <v>22152.22</v>
      </c>
      <c r="T735" s="29" t="s">
        <v>249</v>
      </c>
      <c r="U735" s="45" t="n">
        <f aca="false">IF(J735="BUY",S735-M735,M735-S735)</f>
        <v>-4.59999999999855</v>
      </c>
      <c r="V735" s="46" t="n">
        <v>0</v>
      </c>
      <c r="W735" s="46" t="n">
        <v>0</v>
      </c>
      <c r="X735" s="46" t="n">
        <v>-13.8</v>
      </c>
      <c r="Y735" s="33" t="n">
        <f aca="false">IFERROR(X735/R735,0)</f>
        <v>-1.05747126436817</v>
      </c>
      <c r="Z735" s="29" t="str">
        <f aca="false">IF(X735&gt;0,"Win",IF(X735&lt;0,"Loss","Flat"))</f>
        <v>Loss</v>
      </c>
      <c r="AA735" s="29" t="n">
        <f aca="false">ROUND((C735-B735)*1440,1)</f>
        <v>3.2</v>
      </c>
      <c r="AB735" s="29" t="str">
        <f aca="false">IF(AA735&lt;1,"a) &lt;1 min",IF(AA735&lt;10,"b) 1-10 min",IF(AA735&lt;60,"c) 10-60 min",IF(AA735&lt;240,"d) 1-4 h","e) 4 h+"))))</f>
        <v>b) 1-10 min</v>
      </c>
      <c r="AC735" s="29" t="str">
        <f aca="false">IF(P735&lt;10,"a) &lt;10",IF(P735&lt;20,"b) 10-20",IF(P735&lt;40,"c) 20-40",IF(P735&lt;80,"d) 40-80","e) 80+"))))</f>
        <v>a) &lt;10</v>
      </c>
      <c r="AD735" s="31" t="n">
        <f aca="false">Summary!$C$5+SUM(X$2:X735)</f>
        <v>15746.93</v>
      </c>
      <c r="AE735" s="31" t="n">
        <f aca="false">MAX(AE734,AD735)</f>
        <v>16151.69</v>
      </c>
      <c r="AF735" s="31" t="n">
        <f aca="false">AE735-AD735</f>
        <v>404.759999999998</v>
      </c>
      <c r="AG735" s="30" t="n">
        <f aca="false">IFERROR(AF735/AE735,0)</f>
        <v>0.0250599163307368</v>
      </c>
    </row>
    <row r="736" customFormat="false" ht="15" hidden="false" customHeight="false" outlineLevel="0" collapsed="false">
      <c r="A736" s="29" t="n">
        <v>735</v>
      </c>
      <c r="B736" s="44" t="n">
        <v>45709.7395833333</v>
      </c>
      <c r="C736" s="44" t="n">
        <v>45709.739849537</v>
      </c>
      <c r="D736" s="43" t="n">
        <f aca="false">INT(C736)</f>
        <v>45709</v>
      </c>
      <c r="E736" s="43" t="n">
        <f aca="false">D736-WEEKDAY(D736,3)</f>
        <v>45705</v>
      </c>
      <c r="F736" s="29" t="s">
        <v>178</v>
      </c>
      <c r="G736" s="29" t="n">
        <v>2025</v>
      </c>
      <c r="H736" s="29" t="s">
        <v>254</v>
      </c>
      <c r="I736" s="29" t="n">
        <v>17</v>
      </c>
      <c r="J736" s="29" t="s">
        <v>250</v>
      </c>
      <c r="K736" s="29" t="s">
        <v>251</v>
      </c>
      <c r="L736" s="29" t="n">
        <v>0.03</v>
      </c>
      <c r="M736" s="32" t="n">
        <v>21876.5</v>
      </c>
      <c r="N736" s="32" t="n">
        <v>21894.7</v>
      </c>
      <c r="O736" s="32" t="n">
        <v>21828.33</v>
      </c>
      <c r="P736" s="45" t="n">
        <f aca="false">ABS(M736-N736)</f>
        <v>18.2000000000007</v>
      </c>
      <c r="Q736" s="45" t="n">
        <f aca="false">IF(O736="","",ABS(O736-M736))</f>
        <v>48.1699999999983</v>
      </c>
      <c r="R736" s="31" t="n">
        <f aca="false">P736*L736*Summary!$C$6</f>
        <v>54.6000000000022</v>
      </c>
      <c r="S736" s="32" t="n">
        <v>21895.3</v>
      </c>
      <c r="T736" s="29" t="s">
        <v>249</v>
      </c>
      <c r="U736" s="45" t="n">
        <f aca="false">IF(J736="BUY",S736-M736,M736-S736)</f>
        <v>-18.7999999999993</v>
      </c>
      <c r="V736" s="46" t="n">
        <v>0</v>
      </c>
      <c r="W736" s="46" t="n">
        <v>0</v>
      </c>
      <c r="X736" s="46" t="n">
        <v>-56.4</v>
      </c>
      <c r="Y736" s="33" t="n">
        <f aca="false">IFERROR(X736/R736,0)</f>
        <v>-1.03296703296699</v>
      </c>
      <c r="Z736" s="29" t="str">
        <f aca="false">IF(X736&gt;0,"Win",IF(X736&lt;0,"Loss","Flat"))</f>
        <v>Loss</v>
      </c>
      <c r="AA736" s="29" t="n">
        <f aca="false">ROUND((C736-B736)*1440,1)</f>
        <v>0.4</v>
      </c>
      <c r="AB736" s="29" t="str">
        <f aca="false">IF(AA736&lt;1,"a) &lt;1 min",IF(AA736&lt;10,"b) 1-10 min",IF(AA736&lt;60,"c) 10-60 min",IF(AA736&lt;240,"d) 1-4 h","e) 4 h+"))))</f>
        <v>a) &lt;1 min</v>
      </c>
      <c r="AC736" s="29" t="str">
        <f aca="false">IF(P736&lt;10,"a) &lt;10",IF(P736&lt;20,"b) 10-20",IF(P736&lt;40,"c) 20-40",IF(P736&lt;80,"d) 40-80","e) 80+"))))</f>
        <v>b) 10-20</v>
      </c>
      <c r="AD736" s="31" t="n">
        <f aca="false">Summary!$C$5+SUM(X$2:X736)</f>
        <v>15690.53</v>
      </c>
      <c r="AE736" s="31" t="n">
        <f aca="false">MAX(AE735,AD736)</f>
        <v>16151.69</v>
      </c>
      <c r="AF736" s="31" t="n">
        <f aca="false">AE736-AD736</f>
        <v>461.16</v>
      </c>
      <c r="AG736" s="30" t="n">
        <f aca="false">IFERROR(AF736/AE736,0)</f>
        <v>0.0285518109869617</v>
      </c>
    </row>
    <row r="737" customFormat="false" ht="15" hidden="false" customHeight="false" outlineLevel="0" collapsed="false">
      <c r="A737" s="29" t="n">
        <v>736</v>
      </c>
      <c r="B737" s="44" t="n">
        <v>45712.7034722222</v>
      </c>
      <c r="C737" s="44" t="n">
        <v>45712.7067592593</v>
      </c>
      <c r="D737" s="43" t="n">
        <f aca="false">INT(C737)</f>
        <v>45712</v>
      </c>
      <c r="E737" s="43" t="n">
        <f aca="false">D737-WEEKDAY(D737,3)</f>
        <v>45712</v>
      </c>
      <c r="F737" s="29" t="s">
        <v>178</v>
      </c>
      <c r="G737" s="29" t="n">
        <v>2025</v>
      </c>
      <c r="H737" s="29" t="s">
        <v>245</v>
      </c>
      <c r="I737" s="29" t="n">
        <v>16</v>
      </c>
      <c r="J737" s="29" t="s">
        <v>250</v>
      </c>
      <c r="K737" s="29" t="s">
        <v>251</v>
      </c>
      <c r="L737" s="29" t="n">
        <v>0.03</v>
      </c>
      <c r="M737" s="32" t="n">
        <v>21564.49</v>
      </c>
      <c r="N737" s="32" t="n">
        <v>21588.51</v>
      </c>
      <c r="O737" s="32" t="n">
        <v>21505.65</v>
      </c>
      <c r="P737" s="45" t="n">
        <f aca="false">ABS(M737-N737)</f>
        <v>24.0199999999968</v>
      </c>
      <c r="Q737" s="45" t="n">
        <f aca="false">IF(O737="","",ABS(O737-M737))</f>
        <v>58.8400000000001</v>
      </c>
      <c r="R737" s="31" t="n">
        <f aca="false">P737*L737*Summary!$C$6</f>
        <v>72.0599999999904</v>
      </c>
      <c r="S737" s="32" t="n">
        <v>21505.32</v>
      </c>
      <c r="T737" s="29" t="s">
        <v>227</v>
      </c>
      <c r="U737" s="45" t="n">
        <f aca="false">IF(J737="BUY",S737-M737,M737-S737)</f>
        <v>59.1700000000019</v>
      </c>
      <c r="V737" s="46" t="n">
        <v>0</v>
      </c>
      <c r="W737" s="46" t="n">
        <v>0</v>
      </c>
      <c r="X737" s="46" t="n">
        <v>177.51</v>
      </c>
      <c r="Y737" s="33" t="n">
        <f aca="false">IFERROR(X737/R737,0)</f>
        <v>2.46336386344746</v>
      </c>
      <c r="Z737" s="29" t="str">
        <f aca="false">IF(X737&gt;0,"Win",IF(X737&lt;0,"Loss","Flat"))</f>
        <v>Win</v>
      </c>
      <c r="AA737" s="29" t="n">
        <f aca="false">ROUND((C737-B737)*1440,1)</f>
        <v>4.7</v>
      </c>
      <c r="AB737" s="29" t="str">
        <f aca="false">IF(AA737&lt;1,"a) &lt;1 min",IF(AA737&lt;10,"b) 1-10 min",IF(AA737&lt;60,"c) 10-60 min",IF(AA737&lt;240,"d) 1-4 h","e) 4 h+"))))</f>
        <v>b) 1-10 min</v>
      </c>
      <c r="AC737" s="29" t="str">
        <f aca="false">IF(P737&lt;10,"a) &lt;10",IF(P737&lt;20,"b) 10-20",IF(P737&lt;40,"c) 20-40",IF(P737&lt;80,"d) 40-80","e) 80+"))))</f>
        <v>c) 20-40</v>
      </c>
      <c r="AD737" s="31" t="n">
        <f aca="false">Summary!$C$5+SUM(X$2:X737)</f>
        <v>15868.04</v>
      </c>
      <c r="AE737" s="31" t="n">
        <f aca="false">MAX(AE736,AD737)</f>
        <v>16151.69</v>
      </c>
      <c r="AF737" s="31" t="n">
        <f aca="false">AE737-AD737</f>
        <v>283.649999999998</v>
      </c>
      <c r="AG737" s="30" t="n">
        <f aca="false">IFERROR(AF737/AE737,0)</f>
        <v>0.0175616297737263</v>
      </c>
    </row>
    <row r="738" customFormat="false" ht="15" hidden="false" customHeight="false" outlineLevel="0" collapsed="false">
      <c r="A738" s="29" t="n">
        <v>737</v>
      </c>
      <c r="B738" s="44" t="n">
        <v>45713.0659722222</v>
      </c>
      <c r="C738" s="44" t="n">
        <v>45713.0667708333</v>
      </c>
      <c r="D738" s="43" t="n">
        <f aca="false">INT(C738)</f>
        <v>45713</v>
      </c>
      <c r="E738" s="43" t="n">
        <f aca="false">D738-WEEKDAY(D738,3)</f>
        <v>45712</v>
      </c>
      <c r="F738" s="29" t="s">
        <v>178</v>
      </c>
      <c r="G738" s="29" t="n">
        <v>2025</v>
      </c>
      <c r="H738" s="29" t="s">
        <v>248</v>
      </c>
      <c r="I738" s="29" t="n">
        <v>1</v>
      </c>
      <c r="J738" s="29" t="s">
        <v>250</v>
      </c>
      <c r="K738" s="29" t="s">
        <v>251</v>
      </c>
      <c r="L738" s="29" t="n">
        <v>0.03</v>
      </c>
      <c r="M738" s="32" t="n">
        <v>21338.08</v>
      </c>
      <c r="N738" s="32" t="n">
        <v>21347.28</v>
      </c>
      <c r="O738" s="32" t="n">
        <v>21315.54</v>
      </c>
      <c r="P738" s="45" t="n">
        <f aca="false">ABS(M738-N738)</f>
        <v>9.19999999999709</v>
      </c>
      <c r="Q738" s="45" t="n">
        <f aca="false">IF(O738="","",ABS(O738-M738))</f>
        <v>22.5400000000009</v>
      </c>
      <c r="R738" s="31" t="n">
        <f aca="false">P738*L738*Summary!$C$6</f>
        <v>27.5999999999913</v>
      </c>
      <c r="S738" s="32" t="n">
        <v>21347.4</v>
      </c>
      <c r="T738" s="29" t="s">
        <v>249</v>
      </c>
      <c r="U738" s="45" t="n">
        <f aca="false">IF(J738="BUY",S738-M738,M738-S738)</f>
        <v>-9.31999999999971</v>
      </c>
      <c r="V738" s="46" t="n">
        <v>0</v>
      </c>
      <c r="W738" s="46" t="n">
        <v>0</v>
      </c>
      <c r="X738" s="46" t="n">
        <v>-27.96</v>
      </c>
      <c r="Y738" s="33" t="n">
        <f aca="false">IFERROR(X738/R738,0)</f>
        <v>-1.01304347826119</v>
      </c>
      <c r="Z738" s="29" t="str">
        <f aca="false">IF(X738&gt;0,"Win",IF(X738&lt;0,"Loss","Flat"))</f>
        <v>Loss</v>
      </c>
      <c r="AA738" s="29" t="n">
        <f aca="false">ROUND((C738-B738)*1440,1)</f>
        <v>1.2</v>
      </c>
      <c r="AB738" s="29" t="str">
        <f aca="false">IF(AA738&lt;1,"a) &lt;1 min",IF(AA738&lt;10,"b) 1-10 min",IF(AA738&lt;60,"c) 10-60 min",IF(AA738&lt;240,"d) 1-4 h","e) 4 h+"))))</f>
        <v>b) 1-10 min</v>
      </c>
      <c r="AC738" s="29" t="str">
        <f aca="false">IF(P738&lt;10,"a) &lt;10",IF(P738&lt;20,"b) 10-20",IF(P738&lt;40,"c) 20-40",IF(P738&lt;80,"d) 40-80","e) 80+"))))</f>
        <v>a) &lt;10</v>
      </c>
      <c r="AD738" s="31" t="n">
        <f aca="false">Summary!$C$5+SUM(X$2:X738)</f>
        <v>15840.08</v>
      </c>
      <c r="AE738" s="31" t="n">
        <f aca="false">MAX(AE737,AD738)</f>
        <v>16151.69</v>
      </c>
      <c r="AF738" s="31" t="n">
        <f aca="false">AE738-AD738</f>
        <v>311.609999999999</v>
      </c>
      <c r="AG738" s="30" t="n">
        <f aca="false">IFERROR(AF738/AE738,0)</f>
        <v>0.0192927179756421</v>
      </c>
    </row>
    <row r="739" customFormat="false" ht="15" hidden="false" customHeight="false" outlineLevel="0" collapsed="false">
      <c r="A739" s="29" t="n">
        <v>738</v>
      </c>
      <c r="B739" s="44" t="n">
        <v>45715.7055555556</v>
      </c>
      <c r="C739" s="44" t="n">
        <v>45715.7084837963</v>
      </c>
      <c r="D739" s="43" t="n">
        <f aca="false">INT(C739)</f>
        <v>45715</v>
      </c>
      <c r="E739" s="43" t="n">
        <f aca="false">D739-WEEKDAY(D739,3)</f>
        <v>45712</v>
      </c>
      <c r="F739" s="29" t="s">
        <v>178</v>
      </c>
      <c r="G739" s="29" t="n">
        <v>2025</v>
      </c>
      <c r="H739" s="29" t="s">
        <v>253</v>
      </c>
      <c r="I739" s="29" t="n">
        <v>16</v>
      </c>
      <c r="J739" s="29" t="s">
        <v>250</v>
      </c>
      <c r="K739" s="29" t="s">
        <v>251</v>
      </c>
      <c r="L739" s="29" t="n">
        <v>0.03</v>
      </c>
      <c r="M739" s="32" t="n">
        <v>21003.6</v>
      </c>
      <c r="N739" s="32" t="n">
        <v>21039.51</v>
      </c>
      <c r="O739" s="32" t="n">
        <v>20915.63</v>
      </c>
      <c r="P739" s="45" t="n">
        <f aca="false">ABS(M739-N739)</f>
        <v>35.9099999999999</v>
      </c>
      <c r="Q739" s="45" t="n">
        <f aca="false">IF(O739="","",ABS(O739-M739))</f>
        <v>87.9699999999975</v>
      </c>
      <c r="R739" s="31" t="n">
        <f aca="false">P739*L739*Summary!$C$6</f>
        <v>107.73</v>
      </c>
      <c r="S739" s="32" t="n">
        <v>20915.53</v>
      </c>
      <c r="T739" s="29" t="s">
        <v>227</v>
      </c>
      <c r="U739" s="45" t="n">
        <f aca="false">IF(J739="BUY",S739-M739,M739-S739)</f>
        <v>88.0699999999997</v>
      </c>
      <c r="V739" s="46" t="n">
        <v>0</v>
      </c>
      <c r="W739" s="46" t="n">
        <v>0</v>
      </c>
      <c r="X739" s="46" t="n">
        <v>264.21</v>
      </c>
      <c r="Y739" s="33" t="n">
        <f aca="false">IFERROR(X739/R739,0)</f>
        <v>2.4525201893623</v>
      </c>
      <c r="Z739" s="29" t="str">
        <f aca="false">IF(X739&gt;0,"Win",IF(X739&lt;0,"Loss","Flat"))</f>
        <v>Win</v>
      </c>
      <c r="AA739" s="29" t="n">
        <f aca="false">ROUND((C739-B739)*1440,1)</f>
        <v>4.2</v>
      </c>
      <c r="AB739" s="29" t="str">
        <f aca="false">IF(AA739&lt;1,"a) &lt;1 min",IF(AA739&lt;10,"b) 1-10 min",IF(AA739&lt;60,"c) 10-60 min",IF(AA739&lt;240,"d) 1-4 h","e) 4 h+"))))</f>
        <v>b) 1-10 min</v>
      </c>
      <c r="AC739" s="29" t="str">
        <f aca="false">IF(P739&lt;10,"a) &lt;10",IF(P739&lt;20,"b) 10-20",IF(P739&lt;40,"c) 20-40",IF(P739&lt;80,"d) 40-80","e) 80+"))))</f>
        <v>c) 20-40</v>
      </c>
      <c r="AD739" s="31" t="n">
        <f aca="false">Summary!$C$5+SUM(X$2:X739)</f>
        <v>16104.29</v>
      </c>
      <c r="AE739" s="31" t="n">
        <f aca="false">MAX(AE738,AD739)</f>
        <v>16151.69</v>
      </c>
      <c r="AF739" s="31" t="n">
        <f aca="false">AE739-AD739</f>
        <v>47.3999999999978</v>
      </c>
      <c r="AG739" s="30" t="n">
        <f aca="false">IFERROR(AF739/AE739,0)</f>
        <v>0.00293467742384839</v>
      </c>
    </row>
    <row r="740" customFormat="false" ht="15" hidden="false" customHeight="false" outlineLevel="0" collapsed="false">
      <c r="A740" s="29" t="n">
        <v>739</v>
      </c>
      <c r="B740" s="44" t="n">
        <v>45716.1472222222</v>
      </c>
      <c r="C740" s="44" t="n">
        <v>45716.1473842593</v>
      </c>
      <c r="D740" s="43" t="n">
        <f aca="false">INT(C740)</f>
        <v>45716</v>
      </c>
      <c r="E740" s="43" t="n">
        <f aca="false">D740-WEEKDAY(D740,3)</f>
        <v>45712</v>
      </c>
      <c r="F740" s="29" t="s">
        <v>178</v>
      </c>
      <c r="G740" s="29" t="n">
        <v>2025</v>
      </c>
      <c r="H740" s="29" t="s">
        <v>254</v>
      </c>
      <c r="I740" s="29" t="n">
        <v>3</v>
      </c>
      <c r="J740" s="29" t="s">
        <v>250</v>
      </c>
      <c r="K740" s="29" t="s">
        <v>251</v>
      </c>
      <c r="L740" s="29" t="n">
        <v>0.03</v>
      </c>
      <c r="M740" s="32" t="n">
        <v>20493.25</v>
      </c>
      <c r="N740" s="32" t="n">
        <v>20517.85</v>
      </c>
      <c r="O740" s="32" t="n">
        <v>20432.98</v>
      </c>
      <c r="P740" s="45" t="n">
        <f aca="false">ABS(M740-N740)</f>
        <v>24.5999999999985</v>
      </c>
      <c r="Q740" s="45" t="n">
        <f aca="false">IF(O740="","",ABS(O740-M740))</f>
        <v>60.2700000000004</v>
      </c>
      <c r="R740" s="31" t="n">
        <f aca="false">P740*L740*Summary!$C$6</f>
        <v>73.7999999999956</v>
      </c>
      <c r="S740" s="32" t="n">
        <v>20518.7</v>
      </c>
      <c r="T740" s="29" t="s">
        <v>249</v>
      </c>
      <c r="U740" s="45" t="n">
        <f aca="false">IF(J740="BUY",S740-M740,M740-S740)</f>
        <v>-25.4500000000007</v>
      </c>
      <c r="V740" s="46" t="n">
        <v>0</v>
      </c>
      <c r="W740" s="46" t="n">
        <v>0</v>
      </c>
      <c r="X740" s="46" t="n">
        <v>-76.35</v>
      </c>
      <c r="Y740" s="33" t="n">
        <f aca="false">IFERROR(X740/R740,0)</f>
        <v>-1.03455284552852</v>
      </c>
      <c r="Z740" s="29" t="str">
        <f aca="false">IF(X740&gt;0,"Win",IF(X740&lt;0,"Loss","Flat"))</f>
        <v>Loss</v>
      </c>
      <c r="AA740" s="29" t="n">
        <f aca="false">ROUND((C740-B740)*1440,1)</f>
        <v>0.2</v>
      </c>
      <c r="AB740" s="29" t="str">
        <f aca="false">IF(AA740&lt;1,"a) &lt;1 min",IF(AA740&lt;10,"b) 1-10 min",IF(AA740&lt;60,"c) 10-60 min",IF(AA740&lt;240,"d) 1-4 h","e) 4 h+"))))</f>
        <v>a) &lt;1 min</v>
      </c>
      <c r="AC740" s="29" t="str">
        <f aca="false">IF(P740&lt;10,"a) &lt;10",IF(P740&lt;20,"b) 10-20",IF(P740&lt;40,"c) 20-40",IF(P740&lt;80,"d) 40-80","e) 80+"))))</f>
        <v>c) 20-40</v>
      </c>
      <c r="AD740" s="31" t="n">
        <f aca="false">Summary!$C$5+SUM(X$2:X740)</f>
        <v>16027.94</v>
      </c>
      <c r="AE740" s="31" t="n">
        <f aca="false">MAX(AE739,AD740)</f>
        <v>16151.69</v>
      </c>
      <c r="AF740" s="31" t="n">
        <f aca="false">AE740-AD740</f>
        <v>123.75</v>
      </c>
      <c r="AG740" s="30" t="n">
        <f aca="false">IFERROR(AF740/AE740,0)</f>
        <v>0.00766173694517416</v>
      </c>
    </row>
    <row r="741" customFormat="false" ht="15" hidden="false" customHeight="false" outlineLevel="0" collapsed="false">
      <c r="A741" s="29" t="n">
        <v>740</v>
      </c>
      <c r="B741" s="44" t="n">
        <v>45719.0423611111</v>
      </c>
      <c r="C741" s="44" t="n">
        <v>45719.0576273148</v>
      </c>
      <c r="D741" s="43" t="n">
        <f aca="false">INT(C741)</f>
        <v>45719</v>
      </c>
      <c r="E741" s="43" t="n">
        <f aca="false">D741-WEEKDAY(D741,3)</f>
        <v>45719</v>
      </c>
      <c r="F741" s="29" t="s">
        <v>179</v>
      </c>
      <c r="G741" s="29" t="n">
        <v>2025</v>
      </c>
      <c r="H741" s="29" t="s">
        <v>245</v>
      </c>
      <c r="I741" s="29" t="n">
        <v>1</v>
      </c>
      <c r="J741" s="29" t="s">
        <v>246</v>
      </c>
      <c r="K741" s="29" t="s">
        <v>247</v>
      </c>
      <c r="L741" s="29" t="n">
        <v>0.03</v>
      </c>
      <c r="M741" s="32" t="n">
        <v>20943.23</v>
      </c>
      <c r="N741" s="32" t="n">
        <v>20913.79</v>
      </c>
      <c r="O741" s="32" t="n">
        <v>21015.35</v>
      </c>
      <c r="P741" s="45" t="n">
        <f aca="false">ABS(M741-N741)</f>
        <v>29.4399999999987</v>
      </c>
      <c r="Q741" s="45" t="n">
        <f aca="false">IF(O741="","",ABS(O741-M741))</f>
        <v>72.119999999999</v>
      </c>
      <c r="R741" s="31" t="n">
        <f aca="false">P741*L741*Summary!$C$6</f>
        <v>88.3199999999961</v>
      </c>
      <c r="S741" s="32" t="n">
        <v>20942.9</v>
      </c>
      <c r="T741" s="29" t="s">
        <v>255</v>
      </c>
      <c r="U741" s="45" t="n">
        <f aca="false">IF(J741="BUY",S741-M741,M741-S741)</f>
        <v>-0.329999999998108</v>
      </c>
      <c r="V741" s="46" t="n">
        <v>0</v>
      </c>
      <c r="W741" s="46" t="n">
        <v>0</v>
      </c>
      <c r="X741" s="46" t="n">
        <v>-0.99</v>
      </c>
      <c r="Y741" s="33" t="n">
        <f aca="false">IFERROR(X741/R741,0)</f>
        <v>-0.0112092391304353</v>
      </c>
      <c r="Z741" s="29" t="str">
        <f aca="false">IF(X741&gt;0,"Win",IF(X741&lt;0,"Loss","Flat"))</f>
        <v>Loss</v>
      </c>
      <c r="AA741" s="29" t="n">
        <f aca="false">ROUND((C741-B741)*1440,1)</f>
        <v>22</v>
      </c>
      <c r="AB741" s="29" t="str">
        <f aca="false">IF(AA741&lt;1,"a) &lt;1 min",IF(AA741&lt;10,"b) 1-10 min",IF(AA741&lt;60,"c) 10-60 min",IF(AA741&lt;240,"d) 1-4 h","e) 4 h+"))))</f>
        <v>c) 10-60 min</v>
      </c>
      <c r="AC741" s="29" t="str">
        <f aca="false">IF(P741&lt;10,"a) &lt;10",IF(P741&lt;20,"b) 10-20",IF(P741&lt;40,"c) 20-40",IF(P741&lt;80,"d) 40-80","e) 80+"))))</f>
        <v>c) 20-40</v>
      </c>
      <c r="AD741" s="31" t="n">
        <f aca="false">Summary!$C$5+SUM(X$2:X741)</f>
        <v>16026.95</v>
      </c>
      <c r="AE741" s="31" t="n">
        <f aca="false">MAX(AE740,AD741)</f>
        <v>16151.69</v>
      </c>
      <c r="AF741" s="31" t="n">
        <f aca="false">AE741-AD741</f>
        <v>124.739999999998</v>
      </c>
      <c r="AG741" s="30" t="n">
        <f aca="false">IFERROR(AF741/AE741,0)</f>
        <v>0.00772303084073543</v>
      </c>
    </row>
    <row r="742" customFormat="false" ht="15" hidden="false" customHeight="false" outlineLevel="0" collapsed="false">
      <c r="A742" s="29" t="n">
        <v>741</v>
      </c>
      <c r="B742" s="44" t="n">
        <v>45719.9256944444</v>
      </c>
      <c r="C742" s="44" t="n">
        <v>45719.9274537037</v>
      </c>
      <c r="D742" s="43" t="n">
        <f aca="false">INT(C742)</f>
        <v>45719</v>
      </c>
      <c r="E742" s="43" t="n">
        <f aca="false">D742-WEEKDAY(D742,3)</f>
        <v>45719</v>
      </c>
      <c r="F742" s="29" t="s">
        <v>179</v>
      </c>
      <c r="G742" s="29" t="n">
        <v>2025</v>
      </c>
      <c r="H742" s="29" t="s">
        <v>245</v>
      </c>
      <c r="I742" s="29" t="n">
        <v>22</v>
      </c>
      <c r="J742" s="29" t="s">
        <v>250</v>
      </c>
      <c r="K742" s="29" t="s">
        <v>251</v>
      </c>
      <c r="L742" s="29" t="n">
        <v>0.03</v>
      </c>
      <c r="M742" s="32" t="n">
        <v>20402.05</v>
      </c>
      <c r="N742" s="32" t="n">
        <v>20436.64</v>
      </c>
      <c r="O742" s="32" t="n">
        <v>20309.43</v>
      </c>
      <c r="P742" s="45" t="n">
        <f aca="false">ABS(M742-N742)</f>
        <v>34.5900000000001</v>
      </c>
      <c r="Q742" s="45" t="n">
        <f aca="false">IF(O742="","",ABS(O742-M742))</f>
        <v>92.619999999999</v>
      </c>
      <c r="R742" s="31" t="n">
        <f aca="false">P742*L742*Summary!$C$6</f>
        <v>103.77</v>
      </c>
      <c r="S742" s="32" t="n">
        <v>20437.03</v>
      </c>
      <c r="T742" s="29" t="s">
        <v>249</v>
      </c>
      <c r="U742" s="45" t="n">
        <f aca="false">IF(J742="BUY",S742-M742,M742-S742)</f>
        <v>-34.9799999999996</v>
      </c>
      <c r="V742" s="46" t="n">
        <v>0</v>
      </c>
      <c r="W742" s="46" t="n">
        <v>0</v>
      </c>
      <c r="X742" s="46" t="n">
        <v>-104.94</v>
      </c>
      <c r="Y742" s="33" t="n">
        <f aca="false">IFERROR(X742/R742,0)</f>
        <v>-1.01127493495229</v>
      </c>
      <c r="Z742" s="29" t="str">
        <f aca="false">IF(X742&gt;0,"Win",IF(X742&lt;0,"Loss","Flat"))</f>
        <v>Loss</v>
      </c>
      <c r="AA742" s="29" t="n">
        <f aca="false">ROUND((C742-B742)*1440,1)</f>
        <v>2.5</v>
      </c>
      <c r="AB742" s="29" t="str">
        <f aca="false">IF(AA742&lt;1,"a) &lt;1 min",IF(AA742&lt;10,"b) 1-10 min",IF(AA742&lt;60,"c) 10-60 min",IF(AA742&lt;240,"d) 1-4 h","e) 4 h+"))))</f>
        <v>b) 1-10 min</v>
      </c>
      <c r="AC742" s="29" t="str">
        <f aca="false">IF(P742&lt;10,"a) &lt;10",IF(P742&lt;20,"b) 10-20",IF(P742&lt;40,"c) 20-40",IF(P742&lt;80,"d) 40-80","e) 80+"))))</f>
        <v>c) 20-40</v>
      </c>
      <c r="AD742" s="31" t="n">
        <f aca="false">Summary!$C$5+SUM(X$2:X742)</f>
        <v>15922.01</v>
      </c>
      <c r="AE742" s="31" t="n">
        <f aca="false">MAX(AE741,AD742)</f>
        <v>16151.69</v>
      </c>
      <c r="AF742" s="31" t="n">
        <f aca="false">AE742-AD742</f>
        <v>229.679999999998</v>
      </c>
      <c r="AG742" s="30" t="n">
        <f aca="false">IFERROR(AF742/AE742,0)</f>
        <v>0.0142201837702431</v>
      </c>
    </row>
    <row r="743" customFormat="false" ht="15" hidden="false" customHeight="false" outlineLevel="0" collapsed="false">
      <c r="A743" s="29" t="n">
        <v>742</v>
      </c>
      <c r="B743" s="44" t="n">
        <v>45720.6034722222</v>
      </c>
      <c r="C743" s="44" t="n">
        <v>45720.6049305556</v>
      </c>
      <c r="D743" s="43" t="n">
        <f aca="false">INT(C743)</f>
        <v>45720</v>
      </c>
      <c r="E743" s="43" t="n">
        <f aca="false">D743-WEEKDAY(D743,3)</f>
        <v>45719</v>
      </c>
      <c r="F743" s="29" t="s">
        <v>179</v>
      </c>
      <c r="G743" s="29" t="n">
        <v>2025</v>
      </c>
      <c r="H743" s="29" t="s">
        <v>248</v>
      </c>
      <c r="I743" s="29" t="n">
        <v>14</v>
      </c>
      <c r="J743" s="29" t="s">
        <v>250</v>
      </c>
      <c r="K743" s="29" t="s">
        <v>251</v>
      </c>
      <c r="L743" s="29" t="n">
        <v>0.03</v>
      </c>
      <c r="M743" s="32" t="n">
        <v>20272.09</v>
      </c>
      <c r="N743" s="32" t="n">
        <v>20293.07</v>
      </c>
      <c r="O743" s="32" t="n">
        <v>20220.7</v>
      </c>
      <c r="P743" s="45" t="n">
        <f aca="false">ABS(M743-N743)</f>
        <v>20.9799999999996</v>
      </c>
      <c r="Q743" s="45" t="n">
        <f aca="false">IF(O743="","",ABS(O743-M743))</f>
        <v>51.3899999999994</v>
      </c>
      <c r="R743" s="31" t="n">
        <f aca="false">P743*L743*Summary!$C$6</f>
        <v>62.9399999999987</v>
      </c>
      <c r="S743" s="32" t="n">
        <v>20295.7</v>
      </c>
      <c r="T743" s="29" t="s">
        <v>249</v>
      </c>
      <c r="U743" s="45" t="n">
        <f aca="false">IF(J743="BUY",S743-M743,M743-S743)</f>
        <v>-23.6100000000006</v>
      </c>
      <c r="V743" s="46" t="n">
        <v>0</v>
      </c>
      <c r="W743" s="46" t="n">
        <v>0</v>
      </c>
      <c r="X743" s="46" t="n">
        <v>-70.83</v>
      </c>
      <c r="Y743" s="33" t="n">
        <f aca="false">IFERROR(X743/R743,0)</f>
        <v>-1.12535748331747</v>
      </c>
      <c r="Z743" s="29" t="str">
        <f aca="false">IF(X743&gt;0,"Win",IF(X743&lt;0,"Loss","Flat"))</f>
        <v>Loss</v>
      </c>
      <c r="AA743" s="29" t="n">
        <f aca="false">ROUND((C743-B743)*1440,1)</f>
        <v>2.1</v>
      </c>
      <c r="AB743" s="29" t="str">
        <f aca="false">IF(AA743&lt;1,"a) &lt;1 min",IF(AA743&lt;10,"b) 1-10 min",IF(AA743&lt;60,"c) 10-60 min",IF(AA743&lt;240,"d) 1-4 h","e) 4 h+"))))</f>
        <v>b) 1-10 min</v>
      </c>
      <c r="AC743" s="29" t="str">
        <f aca="false">IF(P743&lt;10,"a) &lt;10",IF(P743&lt;20,"b) 10-20",IF(P743&lt;40,"c) 20-40",IF(P743&lt;80,"d) 40-80","e) 80+"))))</f>
        <v>c) 20-40</v>
      </c>
      <c r="AD743" s="31" t="n">
        <f aca="false">Summary!$C$5+SUM(X$2:X743)</f>
        <v>15851.18</v>
      </c>
      <c r="AE743" s="31" t="n">
        <f aca="false">MAX(AE742,AD743)</f>
        <v>16151.69</v>
      </c>
      <c r="AF743" s="31" t="n">
        <f aca="false">AE743-AD743</f>
        <v>300.509999999998</v>
      </c>
      <c r="AG743" s="30" t="n">
        <f aca="false">IFERROR(AF743/AE743,0)</f>
        <v>0.0186054833890446</v>
      </c>
    </row>
    <row r="744" customFormat="false" ht="15" hidden="false" customHeight="false" outlineLevel="0" collapsed="false">
      <c r="A744" s="29" t="n">
        <v>743</v>
      </c>
      <c r="B744" s="44" t="n">
        <v>45722.7951388889</v>
      </c>
      <c r="C744" s="44" t="n">
        <v>45722.7983796296</v>
      </c>
      <c r="D744" s="43" t="n">
        <f aca="false">INT(C744)</f>
        <v>45722</v>
      </c>
      <c r="E744" s="43" t="n">
        <f aca="false">D744-WEEKDAY(D744,3)</f>
        <v>45719</v>
      </c>
      <c r="F744" s="29" t="s">
        <v>179</v>
      </c>
      <c r="G744" s="29" t="n">
        <v>2025</v>
      </c>
      <c r="H744" s="29" t="s">
        <v>253</v>
      </c>
      <c r="I744" s="29" t="n">
        <v>19</v>
      </c>
      <c r="J744" s="29" t="s">
        <v>250</v>
      </c>
      <c r="K744" s="29" t="s">
        <v>251</v>
      </c>
      <c r="L744" s="29" t="n">
        <v>0.03</v>
      </c>
      <c r="M744" s="32" t="n">
        <v>20151.7</v>
      </c>
      <c r="N744" s="32" t="n">
        <v>20182.85</v>
      </c>
      <c r="O744" s="32" t="n">
        <v>20077.56</v>
      </c>
      <c r="P744" s="45" t="n">
        <f aca="false">ABS(M744-N744)</f>
        <v>31.1499999999978</v>
      </c>
      <c r="Q744" s="45" t="n">
        <f aca="false">IF(O744="","",ABS(O744-M744))</f>
        <v>74.1399999999994</v>
      </c>
      <c r="R744" s="31" t="n">
        <f aca="false">P744*L744*Summary!$C$6</f>
        <v>93.4499999999935</v>
      </c>
      <c r="S744" s="32" t="n">
        <v>20183.24</v>
      </c>
      <c r="T744" s="29" t="s">
        <v>249</v>
      </c>
      <c r="U744" s="45" t="n">
        <f aca="false">IF(J744="BUY",S744-M744,M744-S744)</f>
        <v>-31.5400000000009</v>
      </c>
      <c r="V744" s="46" t="n">
        <v>0</v>
      </c>
      <c r="W744" s="46" t="n">
        <v>0</v>
      </c>
      <c r="X744" s="46" t="n">
        <v>-94.62</v>
      </c>
      <c r="Y744" s="33" t="n">
        <f aca="false">IFERROR(X744/R744,0)</f>
        <v>-1.01252006420553</v>
      </c>
      <c r="Z744" s="29" t="str">
        <f aca="false">IF(X744&gt;0,"Win",IF(X744&lt;0,"Loss","Flat"))</f>
        <v>Loss</v>
      </c>
      <c r="AA744" s="29" t="n">
        <f aca="false">ROUND((C744-B744)*1440,1)</f>
        <v>4.7</v>
      </c>
      <c r="AB744" s="29" t="str">
        <f aca="false">IF(AA744&lt;1,"a) &lt;1 min",IF(AA744&lt;10,"b) 1-10 min",IF(AA744&lt;60,"c) 10-60 min",IF(AA744&lt;240,"d) 1-4 h","e) 4 h+"))))</f>
        <v>b) 1-10 min</v>
      </c>
      <c r="AC744" s="29" t="str">
        <f aca="false">IF(P744&lt;10,"a) &lt;10",IF(P744&lt;20,"b) 10-20",IF(P744&lt;40,"c) 20-40",IF(P744&lt;80,"d) 40-80","e) 80+"))))</f>
        <v>c) 20-40</v>
      </c>
      <c r="AD744" s="31" t="n">
        <f aca="false">Summary!$C$5+SUM(X$2:X744)</f>
        <v>15756.56</v>
      </c>
      <c r="AE744" s="31" t="n">
        <f aca="false">MAX(AE743,AD744)</f>
        <v>16151.69</v>
      </c>
      <c r="AF744" s="31" t="n">
        <f aca="false">AE744-AD744</f>
        <v>395.129999999999</v>
      </c>
      <c r="AG744" s="30" t="n">
        <f aca="false">IFERROR(AF744/AE744,0)</f>
        <v>0.0244636938920942</v>
      </c>
    </row>
    <row r="745" customFormat="false" ht="15" hidden="false" customHeight="false" outlineLevel="0" collapsed="false">
      <c r="A745" s="29" t="n">
        <v>744</v>
      </c>
      <c r="B745" s="44" t="n">
        <v>45723.7305555556</v>
      </c>
      <c r="C745" s="44" t="n">
        <v>45723.7365972222</v>
      </c>
      <c r="D745" s="43" t="n">
        <f aca="false">INT(C745)</f>
        <v>45723</v>
      </c>
      <c r="E745" s="43" t="n">
        <f aca="false">D745-WEEKDAY(D745,3)</f>
        <v>45719</v>
      </c>
      <c r="F745" s="29" t="s">
        <v>179</v>
      </c>
      <c r="G745" s="29" t="n">
        <v>2025</v>
      </c>
      <c r="H745" s="29" t="s">
        <v>254</v>
      </c>
      <c r="I745" s="29" t="n">
        <v>17</v>
      </c>
      <c r="J745" s="29" t="s">
        <v>250</v>
      </c>
      <c r="K745" s="29" t="s">
        <v>251</v>
      </c>
      <c r="L745" s="29" t="n">
        <v>0.03</v>
      </c>
      <c r="M745" s="32" t="n">
        <v>19954.41</v>
      </c>
      <c r="N745" s="32" t="n">
        <v>19990.24</v>
      </c>
      <c r="O745" s="32" t="n">
        <v>19866.63</v>
      </c>
      <c r="P745" s="45" t="n">
        <f aca="false">ABS(M745-N745)</f>
        <v>35.8300000000017</v>
      </c>
      <c r="Q745" s="45" t="n">
        <f aca="false">IF(O745="","",ABS(O745-M745))</f>
        <v>87.7799999999988</v>
      </c>
      <c r="R745" s="31" t="n">
        <f aca="false">P745*L745*Summary!$C$6</f>
        <v>107.490000000005</v>
      </c>
      <c r="S745" s="32" t="n">
        <v>19866.14</v>
      </c>
      <c r="T745" s="29" t="s">
        <v>227</v>
      </c>
      <c r="U745" s="45" t="n">
        <f aca="false">IF(J745="BUY",S745-M745,M745-S745)</f>
        <v>88.2700000000004</v>
      </c>
      <c r="V745" s="46" t="n">
        <v>0</v>
      </c>
      <c r="W745" s="46" t="n">
        <v>0</v>
      </c>
      <c r="X745" s="46" t="n">
        <v>264.81</v>
      </c>
      <c r="Y745" s="33" t="n">
        <f aca="false">IFERROR(X745/R745,0)</f>
        <v>2.46357800725637</v>
      </c>
      <c r="Z745" s="29" t="str">
        <f aca="false">IF(X745&gt;0,"Win",IF(X745&lt;0,"Loss","Flat"))</f>
        <v>Win</v>
      </c>
      <c r="AA745" s="29" t="n">
        <f aca="false">ROUND((C745-B745)*1440,1)</f>
        <v>8.7</v>
      </c>
      <c r="AB745" s="29" t="str">
        <f aca="false">IF(AA745&lt;1,"a) &lt;1 min",IF(AA745&lt;10,"b) 1-10 min",IF(AA745&lt;60,"c) 10-60 min",IF(AA745&lt;240,"d) 1-4 h","e) 4 h+"))))</f>
        <v>b) 1-10 min</v>
      </c>
      <c r="AC745" s="29" t="str">
        <f aca="false">IF(P745&lt;10,"a) &lt;10",IF(P745&lt;20,"b) 10-20",IF(P745&lt;40,"c) 20-40",IF(P745&lt;80,"d) 40-80","e) 80+"))))</f>
        <v>c) 20-40</v>
      </c>
      <c r="AD745" s="31" t="n">
        <f aca="false">Summary!$C$5+SUM(X$2:X745)</f>
        <v>16021.37</v>
      </c>
      <c r="AE745" s="31" t="n">
        <f aca="false">MAX(AE744,AD745)</f>
        <v>16151.69</v>
      </c>
      <c r="AF745" s="31" t="n">
        <f aca="false">AE745-AD745</f>
        <v>130.32</v>
      </c>
      <c r="AG745" s="30" t="n">
        <f aca="false">IFERROR(AF745/AE745,0)</f>
        <v>0.00806850552480884</v>
      </c>
    </row>
    <row r="746" customFormat="false" ht="15" hidden="false" customHeight="false" outlineLevel="0" collapsed="false">
      <c r="A746" s="29" t="n">
        <v>745</v>
      </c>
      <c r="B746" s="44" t="n">
        <v>45726.7048611111</v>
      </c>
      <c r="C746" s="44" t="n">
        <v>45726.7059027778</v>
      </c>
      <c r="D746" s="43" t="n">
        <f aca="false">INT(C746)</f>
        <v>45726</v>
      </c>
      <c r="E746" s="43" t="n">
        <f aca="false">D746-WEEKDAY(D746,3)</f>
        <v>45726</v>
      </c>
      <c r="F746" s="29" t="s">
        <v>179</v>
      </c>
      <c r="G746" s="29" t="n">
        <v>2025</v>
      </c>
      <c r="H746" s="29" t="s">
        <v>245</v>
      </c>
      <c r="I746" s="29" t="n">
        <v>16</v>
      </c>
      <c r="J746" s="29" t="s">
        <v>250</v>
      </c>
      <c r="K746" s="29" t="s">
        <v>251</v>
      </c>
      <c r="L746" s="29" t="n">
        <v>0.04</v>
      </c>
      <c r="M746" s="32" t="n">
        <v>19734.13</v>
      </c>
      <c r="N746" s="32" t="n">
        <v>19770.69</v>
      </c>
      <c r="O746" s="32" t="n">
        <v>19641.08</v>
      </c>
      <c r="P746" s="45" t="n">
        <f aca="false">ABS(M746-N746)</f>
        <v>36.5599999999977</v>
      </c>
      <c r="Q746" s="45" t="n">
        <f aca="false">IF(O746="","",ABS(O746-M746))</f>
        <v>93.0499999999993</v>
      </c>
      <c r="R746" s="31" t="n">
        <f aca="false">P746*L746*Summary!$C$6</f>
        <v>146.239999999991</v>
      </c>
      <c r="S746" s="32" t="n">
        <v>19771.69</v>
      </c>
      <c r="T746" s="29" t="s">
        <v>249</v>
      </c>
      <c r="U746" s="45" t="n">
        <f aca="false">IF(J746="BUY",S746-M746,M746-S746)</f>
        <v>-37.5599999999977</v>
      </c>
      <c r="V746" s="46" t="n">
        <v>0</v>
      </c>
      <c r="W746" s="46" t="n">
        <v>0</v>
      </c>
      <c r="X746" s="46" t="n">
        <v>-150.24</v>
      </c>
      <c r="Y746" s="33" t="n">
        <f aca="false">IFERROR(X746/R746,0)</f>
        <v>-1.02735229759306</v>
      </c>
      <c r="Z746" s="29" t="str">
        <f aca="false">IF(X746&gt;0,"Win",IF(X746&lt;0,"Loss","Flat"))</f>
        <v>Loss</v>
      </c>
      <c r="AA746" s="29" t="n">
        <f aca="false">ROUND((C746-B746)*1440,1)</f>
        <v>1.5</v>
      </c>
      <c r="AB746" s="29" t="str">
        <f aca="false">IF(AA746&lt;1,"a) &lt;1 min",IF(AA746&lt;10,"b) 1-10 min",IF(AA746&lt;60,"c) 10-60 min",IF(AA746&lt;240,"d) 1-4 h","e) 4 h+"))))</f>
        <v>b) 1-10 min</v>
      </c>
      <c r="AC746" s="29" t="str">
        <f aca="false">IF(P746&lt;10,"a) &lt;10",IF(P746&lt;20,"b) 10-20",IF(P746&lt;40,"c) 20-40",IF(P746&lt;80,"d) 40-80","e) 80+"))))</f>
        <v>c) 20-40</v>
      </c>
      <c r="AD746" s="31" t="n">
        <f aca="false">Summary!$C$5+SUM(X$2:X746)</f>
        <v>15871.13</v>
      </c>
      <c r="AE746" s="31" t="n">
        <f aca="false">MAX(AE745,AD746)</f>
        <v>16151.69</v>
      </c>
      <c r="AF746" s="31" t="n">
        <f aca="false">AE746-AD746</f>
        <v>280.559999999998</v>
      </c>
      <c r="AG746" s="30" t="n">
        <f aca="false">IFERROR(AF746/AE746,0)</f>
        <v>0.0173703185239438</v>
      </c>
    </row>
    <row r="747" customFormat="false" ht="15" hidden="false" customHeight="false" outlineLevel="0" collapsed="false">
      <c r="A747" s="29" t="n">
        <v>746</v>
      </c>
      <c r="B747" s="44" t="n">
        <v>45727.1048611111</v>
      </c>
      <c r="C747" s="44" t="n">
        <v>45727.1064583333</v>
      </c>
      <c r="D747" s="43" t="n">
        <f aca="false">INT(C747)</f>
        <v>45727</v>
      </c>
      <c r="E747" s="43" t="n">
        <f aca="false">D747-WEEKDAY(D747,3)</f>
        <v>45726</v>
      </c>
      <c r="F747" s="29" t="s">
        <v>179</v>
      </c>
      <c r="G747" s="29" t="n">
        <v>2025</v>
      </c>
      <c r="H747" s="29" t="s">
        <v>248</v>
      </c>
      <c r="I747" s="29" t="n">
        <v>2</v>
      </c>
      <c r="J747" s="29" t="s">
        <v>250</v>
      </c>
      <c r="K747" s="29" t="s">
        <v>251</v>
      </c>
      <c r="L747" s="29" t="n">
        <v>0.04</v>
      </c>
      <c r="M747" s="32" t="n">
        <v>19234.32</v>
      </c>
      <c r="N747" s="32" t="n">
        <v>19257.85</v>
      </c>
      <c r="O747" s="32" t="n">
        <v>19176.68</v>
      </c>
      <c r="P747" s="45" t="n">
        <f aca="false">ABS(M747-N747)</f>
        <v>23.5299999999988</v>
      </c>
      <c r="Q747" s="45" t="n">
        <f aca="false">IF(O747="","",ABS(O747-M747))</f>
        <v>57.6399999999994</v>
      </c>
      <c r="R747" s="31" t="n">
        <f aca="false">P747*L747*Summary!$C$6</f>
        <v>94.1199999999953</v>
      </c>
      <c r="S747" s="32" t="n">
        <v>19258.15</v>
      </c>
      <c r="T747" s="29" t="s">
        <v>249</v>
      </c>
      <c r="U747" s="45" t="n">
        <f aca="false">IF(J747="BUY",S747-M747,M747-S747)</f>
        <v>-23.8300000000017</v>
      </c>
      <c r="V747" s="46" t="n">
        <v>0</v>
      </c>
      <c r="W747" s="46" t="n">
        <v>0</v>
      </c>
      <c r="X747" s="46" t="n">
        <v>-95.32</v>
      </c>
      <c r="Y747" s="33" t="n">
        <f aca="false">IFERROR(X747/R747,0)</f>
        <v>-1.01274968125802</v>
      </c>
      <c r="Z747" s="29" t="str">
        <f aca="false">IF(X747&gt;0,"Win",IF(X747&lt;0,"Loss","Flat"))</f>
        <v>Loss</v>
      </c>
      <c r="AA747" s="29" t="n">
        <f aca="false">ROUND((C747-B747)*1440,1)</f>
        <v>2.3</v>
      </c>
      <c r="AB747" s="29" t="str">
        <f aca="false">IF(AA747&lt;1,"a) &lt;1 min",IF(AA747&lt;10,"b) 1-10 min",IF(AA747&lt;60,"c) 10-60 min",IF(AA747&lt;240,"d) 1-4 h","e) 4 h+"))))</f>
        <v>b) 1-10 min</v>
      </c>
      <c r="AC747" s="29" t="str">
        <f aca="false">IF(P747&lt;10,"a) &lt;10",IF(P747&lt;20,"b) 10-20",IF(P747&lt;40,"c) 20-40",IF(P747&lt;80,"d) 40-80","e) 80+"))))</f>
        <v>c) 20-40</v>
      </c>
      <c r="AD747" s="31" t="n">
        <f aca="false">Summary!$C$5+SUM(X$2:X747)</f>
        <v>15775.81</v>
      </c>
      <c r="AE747" s="31" t="n">
        <f aca="false">MAX(AE746,AD747)</f>
        <v>16151.69</v>
      </c>
      <c r="AF747" s="31" t="n">
        <f aca="false">AE747-AD747</f>
        <v>375.879999999999</v>
      </c>
      <c r="AG747" s="30" t="n">
        <f aca="false">IFERROR(AF747/AE747,0)</f>
        <v>0.0232718681450671</v>
      </c>
    </row>
    <row r="748" customFormat="false" ht="15" hidden="false" customHeight="false" outlineLevel="0" collapsed="false">
      <c r="A748" s="29" t="n">
        <v>747</v>
      </c>
      <c r="B748" s="44" t="n">
        <v>45728.6465277778</v>
      </c>
      <c r="C748" s="44" t="n">
        <v>45728.6473726852</v>
      </c>
      <c r="D748" s="43" t="n">
        <f aca="false">INT(C748)</f>
        <v>45728</v>
      </c>
      <c r="E748" s="43" t="n">
        <f aca="false">D748-WEEKDAY(D748,3)</f>
        <v>45726</v>
      </c>
      <c r="F748" s="29" t="s">
        <v>179</v>
      </c>
      <c r="G748" s="29" t="n">
        <v>2025</v>
      </c>
      <c r="H748" s="29" t="s">
        <v>252</v>
      </c>
      <c r="I748" s="29" t="n">
        <v>15</v>
      </c>
      <c r="J748" s="29" t="s">
        <v>246</v>
      </c>
      <c r="K748" s="29" t="s">
        <v>247</v>
      </c>
      <c r="L748" s="29" t="n">
        <v>0.03</v>
      </c>
      <c r="M748" s="32" t="n">
        <v>19727.33</v>
      </c>
      <c r="N748" s="32" t="n">
        <v>19679.53</v>
      </c>
      <c r="O748" s="32" t="n">
        <v>19835.99</v>
      </c>
      <c r="P748" s="45" t="n">
        <f aca="false">ABS(M748-N748)</f>
        <v>47.8000000000029</v>
      </c>
      <c r="Q748" s="45" t="n">
        <f aca="false">IF(O748="","",ABS(O748-M748))</f>
        <v>108.66</v>
      </c>
      <c r="R748" s="31" t="n">
        <f aca="false">P748*L748*Summary!$C$6</f>
        <v>143.400000000009</v>
      </c>
      <c r="S748" s="32" t="n">
        <v>19678.2</v>
      </c>
      <c r="T748" s="29" t="s">
        <v>249</v>
      </c>
      <c r="U748" s="45" t="n">
        <f aca="false">IF(J748="BUY",S748-M748,M748-S748)</f>
        <v>-49.130000000001</v>
      </c>
      <c r="V748" s="46" t="n">
        <v>0</v>
      </c>
      <c r="W748" s="46" t="n">
        <v>0</v>
      </c>
      <c r="X748" s="46" t="n">
        <v>-147.39</v>
      </c>
      <c r="Y748" s="33" t="n">
        <f aca="false">IFERROR(X748/R748,0)</f>
        <v>-1.02782426778236</v>
      </c>
      <c r="Z748" s="29" t="str">
        <f aca="false">IF(X748&gt;0,"Win",IF(X748&lt;0,"Loss","Flat"))</f>
        <v>Loss</v>
      </c>
      <c r="AA748" s="29" t="n">
        <f aca="false">ROUND((C748-B748)*1440,1)</f>
        <v>1.2</v>
      </c>
      <c r="AB748" s="29" t="str">
        <f aca="false">IF(AA748&lt;1,"a) &lt;1 min",IF(AA748&lt;10,"b) 1-10 min",IF(AA748&lt;60,"c) 10-60 min",IF(AA748&lt;240,"d) 1-4 h","e) 4 h+"))))</f>
        <v>b) 1-10 min</v>
      </c>
      <c r="AC748" s="29" t="str">
        <f aca="false">IF(P748&lt;10,"a) &lt;10",IF(P748&lt;20,"b) 10-20",IF(P748&lt;40,"c) 20-40",IF(P748&lt;80,"d) 40-80","e) 80+"))))</f>
        <v>d) 40-80</v>
      </c>
      <c r="AD748" s="31" t="n">
        <f aca="false">Summary!$C$5+SUM(X$2:X748)</f>
        <v>15628.42</v>
      </c>
      <c r="AE748" s="31" t="n">
        <f aca="false">MAX(AE747,AD748)</f>
        <v>16151.69</v>
      </c>
      <c r="AF748" s="31" t="n">
        <f aca="false">AE748-AD748</f>
        <v>523.269999999999</v>
      </c>
      <c r="AG748" s="30" t="n">
        <f aca="false">IFERROR(AF748/AE748,0)</f>
        <v>0.0323972290206163</v>
      </c>
    </row>
    <row r="749" customFormat="false" ht="15" hidden="false" customHeight="false" outlineLevel="0" collapsed="false">
      <c r="A749" s="29" t="n">
        <v>748</v>
      </c>
      <c r="B749" s="44" t="n">
        <v>45729.70625</v>
      </c>
      <c r="C749" s="44" t="n">
        <v>45729.7089236111</v>
      </c>
      <c r="D749" s="43" t="n">
        <f aca="false">INT(C749)</f>
        <v>45729</v>
      </c>
      <c r="E749" s="43" t="n">
        <f aca="false">D749-WEEKDAY(D749,3)</f>
        <v>45726</v>
      </c>
      <c r="F749" s="29" t="s">
        <v>179</v>
      </c>
      <c r="G749" s="29" t="n">
        <v>2025</v>
      </c>
      <c r="H749" s="29" t="s">
        <v>253</v>
      </c>
      <c r="I749" s="29" t="n">
        <v>16</v>
      </c>
      <c r="J749" s="29" t="s">
        <v>250</v>
      </c>
      <c r="K749" s="29" t="s">
        <v>251</v>
      </c>
      <c r="L749" s="29" t="n">
        <v>0.04</v>
      </c>
      <c r="M749" s="32" t="n">
        <v>19350.89</v>
      </c>
      <c r="N749" s="32" t="n">
        <v>19383.57</v>
      </c>
      <c r="O749" s="32" t="n">
        <v>19270.83</v>
      </c>
      <c r="P749" s="45" t="n">
        <f aca="false">ABS(M749-N749)</f>
        <v>32.6800000000003</v>
      </c>
      <c r="Q749" s="45" t="n">
        <f aca="false">IF(O749="","",ABS(O749-M749))</f>
        <v>80.0599999999977</v>
      </c>
      <c r="R749" s="31" t="n">
        <f aca="false">P749*L749*Summary!$C$6</f>
        <v>130.720000000001</v>
      </c>
      <c r="S749" s="32" t="n">
        <v>19353.75</v>
      </c>
      <c r="T749" s="29" t="s">
        <v>255</v>
      </c>
      <c r="U749" s="45" t="n">
        <f aca="false">IF(J749="BUY",S749-M749,M749-S749)</f>
        <v>-2.86000000000058</v>
      </c>
      <c r="V749" s="46" t="n">
        <v>0</v>
      </c>
      <c r="W749" s="46" t="n">
        <v>0</v>
      </c>
      <c r="X749" s="46" t="n">
        <v>-11.44</v>
      </c>
      <c r="Y749" s="33" t="n">
        <f aca="false">IFERROR(X749/R749,0)</f>
        <v>-0.0875152998776002</v>
      </c>
      <c r="Z749" s="29" t="str">
        <f aca="false">IF(X749&gt;0,"Win",IF(X749&lt;0,"Loss","Flat"))</f>
        <v>Loss</v>
      </c>
      <c r="AA749" s="29" t="n">
        <f aca="false">ROUND((C749-B749)*1440,1)</f>
        <v>3.9</v>
      </c>
      <c r="AB749" s="29" t="str">
        <f aca="false">IF(AA749&lt;1,"a) &lt;1 min",IF(AA749&lt;10,"b) 1-10 min",IF(AA749&lt;60,"c) 10-60 min",IF(AA749&lt;240,"d) 1-4 h","e) 4 h+"))))</f>
        <v>b) 1-10 min</v>
      </c>
      <c r="AC749" s="29" t="str">
        <f aca="false">IF(P749&lt;10,"a) &lt;10",IF(P749&lt;20,"b) 10-20",IF(P749&lt;40,"c) 20-40",IF(P749&lt;80,"d) 40-80","e) 80+"))))</f>
        <v>c) 20-40</v>
      </c>
      <c r="AD749" s="31" t="n">
        <f aca="false">Summary!$C$5+SUM(X$2:X749)</f>
        <v>15616.98</v>
      </c>
      <c r="AE749" s="31" t="n">
        <f aca="false">MAX(AE748,AD749)</f>
        <v>16151.69</v>
      </c>
      <c r="AF749" s="31" t="n">
        <f aca="false">AE749-AD749</f>
        <v>534.709999999999</v>
      </c>
      <c r="AG749" s="30" t="n">
        <f aca="false">IFERROR(AF749/AE749,0)</f>
        <v>0.0331055140359925</v>
      </c>
    </row>
    <row r="750" customFormat="false" ht="15" hidden="false" customHeight="false" outlineLevel="0" collapsed="false">
      <c r="A750" s="29" t="n">
        <v>749</v>
      </c>
      <c r="B750" s="44" t="n">
        <v>45730.7791666667</v>
      </c>
      <c r="C750" s="44" t="n">
        <v>45730.7816550926</v>
      </c>
      <c r="D750" s="43" t="n">
        <f aca="false">INT(C750)</f>
        <v>45730</v>
      </c>
      <c r="E750" s="43" t="n">
        <f aca="false">D750-WEEKDAY(D750,3)</f>
        <v>45726</v>
      </c>
      <c r="F750" s="29" t="s">
        <v>179</v>
      </c>
      <c r="G750" s="29" t="n">
        <v>2025</v>
      </c>
      <c r="H750" s="29" t="s">
        <v>254</v>
      </c>
      <c r="I750" s="29" t="n">
        <v>18</v>
      </c>
      <c r="J750" s="29" t="s">
        <v>246</v>
      </c>
      <c r="K750" s="29" t="s">
        <v>247</v>
      </c>
      <c r="L750" s="29" t="n">
        <v>0.03</v>
      </c>
      <c r="M750" s="32" t="n">
        <v>19676.22</v>
      </c>
      <c r="N750" s="32" t="n">
        <v>19663.37</v>
      </c>
      <c r="O750" s="32" t="n">
        <v>19704.74</v>
      </c>
      <c r="P750" s="45" t="n">
        <f aca="false">ABS(M750-N750)</f>
        <v>12.8500000000022</v>
      </c>
      <c r="Q750" s="45" t="n">
        <f aca="false">IF(O750="","",ABS(O750-M750))</f>
        <v>28.5200000000004</v>
      </c>
      <c r="R750" s="31" t="n">
        <f aca="false">P750*L750*Summary!$C$6</f>
        <v>38.5500000000066</v>
      </c>
      <c r="S750" s="32" t="n">
        <v>19663.32</v>
      </c>
      <c r="T750" s="29" t="s">
        <v>249</v>
      </c>
      <c r="U750" s="45" t="n">
        <f aca="false">IF(J750="BUY",S750-M750,M750-S750)</f>
        <v>-12.9000000000015</v>
      </c>
      <c r="V750" s="46" t="n">
        <v>0</v>
      </c>
      <c r="W750" s="46" t="n">
        <v>0</v>
      </c>
      <c r="X750" s="46" t="n">
        <v>-38.7</v>
      </c>
      <c r="Y750" s="33" t="n">
        <f aca="false">IFERROR(X750/R750,0)</f>
        <v>-1.00389105058349</v>
      </c>
      <c r="Z750" s="29" t="str">
        <f aca="false">IF(X750&gt;0,"Win",IF(X750&lt;0,"Loss","Flat"))</f>
        <v>Loss</v>
      </c>
      <c r="AA750" s="29" t="n">
        <f aca="false">ROUND((C750-B750)*1440,1)</f>
        <v>3.6</v>
      </c>
      <c r="AB750" s="29" t="str">
        <f aca="false">IF(AA750&lt;1,"a) &lt;1 min",IF(AA750&lt;10,"b) 1-10 min",IF(AA750&lt;60,"c) 10-60 min",IF(AA750&lt;240,"d) 1-4 h","e) 4 h+"))))</f>
        <v>b) 1-10 min</v>
      </c>
      <c r="AC750" s="29" t="str">
        <f aca="false">IF(P750&lt;10,"a) &lt;10",IF(P750&lt;20,"b) 10-20",IF(P750&lt;40,"c) 20-40",IF(P750&lt;80,"d) 40-80","e) 80+"))))</f>
        <v>b) 10-20</v>
      </c>
      <c r="AD750" s="31" t="n">
        <f aca="false">Summary!$C$5+SUM(X$2:X750)</f>
        <v>15578.28</v>
      </c>
      <c r="AE750" s="31" t="n">
        <f aca="false">MAX(AE749,AD750)</f>
        <v>16151.69</v>
      </c>
      <c r="AF750" s="31" t="n">
        <f aca="false">AE750-AD750</f>
        <v>573.41</v>
      </c>
      <c r="AG750" s="30" t="n">
        <f aca="false">IFERROR(AF750/AE750,0)</f>
        <v>0.0355015481352106</v>
      </c>
    </row>
    <row r="751" customFormat="false" ht="15" hidden="false" customHeight="false" outlineLevel="0" collapsed="false">
      <c r="A751" s="29" t="n">
        <v>750</v>
      </c>
      <c r="B751" s="44" t="n">
        <v>45733.6520833333</v>
      </c>
      <c r="C751" s="44" t="n">
        <v>45733.6653125</v>
      </c>
      <c r="D751" s="43" t="n">
        <f aca="false">INT(C751)</f>
        <v>45733</v>
      </c>
      <c r="E751" s="43" t="n">
        <f aca="false">D751-WEEKDAY(D751,3)</f>
        <v>45733</v>
      </c>
      <c r="F751" s="29" t="s">
        <v>179</v>
      </c>
      <c r="G751" s="29" t="n">
        <v>2025</v>
      </c>
      <c r="H751" s="29" t="s">
        <v>245</v>
      </c>
      <c r="I751" s="29" t="n">
        <v>15</v>
      </c>
      <c r="J751" s="29" t="s">
        <v>246</v>
      </c>
      <c r="K751" s="29" t="s">
        <v>247</v>
      </c>
      <c r="L751" s="29" t="n">
        <v>0.03</v>
      </c>
      <c r="M751" s="32" t="n">
        <v>19727.25</v>
      </c>
      <c r="N751" s="32" t="n">
        <v>19708.46</v>
      </c>
      <c r="O751" s="32" t="n">
        <v>19773.28</v>
      </c>
      <c r="P751" s="45" t="n">
        <f aca="false">ABS(M751-N751)</f>
        <v>18.7900000000009</v>
      </c>
      <c r="Q751" s="45" t="n">
        <f aca="false">IF(O751="","",ABS(O751-M751))</f>
        <v>46.0299999999988</v>
      </c>
      <c r="R751" s="31" t="n">
        <f aca="false">P751*L751*Summary!$C$6</f>
        <v>56.3700000000026</v>
      </c>
      <c r="S751" s="32" t="n">
        <v>19726.78</v>
      </c>
      <c r="T751" s="29" t="s">
        <v>255</v>
      </c>
      <c r="U751" s="45" t="n">
        <f aca="false">IF(J751="BUY",S751-M751,M751-S751)</f>
        <v>-0.470000000001164</v>
      </c>
      <c r="V751" s="46" t="n">
        <v>0</v>
      </c>
      <c r="W751" s="46" t="n">
        <v>0</v>
      </c>
      <c r="X751" s="46" t="n">
        <v>-1.41</v>
      </c>
      <c r="Y751" s="33" t="n">
        <f aca="false">IFERROR(X751/R751,0)</f>
        <v>-0.02501330494944</v>
      </c>
      <c r="Z751" s="29" t="str">
        <f aca="false">IF(X751&gt;0,"Win",IF(X751&lt;0,"Loss","Flat"))</f>
        <v>Loss</v>
      </c>
      <c r="AA751" s="29" t="n">
        <f aca="false">ROUND((C751-B751)*1440,1)</f>
        <v>19.1</v>
      </c>
      <c r="AB751" s="29" t="str">
        <f aca="false">IF(AA751&lt;1,"a) &lt;1 min",IF(AA751&lt;10,"b) 1-10 min",IF(AA751&lt;60,"c) 10-60 min",IF(AA751&lt;240,"d) 1-4 h","e) 4 h+"))))</f>
        <v>c) 10-60 min</v>
      </c>
      <c r="AC751" s="29" t="str">
        <f aca="false">IF(P751&lt;10,"a) &lt;10",IF(P751&lt;20,"b) 10-20",IF(P751&lt;40,"c) 20-40",IF(P751&lt;80,"d) 40-80","e) 80+"))))</f>
        <v>b) 10-20</v>
      </c>
      <c r="AD751" s="31" t="n">
        <f aca="false">Summary!$C$5+SUM(X$2:X751)</f>
        <v>15576.87</v>
      </c>
      <c r="AE751" s="31" t="n">
        <f aca="false">MAX(AE750,AD751)</f>
        <v>16151.69</v>
      </c>
      <c r="AF751" s="31" t="n">
        <f aca="false">AE751-AD751</f>
        <v>574.82</v>
      </c>
      <c r="AG751" s="30" t="n">
        <f aca="false">IFERROR(AF751/AE751,0)</f>
        <v>0.0355888455016162</v>
      </c>
    </row>
    <row r="752" customFormat="false" ht="15" hidden="false" customHeight="false" outlineLevel="0" collapsed="false">
      <c r="A752" s="29" t="n">
        <v>751</v>
      </c>
      <c r="B752" s="44" t="n">
        <v>45734.6979166667</v>
      </c>
      <c r="C752" s="44" t="n">
        <v>45734.7010648148</v>
      </c>
      <c r="D752" s="43" t="n">
        <f aca="false">INT(C752)</f>
        <v>45734</v>
      </c>
      <c r="E752" s="43" t="n">
        <f aca="false">D752-WEEKDAY(D752,3)</f>
        <v>45733</v>
      </c>
      <c r="F752" s="29" t="s">
        <v>179</v>
      </c>
      <c r="G752" s="29" t="n">
        <v>2025</v>
      </c>
      <c r="H752" s="29" t="s">
        <v>248</v>
      </c>
      <c r="I752" s="29" t="n">
        <v>16</v>
      </c>
      <c r="J752" s="29" t="s">
        <v>250</v>
      </c>
      <c r="K752" s="29" t="s">
        <v>251</v>
      </c>
      <c r="L752" s="29" t="n">
        <v>0.03</v>
      </c>
      <c r="M752" s="32" t="n">
        <v>19495.57</v>
      </c>
      <c r="N752" s="32" t="n">
        <v>19528.63</v>
      </c>
      <c r="O752" s="32" t="n">
        <v>19411.31</v>
      </c>
      <c r="P752" s="45" t="n">
        <f aca="false">ABS(M752-N752)</f>
        <v>33.0600000000013</v>
      </c>
      <c r="Q752" s="45" t="n">
        <f aca="false">IF(O752="","",ABS(O752-M752))</f>
        <v>84.2599999999984</v>
      </c>
      <c r="R752" s="31" t="n">
        <f aca="false">P752*L752*Summary!$C$6</f>
        <v>99.1800000000039</v>
      </c>
      <c r="S752" s="32" t="n">
        <v>19528.98</v>
      </c>
      <c r="T752" s="29" t="s">
        <v>249</v>
      </c>
      <c r="U752" s="45" t="n">
        <f aca="false">IF(J752="BUY",S752-M752,M752-S752)</f>
        <v>-33.4099999999999</v>
      </c>
      <c r="V752" s="46" t="n">
        <v>0</v>
      </c>
      <c r="W752" s="46" t="n">
        <v>0</v>
      </c>
      <c r="X752" s="46" t="n">
        <v>-100.23</v>
      </c>
      <c r="Y752" s="33" t="n">
        <f aca="false">IFERROR(X752/R752,0)</f>
        <v>-1.01058681185719</v>
      </c>
      <c r="Z752" s="29" t="str">
        <f aca="false">IF(X752&gt;0,"Win",IF(X752&lt;0,"Loss","Flat"))</f>
        <v>Loss</v>
      </c>
      <c r="AA752" s="29" t="n">
        <f aca="false">ROUND((C752-B752)*1440,1)</f>
        <v>4.5</v>
      </c>
      <c r="AB752" s="29" t="str">
        <f aca="false">IF(AA752&lt;1,"a) &lt;1 min",IF(AA752&lt;10,"b) 1-10 min",IF(AA752&lt;60,"c) 10-60 min",IF(AA752&lt;240,"d) 1-4 h","e) 4 h+"))))</f>
        <v>b) 1-10 min</v>
      </c>
      <c r="AC752" s="29" t="str">
        <f aca="false">IF(P752&lt;10,"a) &lt;10",IF(P752&lt;20,"b) 10-20",IF(P752&lt;40,"c) 20-40",IF(P752&lt;80,"d) 40-80","e) 80+"))))</f>
        <v>c) 20-40</v>
      </c>
      <c r="AD752" s="31" t="n">
        <f aca="false">Summary!$C$5+SUM(X$2:X752)</f>
        <v>15476.64</v>
      </c>
      <c r="AE752" s="31" t="n">
        <f aca="false">MAX(AE751,AD752)</f>
        <v>16151.69</v>
      </c>
      <c r="AF752" s="31" t="n">
        <f aca="false">AE752-AD752</f>
        <v>675.049999999999</v>
      </c>
      <c r="AG752" s="30" t="n">
        <f aca="false">IFERROR(AF752/AE752,0)</f>
        <v>0.0417943880795136</v>
      </c>
    </row>
    <row r="753" customFormat="false" ht="15" hidden="false" customHeight="false" outlineLevel="0" collapsed="false">
      <c r="A753" s="29" t="n">
        <v>752</v>
      </c>
      <c r="B753" s="44" t="n">
        <v>45735.9208333333</v>
      </c>
      <c r="C753" s="44" t="n">
        <v>45735.9235069445</v>
      </c>
      <c r="D753" s="43" t="n">
        <f aca="false">INT(C753)</f>
        <v>45735</v>
      </c>
      <c r="E753" s="43" t="n">
        <f aca="false">D753-WEEKDAY(D753,3)</f>
        <v>45733</v>
      </c>
      <c r="F753" s="29" t="s">
        <v>179</v>
      </c>
      <c r="G753" s="29" t="n">
        <v>2025</v>
      </c>
      <c r="H753" s="29" t="s">
        <v>252</v>
      </c>
      <c r="I753" s="29" t="n">
        <v>22</v>
      </c>
      <c r="J753" s="29" t="s">
        <v>246</v>
      </c>
      <c r="K753" s="29" t="s">
        <v>247</v>
      </c>
      <c r="L753" s="29" t="n">
        <v>0.03</v>
      </c>
      <c r="M753" s="32" t="n">
        <v>19858.11</v>
      </c>
      <c r="N753" s="32" t="n">
        <v>19834.33</v>
      </c>
      <c r="O753" s="32" t="n">
        <v>19912.55</v>
      </c>
      <c r="P753" s="45" t="n">
        <f aca="false">ABS(M753-N753)</f>
        <v>23.7799999999988</v>
      </c>
      <c r="Q753" s="45" t="n">
        <f aca="false">IF(O753="","",ABS(O753-M753))</f>
        <v>54.4399999999987</v>
      </c>
      <c r="R753" s="31" t="n">
        <f aca="false">P753*L753*Summary!$C$6</f>
        <v>71.3399999999965</v>
      </c>
      <c r="S753" s="32" t="n">
        <v>19912.6</v>
      </c>
      <c r="T753" s="29" t="s">
        <v>227</v>
      </c>
      <c r="U753" s="45" t="n">
        <f aca="false">IF(J753="BUY",S753-M753,M753-S753)</f>
        <v>54.489999999998</v>
      </c>
      <c r="V753" s="46" t="n">
        <v>0</v>
      </c>
      <c r="W753" s="46" t="n">
        <v>0</v>
      </c>
      <c r="X753" s="46" t="n">
        <v>163.47</v>
      </c>
      <c r="Y753" s="33" t="n">
        <f aca="false">IFERROR(X753/R753,0)</f>
        <v>2.2914213624896</v>
      </c>
      <c r="Z753" s="29" t="str">
        <f aca="false">IF(X753&gt;0,"Win",IF(X753&lt;0,"Loss","Flat"))</f>
        <v>Win</v>
      </c>
      <c r="AA753" s="29" t="n">
        <f aca="false">ROUND((C753-B753)*1440,1)</f>
        <v>3.9</v>
      </c>
      <c r="AB753" s="29" t="str">
        <f aca="false">IF(AA753&lt;1,"a) &lt;1 min",IF(AA753&lt;10,"b) 1-10 min",IF(AA753&lt;60,"c) 10-60 min",IF(AA753&lt;240,"d) 1-4 h","e) 4 h+"))))</f>
        <v>b) 1-10 min</v>
      </c>
      <c r="AC753" s="29" t="str">
        <f aca="false">IF(P753&lt;10,"a) &lt;10",IF(P753&lt;20,"b) 10-20",IF(P753&lt;40,"c) 20-40",IF(P753&lt;80,"d) 40-80","e) 80+"))))</f>
        <v>c) 20-40</v>
      </c>
      <c r="AD753" s="31" t="n">
        <f aca="false">Summary!$C$5+SUM(X$2:X753)</f>
        <v>15640.11</v>
      </c>
      <c r="AE753" s="31" t="n">
        <f aca="false">MAX(AE752,AD753)</f>
        <v>16151.69</v>
      </c>
      <c r="AF753" s="31" t="n">
        <f aca="false">AE753-AD753</f>
        <v>511.579999999998</v>
      </c>
      <c r="AG753" s="30" t="n">
        <f aca="false">IFERROR(AF753/AE753,0)</f>
        <v>0.0316734657487853</v>
      </c>
    </row>
    <row r="754" customFormat="false" ht="15" hidden="false" customHeight="false" outlineLevel="0" collapsed="false">
      <c r="A754" s="29" t="n">
        <v>753</v>
      </c>
      <c r="B754" s="44" t="n">
        <v>45737.6534722222</v>
      </c>
      <c r="C754" s="44" t="n">
        <v>45737.657337963</v>
      </c>
      <c r="D754" s="43" t="n">
        <f aca="false">INT(C754)</f>
        <v>45737</v>
      </c>
      <c r="E754" s="43" t="n">
        <f aca="false">D754-WEEKDAY(D754,3)</f>
        <v>45733</v>
      </c>
      <c r="F754" s="29" t="s">
        <v>179</v>
      </c>
      <c r="G754" s="29" t="n">
        <v>2025</v>
      </c>
      <c r="H754" s="29" t="s">
        <v>254</v>
      </c>
      <c r="I754" s="29" t="n">
        <v>15</v>
      </c>
      <c r="J754" s="29" t="s">
        <v>250</v>
      </c>
      <c r="K754" s="29" t="s">
        <v>251</v>
      </c>
      <c r="L754" s="29" t="n">
        <v>0.04</v>
      </c>
      <c r="M754" s="32" t="n">
        <v>19508.55</v>
      </c>
      <c r="N754" s="32" t="n">
        <v>19529.08</v>
      </c>
      <c r="O754" s="32" t="n">
        <v>19458.25</v>
      </c>
      <c r="P754" s="45" t="n">
        <f aca="false">ABS(M754-N754)</f>
        <v>20.5300000000025</v>
      </c>
      <c r="Q754" s="45" t="n">
        <f aca="false">IF(O754="","",ABS(O754-M754))</f>
        <v>50.2999999999993</v>
      </c>
      <c r="R754" s="31" t="n">
        <f aca="false">P754*L754*Summary!$C$6</f>
        <v>82.1200000000099</v>
      </c>
      <c r="S754" s="32" t="n">
        <v>19509.72</v>
      </c>
      <c r="T754" s="29" t="s">
        <v>255</v>
      </c>
      <c r="U754" s="45" t="n">
        <f aca="false">IF(J754="BUY",S754-M754,M754-S754)</f>
        <v>-1.17000000000189</v>
      </c>
      <c r="V754" s="46" t="n">
        <v>0</v>
      </c>
      <c r="W754" s="46" t="n">
        <v>0</v>
      </c>
      <c r="X754" s="46" t="n">
        <v>-4.68</v>
      </c>
      <c r="Y754" s="33" t="n">
        <f aca="false">IFERROR(X754/R754,0)</f>
        <v>-0.0569897710667247</v>
      </c>
      <c r="Z754" s="29" t="str">
        <f aca="false">IF(X754&gt;0,"Win",IF(X754&lt;0,"Loss","Flat"))</f>
        <v>Loss</v>
      </c>
      <c r="AA754" s="29" t="n">
        <f aca="false">ROUND((C754-B754)*1440,1)</f>
        <v>5.6</v>
      </c>
      <c r="AB754" s="29" t="str">
        <f aca="false">IF(AA754&lt;1,"a) &lt;1 min",IF(AA754&lt;10,"b) 1-10 min",IF(AA754&lt;60,"c) 10-60 min",IF(AA754&lt;240,"d) 1-4 h","e) 4 h+"))))</f>
        <v>b) 1-10 min</v>
      </c>
      <c r="AC754" s="29" t="str">
        <f aca="false">IF(P754&lt;10,"a) &lt;10",IF(P754&lt;20,"b) 10-20",IF(P754&lt;40,"c) 20-40",IF(P754&lt;80,"d) 40-80","e) 80+"))))</f>
        <v>c) 20-40</v>
      </c>
      <c r="AD754" s="31" t="n">
        <f aca="false">Summary!$C$5+SUM(X$2:X754)</f>
        <v>15635.43</v>
      </c>
      <c r="AE754" s="31" t="n">
        <f aca="false">MAX(AE753,AD754)</f>
        <v>16151.69</v>
      </c>
      <c r="AF754" s="31" t="n">
        <f aca="false">AE754-AD754</f>
        <v>516.259999999998</v>
      </c>
      <c r="AG754" s="30" t="n">
        <f aca="false">IFERROR(AF754/AE754,0)</f>
        <v>0.031963218709621</v>
      </c>
    </row>
    <row r="755" customFormat="false" ht="15" hidden="false" customHeight="false" outlineLevel="0" collapsed="false">
      <c r="A755" s="29" t="n">
        <v>754</v>
      </c>
      <c r="B755" s="44" t="n">
        <v>45740.0465277778</v>
      </c>
      <c r="C755" s="44" t="n">
        <v>45740.4271064815</v>
      </c>
      <c r="D755" s="43" t="n">
        <f aca="false">INT(C755)</f>
        <v>45740</v>
      </c>
      <c r="E755" s="43" t="n">
        <f aca="false">D755-WEEKDAY(D755,3)</f>
        <v>45740</v>
      </c>
      <c r="F755" s="29" t="s">
        <v>179</v>
      </c>
      <c r="G755" s="29" t="n">
        <v>2025</v>
      </c>
      <c r="H755" s="29" t="s">
        <v>245</v>
      </c>
      <c r="I755" s="29" t="n">
        <v>1</v>
      </c>
      <c r="J755" s="29" t="s">
        <v>246</v>
      </c>
      <c r="K755" s="29" t="s">
        <v>247</v>
      </c>
      <c r="L755" s="29" t="n">
        <v>0.03</v>
      </c>
      <c r="M755" s="32" t="n">
        <v>19879.74</v>
      </c>
      <c r="N755" s="32" t="n">
        <v>19847.28</v>
      </c>
      <c r="O755" s="32" t="n">
        <v>19959.26</v>
      </c>
      <c r="P755" s="45" t="n">
        <f aca="false">ABS(M755-N755)</f>
        <v>32.4600000000028</v>
      </c>
      <c r="Q755" s="45" t="n">
        <f aca="false">IF(O755="","",ABS(O755-M755))</f>
        <v>79.5199999999968</v>
      </c>
      <c r="R755" s="31" t="n">
        <f aca="false">P755*L755*Summary!$C$6</f>
        <v>97.3800000000083</v>
      </c>
      <c r="S755" s="32" t="n">
        <v>19960.15</v>
      </c>
      <c r="T755" s="29" t="s">
        <v>227</v>
      </c>
      <c r="U755" s="45" t="n">
        <f aca="false">IF(J755="BUY",S755-M755,M755-S755)</f>
        <v>80.4099999999999</v>
      </c>
      <c r="V755" s="46" t="n">
        <v>0</v>
      </c>
      <c r="W755" s="46" t="n">
        <v>0</v>
      </c>
      <c r="X755" s="46" t="n">
        <v>241.23</v>
      </c>
      <c r="Y755" s="33" t="n">
        <f aca="false">IFERROR(X755/R755,0)</f>
        <v>2.47720271102875</v>
      </c>
      <c r="Z755" s="29" t="str">
        <f aca="false">IF(X755&gt;0,"Win",IF(X755&lt;0,"Loss","Flat"))</f>
        <v>Win</v>
      </c>
      <c r="AA755" s="29" t="n">
        <f aca="false">ROUND((C755-B755)*1440,1)</f>
        <v>548</v>
      </c>
      <c r="AB755" s="29" t="str">
        <f aca="false">IF(AA755&lt;1,"a) &lt;1 min",IF(AA755&lt;10,"b) 1-10 min",IF(AA755&lt;60,"c) 10-60 min",IF(AA755&lt;240,"d) 1-4 h","e) 4 h+"))))</f>
        <v>e) 4 h+</v>
      </c>
      <c r="AC755" s="29" t="str">
        <f aca="false">IF(P755&lt;10,"a) &lt;10",IF(P755&lt;20,"b) 10-20",IF(P755&lt;40,"c) 20-40",IF(P755&lt;80,"d) 40-80","e) 80+"))))</f>
        <v>c) 20-40</v>
      </c>
      <c r="AD755" s="31" t="n">
        <f aca="false">Summary!$C$5+SUM(X$2:X755)</f>
        <v>15876.66</v>
      </c>
      <c r="AE755" s="31" t="n">
        <f aca="false">MAX(AE754,AD755)</f>
        <v>16151.69</v>
      </c>
      <c r="AF755" s="31" t="n">
        <f aca="false">AE755-AD755</f>
        <v>275.029999999999</v>
      </c>
      <c r="AG755" s="30" t="n">
        <f aca="false">IFERROR(AF755/AE755,0)</f>
        <v>0.0170279394911615</v>
      </c>
    </row>
    <row r="756" customFormat="false" ht="15" hidden="false" customHeight="false" outlineLevel="0" collapsed="false">
      <c r="A756" s="29" t="n">
        <v>755</v>
      </c>
      <c r="B756" s="44" t="n">
        <v>45741.6222222222</v>
      </c>
      <c r="C756" s="44" t="n">
        <v>45741.6246064815</v>
      </c>
      <c r="D756" s="43" t="n">
        <f aca="false">INT(C756)</f>
        <v>45741</v>
      </c>
      <c r="E756" s="43" t="n">
        <f aca="false">D756-WEEKDAY(D756,3)</f>
        <v>45740</v>
      </c>
      <c r="F756" s="29" t="s">
        <v>179</v>
      </c>
      <c r="G756" s="29" t="n">
        <v>2025</v>
      </c>
      <c r="H756" s="29" t="s">
        <v>248</v>
      </c>
      <c r="I756" s="29" t="n">
        <v>14</v>
      </c>
      <c r="J756" s="29" t="s">
        <v>246</v>
      </c>
      <c r="K756" s="29" t="s">
        <v>247</v>
      </c>
      <c r="L756" s="29" t="n">
        <v>0.03</v>
      </c>
      <c r="M756" s="32" t="n">
        <v>20205.11</v>
      </c>
      <c r="N756" s="32" t="n">
        <v>20201.48</v>
      </c>
      <c r="O756" s="32" t="n">
        <v>20214.01</v>
      </c>
      <c r="P756" s="45" t="n">
        <f aca="false">ABS(M756-N756)</f>
        <v>3.63000000000102</v>
      </c>
      <c r="Q756" s="45" t="n">
        <f aca="false">IF(O756="","",ABS(O756-M756))</f>
        <v>8.89999999999782</v>
      </c>
      <c r="R756" s="31" t="n">
        <f aca="false">P756*L756*Summary!$C$6</f>
        <v>10.8900000000031</v>
      </c>
      <c r="S756" s="32" t="n">
        <v>20204.31</v>
      </c>
      <c r="T756" s="29" t="s">
        <v>255</v>
      </c>
      <c r="U756" s="45" t="n">
        <f aca="false">IF(J756="BUY",S756-M756,M756-S756)</f>
        <v>-0.799999999999272</v>
      </c>
      <c r="V756" s="46" t="n">
        <v>0</v>
      </c>
      <c r="W756" s="46" t="n">
        <v>0</v>
      </c>
      <c r="X756" s="46" t="n">
        <v>-2.4</v>
      </c>
      <c r="Y756" s="33" t="n">
        <f aca="false">IFERROR(X756/R756,0)</f>
        <v>-0.220385674931068</v>
      </c>
      <c r="Z756" s="29" t="str">
        <f aca="false">IF(X756&gt;0,"Win",IF(X756&lt;0,"Loss","Flat"))</f>
        <v>Loss</v>
      </c>
      <c r="AA756" s="29" t="n">
        <f aca="false">ROUND((C756-B756)*1440,1)</f>
        <v>3.4</v>
      </c>
      <c r="AB756" s="29" t="str">
        <f aca="false">IF(AA756&lt;1,"a) &lt;1 min",IF(AA756&lt;10,"b) 1-10 min",IF(AA756&lt;60,"c) 10-60 min",IF(AA756&lt;240,"d) 1-4 h","e) 4 h+"))))</f>
        <v>b) 1-10 min</v>
      </c>
      <c r="AC756" s="29" t="str">
        <f aca="false">IF(P756&lt;10,"a) &lt;10",IF(P756&lt;20,"b) 10-20",IF(P756&lt;40,"c) 20-40",IF(P756&lt;80,"d) 40-80","e) 80+"))))</f>
        <v>a) &lt;10</v>
      </c>
      <c r="AD756" s="31" t="n">
        <f aca="false">Summary!$C$5+SUM(X$2:X756)</f>
        <v>15874.26</v>
      </c>
      <c r="AE756" s="31" t="n">
        <f aca="false">MAX(AE755,AD756)</f>
        <v>16151.69</v>
      </c>
      <c r="AF756" s="31" t="n">
        <f aca="false">AE756-AD756</f>
        <v>277.429999999999</v>
      </c>
      <c r="AG756" s="30" t="n">
        <f aca="false">IFERROR(AF756/AE756,0)</f>
        <v>0.0171765307531285</v>
      </c>
    </row>
    <row r="757" customFormat="false" ht="15" hidden="false" customHeight="false" outlineLevel="0" collapsed="false">
      <c r="A757" s="29" t="n">
        <v>756</v>
      </c>
      <c r="B757" s="44" t="n">
        <v>45742.0465277778</v>
      </c>
      <c r="C757" s="44" t="n">
        <v>45742.0489467593</v>
      </c>
      <c r="D757" s="43" t="n">
        <f aca="false">INT(C757)</f>
        <v>45742</v>
      </c>
      <c r="E757" s="43" t="n">
        <f aca="false">D757-WEEKDAY(D757,3)</f>
        <v>45740</v>
      </c>
      <c r="F757" s="29" t="s">
        <v>179</v>
      </c>
      <c r="G757" s="29" t="n">
        <v>2025</v>
      </c>
      <c r="H757" s="29" t="s">
        <v>252</v>
      </c>
      <c r="I757" s="29" t="n">
        <v>1</v>
      </c>
      <c r="J757" s="29" t="s">
        <v>246</v>
      </c>
      <c r="K757" s="29" t="s">
        <v>247</v>
      </c>
      <c r="L757" s="29" t="n">
        <v>0.03</v>
      </c>
      <c r="M757" s="32" t="n">
        <v>20313.29</v>
      </c>
      <c r="N757" s="32" t="n">
        <v>20308.27</v>
      </c>
      <c r="O757" s="32" t="n">
        <v>20325.59</v>
      </c>
      <c r="P757" s="45" t="n">
        <f aca="false">ABS(M757-N757)</f>
        <v>5.02000000000044</v>
      </c>
      <c r="Q757" s="45" t="n">
        <f aca="false">IF(O757="","",ABS(O757-M757))</f>
        <v>12.2999999999993</v>
      </c>
      <c r="R757" s="31" t="n">
        <f aca="false">P757*L757*Summary!$C$6</f>
        <v>15.0600000000013</v>
      </c>
      <c r="S757" s="32" t="n">
        <v>20327.63</v>
      </c>
      <c r="T757" s="29" t="s">
        <v>227</v>
      </c>
      <c r="U757" s="45" t="n">
        <f aca="false">IF(J757="BUY",S757-M757,M757-S757)</f>
        <v>14.3400000000001</v>
      </c>
      <c r="V757" s="46" t="n">
        <v>0</v>
      </c>
      <c r="W757" s="46" t="n">
        <v>0</v>
      </c>
      <c r="X757" s="46" t="n">
        <v>43.02</v>
      </c>
      <c r="Y757" s="33" t="n">
        <f aca="false">IFERROR(X757/R757,0)</f>
        <v>2.85657370517904</v>
      </c>
      <c r="Z757" s="29" t="str">
        <f aca="false">IF(X757&gt;0,"Win",IF(X757&lt;0,"Loss","Flat"))</f>
        <v>Win</v>
      </c>
      <c r="AA757" s="29" t="n">
        <f aca="false">ROUND((C757-B757)*1440,1)</f>
        <v>3.5</v>
      </c>
      <c r="AB757" s="29" t="str">
        <f aca="false">IF(AA757&lt;1,"a) &lt;1 min",IF(AA757&lt;10,"b) 1-10 min",IF(AA757&lt;60,"c) 10-60 min",IF(AA757&lt;240,"d) 1-4 h","e) 4 h+"))))</f>
        <v>b) 1-10 min</v>
      </c>
      <c r="AC757" s="29" t="str">
        <f aca="false">IF(P757&lt;10,"a) &lt;10",IF(P757&lt;20,"b) 10-20",IF(P757&lt;40,"c) 20-40",IF(P757&lt;80,"d) 40-80","e) 80+"))))</f>
        <v>a) &lt;10</v>
      </c>
      <c r="AD757" s="31" t="n">
        <f aca="false">Summary!$C$5+SUM(X$2:X757)</f>
        <v>15917.28</v>
      </c>
      <c r="AE757" s="31" t="n">
        <f aca="false">MAX(AE756,AD757)</f>
        <v>16151.69</v>
      </c>
      <c r="AF757" s="31" t="n">
        <f aca="false">AE757-AD757</f>
        <v>234.41</v>
      </c>
      <c r="AG757" s="30" t="n">
        <f aca="false">IFERROR(AF757/AE757,0)</f>
        <v>0.0145130323823699</v>
      </c>
    </row>
    <row r="758" customFormat="false" ht="15" hidden="false" customHeight="false" outlineLevel="0" collapsed="false">
      <c r="A758" s="29" t="n">
        <v>757</v>
      </c>
      <c r="B758" s="44" t="n">
        <v>45742.7222222222</v>
      </c>
      <c r="C758" s="44" t="n">
        <v>45742.7242708333</v>
      </c>
      <c r="D758" s="43" t="n">
        <f aca="false">INT(C758)</f>
        <v>45742</v>
      </c>
      <c r="E758" s="43" t="n">
        <f aca="false">D758-WEEKDAY(D758,3)</f>
        <v>45740</v>
      </c>
      <c r="F758" s="29" t="s">
        <v>179</v>
      </c>
      <c r="G758" s="29" t="n">
        <v>2025</v>
      </c>
      <c r="H758" s="29" t="s">
        <v>252</v>
      </c>
      <c r="I758" s="29" t="n">
        <v>17</v>
      </c>
      <c r="J758" s="29" t="s">
        <v>250</v>
      </c>
      <c r="K758" s="29" t="s">
        <v>251</v>
      </c>
      <c r="L758" s="29" t="n">
        <v>0.03</v>
      </c>
      <c r="M758" s="32" t="n">
        <v>20078.63</v>
      </c>
      <c r="N758" s="32" t="n">
        <v>20096.3</v>
      </c>
      <c r="O758" s="32" t="n">
        <v>20035.52</v>
      </c>
      <c r="P758" s="45" t="n">
        <f aca="false">ABS(M758-N758)</f>
        <v>17.6699999999983</v>
      </c>
      <c r="Q758" s="45" t="n">
        <f aca="false">IF(O758="","",ABS(O758-M758))</f>
        <v>43.1100000000006</v>
      </c>
      <c r="R758" s="31" t="n">
        <f aca="false">P758*L758*Summary!$C$6</f>
        <v>53.0099999999948</v>
      </c>
      <c r="S758" s="32" t="n">
        <v>20035.49</v>
      </c>
      <c r="T758" s="29" t="s">
        <v>227</v>
      </c>
      <c r="U758" s="45" t="n">
        <f aca="false">IF(J758="BUY",S758-M758,M758-S758)</f>
        <v>43.1399999999994</v>
      </c>
      <c r="V758" s="46" t="n">
        <v>0</v>
      </c>
      <c r="W758" s="46" t="n">
        <v>0</v>
      </c>
      <c r="X758" s="46" t="n">
        <v>129.42</v>
      </c>
      <c r="Y758" s="33" t="n">
        <f aca="false">IFERROR(X758/R758,0)</f>
        <v>2.44142614601043</v>
      </c>
      <c r="Z758" s="29" t="str">
        <f aca="false">IF(X758&gt;0,"Win",IF(X758&lt;0,"Loss","Flat"))</f>
        <v>Win</v>
      </c>
      <c r="AA758" s="29" t="n">
        <f aca="false">ROUND((C758-B758)*1440,1)</f>
        <v>3</v>
      </c>
      <c r="AB758" s="29" t="str">
        <f aca="false">IF(AA758&lt;1,"a) &lt;1 min",IF(AA758&lt;10,"b) 1-10 min",IF(AA758&lt;60,"c) 10-60 min",IF(AA758&lt;240,"d) 1-4 h","e) 4 h+"))))</f>
        <v>b) 1-10 min</v>
      </c>
      <c r="AC758" s="29" t="str">
        <f aca="false">IF(P758&lt;10,"a) &lt;10",IF(P758&lt;20,"b) 10-20",IF(P758&lt;40,"c) 20-40",IF(P758&lt;80,"d) 40-80","e) 80+"))))</f>
        <v>b) 10-20</v>
      </c>
      <c r="AD758" s="31" t="n">
        <f aca="false">Summary!$C$5+SUM(X$2:X758)</f>
        <v>16046.7</v>
      </c>
      <c r="AE758" s="31" t="n">
        <f aca="false">MAX(AE757,AD758)</f>
        <v>16151.69</v>
      </c>
      <c r="AF758" s="31" t="n">
        <f aca="false">AE758-AD758</f>
        <v>104.989999999998</v>
      </c>
      <c r="AG758" s="30" t="n">
        <f aca="false">IFERROR(AF758/AE758,0)</f>
        <v>0.00650024858079854</v>
      </c>
    </row>
    <row r="759" customFormat="false" ht="15" hidden="false" customHeight="false" outlineLevel="0" collapsed="false">
      <c r="A759" s="29" t="n">
        <v>758</v>
      </c>
      <c r="B759" s="44" t="n">
        <v>45743.0461342593</v>
      </c>
      <c r="C759" s="44" t="n">
        <v>45743.0547222222</v>
      </c>
      <c r="D759" s="43" t="n">
        <f aca="false">INT(C759)</f>
        <v>45743</v>
      </c>
      <c r="E759" s="43" t="n">
        <f aca="false">D759-WEEKDAY(D759,3)</f>
        <v>45740</v>
      </c>
      <c r="F759" s="29" t="s">
        <v>179</v>
      </c>
      <c r="G759" s="29" t="n">
        <v>2025</v>
      </c>
      <c r="H759" s="29" t="s">
        <v>253</v>
      </c>
      <c r="I759" s="29" t="n">
        <v>1</v>
      </c>
      <c r="J759" s="29" t="s">
        <v>250</v>
      </c>
      <c r="K759" s="29" t="s">
        <v>251</v>
      </c>
      <c r="L759" s="29" t="n">
        <v>0.04</v>
      </c>
      <c r="M759" s="32" t="n">
        <v>19880.79</v>
      </c>
      <c r="N759" s="32" t="n">
        <v>19903.41</v>
      </c>
      <c r="O759" s="32" t="n">
        <v>19825.37</v>
      </c>
      <c r="P759" s="45" t="n">
        <f aca="false">ABS(M759-N759)</f>
        <v>22.619999999999</v>
      </c>
      <c r="Q759" s="45" t="n">
        <f aca="false">IF(O759="","",ABS(O759-M759))</f>
        <v>55.4200000000019</v>
      </c>
      <c r="R759" s="31" t="n">
        <f aca="false">P759*L759*Summary!$C$6</f>
        <v>90.4799999999959</v>
      </c>
      <c r="S759" s="32" t="n">
        <v>19825.32</v>
      </c>
      <c r="T759" s="29" t="s">
        <v>227</v>
      </c>
      <c r="U759" s="45" t="n">
        <f aca="false">IF(J759="BUY",S759-M759,M759-S759)</f>
        <v>55.4700000000012</v>
      </c>
      <c r="V759" s="46" t="n">
        <v>0</v>
      </c>
      <c r="W759" s="46" t="n">
        <v>0</v>
      </c>
      <c r="X759" s="46" t="n">
        <v>221.88</v>
      </c>
      <c r="Y759" s="33" t="n">
        <f aca="false">IFERROR(X759/R759,0)</f>
        <v>2.45225464190992</v>
      </c>
      <c r="Z759" s="29" t="str">
        <f aca="false">IF(X759&gt;0,"Win",IF(X759&lt;0,"Loss","Flat"))</f>
        <v>Win</v>
      </c>
      <c r="AA759" s="29" t="n">
        <f aca="false">ROUND((C759-B759)*1440,1)</f>
        <v>12.4</v>
      </c>
      <c r="AB759" s="29" t="str">
        <f aca="false">IF(AA759&lt;1,"a) &lt;1 min",IF(AA759&lt;10,"b) 1-10 min",IF(AA759&lt;60,"c) 10-60 min",IF(AA759&lt;240,"d) 1-4 h","e) 4 h+"))))</f>
        <v>c) 10-60 min</v>
      </c>
      <c r="AC759" s="29" t="str">
        <f aca="false">IF(P759&lt;10,"a) &lt;10",IF(P759&lt;20,"b) 10-20",IF(P759&lt;40,"c) 20-40",IF(P759&lt;80,"d) 40-80","e) 80+"))))</f>
        <v>c) 20-40</v>
      </c>
      <c r="AD759" s="31" t="n">
        <f aca="false">Summary!$C$5+SUM(X$2:X759)</f>
        <v>16268.58</v>
      </c>
      <c r="AE759" s="31" t="n">
        <f aca="false">MAX(AE758,AD759)</f>
        <v>16268.58</v>
      </c>
      <c r="AF759" s="31" t="n">
        <f aca="false">AE759-AD759</f>
        <v>0</v>
      </c>
      <c r="AG759" s="30" t="n">
        <f aca="false">IFERROR(AF759/AE759,0)</f>
        <v>0</v>
      </c>
    </row>
    <row r="760" customFormat="false" ht="15" hidden="false" customHeight="false" outlineLevel="0" collapsed="false">
      <c r="A760" s="29" t="n">
        <v>759</v>
      </c>
      <c r="B760" s="44" t="n">
        <v>45744.4152777778</v>
      </c>
      <c r="C760" s="44" t="n">
        <v>45744.4177546296</v>
      </c>
      <c r="D760" s="43" t="n">
        <f aca="false">INT(C760)</f>
        <v>45744</v>
      </c>
      <c r="E760" s="43" t="n">
        <f aca="false">D760-WEEKDAY(D760,3)</f>
        <v>45740</v>
      </c>
      <c r="F760" s="29" t="s">
        <v>179</v>
      </c>
      <c r="G760" s="29" t="n">
        <v>2025</v>
      </c>
      <c r="H760" s="29" t="s">
        <v>254</v>
      </c>
      <c r="I760" s="29" t="n">
        <v>9</v>
      </c>
      <c r="J760" s="29" t="s">
        <v>250</v>
      </c>
      <c r="K760" s="29" t="s">
        <v>251</v>
      </c>
      <c r="L760" s="29" t="n">
        <v>0.04</v>
      </c>
      <c r="M760" s="32" t="n">
        <v>19742</v>
      </c>
      <c r="N760" s="32" t="n">
        <v>19747.27</v>
      </c>
      <c r="O760" s="32" t="n">
        <v>19729.1</v>
      </c>
      <c r="P760" s="45" t="n">
        <f aca="false">ABS(M760-N760)</f>
        <v>5.27000000000044</v>
      </c>
      <c r="Q760" s="45" t="n">
        <f aca="false">IF(O760="","",ABS(O760-M760))</f>
        <v>12.9000000000015</v>
      </c>
      <c r="R760" s="31" t="n">
        <f aca="false">P760*L760*Summary!$C$6</f>
        <v>21.0800000000017</v>
      </c>
      <c r="S760" s="32" t="n">
        <v>19742.24</v>
      </c>
      <c r="T760" s="29" t="s">
        <v>255</v>
      </c>
      <c r="U760" s="45" t="n">
        <f aca="false">IF(J760="BUY",S760-M760,M760-S760)</f>
        <v>-0.240000000001601</v>
      </c>
      <c r="V760" s="46" t="n">
        <v>0</v>
      </c>
      <c r="W760" s="46" t="n">
        <v>0</v>
      </c>
      <c r="X760" s="46" t="n">
        <v>-0.96</v>
      </c>
      <c r="Y760" s="33" t="n">
        <f aca="false">IFERROR(X760/R760,0)</f>
        <v>-0.0455407969639431</v>
      </c>
      <c r="Z760" s="29" t="str">
        <f aca="false">IF(X760&gt;0,"Win",IF(X760&lt;0,"Loss","Flat"))</f>
        <v>Loss</v>
      </c>
      <c r="AA760" s="29" t="n">
        <f aca="false">ROUND((C760-B760)*1440,1)</f>
        <v>3.6</v>
      </c>
      <c r="AB760" s="29" t="str">
        <f aca="false">IF(AA760&lt;1,"a) &lt;1 min",IF(AA760&lt;10,"b) 1-10 min",IF(AA760&lt;60,"c) 10-60 min",IF(AA760&lt;240,"d) 1-4 h","e) 4 h+"))))</f>
        <v>b) 1-10 min</v>
      </c>
      <c r="AC760" s="29" t="str">
        <f aca="false">IF(P760&lt;10,"a) &lt;10",IF(P760&lt;20,"b) 10-20",IF(P760&lt;40,"c) 20-40",IF(P760&lt;80,"d) 40-80","e) 80+"))))</f>
        <v>a) &lt;10</v>
      </c>
      <c r="AD760" s="31" t="n">
        <f aca="false">Summary!$C$5+SUM(X$2:X760)</f>
        <v>16267.62</v>
      </c>
      <c r="AE760" s="31" t="n">
        <f aca="false">MAX(AE759,AD760)</f>
        <v>16268.58</v>
      </c>
      <c r="AF760" s="31" t="n">
        <f aca="false">AE760-AD760</f>
        <v>0.960000000000946</v>
      </c>
      <c r="AG760" s="30" t="n">
        <f aca="false">IFERROR(AF760/AE760,0)</f>
        <v>5.90094525767428E-005</v>
      </c>
    </row>
    <row r="761" customFormat="false" ht="15" hidden="false" customHeight="false" outlineLevel="0" collapsed="false">
      <c r="A761" s="29" t="n">
        <v>760</v>
      </c>
      <c r="B761" s="44" t="n">
        <v>45747.0451388889</v>
      </c>
      <c r="C761" s="44" t="n">
        <v>45747.1039699074</v>
      </c>
      <c r="D761" s="43" t="n">
        <f aca="false">INT(C761)</f>
        <v>45747</v>
      </c>
      <c r="E761" s="43" t="n">
        <f aca="false">D761-WEEKDAY(D761,3)</f>
        <v>45747</v>
      </c>
      <c r="F761" s="29" t="s">
        <v>179</v>
      </c>
      <c r="G761" s="29" t="n">
        <v>2025</v>
      </c>
      <c r="H761" s="29" t="s">
        <v>245</v>
      </c>
      <c r="I761" s="29" t="n">
        <v>1</v>
      </c>
      <c r="J761" s="29" t="s">
        <v>250</v>
      </c>
      <c r="K761" s="29" t="s">
        <v>251</v>
      </c>
      <c r="L761" s="29" t="n">
        <v>0.04</v>
      </c>
      <c r="M761" s="32" t="n">
        <v>19118.43</v>
      </c>
      <c r="N761" s="32" t="n">
        <v>19146.42</v>
      </c>
      <c r="O761" s="32" t="n">
        <v>19049.86</v>
      </c>
      <c r="P761" s="45" t="n">
        <f aca="false">ABS(M761-N761)</f>
        <v>27.989999999998</v>
      </c>
      <c r="Q761" s="45" t="n">
        <f aca="false">IF(O761="","",ABS(O761-M761))</f>
        <v>68.5699999999997</v>
      </c>
      <c r="R761" s="31" t="n">
        <f aca="false">P761*L761*Summary!$C$6</f>
        <v>111.959999999992</v>
      </c>
      <c r="S761" s="32" t="n">
        <v>19046.42</v>
      </c>
      <c r="T761" s="29" t="s">
        <v>227</v>
      </c>
      <c r="U761" s="45" t="n">
        <f aca="false">IF(J761="BUY",S761-M761,M761-S761)</f>
        <v>72.010000000002</v>
      </c>
      <c r="V761" s="46" t="n">
        <v>0</v>
      </c>
      <c r="W761" s="46" t="n">
        <v>0</v>
      </c>
      <c r="X761" s="46" t="n">
        <v>288.04</v>
      </c>
      <c r="Y761" s="33" t="n">
        <f aca="false">IFERROR(X761/R761,0)</f>
        <v>2.57270453733495</v>
      </c>
      <c r="Z761" s="29" t="str">
        <f aca="false">IF(X761&gt;0,"Win",IF(X761&lt;0,"Loss","Flat"))</f>
        <v>Win</v>
      </c>
      <c r="AA761" s="29" t="n">
        <f aca="false">ROUND((C761-B761)*1440,1)</f>
        <v>84.7</v>
      </c>
      <c r="AB761" s="29" t="str">
        <f aca="false">IF(AA761&lt;1,"a) &lt;1 min",IF(AA761&lt;10,"b) 1-10 min",IF(AA761&lt;60,"c) 10-60 min",IF(AA761&lt;240,"d) 1-4 h","e) 4 h+"))))</f>
        <v>d) 1-4 h</v>
      </c>
      <c r="AC761" s="29" t="str">
        <f aca="false">IF(P761&lt;10,"a) &lt;10",IF(P761&lt;20,"b) 10-20",IF(P761&lt;40,"c) 20-40",IF(P761&lt;80,"d) 40-80","e) 80+"))))</f>
        <v>c) 20-40</v>
      </c>
      <c r="AD761" s="31" t="n">
        <f aca="false">Summary!$C$5+SUM(X$2:X761)</f>
        <v>16555.66</v>
      </c>
      <c r="AE761" s="31" t="n">
        <f aca="false">MAX(AE760,AD761)</f>
        <v>16555.66</v>
      </c>
      <c r="AF761" s="31" t="n">
        <f aca="false">AE761-AD761</f>
        <v>0</v>
      </c>
      <c r="AG761" s="30" t="n">
        <f aca="false">IFERROR(AF761/AE761,0)</f>
        <v>0</v>
      </c>
    </row>
    <row r="762" customFormat="false" ht="15" hidden="false" customHeight="false" outlineLevel="0" collapsed="false">
      <c r="A762" s="29" t="n">
        <v>761</v>
      </c>
      <c r="B762" s="44" t="n">
        <v>45748.5236111111</v>
      </c>
      <c r="C762" s="44" t="n">
        <v>45748.5257175926</v>
      </c>
      <c r="D762" s="43" t="n">
        <f aca="false">INT(C762)</f>
        <v>45748</v>
      </c>
      <c r="E762" s="43" t="n">
        <f aca="false">D762-WEEKDAY(D762,3)</f>
        <v>45747</v>
      </c>
      <c r="F762" s="29" t="s">
        <v>180</v>
      </c>
      <c r="G762" s="29" t="n">
        <v>2025</v>
      </c>
      <c r="H762" s="29" t="s">
        <v>248</v>
      </c>
      <c r="I762" s="29" t="n">
        <v>12</v>
      </c>
      <c r="J762" s="29" t="s">
        <v>246</v>
      </c>
      <c r="K762" s="29" t="s">
        <v>247</v>
      </c>
      <c r="L762" s="29" t="n">
        <v>0.04</v>
      </c>
      <c r="M762" s="32" t="n">
        <v>19322.61</v>
      </c>
      <c r="N762" s="32" t="n">
        <v>19314.88</v>
      </c>
      <c r="O762" s="32" t="n">
        <v>19341.55</v>
      </c>
      <c r="P762" s="45" t="n">
        <f aca="false">ABS(M762-N762)</f>
        <v>7.72999999999956</v>
      </c>
      <c r="Q762" s="45" t="n">
        <f aca="false">IF(O762="","",ABS(O762-M762))</f>
        <v>18.9399999999987</v>
      </c>
      <c r="R762" s="31" t="n">
        <f aca="false">P762*L762*Summary!$C$6</f>
        <v>30.9199999999983</v>
      </c>
      <c r="S762" s="32" t="n">
        <v>19314.4</v>
      </c>
      <c r="T762" s="29" t="s">
        <v>249</v>
      </c>
      <c r="U762" s="45" t="n">
        <f aca="false">IF(J762="BUY",S762-M762,M762-S762)</f>
        <v>-8.20999999999913</v>
      </c>
      <c r="V762" s="46" t="n">
        <v>0</v>
      </c>
      <c r="W762" s="46" t="n">
        <v>0</v>
      </c>
      <c r="X762" s="46" t="n">
        <v>-32.84</v>
      </c>
      <c r="Y762" s="33" t="n">
        <f aca="false">IFERROR(X762/R762,0)</f>
        <v>-1.06209573091856</v>
      </c>
      <c r="Z762" s="29" t="str">
        <f aca="false">IF(X762&gt;0,"Win",IF(X762&lt;0,"Loss","Flat"))</f>
        <v>Loss</v>
      </c>
      <c r="AA762" s="29" t="n">
        <f aca="false">ROUND((C762-B762)*1440,1)</f>
        <v>3</v>
      </c>
      <c r="AB762" s="29" t="str">
        <f aca="false">IF(AA762&lt;1,"a) &lt;1 min",IF(AA762&lt;10,"b) 1-10 min",IF(AA762&lt;60,"c) 10-60 min",IF(AA762&lt;240,"d) 1-4 h","e) 4 h+"))))</f>
        <v>b) 1-10 min</v>
      </c>
      <c r="AC762" s="29" t="str">
        <f aca="false">IF(P762&lt;10,"a) &lt;10",IF(P762&lt;20,"b) 10-20",IF(P762&lt;40,"c) 20-40",IF(P762&lt;80,"d) 40-80","e) 80+"))))</f>
        <v>a) &lt;10</v>
      </c>
      <c r="AD762" s="31" t="n">
        <f aca="false">Summary!$C$5+SUM(X$2:X762)</f>
        <v>16522.82</v>
      </c>
      <c r="AE762" s="31" t="n">
        <f aca="false">MAX(AE761,AD762)</f>
        <v>16555.66</v>
      </c>
      <c r="AF762" s="31" t="n">
        <f aca="false">AE762-AD762</f>
        <v>32.8400000000001</v>
      </c>
      <c r="AG762" s="30" t="n">
        <f aca="false">IFERROR(AF762/AE762,0)</f>
        <v>0.00198361164701378</v>
      </c>
    </row>
    <row r="763" customFormat="false" ht="15" hidden="false" customHeight="false" outlineLevel="0" collapsed="false">
      <c r="A763" s="29" t="n">
        <v>762</v>
      </c>
      <c r="B763" s="44" t="n">
        <v>45749.0493171296</v>
      </c>
      <c r="C763" s="44" t="n">
        <v>45749.0497106482</v>
      </c>
      <c r="D763" s="43" t="n">
        <f aca="false">INT(C763)</f>
        <v>45749</v>
      </c>
      <c r="E763" s="43" t="n">
        <f aca="false">D763-WEEKDAY(D763,3)</f>
        <v>45747</v>
      </c>
      <c r="F763" s="29" t="s">
        <v>180</v>
      </c>
      <c r="G763" s="29" t="n">
        <v>2025</v>
      </c>
      <c r="H763" s="29" t="s">
        <v>252</v>
      </c>
      <c r="I763" s="29" t="n">
        <v>1</v>
      </c>
      <c r="J763" s="29" t="s">
        <v>246</v>
      </c>
      <c r="K763" s="29" t="s">
        <v>247</v>
      </c>
      <c r="L763" s="29" t="n">
        <v>0.04</v>
      </c>
      <c r="M763" s="32" t="n">
        <v>19511.72</v>
      </c>
      <c r="N763" s="32" t="n">
        <v>19493.26</v>
      </c>
      <c r="O763" s="32" t="n">
        <v>19556.94</v>
      </c>
      <c r="P763" s="45" t="n">
        <f aca="false">ABS(M763-N763)</f>
        <v>18.4600000000028</v>
      </c>
      <c r="Q763" s="45" t="n">
        <f aca="false">IF(O763="","",ABS(O763-M763))</f>
        <v>45.2199999999975</v>
      </c>
      <c r="R763" s="31" t="n">
        <f aca="false">P763*L763*Summary!$C$6</f>
        <v>73.8400000000111</v>
      </c>
      <c r="S763" s="32" t="n">
        <v>19493.02</v>
      </c>
      <c r="T763" s="29" t="s">
        <v>249</v>
      </c>
      <c r="U763" s="45" t="n">
        <f aca="false">IF(J763="BUY",S763-M763,M763-S763)</f>
        <v>-18.7000000000007</v>
      </c>
      <c r="V763" s="46" t="n">
        <v>0</v>
      </c>
      <c r="W763" s="46" t="n">
        <v>0</v>
      </c>
      <c r="X763" s="46" t="n">
        <v>-74.8</v>
      </c>
      <c r="Y763" s="33" t="n">
        <f aca="false">IFERROR(X763/R763,0)</f>
        <v>-1.01300108342347</v>
      </c>
      <c r="Z763" s="29" t="str">
        <f aca="false">IF(X763&gt;0,"Win",IF(X763&lt;0,"Loss","Flat"))</f>
        <v>Loss</v>
      </c>
      <c r="AA763" s="29" t="n">
        <f aca="false">ROUND((C763-B763)*1440,1)</f>
        <v>0.6</v>
      </c>
      <c r="AB763" s="29" t="str">
        <f aca="false">IF(AA763&lt;1,"a) &lt;1 min",IF(AA763&lt;10,"b) 1-10 min",IF(AA763&lt;60,"c) 10-60 min",IF(AA763&lt;240,"d) 1-4 h","e) 4 h+"))))</f>
        <v>a) &lt;1 min</v>
      </c>
      <c r="AC763" s="29" t="str">
        <f aca="false">IF(P763&lt;10,"a) &lt;10",IF(P763&lt;20,"b) 10-20",IF(P763&lt;40,"c) 20-40",IF(P763&lt;80,"d) 40-80","e) 80+"))))</f>
        <v>b) 10-20</v>
      </c>
      <c r="AD763" s="31" t="n">
        <f aca="false">Summary!$C$5+SUM(X$2:X763)</f>
        <v>16448.02</v>
      </c>
      <c r="AE763" s="31" t="n">
        <f aca="false">MAX(AE762,AD763)</f>
        <v>16555.66</v>
      </c>
      <c r="AF763" s="31" t="n">
        <f aca="false">AE763-AD763</f>
        <v>107.639999999999</v>
      </c>
      <c r="AG763" s="30" t="n">
        <f aca="false">IFERROR(AF763/AE763,0)</f>
        <v>0.00650170394898176</v>
      </c>
    </row>
    <row r="764" customFormat="false" ht="15" hidden="false" customHeight="false" outlineLevel="0" collapsed="false">
      <c r="A764" s="29" t="n">
        <v>763</v>
      </c>
      <c r="B764" s="44" t="n">
        <v>45750.0680555556</v>
      </c>
      <c r="C764" s="44" t="n">
        <v>45750.4798263889</v>
      </c>
      <c r="D764" s="43" t="n">
        <f aca="false">INT(C764)</f>
        <v>45750</v>
      </c>
      <c r="E764" s="43" t="n">
        <f aca="false">D764-WEEKDAY(D764,3)</f>
        <v>45747</v>
      </c>
      <c r="F764" s="29" t="s">
        <v>180</v>
      </c>
      <c r="G764" s="29" t="n">
        <v>2025</v>
      </c>
      <c r="H764" s="29" t="s">
        <v>253</v>
      </c>
      <c r="I764" s="29" t="n">
        <v>1</v>
      </c>
      <c r="J764" s="29" t="s">
        <v>250</v>
      </c>
      <c r="K764" s="29" t="s">
        <v>251</v>
      </c>
      <c r="L764" s="29" t="n">
        <v>0.02</v>
      </c>
      <c r="M764" s="32" t="n">
        <v>18772.93</v>
      </c>
      <c r="N764" s="32" t="n">
        <v>19055.59</v>
      </c>
      <c r="O764" s="32" t="n">
        <v>18080.42</v>
      </c>
      <c r="P764" s="45" t="n">
        <f aca="false">ABS(M764-N764)</f>
        <v>282.66</v>
      </c>
      <c r="Q764" s="45" t="n">
        <f aca="false">IF(O764="","",ABS(O764-M764))</f>
        <v>692.510000000002</v>
      </c>
      <c r="R764" s="31" t="n">
        <f aca="false">P764*L764*Summary!$C$6</f>
        <v>565.32</v>
      </c>
      <c r="S764" s="32" t="n">
        <v>18983.84</v>
      </c>
      <c r="T764" s="29" t="s">
        <v>256</v>
      </c>
      <c r="U764" s="45" t="n">
        <f aca="false">IF(J764="BUY",S764-M764,M764-S764)</f>
        <v>-210.91</v>
      </c>
      <c r="V764" s="46" t="n">
        <v>0</v>
      </c>
      <c r="W764" s="46" t="n">
        <v>0</v>
      </c>
      <c r="X764" s="46" t="n">
        <v>-421.82</v>
      </c>
      <c r="Y764" s="33" t="n">
        <f aca="false">IFERROR(X764/R764,0)</f>
        <v>-0.746161466072313</v>
      </c>
      <c r="Z764" s="29" t="str">
        <f aca="false">IF(X764&gt;0,"Win",IF(X764&lt;0,"Loss","Flat"))</f>
        <v>Loss</v>
      </c>
      <c r="AA764" s="29" t="n">
        <f aca="false">ROUND((C764-B764)*1440,1)</f>
        <v>593</v>
      </c>
      <c r="AB764" s="29" t="str">
        <f aca="false">IF(AA764&lt;1,"a) &lt;1 min",IF(AA764&lt;10,"b) 1-10 min",IF(AA764&lt;60,"c) 10-60 min",IF(AA764&lt;240,"d) 1-4 h","e) 4 h+"))))</f>
        <v>e) 4 h+</v>
      </c>
      <c r="AC764" s="29" t="str">
        <f aca="false">IF(P764&lt;10,"a) &lt;10",IF(P764&lt;20,"b) 10-20",IF(P764&lt;40,"c) 20-40",IF(P764&lt;80,"d) 40-80","e) 80+"))))</f>
        <v>e) 80+</v>
      </c>
      <c r="AD764" s="31" t="n">
        <f aca="false">Summary!$C$5+SUM(X$2:X764)</f>
        <v>16026.2</v>
      </c>
      <c r="AE764" s="31" t="n">
        <f aca="false">MAX(AE763,AD764)</f>
        <v>16555.66</v>
      </c>
      <c r="AF764" s="31" t="n">
        <f aca="false">AE764-AD764</f>
        <v>529.459999999999</v>
      </c>
      <c r="AG764" s="30" t="n">
        <f aca="false">IFERROR(AF764/AE764,0)</f>
        <v>0.0319806036122993</v>
      </c>
    </row>
    <row r="765" customFormat="false" ht="15" hidden="false" customHeight="false" outlineLevel="0" collapsed="false">
      <c r="A765" s="29" t="n">
        <v>764</v>
      </c>
      <c r="B765" s="44" t="n">
        <v>45751.0493055556</v>
      </c>
      <c r="C765" s="44" t="n">
        <v>45751.0524305556</v>
      </c>
      <c r="D765" s="43" t="n">
        <f aca="false">INT(C765)</f>
        <v>45751</v>
      </c>
      <c r="E765" s="43" t="n">
        <f aca="false">D765-WEEKDAY(D765,3)</f>
        <v>45747</v>
      </c>
      <c r="F765" s="29" t="s">
        <v>180</v>
      </c>
      <c r="G765" s="29" t="n">
        <v>2025</v>
      </c>
      <c r="H765" s="29" t="s">
        <v>254</v>
      </c>
      <c r="I765" s="29" t="n">
        <v>1</v>
      </c>
      <c r="J765" s="29" t="s">
        <v>250</v>
      </c>
      <c r="K765" s="29" t="s">
        <v>251</v>
      </c>
      <c r="L765" s="29" t="n">
        <v>0.04</v>
      </c>
      <c r="M765" s="32" t="n">
        <v>18497.36</v>
      </c>
      <c r="N765" s="32" t="n">
        <v>18511.7</v>
      </c>
      <c r="O765" s="32" t="n">
        <v>18462.24</v>
      </c>
      <c r="P765" s="45" t="n">
        <f aca="false">ABS(M765-N765)</f>
        <v>14.3400000000001</v>
      </c>
      <c r="Q765" s="45" t="n">
        <f aca="false">IF(O765="","",ABS(O765-M765))</f>
        <v>35.119999999999</v>
      </c>
      <c r="R765" s="31" t="n">
        <f aca="false">P765*L765*Summary!$C$6</f>
        <v>57.3600000000006</v>
      </c>
      <c r="S765" s="32" t="n">
        <v>18512.34</v>
      </c>
      <c r="T765" s="29" t="s">
        <v>249</v>
      </c>
      <c r="U765" s="45" t="n">
        <f aca="false">IF(J765="BUY",S765-M765,M765-S765)</f>
        <v>-14.9799999999996</v>
      </c>
      <c r="V765" s="46" t="n">
        <v>0</v>
      </c>
      <c r="W765" s="46" t="n">
        <v>0</v>
      </c>
      <c r="X765" s="46" t="n">
        <v>-59.92</v>
      </c>
      <c r="Y765" s="33" t="n">
        <f aca="false">IFERROR(X765/R765,0)</f>
        <v>-1.04463040446303</v>
      </c>
      <c r="Z765" s="29" t="str">
        <f aca="false">IF(X765&gt;0,"Win",IF(X765&lt;0,"Loss","Flat"))</f>
        <v>Loss</v>
      </c>
      <c r="AA765" s="29" t="n">
        <f aca="false">ROUND((C765-B765)*1440,1)</f>
        <v>4.5</v>
      </c>
      <c r="AB765" s="29" t="str">
        <f aca="false">IF(AA765&lt;1,"a) &lt;1 min",IF(AA765&lt;10,"b) 1-10 min",IF(AA765&lt;60,"c) 10-60 min",IF(AA765&lt;240,"d) 1-4 h","e) 4 h+"))))</f>
        <v>b) 1-10 min</v>
      </c>
      <c r="AC765" s="29" t="str">
        <f aca="false">IF(P765&lt;10,"a) &lt;10",IF(P765&lt;20,"b) 10-20",IF(P765&lt;40,"c) 20-40",IF(P765&lt;80,"d) 40-80","e) 80+"))))</f>
        <v>b) 10-20</v>
      </c>
      <c r="AD765" s="31" t="n">
        <f aca="false">Summary!$C$5+SUM(X$2:X765)</f>
        <v>15966.28</v>
      </c>
      <c r="AE765" s="31" t="n">
        <f aca="false">MAX(AE764,AD765)</f>
        <v>16555.66</v>
      </c>
      <c r="AF765" s="31" t="n">
        <f aca="false">AE765-AD765</f>
        <v>589.380000000001</v>
      </c>
      <c r="AG765" s="30" t="n">
        <f aca="false">IFERROR(AF765/AE765,0)</f>
        <v>0.035599909638154</v>
      </c>
    </row>
    <row r="766" customFormat="false" ht="15" hidden="false" customHeight="false" outlineLevel="0" collapsed="false">
      <c r="A766" s="29" t="n">
        <v>765</v>
      </c>
      <c r="B766" s="44" t="n">
        <v>45754.0486111111</v>
      </c>
      <c r="C766" s="44" t="n">
        <v>45754.0493171296</v>
      </c>
      <c r="D766" s="43" t="n">
        <f aca="false">INT(C766)</f>
        <v>45754</v>
      </c>
      <c r="E766" s="43" t="n">
        <f aca="false">D766-WEEKDAY(D766,3)</f>
        <v>45754</v>
      </c>
      <c r="F766" s="29" t="s">
        <v>180</v>
      </c>
      <c r="G766" s="29" t="n">
        <v>2025</v>
      </c>
      <c r="H766" s="29" t="s">
        <v>245</v>
      </c>
      <c r="I766" s="29" t="n">
        <v>1</v>
      </c>
      <c r="J766" s="29" t="s">
        <v>250</v>
      </c>
      <c r="K766" s="29" t="s">
        <v>251</v>
      </c>
      <c r="L766" s="29" t="n">
        <v>0.04</v>
      </c>
      <c r="M766" s="32" t="n">
        <v>16596.23</v>
      </c>
      <c r="N766" s="32" t="n">
        <v>16787.59</v>
      </c>
      <c r="O766" s="32" t="n">
        <v>16127.39</v>
      </c>
      <c r="P766" s="45" t="n">
        <f aca="false">ABS(M766-N766)</f>
        <v>191.360000000001</v>
      </c>
      <c r="Q766" s="45" t="n">
        <f aca="false">IF(O766="","",ABS(O766-M766))</f>
        <v>468.84</v>
      </c>
      <c r="R766" s="31" t="n">
        <f aca="false">P766*L766*Summary!$C$6</f>
        <v>765.440000000002</v>
      </c>
      <c r="S766" s="32" t="n">
        <v>16702.64</v>
      </c>
      <c r="T766" s="29" t="s">
        <v>256</v>
      </c>
      <c r="U766" s="45" t="n">
        <f aca="false">IF(J766="BUY",S766-M766,M766-S766)</f>
        <v>-106.41</v>
      </c>
      <c r="V766" s="46" t="n">
        <v>0</v>
      </c>
      <c r="W766" s="46" t="n">
        <v>0</v>
      </c>
      <c r="X766" s="46" t="n">
        <v>-425.64</v>
      </c>
      <c r="Y766" s="33" t="n">
        <f aca="false">IFERROR(X766/R766,0)</f>
        <v>-0.556072324414714</v>
      </c>
      <c r="Z766" s="29" t="str">
        <f aca="false">IF(X766&gt;0,"Win",IF(X766&lt;0,"Loss","Flat"))</f>
        <v>Loss</v>
      </c>
      <c r="AA766" s="29" t="n">
        <f aca="false">ROUND((C766-B766)*1440,1)</f>
        <v>1</v>
      </c>
      <c r="AB766" s="29" t="str">
        <f aca="false">IF(AA766&lt;1,"a) &lt;1 min",IF(AA766&lt;10,"b) 1-10 min",IF(AA766&lt;60,"c) 10-60 min",IF(AA766&lt;240,"d) 1-4 h","e) 4 h+"))))</f>
        <v>b) 1-10 min</v>
      </c>
      <c r="AC766" s="29" t="str">
        <f aca="false">IF(P766&lt;10,"a) &lt;10",IF(P766&lt;20,"b) 10-20",IF(P766&lt;40,"c) 20-40",IF(P766&lt;80,"d) 40-80","e) 80+"))))</f>
        <v>e) 80+</v>
      </c>
      <c r="AD766" s="31" t="n">
        <f aca="false">Summary!$C$5+SUM(X$2:X766)</f>
        <v>15540.64</v>
      </c>
      <c r="AE766" s="31" t="n">
        <f aca="false">MAX(AE765,AD766)</f>
        <v>16555.66</v>
      </c>
      <c r="AF766" s="31" t="n">
        <f aca="false">AE766-AD766</f>
        <v>1015.02</v>
      </c>
      <c r="AG766" s="30" t="n">
        <f aca="false">IFERROR(AF766/AE766,0)</f>
        <v>0.0613095461008501</v>
      </c>
    </row>
    <row r="767" customFormat="false" ht="15" hidden="false" customHeight="false" outlineLevel="0" collapsed="false">
      <c r="A767" s="29" t="n">
        <v>766</v>
      </c>
      <c r="B767" s="44" t="n">
        <v>45756.095150463</v>
      </c>
      <c r="C767" s="44" t="n">
        <v>45756.0958564815</v>
      </c>
      <c r="D767" s="43" t="n">
        <f aca="false">INT(C767)</f>
        <v>45756</v>
      </c>
      <c r="E767" s="43" t="n">
        <f aca="false">D767-WEEKDAY(D767,3)</f>
        <v>45754</v>
      </c>
      <c r="F767" s="29" t="s">
        <v>180</v>
      </c>
      <c r="G767" s="29" t="n">
        <v>2025</v>
      </c>
      <c r="H767" s="29" t="s">
        <v>252</v>
      </c>
      <c r="I767" s="29" t="n">
        <v>2</v>
      </c>
      <c r="J767" s="29" t="s">
        <v>250</v>
      </c>
      <c r="K767" s="29" t="s">
        <v>251</v>
      </c>
      <c r="L767" s="29" t="n">
        <v>0.04</v>
      </c>
      <c r="M767" s="32" t="n">
        <v>16825.43</v>
      </c>
      <c r="N767" s="32" t="n">
        <v>16839.33</v>
      </c>
      <c r="O767" s="32" t="n">
        <v>16791.38</v>
      </c>
      <c r="P767" s="45" t="n">
        <f aca="false">ABS(M767-N767)</f>
        <v>13.9000000000015</v>
      </c>
      <c r="Q767" s="45" t="n">
        <f aca="false">IF(O767="","",ABS(O767-M767))</f>
        <v>34.0499999999993</v>
      </c>
      <c r="R767" s="31" t="n">
        <f aca="false">P767*L767*Summary!$C$6</f>
        <v>55.6000000000058</v>
      </c>
      <c r="S767" s="32" t="n">
        <v>16791.32</v>
      </c>
      <c r="T767" s="29" t="s">
        <v>227</v>
      </c>
      <c r="U767" s="45" t="n">
        <f aca="false">IF(J767="BUY",S767-M767,M767-S767)</f>
        <v>34.1100000000006</v>
      </c>
      <c r="V767" s="46" t="n">
        <v>0</v>
      </c>
      <c r="W767" s="46" t="n">
        <v>0</v>
      </c>
      <c r="X767" s="46" t="n">
        <v>136.44</v>
      </c>
      <c r="Y767" s="33" t="n">
        <f aca="false">IFERROR(X767/R767,0)</f>
        <v>2.45395683453212</v>
      </c>
      <c r="Z767" s="29" t="str">
        <f aca="false">IF(X767&gt;0,"Win",IF(X767&lt;0,"Loss","Flat"))</f>
        <v>Win</v>
      </c>
      <c r="AA767" s="29" t="n">
        <f aca="false">ROUND((C767-B767)*1440,1)</f>
        <v>1</v>
      </c>
      <c r="AB767" s="29" t="str">
        <f aca="false">IF(AA767&lt;1,"a) &lt;1 min",IF(AA767&lt;10,"b) 1-10 min",IF(AA767&lt;60,"c) 10-60 min",IF(AA767&lt;240,"d) 1-4 h","e) 4 h+"))))</f>
        <v>b) 1-10 min</v>
      </c>
      <c r="AC767" s="29" t="str">
        <f aca="false">IF(P767&lt;10,"a) &lt;10",IF(P767&lt;20,"b) 10-20",IF(P767&lt;40,"c) 20-40",IF(P767&lt;80,"d) 40-80","e) 80+"))))</f>
        <v>b) 10-20</v>
      </c>
      <c r="AD767" s="31" t="n">
        <f aca="false">Summary!$C$5+SUM(X$2:X767)</f>
        <v>15677.08</v>
      </c>
      <c r="AE767" s="31" t="n">
        <f aca="false">MAX(AE766,AD767)</f>
        <v>16555.66</v>
      </c>
      <c r="AF767" s="31" t="n">
        <f aca="false">AE767-AD767</f>
        <v>878.58</v>
      </c>
      <c r="AG767" s="30" t="n">
        <f aca="false">IFERROR(AF767/AE767,0)</f>
        <v>0.0530682558110036</v>
      </c>
    </row>
    <row r="768" customFormat="false" ht="15" hidden="false" customHeight="false" outlineLevel="0" collapsed="false">
      <c r="A768" s="29" t="n">
        <v>767</v>
      </c>
      <c r="B768" s="44" t="n">
        <v>45756.8500115741</v>
      </c>
      <c r="C768" s="44" t="n">
        <v>45756.9312847222</v>
      </c>
      <c r="D768" s="43" t="n">
        <f aca="false">INT(C768)</f>
        <v>45756</v>
      </c>
      <c r="E768" s="43" t="n">
        <f aca="false">D768-WEEKDAY(D768,3)</f>
        <v>45754</v>
      </c>
      <c r="F768" s="29" t="s">
        <v>180</v>
      </c>
      <c r="G768" s="29" t="n">
        <v>2025</v>
      </c>
      <c r="H768" s="29" t="s">
        <v>252</v>
      </c>
      <c r="I768" s="29" t="n">
        <v>20</v>
      </c>
      <c r="J768" s="29" t="s">
        <v>246</v>
      </c>
      <c r="K768" s="29" t="s">
        <v>247</v>
      </c>
      <c r="L768" s="29" t="n">
        <v>0.02</v>
      </c>
      <c r="M768" s="32" t="n">
        <v>18218.71</v>
      </c>
      <c r="N768" s="32" t="n">
        <v>17912.48</v>
      </c>
      <c r="O768" s="32" t="n">
        <v>18968.96</v>
      </c>
      <c r="P768" s="45" t="n">
        <f aca="false">ABS(M768-N768)</f>
        <v>306.23</v>
      </c>
      <c r="Q768" s="45" t="n">
        <f aca="false">IF(O768="","",ABS(O768-M768))</f>
        <v>750.25</v>
      </c>
      <c r="R768" s="31" t="n">
        <f aca="false">P768*L768*Summary!$C$6</f>
        <v>612.459999999999</v>
      </c>
      <c r="S768" s="32" t="n">
        <v>18969.09</v>
      </c>
      <c r="T768" s="29" t="s">
        <v>227</v>
      </c>
      <c r="U768" s="45" t="n">
        <f aca="false">IF(J768="BUY",S768-M768,M768-S768)</f>
        <v>750.380000000001</v>
      </c>
      <c r="V768" s="46" t="n">
        <v>0</v>
      </c>
      <c r="W768" s="46" t="n">
        <v>0</v>
      </c>
      <c r="X768" s="46" t="n">
        <v>1500.76</v>
      </c>
      <c r="Y768" s="33" t="n">
        <f aca="false">IFERROR(X768/R768,0)</f>
        <v>2.45038043300787</v>
      </c>
      <c r="Z768" s="29" t="str">
        <f aca="false">IF(X768&gt;0,"Win",IF(X768&lt;0,"Loss","Flat"))</f>
        <v>Win</v>
      </c>
      <c r="AA768" s="29" t="n">
        <f aca="false">ROUND((C768-B768)*1440,1)</f>
        <v>117</v>
      </c>
      <c r="AB768" s="29" t="str">
        <f aca="false">IF(AA768&lt;1,"a) &lt;1 min",IF(AA768&lt;10,"b) 1-10 min",IF(AA768&lt;60,"c) 10-60 min",IF(AA768&lt;240,"d) 1-4 h","e) 4 h+"))))</f>
        <v>d) 1-4 h</v>
      </c>
      <c r="AC768" s="29" t="str">
        <f aca="false">IF(P768&lt;10,"a) &lt;10",IF(P768&lt;20,"b) 10-20",IF(P768&lt;40,"c) 20-40",IF(P768&lt;80,"d) 40-80","e) 80+"))))</f>
        <v>e) 80+</v>
      </c>
      <c r="AD768" s="31" t="n">
        <f aca="false">Summary!$C$5+SUM(X$2:X768)</f>
        <v>17177.84</v>
      </c>
      <c r="AE768" s="31" t="n">
        <f aca="false">MAX(AE767,AD768)</f>
        <v>17177.84</v>
      </c>
      <c r="AF768" s="31" t="n">
        <f aca="false">AE768-AD768</f>
        <v>0</v>
      </c>
      <c r="AG768" s="30" t="n">
        <f aca="false">IFERROR(AF768/AE768,0)</f>
        <v>0</v>
      </c>
    </row>
    <row r="769" customFormat="false" ht="15" hidden="false" customHeight="false" outlineLevel="0" collapsed="false">
      <c r="A769" s="29" t="n">
        <v>768</v>
      </c>
      <c r="B769" s="44" t="n">
        <v>45757.0840277778</v>
      </c>
      <c r="C769" s="44" t="n">
        <v>45757.0849189815</v>
      </c>
      <c r="D769" s="43" t="n">
        <f aca="false">INT(C769)</f>
        <v>45757</v>
      </c>
      <c r="E769" s="43" t="n">
        <f aca="false">D769-WEEKDAY(D769,3)</f>
        <v>45754</v>
      </c>
      <c r="F769" s="29" t="s">
        <v>180</v>
      </c>
      <c r="G769" s="29" t="n">
        <v>2025</v>
      </c>
      <c r="H769" s="29" t="s">
        <v>253</v>
      </c>
      <c r="I769" s="29" t="n">
        <v>2</v>
      </c>
      <c r="J769" s="29" t="s">
        <v>246</v>
      </c>
      <c r="K769" s="29" t="s">
        <v>247</v>
      </c>
      <c r="L769" s="29" t="n">
        <v>0.04</v>
      </c>
      <c r="M769" s="32" t="n">
        <v>19224.5</v>
      </c>
      <c r="N769" s="32" t="n">
        <v>19211.04</v>
      </c>
      <c r="O769" s="32" t="n">
        <v>19257.49</v>
      </c>
      <c r="P769" s="45" t="n">
        <f aca="false">ABS(M769-N769)</f>
        <v>13.4599999999991</v>
      </c>
      <c r="Q769" s="45" t="n">
        <f aca="false">IF(O769="","",ABS(O769-M769))</f>
        <v>32.9900000000016</v>
      </c>
      <c r="R769" s="31" t="n">
        <f aca="false">P769*L769*Summary!$C$6</f>
        <v>53.8399999999965</v>
      </c>
      <c r="S769" s="32" t="n">
        <v>19210.42</v>
      </c>
      <c r="T769" s="29" t="s">
        <v>249</v>
      </c>
      <c r="U769" s="45" t="n">
        <f aca="false">IF(J769="BUY",S769-M769,M769-S769)</f>
        <v>-14.0800000000017</v>
      </c>
      <c r="V769" s="46" t="n">
        <v>0</v>
      </c>
      <c r="W769" s="46" t="n">
        <v>0</v>
      </c>
      <c r="X769" s="46" t="n">
        <v>-56.32</v>
      </c>
      <c r="Y769" s="33" t="n">
        <f aca="false">IFERROR(X769/R769,0)</f>
        <v>-1.04606240713231</v>
      </c>
      <c r="Z769" s="29" t="str">
        <f aca="false">IF(X769&gt;0,"Win",IF(X769&lt;0,"Loss","Flat"))</f>
        <v>Loss</v>
      </c>
      <c r="AA769" s="29" t="n">
        <f aca="false">ROUND((C769-B769)*1440,1)</f>
        <v>1.3</v>
      </c>
      <c r="AB769" s="29" t="str">
        <f aca="false">IF(AA769&lt;1,"a) &lt;1 min",IF(AA769&lt;10,"b) 1-10 min",IF(AA769&lt;60,"c) 10-60 min",IF(AA769&lt;240,"d) 1-4 h","e) 4 h+"))))</f>
        <v>b) 1-10 min</v>
      </c>
      <c r="AC769" s="29" t="str">
        <f aca="false">IF(P769&lt;10,"a) &lt;10",IF(P769&lt;20,"b) 10-20",IF(P769&lt;40,"c) 20-40",IF(P769&lt;80,"d) 40-80","e) 80+"))))</f>
        <v>b) 10-20</v>
      </c>
      <c r="AD769" s="31" t="n">
        <f aca="false">Summary!$C$5+SUM(X$2:X769)</f>
        <v>17121.52</v>
      </c>
      <c r="AE769" s="31" t="n">
        <f aca="false">MAX(AE768,AD769)</f>
        <v>17177.84</v>
      </c>
      <c r="AF769" s="31" t="n">
        <f aca="false">AE769-AD769</f>
        <v>56.3199999999997</v>
      </c>
      <c r="AG769" s="30" t="n">
        <f aca="false">IFERROR(AF769/AE769,0)</f>
        <v>0.00327864271642999</v>
      </c>
    </row>
    <row r="770" customFormat="false" ht="15" hidden="false" customHeight="false" outlineLevel="0" collapsed="false">
      <c r="A770" s="29" t="n">
        <v>769</v>
      </c>
      <c r="B770" s="44" t="n">
        <v>45761.0458333333</v>
      </c>
      <c r="C770" s="44" t="n">
        <v>45761.0529513889</v>
      </c>
      <c r="D770" s="43" t="n">
        <f aca="false">INT(C770)</f>
        <v>45761</v>
      </c>
      <c r="E770" s="43" t="n">
        <f aca="false">D770-WEEKDAY(D770,3)</f>
        <v>45761</v>
      </c>
      <c r="F770" s="29" t="s">
        <v>180</v>
      </c>
      <c r="G770" s="29" t="n">
        <v>2025</v>
      </c>
      <c r="H770" s="29" t="s">
        <v>245</v>
      </c>
      <c r="I770" s="29" t="n">
        <v>1</v>
      </c>
      <c r="J770" s="29" t="s">
        <v>246</v>
      </c>
      <c r="K770" s="29" t="s">
        <v>247</v>
      </c>
      <c r="L770" s="29" t="n">
        <v>0.04</v>
      </c>
      <c r="M770" s="32" t="n">
        <v>18905.01</v>
      </c>
      <c r="N770" s="32" t="n">
        <v>18846.61</v>
      </c>
      <c r="O770" s="32" t="n">
        <v>19048.08</v>
      </c>
      <c r="P770" s="45" t="n">
        <f aca="false">ABS(M770-N770)</f>
        <v>58.3999999999978</v>
      </c>
      <c r="Q770" s="45" t="n">
        <f aca="false">IF(O770="","",ABS(O770-M770))</f>
        <v>143.070000000003</v>
      </c>
      <c r="R770" s="31" t="n">
        <f aca="false">P770*L770*Summary!$C$6</f>
        <v>233.599999999991</v>
      </c>
      <c r="S770" s="32" t="n">
        <v>18904.9</v>
      </c>
      <c r="T770" s="29" t="s">
        <v>255</v>
      </c>
      <c r="U770" s="45" t="n">
        <f aca="false">IF(J770="BUY",S770-M770,M770-S770)</f>
        <v>-0.109999999996944</v>
      </c>
      <c r="V770" s="46" t="n">
        <v>0</v>
      </c>
      <c r="W770" s="46" t="n">
        <v>0</v>
      </c>
      <c r="X770" s="46" t="n">
        <v>-0.44</v>
      </c>
      <c r="Y770" s="33" t="n">
        <f aca="false">IFERROR(X770/R770,0)</f>
        <v>-0.00188356164383569</v>
      </c>
      <c r="Z770" s="29" t="str">
        <f aca="false">IF(X770&gt;0,"Win",IF(X770&lt;0,"Loss","Flat"))</f>
        <v>Loss</v>
      </c>
      <c r="AA770" s="29" t="n">
        <f aca="false">ROUND((C770-B770)*1440,1)</f>
        <v>10.3</v>
      </c>
      <c r="AB770" s="29" t="str">
        <f aca="false">IF(AA770&lt;1,"a) &lt;1 min",IF(AA770&lt;10,"b) 1-10 min",IF(AA770&lt;60,"c) 10-60 min",IF(AA770&lt;240,"d) 1-4 h","e) 4 h+"))))</f>
        <v>c) 10-60 min</v>
      </c>
      <c r="AC770" s="29" t="str">
        <f aca="false">IF(P770&lt;10,"a) &lt;10",IF(P770&lt;20,"b) 10-20",IF(P770&lt;40,"c) 20-40",IF(P770&lt;80,"d) 40-80","e) 80+"))))</f>
        <v>d) 40-80</v>
      </c>
      <c r="AD770" s="31" t="n">
        <f aca="false">Summary!$C$5+SUM(X$2:X770)</f>
        <v>17121.08</v>
      </c>
      <c r="AE770" s="31" t="n">
        <f aca="false">MAX(AE769,AD770)</f>
        <v>17177.84</v>
      </c>
      <c r="AF770" s="31" t="n">
        <f aca="false">AE770-AD770</f>
        <v>56.7599999999984</v>
      </c>
      <c r="AG770" s="30" t="n">
        <f aca="false">IFERROR(AF770/AE770,0)</f>
        <v>0.00330425711265202</v>
      </c>
    </row>
    <row r="771" customFormat="false" ht="15" hidden="false" customHeight="false" outlineLevel="0" collapsed="false">
      <c r="A771" s="29" t="n">
        <v>770</v>
      </c>
      <c r="B771" s="44" t="n">
        <v>45763.0465277778</v>
      </c>
      <c r="C771" s="44" t="n">
        <v>45763.339849537</v>
      </c>
      <c r="D771" s="43" t="n">
        <f aca="false">INT(C771)</f>
        <v>45763</v>
      </c>
      <c r="E771" s="43" t="n">
        <f aca="false">D771-WEEKDAY(D771,3)</f>
        <v>45761</v>
      </c>
      <c r="F771" s="29" t="s">
        <v>180</v>
      </c>
      <c r="G771" s="29" t="n">
        <v>2025</v>
      </c>
      <c r="H771" s="29" t="s">
        <v>252</v>
      </c>
      <c r="I771" s="29" t="n">
        <v>1</v>
      </c>
      <c r="J771" s="29" t="s">
        <v>250</v>
      </c>
      <c r="K771" s="29" t="s">
        <v>251</v>
      </c>
      <c r="L771" s="29" t="n">
        <v>0.04</v>
      </c>
      <c r="M771" s="32" t="n">
        <v>18602.36</v>
      </c>
      <c r="N771" s="32" t="n">
        <v>18651.52</v>
      </c>
      <c r="O771" s="32" t="n">
        <v>18481.92</v>
      </c>
      <c r="P771" s="45" t="n">
        <f aca="false">ABS(M771-N771)</f>
        <v>49.1599999999999</v>
      </c>
      <c r="Q771" s="45" t="n">
        <f aca="false">IF(O771="","",ABS(O771-M771))</f>
        <v>120.440000000002</v>
      </c>
      <c r="R771" s="31" t="n">
        <f aca="false">P771*L771*Summary!$C$6</f>
        <v>196.639999999999</v>
      </c>
      <c r="S771" s="32" t="n">
        <v>18480.8</v>
      </c>
      <c r="T771" s="29" t="s">
        <v>227</v>
      </c>
      <c r="U771" s="45" t="n">
        <f aca="false">IF(J771="BUY",S771-M771,M771-S771)</f>
        <v>121.560000000001</v>
      </c>
      <c r="V771" s="46" t="n">
        <v>0</v>
      </c>
      <c r="W771" s="46" t="n">
        <v>0</v>
      </c>
      <c r="X771" s="46" t="n">
        <v>486.24</v>
      </c>
      <c r="Y771" s="33" t="n">
        <f aca="false">IFERROR(X771/R771,0)</f>
        <v>2.47274206672092</v>
      </c>
      <c r="Z771" s="29" t="str">
        <f aca="false">IF(X771&gt;0,"Win",IF(X771&lt;0,"Loss","Flat"))</f>
        <v>Win</v>
      </c>
      <c r="AA771" s="29" t="n">
        <f aca="false">ROUND((C771-B771)*1440,1)</f>
        <v>422.4</v>
      </c>
      <c r="AB771" s="29" t="str">
        <f aca="false">IF(AA771&lt;1,"a) &lt;1 min",IF(AA771&lt;10,"b) 1-10 min",IF(AA771&lt;60,"c) 10-60 min",IF(AA771&lt;240,"d) 1-4 h","e) 4 h+"))))</f>
        <v>e) 4 h+</v>
      </c>
      <c r="AC771" s="29" t="str">
        <f aca="false">IF(P771&lt;10,"a) &lt;10",IF(P771&lt;20,"b) 10-20",IF(P771&lt;40,"c) 20-40",IF(P771&lt;80,"d) 40-80","e) 80+"))))</f>
        <v>d) 40-80</v>
      </c>
      <c r="AD771" s="31" t="n">
        <f aca="false">Summary!$C$5+SUM(X$2:X771)</f>
        <v>17607.32</v>
      </c>
      <c r="AE771" s="31" t="n">
        <f aca="false">MAX(AE770,AD771)</f>
        <v>17607.32</v>
      </c>
      <c r="AF771" s="31" t="n">
        <f aca="false">AE771-AD771</f>
        <v>0</v>
      </c>
      <c r="AG771" s="30" t="n">
        <f aca="false">IFERROR(AF771/AE771,0)</f>
        <v>0</v>
      </c>
    </row>
    <row r="772" customFormat="false" ht="15" hidden="false" customHeight="false" outlineLevel="0" collapsed="false">
      <c r="A772" s="29" t="n">
        <v>771</v>
      </c>
      <c r="B772" s="44" t="n">
        <v>45768.0472222222</v>
      </c>
      <c r="C772" s="44" t="n">
        <v>45768.0839930556</v>
      </c>
      <c r="D772" s="43" t="n">
        <f aca="false">INT(C772)</f>
        <v>45768</v>
      </c>
      <c r="E772" s="43" t="n">
        <f aca="false">D772-WEEKDAY(D772,3)</f>
        <v>45768</v>
      </c>
      <c r="F772" s="29" t="s">
        <v>180</v>
      </c>
      <c r="G772" s="29" t="n">
        <v>2025</v>
      </c>
      <c r="H772" s="29" t="s">
        <v>245</v>
      </c>
      <c r="I772" s="29" t="n">
        <v>1</v>
      </c>
      <c r="J772" s="29" t="s">
        <v>250</v>
      </c>
      <c r="K772" s="29" t="s">
        <v>251</v>
      </c>
      <c r="L772" s="29" t="n">
        <v>0.04</v>
      </c>
      <c r="M772" s="32" t="n">
        <v>18139</v>
      </c>
      <c r="N772" s="32" t="n">
        <v>18178.94</v>
      </c>
      <c r="O772" s="32" t="n">
        <v>18041.15</v>
      </c>
      <c r="P772" s="45" t="n">
        <f aca="false">ABS(M772-N772)</f>
        <v>39.9399999999987</v>
      </c>
      <c r="Q772" s="45" t="n">
        <f aca="false">IF(O772="","",ABS(O772-M772))</f>
        <v>97.8499999999985</v>
      </c>
      <c r="R772" s="31" t="n">
        <f aca="false">P772*L772*Summary!$C$6</f>
        <v>159.759999999995</v>
      </c>
      <c r="S772" s="32" t="n">
        <v>18179</v>
      </c>
      <c r="T772" s="29" t="s">
        <v>249</v>
      </c>
      <c r="U772" s="45" t="n">
        <f aca="false">IF(J772="BUY",S772-M772,M772-S772)</f>
        <v>-40</v>
      </c>
      <c r="V772" s="46" t="n">
        <v>0</v>
      </c>
      <c r="W772" s="46" t="n">
        <v>0</v>
      </c>
      <c r="X772" s="46" t="n">
        <v>-160</v>
      </c>
      <c r="Y772" s="33" t="n">
        <f aca="false">IFERROR(X772/R772,0)</f>
        <v>-1.0015022533801</v>
      </c>
      <c r="Z772" s="29" t="str">
        <f aca="false">IF(X772&gt;0,"Win",IF(X772&lt;0,"Loss","Flat"))</f>
        <v>Loss</v>
      </c>
      <c r="AA772" s="29" t="n">
        <f aca="false">ROUND((C772-B772)*1440,1)</f>
        <v>53</v>
      </c>
      <c r="AB772" s="29" t="str">
        <f aca="false">IF(AA772&lt;1,"a) &lt;1 min",IF(AA772&lt;10,"b) 1-10 min",IF(AA772&lt;60,"c) 10-60 min",IF(AA772&lt;240,"d) 1-4 h","e) 4 h+"))))</f>
        <v>c) 10-60 min</v>
      </c>
      <c r="AC772" s="29" t="str">
        <f aca="false">IF(P772&lt;10,"a) &lt;10",IF(P772&lt;20,"b) 10-20",IF(P772&lt;40,"c) 20-40",IF(P772&lt;80,"d) 40-80","e) 80+"))))</f>
        <v>c) 20-40</v>
      </c>
      <c r="AD772" s="31" t="n">
        <f aca="false">Summary!$C$5+SUM(X$2:X772)</f>
        <v>17447.32</v>
      </c>
      <c r="AE772" s="31" t="n">
        <f aca="false">MAX(AE771,AD772)</f>
        <v>17607.32</v>
      </c>
      <c r="AF772" s="31" t="n">
        <f aca="false">AE772-AD772</f>
        <v>160</v>
      </c>
      <c r="AG772" s="30" t="n">
        <f aca="false">IFERROR(AF772/AE772,0)</f>
        <v>0.00908712967106862</v>
      </c>
    </row>
    <row r="773" customFormat="false" ht="15" hidden="false" customHeight="false" outlineLevel="0" collapsed="false">
      <c r="A773" s="29" t="n">
        <v>772</v>
      </c>
      <c r="B773" s="44" t="n">
        <v>45769.7541666667</v>
      </c>
      <c r="C773" s="44" t="n">
        <v>45769.7644675926</v>
      </c>
      <c r="D773" s="43" t="n">
        <f aca="false">INT(C773)</f>
        <v>45769</v>
      </c>
      <c r="E773" s="43" t="n">
        <f aca="false">D773-WEEKDAY(D773,3)</f>
        <v>45768</v>
      </c>
      <c r="F773" s="29" t="s">
        <v>180</v>
      </c>
      <c r="G773" s="29" t="n">
        <v>2025</v>
      </c>
      <c r="H773" s="29" t="s">
        <v>248</v>
      </c>
      <c r="I773" s="29" t="n">
        <v>18</v>
      </c>
      <c r="J773" s="29" t="s">
        <v>246</v>
      </c>
      <c r="K773" s="29" t="s">
        <v>247</v>
      </c>
      <c r="L773" s="29" t="n">
        <v>0.04</v>
      </c>
      <c r="M773" s="32" t="n">
        <v>18253.3</v>
      </c>
      <c r="N773" s="32" t="n">
        <v>18240.79</v>
      </c>
      <c r="O773" s="32" t="n">
        <v>18279.85</v>
      </c>
      <c r="P773" s="45" t="n">
        <f aca="false">ABS(M773-N773)</f>
        <v>12.5099999999984</v>
      </c>
      <c r="Q773" s="45" t="n">
        <f aca="false">IF(O773="","",ABS(O773-M773))</f>
        <v>26.5499999999993</v>
      </c>
      <c r="R773" s="31" t="n">
        <f aca="false">P773*L773*Summary!$C$6</f>
        <v>50.0399999999936</v>
      </c>
      <c r="S773" s="32" t="n">
        <v>18252.79</v>
      </c>
      <c r="T773" s="29" t="s">
        <v>255</v>
      </c>
      <c r="U773" s="45" t="n">
        <f aca="false">IF(J773="BUY",S773-M773,M773-S773)</f>
        <v>-0.509999999998399</v>
      </c>
      <c r="V773" s="46" t="n">
        <v>0</v>
      </c>
      <c r="W773" s="46" t="n">
        <v>0</v>
      </c>
      <c r="X773" s="46" t="n">
        <v>-2.04</v>
      </c>
      <c r="Y773" s="33" t="n">
        <f aca="false">IFERROR(X773/R773,0)</f>
        <v>-0.0407673860911323</v>
      </c>
      <c r="Z773" s="29" t="str">
        <f aca="false">IF(X773&gt;0,"Win",IF(X773&lt;0,"Loss","Flat"))</f>
        <v>Loss</v>
      </c>
      <c r="AA773" s="29" t="n">
        <f aca="false">ROUND((C773-B773)*1440,1)</f>
        <v>14.8</v>
      </c>
      <c r="AB773" s="29" t="str">
        <f aca="false">IF(AA773&lt;1,"a) &lt;1 min",IF(AA773&lt;10,"b) 1-10 min",IF(AA773&lt;60,"c) 10-60 min",IF(AA773&lt;240,"d) 1-4 h","e) 4 h+"))))</f>
        <v>c) 10-60 min</v>
      </c>
      <c r="AC773" s="29" t="str">
        <f aca="false">IF(P773&lt;10,"a) &lt;10",IF(P773&lt;20,"b) 10-20",IF(P773&lt;40,"c) 20-40",IF(P773&lt;80,"d) 40-80","e) 80+"))))</f>
        <v>b) 10-20</v>
      </c>
      <c r="AD773" s="31" t="n">
        <f aca="false">Summary!$C$5+SUM(X$2:X773)</f>
        <v>17445.28</v>
      </c>
      <c r="AE773" s="31" t="n">
        <f aca="false">MAX(AE772,AD773)</f>
        <v>17607.32</v>
      </c>
      <c r="AF773" s="31" t="n">
        <f aca="false">AE773-AD773</f>
        <v>162.040000000001</v>
      </c>
      <c r="AG773" s="30" t="n">
        <f aca="false">IFERROR(AF773/AE773,0)</f>
        <v>0.0092029905743748</v>
      </c>
    </row>
    <row r="774" customFormat="false" ht="15" hidden="false" customHeight="false" outlineLevel="0" collapsed="false">
      <c r="A774" s="29" t="n">
        <v>773</v>
      </c>
      <c r="B774" s="44" t="n">
        <v>45770.0458333333</v>
      </c>
      <c r="C774" s="44" t="n">
        <v>45770.1432291667</v>
      </c>
      <c r="D774" s="43" t="n">
        <f aca="false">INT(C774)</f>
        <v>45770</v>
      </c>
      <c r="E774" s="43" t="n">
        <f aca="false">D774-WEEKDAY(D774,3)</f>
        <v>45768</v>
      </c>
      <c r="F774" s="29" t="s">
        <v>180</v>
      </c>
      <c r="G774" s="29" t="n">
        <v>2025</v>
      </c>
      <c r="H774" s="29" t="s">
        <v>252</v>
      </c>
      <c r="I774" s="29" t="n">
        <v>1</v>
      </c>
      <c r="J774" s="29" t="s">
        <v>246</v>
      </c>
      <c r="K774" s="29" t="s">
        <v>247</v>
      </c>
      <c r="L774" s="29" t="n">
        <v>0.04</v>
      </c>
      <c r="M774" s="32" t="n">
        <v>18601.31</v>
      </c>
      <c r="N774" s="32" t="n">
        <v>18518.29</v>
      </c>
      <c r="O774" s="32" t="n">
        <v>18804.71</v>
      </c>
      <c r="P774" s="45" t="n">
        <f aca="false">ABS(M774-N774)</f>
        <v>83.0200000000004</v>
      </c>
      <c r="Q774" s="45" t="n">
        <f aca="false">IF(O774="","",ABS(O774-M774))</f>
        <v>203.399999999998</v>
      </c>
      <c r="R774" s="31" t="n">
        <f aca="false">P774*L774*Summary!$C$6</f>
        <v>332.080000000002</v>
      </c>
      <c r="S774" s="32" t="n">
        <v>18600.9</v>
      </c>
      <c r="T774" s="29" t="s">
        <v>255</v>
      </c>
      <c r="U774" s="45" t="n">
        <f aca="false">IF(J774="BUY",S774-M774,M774-S774)</f>
        <v>-0.409999999999855</v>
      </c>
      <c r="V774" s="46" t="n">
        <v>0</v>
      </c>
      <c r="W774" s="46" t="n">
        <v>0</v>
      </c>
      <c r="X774" s="46" t="n">
        <v>-1.64</v>
      </c>
      <c r="Y774" s="33" t="n">
        <f aca="false">IFERROR(X774/R774,0)</f>
        <v>-0.00493856901951334</v>
      </c>
      <c r="Z774" s="29" t="str">
        <f aca="false">IF(X774&gt;0,"Win",IF(X774&lt;0,"Loss","Flat"))</f>
        <v>Loss</v>
      </c>
      <c r="AA774" s="29" t="n">
        <f aca="false">ROUND((C774-B774)*1440,1)</f>
        <v>140.3</v>
      </c>
      <c r="AB774" s="29" t="str">
        <f aca="false">IF(AA774&lt;1,"a) &lt;1 min",IF(AA774&lt;10,"b) 1-10 min",IF(AA774&lt;60,"c) 10-60 min",IF(AA774&lt;240,"d) 1-4 h","e) 4 h+"))))</f>
        <v>d) 1-4 h</v>
      </c>
      <c r="AC774" s="29" t="str">
        <f aca="false">IF(P774&lt;10,"a) &lt;10",IF(P774&lt;20,"b) 10-20",IF(P774&lt;40,"c) 20-40",IF(P774&lt;80,"d) 40-80","e) 80+"))))</f>
        <v>e) 80+</v>
      </c>
      <c r="AD774" s="31" t="n">
        <f aca="false">Summary!$C$5+SUM(X$2:X774)</f>
        <v>17443.64</v>
      </c>
      <c r="AE774" s="31" t="n">
        <f aca="false">MAX(AE773,AD774)</f>
        <v>17607.32</v>
      </c>
      <c r="AF774" s="31" t="n">
        <f aca="false">AE774-AD774</f>
        <v>163.68</v>
      </c>
      <c r="AG774" s="30" t="n">
        <f aca="false">IFERROR(AF774/AE774,0)</f>
        <v>0.00929613365350322</v>
      </c>
    </row>
    <row r="775" customFormat="false" ht="15" hidden="false" customHeight="false" outlineLevel="0" collapsed="false">
      <c r="A775" s="29" t="n">
        <v>774</v>
      </c>
      <c r="B775" s="44" t="n">
        <v>45771.4840277778</v>
      </c>
      <c r="C775" s="44" t="n">
        <v>45771.4856828704</v>
      </c>
      <c r="D775" s="43" t="n">
        <f aca="false">INT(C775)</f>
        <v>45771</v>
      </c>
      <c r="E775" s="43" t="n">
        <f aca="false">D775-WEEKDAY(D775,3)</f>
        <v>45768</v>
      </c>
      <c r="F775" s="29" t="s">
        <v>180</v>
      </c>
      <c r="G775" s="29" t="n">
        <v>2025</v>
      </c>
      <c r="H775" s="29" t="s">
        <v>253</v>
      </c>
      <c r="I775" s="29" t="n">
        <v>11</v>
      </c>
      <c r="J775" s="29" t="s">
        <v>250</v>
      </c>
      <c r="K775" s="29" t="s">
        <v>251</v>
      </c>
      <c r="L775" s="29" t="n">
        <v>0.04</v>
      </c>
      <c r="M775" s="32" t="n">
        <v>18509.62</v>
      </c>
      <c r="N775" s="32" t="n">
        <v>18518.64</v>
      </c>
      <c r="O775" s="32" t="n">
        <v>18487.52</v>
      </c>
      <c r="P775" s="45" t="n">
        <f aca="false">ABS(M775-N775)</f>
        <v>9.02000000000044</v>
      </c>
      <c r="Q775" s="45" t="n">
        <f aca="false">IF(O775="","",ABS(O775-M775))</f>
        <v>22.0999999999985</v>
      </c>
      <c r="R775" s="31" t="n">
        <f aca="false">P775*L775*Summary!$C$6</f>
        <v>36.0800000000017</v>
      </c>
      <c r="S775" s="32" t="n">
        <v>18519.12</v>
      </c>
      <c r="T775" s="29" t="s">
        <v>249</v>
      </c>
      <c r="U775" s="45" t="n">
        <f aca="false">IF(J775="BUY",S775-M775,M775-S775)</f>
        <v>-9.5</v>
      </c>
      <c r="V775" s="46" t="n">
        <v>0</v>
      </c>
      <c r="W775" s="46" t="n">
        <v>0</v>
      </c>
      <c r="X775" s="46" t="n">
        <v>-38</v>
      </c>
      <c r="Y775" s="33" t="n">
        <f aca="false">IFERROR(X775/R775,0)</f>
        <v>-1.05321507760527</v>
      </c>
      <c r="Z775" s="29" t="str">
        <f aca="false">IF(X775&gt;0,"Win",IF(X775&lt;0,"Loss","Flat"))</f>
        <v>Loss</v>
      </c>
      <c r="AA775" s="29" t="n">
        <f aca="false">ROUND((C775-B775)*1440,1)</f>
        <v>2.4</v>
      </c>
      <c r="AB775" s="29" t="str">
        <f aca="false">IF(AA775&lt;1,"a) &lt;1 min",IF(AA775&lt;10,"b) 1-10 min",IF(AA775&lt;60,"c) 10-60 min",IF(AA775&lt;240,"d) 1-4 h","e) 4 h+"))))</f>
        <v>b) 1-10 min</v>
      </c>
      <c r="AC775" s="29" t="str">
        <f aca="false">IF(P775&lt;10,"a) &lt;10",IF(P775&lt;20,"b) 10-20",IF(P775&lt;40,"c) 20-40",IF(P775&lt;80,"d) 40-80","e) 80+"))))</f>
        <v>a) &lt;10</v>
      </c>
      <c r="AD775" s="31" t="n">
        <f aca="false">Summary!$C$5+SUM(X$2:X775)</f>
        <v>17405.64</v>
      </c>
      <c r="AE775" s="31" t="n">
        <f aca="false">MAX(AE774,AD775)</f>
        <v>17607.32</v>
      </c>
      <c r="AF775" s="31" t="n">
        <f aca="false">AE775-AD775</f>
        <v>201.68</v>
      </c>
      <c r="AG775" s="30" t="n">
        <f aca="false">IFERROR(AF775/AE775,0)</f>
        <v>0.011454326950382</v>
      </c>
    </row>
    <row r="776" customFormat="false" ht="15" hidden="false" customHeight="false" outlineLevel="0" collapsed="false">
      <c r="A776" s="29" t="n">
        <v>775</v>
      </c>
      <c r="B776" s="44" t="n">
        <v>45771.7347222222</v>
      </c>
      <c r="C776" s="44" t="n">
        <v>45771.735462963</v>
      </c>
      <c r="D776" s="43" t="n">
        <f aca="false">INT(C776)</f>
        <v>45771</v>
      </c>
      <c r="E776" s="43" t="n">
        <f aca="false">D776-WEEKDAY(D776,3)</f>
        <v>45768</v>
      </c>
      <c r="F776" s="29" t="s">
        <v>180</v>
      </c>
      <c r="G776" s="29" t="n">
        <v>2025</v>
      </c>
      <c r="H776" s="29" t="s">
        <v>253</v>
      </c>
      <c r="I776" s="29" t="n">
        <v>17</v>
      </c>
      <c r="J776" s="29" t="s">
        <v>246</v>
      </c>
      <c r="K776" s="29" t="s">
        <v>247</v>
      </c>
      <c r="L776" s="29" t="n">
        <v>0.04</v>
      </c>
      <c r="M776" s="32" t="n">
        <v>19060.4</v>
      </c>
      <c r="N776" s="32" t="n">
        <v>19043.64</v>
      </c>
      <c r="O776" s="32" t="n">
        <v>19101.46</v>
      </c>
      <c r="P776" s="45" t="n">
        <f aca="false">ABS(M776-N776)</f>
        <v>16.760000000002</v>
      </c>
      <c r="Q776" s="45" t="n">
        <f aca="false">IF(O776="","",ABS(O776-M776))</f>
        <v>41.0599999999977</v>
      </c>
      <c r="R776" s="31" t="n">
        <f aca="false">P776*L776*Summary!$C$6</f>
        <v>67.0400000000082</v>
      </c>
      <c r="S776" s="32" t="n">
        <v>19043.58</v>
      </c>
      <c r="T776" s="29" t="s">
        <v>249</v>
      </c>
      <c r="U776" s="45" t="n">
        <f aca="false">IF(J776="BUY",S776-M776,M776-S776)</f>
        <v>-16.8199999999997</v>
      </c>
      <c r="V776" s="46" t="n">
        <v>0</v>
      </c>
      <c r="W776" s="46" t="n">
        <v>0</v>
      </c>
      <c r="X776" s="46" t="n">
        <v>-67.28</v>
      </c>
      <c r="Y776" s="33" t="n">
        <f aca="false">IFERROR(X776/R776,0)</f>
        <v>-1.00357995226718</v>
      </c>
      <c r="Z776" s="29" t="str">
        <f aca="false">IF(X776&gt;0,"Win",IF(X776&lt;0,"Loss","Flat"))</f>
        <v>Loss</v>
      </c>
      <c r="AA776" s="29" t="n">
        <f aca="false">ROUND((C776-B776)*1440,1)</f>
        <v>1.1</v>
      </c>
      <c r="AB776" s="29" t="str">
        <f aca="false">IF(AA776&lt;1,"a) &lt;1 min",IF(AA776&lt;10,"b) 1-10 min",IF(AA776&lt;60,"c) 10-60 min",IF(AA776&lt;240,"d) 1-4 h","e) 4 h+"))))</f>
        <v>b) 1-10 min</v>
      </c>
      <c r="AC776" s="29" t="str">
        <f aca="false">IF(P776&lt;10,"a) &lt;10",IF(P776&lt;20,"b) 10-20",IF(P776&lt;40,"c) 20-40",IF(P776&lt;80,"d) 40-80","e) 80+"))))</f>
        <v>b) 10-20</v>
      </c>
      <c r="AD776" s="31" t="n">
        <f aca="false">Summary!$C$5+SUM(X$2:X776)</f>
        <v>17338.36</v>
      </c>
      <c r="AE776" s="31" t="n">
        <f aca="false">MAX(AE775,AD776)</f>
        <v>17607.32</v>
      </c>
      <c r="AF776" s="31" t="n">
        <f aca="false">AE776-AD776</f>
        <v>268.959999999999</v>
      </c>
      <c r="AG776" s="30" t="n">
        <f aca="false">IFERROR(AF776/AE776,0)</f>
        <v>0.0152754649770663</v>
      </c>
    </row>
    <row r="777" customFormat="false" ht="15" hidden="false" customHeight="false" outlineLevel="0" collapsed="false">
      <c r="A777" s="29" t="n">
        <v>776</v>
      </c>
      <c r="B777" s="44" t="n">
        <v>45772.0611111111</v>
      </c>
      <c r="C777" s="44" t="n">
        <v>45772.0634027778</v>
      </c>
      <c r="D777" s="43" t="n">
        <f aca="false">INT(C777)</f>
        <v>45772</v>
      </c>
      <c r="E777" s="43" t="n">
        <f aca="false">D777-WEEKDAY(D777,3)</f>
        <v>45768</v>
      </c>
      <c r="F777" s="29" t="s">
        <v>180</v>
      </c>
      <c r="G777" s="29" t="n">
        <v>2025</v>
      </c>
      <c r="H777" s="29" t="s">
        <v>254</v>
      </c>
      <c r="I777" s="29" t="n">
        <v>1</v>
      </c>
      <c r="J777" s="29" t="s">
        <v>246</v>
      </c>
      <c r="K777" s="29" t="s">
        <v>247</v>
      </c>
      <c r="L777" s="29" t="n">
        <v>0.04</v>
      </c>
      <c r="M777" s="32" t="n">
        <v>19296.1</v>
      </c>
      <c r="N777" s="32" t="n">
        <v>19290.38</v>
      </c>
      <c r="O777" s="32" t="n">
        <v>19310.12</v>
      </c>
      <c r="P777" s="45" t="n">
        <f aca="false">ABS(M777-N777)</f>
        <v>5.71999999999753</v>
      </c>
      <c r="Q777" s="45" t="n">
        <f aca="false">IF(O777="","",ABS(O777-M777))</f>
        <v>14.0200000000004</v>
      </c>
      <c r="R777" s="31" t="n">
        <f aca="false">P777*L777*Summary!$C$6</f>
        <v>22.8799999999901</v>
      </c>
      <c r="S777" s="32" t="n">
        <v>19287.88</v>
      </c>
      <c r="T777" s="29" t="s">
        <v>249</v>
      </c>
      <c r="U777" s="45" t="n">
        <f aca="false">IF(J777="BUY",S777-M777,M777-S777)</f>
        <v>-8.21999999999753</v>
      </c>
      <c r="V777" s="46" t="n">
        <v>0</v>
      </c>
      <c r="W777" s="46" t="n">
        <v>0</v>
      </c>
      <c r="X777" s="46" t="n">
        <v>-32.88</v>
      </c>
      <c r="Y777" s="33" t="n">
        <f aca="false">IFERROR(X777/R777,0)</f>
        <v>-1.43706293706356</v>
      </c>
      <c r="Z777" s="29" t="str">
        <f aca="false">IF(X777&gt;0,"Win",IF(X777&lt;0,"Loss","Flat"))</f>
        <v>Loss</v>
      </c>
      <c r="AA777" s="29" t="n">
        <f aca="false">ROUND((C777-B777)*1440,1)</f>
        <v>3.3</v>
      </c>
      <c r="AB777" s="29" t="str">
        <f aca="false">IF(AA777&lt;1,"a) &lt;1 min",IF(AA777&lt;10,"b) 1-10 min",IF(AA777&lt;60,"c) 10-60 min",IF(AA777&lt;240,"d) 1-4 h","e) 4 h+"))))</f>
        <v>b) 1-10 min</v>
      </c>
      <c r="AC777" s="29" t="str">
        <f aca="false">IF(P777&lt;10,"a) &lt;10",IF(P777&lt;20,"b) 10-20",IF(P777&lt;40,"c) 20-40",IF(P777&lt;80,"d) 40-80","e) 80+"))))</f>
        <v>a) &lt;10</v>
      </c>
      <c r="AD777" s="31" t="n">
        <f aca="false">Summary!$C$5+SUM(X$2:X777)</f>
        <v>17305.48</v>
      </c>
      <c r="AE777" s="31" t="n">
        <f aca="false">MAX(AE776,AD777)</f>
        <v>17607.32</v>
      </c>
      <c r="AF777" s="31" t="n">
        <f aca="false">AE777-AD777</f>
        <v>301.84</v>
      </c>
      <c r="AG777" s="30" t="n">
        <f aca="false">IFERROR(AF777/AE777,0)</f>
        <v>0.017142870124471</v>
      </c>
    </row>
    <row r="778" customFormat="false" ht="15" hidden="false" customHeight="false" outlineLevel="0" collapsed="false">
      <c r="A778" s="29" t="n">
        <v>777</v>
      </c>
      <c r="B778" s="44" t="n">
        <v>45775.6784722222</v>
      </c>
      <c r="C778" s="44" t="n">
        <v>45775.681400463</v>
      </c>
      <c r="D778" s="43" t="n">
        <f aca="false">INT(C778)</f>
        <v>45775</v>
      </c>
      <c r="E778" s="43" t="n">
        <f aca="false">D778-WEEKDAY(D778,3)</f>
        <v>45775</v>
      </c>
      <c r="F778" s="29" t="s">
        <v>180</v>
      </c>
      <c r="G778" s="29" t="n">
        <v>2025</v>
      </c>
      <c r="H778" s="29" t="s">
        <v>245</v>
      </c>
      <c r="I778" s="29" t="n">
        <v>16</v>
      </c>
      <c r="J778" s="29" t="s">
        <v>246</v>
      </c>
      <c r="K778" s="29" t="s">
        <v>247</v>
      </c>
      <c r="L778" s="29" t="n">
        <v>0.04</v>
      </c>
      <c r="M778" s="32" t="n">
        <v>19457.03</v>
      </c>
      <c r="N778" s="32" t="n">
        <v>19450.96</v>
      </c>
      <c r="O778" s="32" t="n">
        <v>19471.9</v>
      </c>
      <c r="P778" s="45" t="n">
        <f aca="false">ABS(M778-N778)</f>
        <v>6.06999999999971</v>
      </c>
      <c r="Q778" s="45" t="n">
        <f aca="false">IF(O778="","",ABS(O778-M778))</f>
        <v>14.8700000000026</v>
      </c>
      <c r="R778" s="31" t="n">
        <f aca="false">P778*L778*Summary!$C$6</f>
        <v>24.2799999999988</v>
      </c>
      <c r="S778" s="32" t="n">
        <v>19448.61</v>
      </c>
      <c r="T778" s="29" t="s">
        <v>249</v>
      </c>
      <c r="U778" s="45" t="n">
        <f aca="false">IF(J778="BUY",S778-M778,M778-S778)</f>
        <v>-8.41999999999825</v>
      </c>
      <c r="V778" s="46" t="n">
        <v>0</v>
      </c>
      <c r="W778" s="46" t="n">
        <v>0</v>
      </c>
      <c r="X778" s="46" t="n">
        <v>-33.68</v>
      </c>
      <c r="Y778" s="33" t="n">
        <f aca="false">IFERROR(X778/R778,0)</f>
        <v>-1.38714991762774</v>
      </c>
      <c r="Z778" s="29" t="str">
        <f aca="false">IF(X778&gt;0,"Win",IF(X778&lt;0,"Loss","Flat"))</f>
        <v>Loss</v>
      </c>
      <c r="AA778" s="29" t="n">
        <f aca="false">ROUND((C778-B778)*1440,1)</f>
        <v>4.2</v>
      </c>
      <c r="AB778" s="29" t="str">
        <f aca="false">IF(AA778&lt;1,"a) &lt;1 min",IF(AA778&lt;10,"b) 1-10 min",IF(AA778&lt;60,"c) 10-60 min",IF(AA778&lt;240,"d) 1-4 h","e) 4 h+"))))</f>
        <v>b) 1-10 min</v>
      </c>
      <c r="AC778" s="29" t="str">
        <f aca="false">IF(P778&lt;10,"a) &lt;10",IF(P778&lt;20,"b) 10-20",IF(P778&lt;40,"c) 20-40",IF(P778&lt;80,"d) 40-80","e) 80+"))))</f>
        <v>a) &lt;10</v>
      </c>
      <c r="AD778" s="31" t="n">
        <f aca="false">Summary!$C$5+SUM(X$2:X778)</f>
        <v>17271.8</v>
      </c>
      <c r="AE778" s="31" t="n">
        <f aca="false">MAX(AE777,AD778)</f>
        <v>17607.32</v>
      </c>
      <c r="AF778" s="31" t="n">
        <f aca="false">AE778-AD778</f>
        <v>335.52</v>
      </c>
      <c r="AG778" s="30" t="n">
        <f aca="false">IFERROR(AF778/AE778,0)</f>
        <v>0.0190557109202309</v>
      </c>
    </row>
    <row r="779" customFormat="false" ht="15" hidden="false" customHeight="false" outlineLevel="0" collapsed="false">
      <c r="A779" s="29" t="n">
        <v>778</v>
      </c>
      <c r="B779" s="44" t="n">
        <v>45776.2270833333</v>
      </c>
      <c r="C779" s="44" t="n">
        <v>45776.2275462963</v>
      </c>
      <c r="D779" s="43" t="n">
        <f aca="false">INT(C779)</f>
        <v>45776</v>
      </c>
      <c r="E779" s="43" t="n">
        <f aca="false">D779-WEEKDAY(D779,3)</f>
        <v>45775</v>
      </c>
      <c r="F779" s="29" t="s">
        <v>180</v>
      </c>
      <c r="G779" s="29" t="n">
        <v>2025</v>
      </c>
      <c r="H779" s="29" t="s">
        <v>248</v>
      </c>
      <c r="I779" s="29" t="n">
        <v>5</v>
      </c>
      <c r="J779" s="29" t="s">
        <v>246</v>
      </c>
      <c r="K779" s="29" t="s">
        <v>247</v>
      </c>
      <c r="L779" s="29" t="n">
        <v>0.04</v>
      </c>
      <c r="M779" s="32" t="n">
        <v>19524.89</v>
      </c>
      <c r="N779" s="32" t="n">
        <v>19517.23</v>
      </c>
      <c r="O779" s="32" t="n">
        <v>19543.65</v>
      </c>
      <c r="P779" s="45" t="n">
        <f aca="false">ABS(M779-N779)</f>
        <v>7.65999999999985</v>
      </c>
      <c r="Q779" s="45" t="n">
        <f aca="false">IF(O779="","",ABS(O779-M779))</f>
        <v>18.760000000002</v>
      </c>
      <c r="R779" s="31" t="n">
        <f aca="false">P779*L779*Summary!$C$6</f>
        <v>30.6399999999994</v>
      </c>
      <c r="S779" s="32" t="n">
        <v>19517.15</v>
      </c>
      <c r="T779" s="29" t="s">
        <v>249</v>
      </c>
      <c r="U779" s="45" t="n">
        <f aca="false">IF(J779="BUY",S779-M779,M779-S779)</f>
        <v>-7.73999999999796</v>
      </c>
      <c r="V779" s="46" t="n">
        <v>0</v>
      </c>
      <c r="W779" s="46" t="n">
        <v>0</v>
      </c>
      <c r="X779" s="46" t="n">
        <v>-30.96</v>
      </c>
      <c r="Y779" s="33" t="n">
        <f aca="false">IFERROR(X779/R779,0)</f>
        <v>-1.01044386422978</v>
      </c>
      <c r="Z779" s="29" t="str">
        <f aca="false">IF(X779&gt;0,"Win",IF(X779&lt;0,"Loss","Flat"))</f>
        <v>Loss</v>
      </c>
      <c r="AA779" s="29" t="n">
        <f aca="false">ROUND((C779-B779)*1440,1)</f>
        <v>0.7</v>
      </c>
      <c r="AB779" s="29" t="str">
        <f aca="false">IF(AA779&lt;1,"a) &lt;1 min",IF(AA779&lt;10,"b) 1-10 min",IF(AA779&lt;60,"c) 10-60 min",IF(AA779&lt;240,"d) 1-4 h","e) 4 h+"))))</f>
        <v>a) &lt;1 min</v>
      </c>
      <c r="AC779" s="29" t="str">
        <f aca="false">IF(P779&lt;10,"a) &lt;10",IF(P779&lt;20,"b) 10-20",IF(P779&lt;40,"c) 20-40",IF(P779&lt;80,"d) 40-80","e) 80+"))))</f>
        <v>a) &lt;10</v>
      </c>
      <c r="AD779" s="31" t="n">
        <f aca="false">Summary!$C$5+SUM(X$2:X779)</f>
        <v>17240.84</v>
      </c>
      <c r="AE779" s="31" t="n">
        <f aca="false">MAX(AE778,AD779)</f>
        <v>17607.32</v>
      </c>
      <c r="AF779" s="31" t="n">
        <f aca="false">AE779-AD779</f>
        <v>366.48</v>
      </c>
      <c r="AG779" s="30" t="n">
        <f aca="false">IFERROR(AF779/AE779,0)</f>
        <v>0.0208140705115827</v>
      </c>
    </row>
    <row r="780" customFormat="false" ht="15" hidden="false" customHeight="false" outlineLevel="0" collapsed="false">
      <c r="A780" s="29" t="n">
        <v>779</v>
      </c>
      <c r="B780" s="44" t="n">
        <v>45777.6506944444</v>
      </c>
      <c r="C780" s="44" t="n">
        <v>45777.6575115741</v>
      </c>
      <c r="D780" s="43" t="n">
        <f aca="false">INT(C780)</f>
        <v>45777</v>
      </c>
      <c r="E780" s="43" t="n">
        <f aca="false">D780-WEEKDAY(D780,3)</f>
        <v>45775</v>
      </c>
      <c r="F780" s="29" t="s">
        <v>180</v>
      </c>
      <c r="G780" s="29" t="n">
        <v>2025</v>
      </c>
      <c r="H780" s="29" t="s">
        <v>252</v>
      </c>
      <c r="I780" s="29" t="n">
        <v>15</v>
      </c>
      <c r="J780" s="29" t="s">
        <v>250</v>
      </c>
      <c r="K780" s="29" t="s">
        <v>251</v>
      </c>
      <c r="L780" s="29" t="n">
        <v>0.04</v>
      </c>
      <c r="M780" s="32" t="n">
        <v>19248.49</v>
      </c>
      <c r="N780" s="32" t="n">
        <v>19279.08</v>
      </c>
      <c r="O780" s="32" t="n">
        <v>19173.54</v>
      </c>
      <c r="P780" s="45" t="n">
        <f aca="false">ABS(M780-N780)</f>
        <v>30.5900000000001</v>
      </c>
      <c r="Q780" s="45" t="n">
        <f aca="false">IF(O780="","",ABS(O780-M780))</f>
        <v>74.9500000000007</v>
      </c>
      <c r="R780" s="31" t="n">
        <f aca="false">P780*L780*Summary!$C$6</f>
        <v>122.360000000001</v>
      </c>
      <c r="S780" s="32" t="n">
        <v>19172.94</v>
      </c>
      <c r="T780" s="29" t="s">
        <v>227</v>
      </c>
      <c r="U780" s="45" t="n">
        <f aca="false">IF(J780="BUY",S780-M780,M780-S780)</f>
        <v>75.5500000000029</v>
      </c>
      <c r="V780" s="46" t="n">
        <v>0</v>
      </c>
      <c r="W780" s="46" t="n">
        <v>0</v>
      </c>
      <c r="X780" s="46" t="n">
        <v>302.2</v>
      </c>
      <c r="Y780" s="33" t="n">
        <f aca="false">IFERROR(X780/R780,0)</f>
        <v>2.46976135992153</v>
      </c>
      <c r="Z780" s="29" t="str">
        <f aca="false">IF(X780&gt;0,"Win",IF(X780&lt;0,"Loss","Flat"))</f>
        <v>Win</v>
      </c>
      <c r="AA780" s="29" t="n">
        <f aca="false">ROUND((C780-B780)*1440,1)</f>
        <v>9.8</v>
      </c>
      <c r="AB780" s="29" t="str">
        <f aca="false">IF(AA780&lt;1,"a) &lt;1 min",IF(AA780&lt;10,"b) 1-10 min",IF(AA780&lt;60,"c) 10-60 min",IF(AA780&lt;240,"d) 1-4 h","e) 4 h+"))))</f>
        <v>b) 1-10 min</v>
      </c>
      <c r="AC780" s="29" t="str">
        <f aca="false">IF(P780&lt;10,"a) &lt;10",IF(P780&lt;20,"b) 10-20",IF(P780&lt;40,"c) 20-40",IF(P780&lt;80,"d) 40-80","e) 80+"))))</f>
        <v>c) 20-40</v>
      </c>
      <c r="AD780" s="31" t="n">
        <f aca="false">Summary!$C$5+SUM(X$2:X780)</f>
        <v>17543.04</v>
      </c>
      <c r="AE780" s="31" t="n">
        <f aca="false">MAX(AE779,AD780)</f>
        <v>17607.32</v>
      </c>
      <c r="AF780" s="31" t="n">
        <f aca="false">AE780-AD780</f>
        <v>64.2799999999988</v>
      </c>
      <c r="AG780" s="30" t="n">
        <f aca="false">IFERROR(AF780/AE780,0)</f>
        <v>0.00365075434535175</v>
      </c>
    </row>
    <row r="781" customFormat="false" ht="15" hidden="false" customHeight="false" outlineLevel="0" collapsed="false">
      <c r="A781" s="29" t="n">
        <v>780</v>
      </c>
      <c r="B781" s="44" t="n">
        <v>45777.9555555556</v>
      </c>
      <c r="C781" s="44" t="n">
        <v>45777.9582291667</v>
      </c>
      <c r="D781" s="43" t="n">
        <f aca="false">INT(C781)</f>
        <v>45777</v>
      </c>
      <c r="E781" s="43" t="n">
        <f aca="false">D781-WEEKDAY(D781,3)</f>
        <v>45775</v>
      </c>
      <c r="F781" s="29" t="s">
        <v>180</v>
      </c>
      <c r="G781" s="29" t="n">
        <v>2025</v>
      </c>
      <c r="H781" s="29" t="s">
        <v>252</v>
      </c>
      <c r="I781" s="29" t="n">
        <v>22</v>
      </c>
      <c r="J781" s="29" t="s">
        <v>246</v>
      </c>
      <c r="K781" s="29" t="s">
        <v>247</v>
      </c>
      <c r="L781" s="29" t="n">
        <v>0.04</v>
      </c>
      <c r="M781" s="32" t="n">
        <v>19596.68</v>
      </c>
      <c r="N781" s="32" t="n">
        <v>19563.59</v>
      </c>
      <c r="O781" s="32" t="n">
        <v>19671.1</v>
      </c>
      <c r="P781" s="45" t="n">
        <f aca="false">ABS(M781-N781)</f>
        <v>33.0900000000001</v>
      </c>
      <c r="Q781" s="45" t="n">
        <f aca="false">IF(O781="","",ABS(O781-M781))</f>
        <v>74.4199999999983</v>
      </c>
      <c r="R781" s="31" t="n">
        <f aca="false">P781*L781*Summary!$C$6</f>
        <v>132.360000000001</v>
      </c>
      <c r="S781" s="32" t="n">
        <v>19563.29</v>
      </c>
      <c r="T781" s="29" t="s">
        <v>249</v>
      </c>
      <c r="U781" s="45" t="n">
        <f aca="false">IF(J781="BUY",S781-M781,M781-S781)</f>
        <v>-33.3899999999994</v>
      </c>
      <c r="V781" s="46" t="n">
        <v>0</v>
      </c>
      <c r="W781" s="46" t="n">
        <v>0</v>
      </c>
      <c r="X781" s="46" t="n">
        <v>-133.56</v>
      </c>
      <c r="Y781" s="33" t="n">
        <f aca="false">IFERROR(X781/R781,0)</f>
        <v>-1.0090661831369</v>
      </c>
      <c r="Z781" s="29" t="str">
        <f aca="false">IF(X781&gt;0,"Win",IF(X781&lt;0,"Loss","Flat"))</f>
        <v>Loss</v>
      </c>
      <c r="AA781" s="29" t="n">
        <f aca="false">ROUND((C781-B781)*1440,1)</f>
        <v>3.9</v>
      </c>
      <c r="AB781" s="29" t="str">
        <f aca="false">IF(AA781&lt;1,"a) &lt;1 min",IF(AA781&lt;10,"b) 1-10 min",IF(AA781&lt;60,"c) 10-60 min",IF(AA781&lt;240,"d) 1-4 h","e) 4 h+"))))</f>
        <v>b) 1-10 min</v>
      </c>
      <c r="AC781" s="29" t="str">
        <f aca="false">IF(P781&lt;10,"a) &lt;10",IF(P781&lt;20,"b) 10-20",IF(P781&lt;40,"c) 20-40",IF(P781&lt;80,"d) 40-80","e) 80+"))))</f>
        <v>c) 20-40</v>
      </c>
      <c r="AD781" s="31" t="n">
        <f aca="false">Summary!$C$5+SUM(X$2:X781)</f>
        <v>17409.48</v>
      </c>
      <c r="AE781" s="31" t="n">
        <f aca="false">MAX(AE780,AD781)</f>
        <v>17607.32</v>
      </c>
      <c r="AF781" s="31" t="n">
        <f aca="false">AE781-AD781</f>
        <v>197.84</v>
      </c>
      <c r="AG781" s="30" t="n">
        <f aca="false">IFERROR(AF781/AE781,0)</f>
        <v>0.0112362358382764</v>
      </c>
    </row>
    <row r="782" customFormat="false" ht="15" hidden="false" customHeight="false" outlineLevel="0" collapsed="false">
      <c r="A782" s="29" t="n">
        <v>781</v>
      </c>
      <c r="B782" s="44" t="n">
        <v>45778.045150463</v>
      </c>
      <c r="C782" s="44" t="n">
        <v>45778.1433564815</v>
      </c>
      <c r="D782" s="43" t="n">
        <f aca="false">INT(C782)</f>
        <v>45778</v>
      </c>
      <c r="E782" s="43" t="n">
        <f aca="false">D782-WEEKDAY(D782,3)</f>
        <v>45775</v>
      </c>
      <c r="F782" s="29" t="s">
        <v>181</v>
      </c>
      <c r="G782" s="29" t="n">
        <v>2025</v>
      </c>
      <c r="H782" s="29" t="s">
        <v>253</v>
      </c>
      <c r="I782" s="29" t="n">
        <v>1</v>
      </c>
      <c r="J782" s="29" t="s">
        <v>246</v>
      </c>
      <c r="K782" s="29" t="s">
        <v>247</v>
      </c>
      <c r="L782" s="29" t="n">
        <v>0.04</v>
      </c>
      <c r="M782" s="32" t="n">
        <v>19770.12</v>
      </c>
      <c r="N782" s="32" t="n">
        <v>19737.49</v>
      </c>
      <c r="O782" s="32" t="n">
        <v>19850.05</v>
      </c>
      <c r="P782" s="45" t="n">
        <f aca="false">ABS(M782-N782)</f>
        <v>32.6299999999974</v>
      </c>
      <c r="Q782" s="45" t="n">
        <f aca="false">IF(O782="","",ABS(O782-M782))</f>
        <v>79.9300000000003</v>
      </c>
      <c r="R782" s="31" t="n">
        <f aca="false">P782*L782*Summary!$C$6</f>
        <v>130.51999999999</v>
      </c>
      <c r="S782" s="32" t="n">
        <v>19850.55</v>
      </c>
      <c r="T782" s="29" t="s">
        <v>227</v>
      </c>
      <c r="U782" s="45" t="n">
        <f aca="false">IF(J782="BUY",S782-M782,M782-S782)</f>
        <v>80.4300000000003</v>
      </c>
      <c r="V782" s="46" t="n">
        <v>0</v>
      </c>
      <c r="W782" s="46" t="n">
        <v>0</v>
      </c>
      <c r="X782" s="46" t="n">
        <v>321.72</v>
      </c>
      <c r="Y782" s="33" t="n">
        <f aca="false">IFERROR(X782/R782,0)</f>
        <v>2.46490959239983</v>
      </c>
      <c r="Z782" s="29" t="str">
        <f aca="false">IF(X782&gt;0,"Win",IF(X782&lt;0,"Loss","Flat"))</f>
        <v>Win</v>
      </c>
      <c r="AA782" s="29" t="n">
        <f aca="false">ROUND((C782-B782)*1440,1)</f>
        <v>141.4</v>
      </c>
      <c r="AB782" s="29" t="str">
        <f aca="false">IF(AA782&lt;1,"a) &lt;1 min",IF(AA782&lt;10,"b) 1-10 min",IF(AA782&lt;60,"c) 10-60 min",IF(AA782&lt;240,"d) 1-4 h","e) 4 h+"))))</f>
        <v>d) 1-4 h</v>
      </c>
      <c r="AC782" s="29" t="str">
        <f aca="false">IF(P782&lt;10,"a) &lt;10",IF(P782&lt;20,"b) 10-20",IF(P782&lt;40,"c) 20-40",IF(P782&lt;80,"d) 40-80","e) 80+"))))</f>
        <v>c) 20-40</v>
      </c>
      <c r="AD782" s="31" t="n">
        <f aca="false">Summary!$C$5+SUM(X$2:X782)</f>
        <v>17731.2</v>
      </c>
      <c r="AE782" s="31" t="n">
        <f aca="false">MAX(AE781,AD782)</f>
        <v>17731.2</v>
      </c>
      <c r="AF782" s="31" t="n">
        <f aca="false">AE782-AD782</f>
        <v>0</v>
      </c>
      <c r="AG782" s="30" t="n">
        <f aca="false">IFERROR(AF782/AE782,0)</f>
        <v>0</v>
      </c>
    </row>
    <row r="783" customFormat="false" ht="15" hidden="false" customHeight="false" outlineLevel="0" collapsed="false">
      <c r="A783" s="29" t="n">
        <v>782</v>
      </c>
      <c r="B783" s="44" t="n">
        <v>45779.0472222222</v>
      </c>
      <c r="C783" s="44" t="n">
        <v>45779.0485185185</v>
      </c>
      <c r="D783" s="43" t="n">
        <f aca="false">INT(C783)</f>
        <v>45779</v>
      </c>
      <c r="E783" s="43" t="n">
        <f aca="false">D783-WEEKDAY(D783,3)</f>
        <v>45775</v>
      </c>
      <c r="F783" s="29" t="s">
        <v>181</v>
      </c>
      <c r="G783" s="29" t="n">
        <v>2025</v>
      </c>
      <c r="H783" s="29" t="s">
        <v>254</v>
      </c>
      <c r="I783" s="29" t="n">
        <v>1</v>
      </c>
      <c r="J783" s="29" t="s">
        <v>250</v>
      </c>
      <c r="K783" s="29" t="s">
        <v>251</v>
      </c>
      <c r="L783" s="29" t="n">
        <v>0.04</v>
      </c>
      <c r="M783" s="32" t="n">
        <v>19657.31</v>
      </c>
      <c r="N783" s="32" t="n">
        <v>19677.21</v>
      </c>
      <c r="O783" s="32" t="n">
        <v>19608.55</v>
      </c>
      <c r="P783" s="45" t="n">
        <f aca="false">ABS(M783-N783)</f>
        <v>19.8999999999978</v>
      </c>
      <c r="Q783" s="45" t="n">
        <f aca="false">IF(O783="","",ABS(O783-M783))</f>
        <v>48.760000000002</v>
      </c>
      <c r="R783" s="31" t="n">
        <f aca="false">P783*L783*Summary!$C$6</f>
        <v>79.5999999999913</v>
      </c>
      <c r="S783" s="32" t="n">
        <v>19677.88</v>
      </c>
      <c r="T783" s="29" t="s">
        <v>249</v>
      </c>
      <c r="U783" s="45" t="n">
        <f aca="false">IF(J783="BUY",S783-M783,M783-S783)</f>
        <v>-20.5699999999997</v>
      </c>
      <c r="V783" s="46" t="n">
        <v>0</v>
      </c>
      <c r="W783" s="46" t="n">
        <v>0</v>
      </c>
      <c r="X783" s="46" t="n">
        <v>-82.28</v>
      </c>
      <c r="Y783" s="33" t="n">
        <f aca="false">IFERROR(X783/R783,0)</f>
        <v>-1.03366834170866</v>
      </c>
      <c r="Z783" s="29" t="str">
        <f aca="false">IF(X783&gt;0,"Win",IF(X783&lt;0,"Loss","Flat"))</f>
        <v>Loss</v>
      </c>
      <c r="AA783" s="29" t="n">
        <f aca="false">ROUND((C783-B783)*1440,1)</f>
        <v>1.9</v>
      </c>
      <c r="AB783" s="29" t="str">
        <f aca="false">IF(AA783&lt;1,"a) &lt;1 min",IF(AA783&lt;10,"b) 1-10 min",IF(AA783&lt;60,"c) 10-60 min",IF(AA783&lt;240,"d) 1-4 h","e) 4 h+"))))</f>
        <v>b) 1-10 min</v>
      </c>
      <c r="AC783" s="29" t="str">
        <f aca="false">IF(P783&lt;10,"a) &lt;10",IF(P783&lt;20,"b) 10-20",IF(P783&lt;40,"c) 20-40",IF(P783&lt;80,"d) 40-80","e) 80+"))))</f>
        <v>b) 10-20</v>
      </c>
      <c r="AD783" s="31" t="n">
        <f aca="false">Summary!$C$5+SUM(X$2:X783)</f>
        <v>17648.92</v>
      </c>
      <c r="AE783" s="31" t="n">
        <f aca="false">MAX(AE782,AD783)</f>
        <v>17731.2</v>
      </c>
      <c r="AF783" s="31" t="n">
        <f aca="false">AE783-AD783</f>
        <v>82.2800000000025</v>
      </c>
      <c r="AG783" s="30" t="n">
        <f aca="false">IFERROR(AF783/AE783,0)</f>
        <v>0.00464040786861591</v>
      </c>
    </row>
    <row r="784" customFormat="false" ht="15" hidden="false" customHeight="false" outlineLevel="0" collapsed="false">
      <c r="A784" s="29" t="n">
        <v>783</v>
      </c>
      <c r="B784" s="44" t="n">
        <v>45779.6743055556</v>
      </c>
      <c r="C784" s="44" t="n">
        <v>45779.6757060185</v>
      </c>
      <c r="D784" s="43" t="n">
        <f aca="false">INT(C784)</f>
        <v>45779</v>
      </c>
      <c r="E784" s="43" t="n">
        <f aca="false">D784-WEEKDAY(D784,3)</f>
        <v>45775</v>
      </c>
      <c r="F784" s="29" t="s">
        <v>181</v>
      </c>
      <c r="G784" s="29" t="n">
        <v>2025</v>
      </c>
      <c r="H784" s="29" t="s">
        <v>254</v>
      </c>
      <c r="I784" s="29" t="n">
        <v>16</v>
      </c>
      <c r="J784" s="29" t="s">
        <v>246</v>
      </c>
      <c r="K784" s="29" t="s">
        <v>247</v>
      </c>
      <c r="L784" s="29" t="n">
        <v>0.04</v>
      </c>
      <c r="M784" s="32" t="n">
        <v>20034.1</v>
      </c>
      <c r="N784" s="32" t="n">
        <v>20020.99</v>
      </c>
      <c r="O784" s="32" t="n">
        <v>20066.22</v>
      </c>
      <c r="P784" s="45" t="n">
        <f aca="false">ABS(M784-N784)</f>
        <v>13.1099999999969</v>
      </c>
      <c r="Q784" s="45" t="n">
        <f aca="false">IF(O784="","",ABS(O784-M784))</f>
        <v>32.1200000000026</v>
      </c>
      <c r="R784" s="31" t="n">
        <f aca="false">P784*L784*Summary!$C$6</f>
        <v>52.4399999999878</v>
      </c>
      <c r="S784" s="32" t="n">
        <v>20034.08</v>
      </c>
      <c r="T784" s="29" t="s">
        <v>255</v>
      </c>
      <c r="U784" s="45" t="n">
        <f aca="false">IF(J784="BUY",S784-M784,M784-S784)</f>
        <v>-0.0199999999967986</v>
      </c>
      <c r="V784" s="46" t="n">
        <v>0</v>
      </c>
      <c r="W784" s="46" t="n">
        <v>0</v>
      </c>
      <c r="X784" s="46" t="n">
        <v>-0.08</v>
      </c>
      <c r="Y784" s="33" t="n">
        <f aca="false">IFERROR(X784/R784,0)</f>
        <v>-0.00152555301296756</v>
      </c>
      <c r="Z784" s="29" t="str">
        <f aca="false">IF(X784&gt;0,"Win",IF(X784&lt;0,"Loss","Flat"))</f>
        <v>Loss</v>
      </c>
      <c r="AA784" s="29" t="n">
        <f aca="false">ROUND((C784-B784)*1440,1)</f>
        <v>2</v>
      </c>
      <c r="AB784" s="29" t="str">
        <f aca="false">IF(AA784&lt;1,"a) &lt;1 min",IF(AA784&lt;10,"b) 1-10 min",IF(AA784&lt;60,"c) 10-60 min",IF(AA784&lt;240,"d) 1-4 h","e) 4 h+"))))</f>
        <v>b) 1-10 min</v>
      </c>
      <c r="AC784" s="29" t="str">
        <f aca="false">IF(P784&lt;10,"a) &lt;10",IF(P784&lt;20,"b) 10-20",IF(P784&lt;40,"c) 20-40",IF(P784&lt;80,"d) 40-80","e) 80+"))))</f>
        <v>b) 10-20</v>
      </c>
      <c r="AD784" s="31" t="n">
        <f aca="false">Summary!$C$5+SUM(X$2:X784)</f>
        <v>17648.84</v>
      </c>
      <c r="AE784" s="31" t="n">
        <f aca="false">MAX(AE783,AD784)</f>
        <v>17731.2</v>
      </c>
      <c r="AF784" s="31" t="n">
        <f aca="false">AE784-AD784</f>
        <v>82.3600000000006</v>
      </c>
      <c r="AG784" s="30" t="n">
        <f aca="false">IFERROR(AF784/AE784,0)</f>
        <v>0.00464491968958675</v>
      </c>
    </row>
    <row r="785" customFormat="false" ht="15" hidden="false" customHeight="false" outlineLevel="0" collapsed="false">
      <c r="A785" s="29" t="n">
        <v>784</v>
      </c>
      <c r="B785" s="44" t="n">
        <v>45783.1951388889</v>
      </c>
      <c r="C785" s="44" t="n">
        <v>45783.2067708333</v>
      </c>
      <c r="D785" s="43" t="n">
        <f aca="false">INT(C785)</f>
        <v>45783</v>
      </c>
      <c r="E785" s="43" t="n">
        <f aca="false">D785-WEEKDAY(D785,3)</f>
        <v>45782</v>
      </c>
      <c r="F785" s="29" t="s">
        <v>181</v>
      </c>
      <c r="G785" s="29" t="n">
        <v>2025</v>
      </c>
      <c r="H785" s="29" t="s">
        <v>248</v>
      </c>
      <c r="I785" s="29" t="n">
        <v>4</v>
      </c>
      <c r="J785" s="29" t="s">
        <v>250</v>
      </c>
      <c r="K785" s="29" t="s">
        <v>251</v>
      </c>
      <c r="L785" s="29" t="n">
        <v>0.04</v>
      </c>
      <c r="M785" s="32" t="n">
        <v>19870.02</v>
      </c>
      <c r="N785" s="32" t="n">
        <v>19878.59</v>
      </c>
      <c r="O785" s="32" t="n">
        <v>19849.02</v>
      </c>
      <c r="P785" s="45" t="n">
        <f aca="false">ABS(M785-N785)</f>
        <v>8.56999999999971</v>
      </c>
      <c r="Q785" s="45" t="n">
        <f aca="false">IF(O785="","",ABS(O785-M785))</f>
        <v>21</v>
      </c>
      <c r="R785" s="31" t="n">
        <f aca="false">P785*L785*Summary!$C$6</f>
        <v>34.2799999999988</v>
      </c>
      <c r="S785" s="32" t="n">
        <v>19878.64</v>
      </c>
      <c r="T785" s="29" t="s">
        <v>249</v>
      </c>
      <c r="U785" s="45" t="n">
        <f aca="false">IF(J785="BUY",S785-M785,M785-S785)</f>
        <v>-8.61999999999898</v>
      </c>
      <c r="V785" s="46" t="n">
        <v>0</v>
      </c>
      <c r="W785" s="46" t="n">
        <v>0</v>
      </c>
      <c r="X785" s="46" t="n">
        <v>-34.48</v>
      </c>
      <c r="Y785" s="33" t="n">
        <f aca="false">IFERROR(X785/R785,0)</f>
        <v>-1.00583430571765</v>
      </c>
      <c r="Z785" s="29" t="str">
        <f aca="false">IF(X785&gt;0,"Win",IF(X785&lt;0,"Loss","Flat"))</f>
        <v>Loss</v>
      </c>
      <c r="AA785" s="29" t="n">
        <f aca="false">ROUND((C785-B785)*1440,1)</f>
        <v>16.8</v>
      </c>
      <c r="AB785" s="29" t="str">
        <f aca="false">IF(AA785&lt;1,"a) &lt;1 min",IF(AA785&lt;10,"b) 1-10 min",IF(AA785&lt;60,"c) 10-60 min",IF(AA785&lt;240,"d) 1-4 h","e) 4 h+"))))</f>
        <v>c) 10-60 min</v>
      </c>
      <c r="AC785" s="29" t="str">
        <f aca="false">IF(P785&lt;10,"a) &lt;10",IF(P785&lt;20,"b) 10-20",IF(P785&lt;40,"c) 20-40",IF(P785&lt;80,"d) 40-80","e) 80+"))))</f>
        <v>a) &lt;10</v>
      </c>
      <c r="AD785" s="31" t="n">
        <f aca="false">Summary!$C$5+SUM(X$2:X785)</f>
        <v>17614.36</v>
      </c>
      <c r="AE785" s="31" t="n">
        <f aca="false">MAX(AE784,AD785)</f>
        <v>17731.2</v>
      </c>
      <c r="AF785" s="31" t="n">
        <f aca="false">AE785-AD785</f>
        <v>116.84</v>
      </c>
      <c r="AG785" s="30" t="n">
        <f aca="false">IFERROR(AF785/AE785,0)</f>
        <v>0.00658951452806353</v>
      </c>
    </row>
    <row r="786" customFormat="false" ht="15" hidden="false" customHeight="false" outlineLevel="0" collapsed="false">
      <c r="A786" s="29" t="n">
        <v>785</v>
      </c>
      <c r="B786" s="44" t="n">
        <v>45784.0458333333</v>
      </c>
      <c r="C786" s="44" t="n">
        <v>45784.049537037</v>
      </c>
      <c r="D786" s="43" t="n">
        <f aca="false">INT(C786)</f>
        <v>45784</v>
      </c>
      <c r="E786" s="43" t="n">
        <f aca="false">D786-WEEKDAY(D786,3)</f>
        <v>45782</v>
      </c>
      <c r="F786" s="29" t="s">
        <v>181</v>
      </c>
      <c r="G786" s="29" t="n">
        <v>2025</v>
      </c>
      <c r="H786" s="29" t="s">
        <v>252</v>
      </c>
      <c r="I786" s="29" t="n">
        <v>1</v>
      </c>
      <c r="J786" s="29" t="s">
        <v>246</v>
      </c>
      <c r="K786" s="29" t="s">
        <v>247</v>
      </c>
      <c r="L786" s="29" t="n">
        <v>0.04</v>
      </c>
      <c r="M786" s="32" t="n">
        <v>20008.18</v>
      </c>
      <c r="N786" s="32" t="n">
        <v>19958.58</v>
      </c>
      <c r="O786" s="32" t="n">
        <v>20129.7</v>
      </c>
      <c r="P786" s="45" t="n">
        <f aca="false">ABS(M786-N786)</f>
        <v>49.5999999999985</v>
      </c>
      <c r="Q786" s="45" t="n">
        <f aca="false">IF(O786="","",ABS(O786-M786))</f>
        <v>121.52</v>
      </c>
      <c r="R786" s="31" t="n">
        <f aca="false">P786*L786*Summary!$C$6</f>
        <v>198.399999999994</v>
      </c>
      <c r="S786" s="32" t="n">
        <v>19957.91</v>
      </c>
      <c r="T786" s="29" t="s">
        <v>249</v>
      </c>
      <c r="U786" s="45" t="n">
        <f aca="false">IF(J786="BUY",S786-M786,M786-S786)</f>
        <v>-50.2700000000004</v>
      </c>
      <c r="V786" s="46" t="n">
        <v>0</v>
      </c>
      <c r="W786" s="46" t="n">
        <v>0</v>
      </c>
      <c r="X786" s="46" t="n">
        <v>-201.08</v>
      </c>
      <c r="Y786" s="33" t="n">
        <f aca="false">IFERROR(X786/R786,0)</f>
        <v>-1.01350806451616</v>
      </c>
      <c r="Z786" s="29" t="str">
        <f aca="false">IF(X786&gt;0,"Win",IF(X786&lt;0,"Loss","Flat"))</f>
        <v>Loss</v>
      </c>
      <c r="AA786" s="29" t="n">
        <f aca="false">ROUND((C786-B786)*1440,1)</f>
        <v>5.3</v>
      </c>
      <c r="AB786" s="29" t="str">
        <f aca="false">IF(AA786&lt;1,"a) &lt;1 min",IF(AA786&lt;10,"b) 1-10 min",IF(AA786&lt;60,"c) 10-60 min",IF(AA786&lt;240,"d) 1-4 h","e) 4 h+"))))</f>
        <v>b) 1-10 min</v>
      </c>
      <c r="AC786" s="29" t="str">
        <f aca="false">IF(P786&lt;10,"a) &lt;10",IF(P786&lt;20,"b) 10-20",IF(P786&lt;40,"c) 20-40",IF(P786&lt;80,"d) 40-80","e) 80+"))))</f>
        <v>d) 40-80</v>
      </c>
      <c r="AD786" s="31" t="n">
        <f aca="false">Summary!$C$5+SUM(X$2:X786)</f>
        <v>17413.28</v>
      </c>
      <c r="AE786" s="31" t="n">
        <f aca="false">MAX(AE785,AD786)</f>
        <v>17731.2</v>
      </c>
      <c r="AF786" s="31" t="n">
        <f aca="false">AE786-AD786</f>
        <v>317.920000000002</v>
      </c>
      <c r="AG786" s="30" t="n">
        <f aca="false">IFERROR(AF786/AE786,0)</f>
        <v>0.0179299765385311</v>
      </c>
    </row>
    <row r="787" customFormat="false" ht="15" hidden="false" customHeight="false" outlineLevel="0" collapsed="false">
      <c r="A787" s="29" t="n">
        <v>786</v>
      </c>
      <c r="B787" s="44" t="n">
        <v>45784.8805555556</v>
      </c>
      <c r="C787" s="44" t="n">
        <v>45784.8828587963</v>
      </c>
      <c r="D787" s="43" t="n">
        <f aca="false">INT(C787)</f>
        <v>45784</v>
      </c>
      <c r="E787" s="43" t="n">
        <f aca="false">D787-WEEKDAY(D787,3)</f>
        <v>45782</v>
      </c>
      <c r="F787" s="29" t="s">
        <v>181</v>
      </c>
      <c r="G787" s="29" t="n">
        <v>2025</v>
      </c>
      <c r="H787" s="29" t="s">
        <v>252</v>
      </c>
      <c r="I787" s="29" t="n">
        <v>21</v>
      </c>
      <c r="J787" s="29" t="s">
        <v>250</v>
      </c>
      <c r="K787" s="29" t="s">
        <v>251</v>
      </c>
      <c r="L787" s="29" t="n">
        <v>0.04</v>
      </c>
      <c r="M787" s="32" t="n">
        <v>19647.61</v>
      </c>
      <c r="N787" s="32" t="n">
        <v>19682.64</v>
      </c>
      <c r="O787" s="32" t="n">
        <v>19561.8</v>
      </c>
      <c r="P787" s="45" t="n">
        <f aca="false">ABS(M787-N787)</f>
        <v>35.0299999999988</v>
      </c>
      <c r="Q787" s="45" t="n">
        <f aca="false">IF(O787="","",ABS(O787-M787))</f>
        <v>85.8100000000013</v>
      </c>
      <c r="R787" s="31" t="n">
        <f aca="false">P787*L787*Summary!$C$6</f>
        <v>140.119999999995</v>
      </c>
      <c r="S787" s="32" t="n">
        <v>19648.08</v>
      </c>
      <c r="T787" s="29" t="s">
        <v>255</v>
      </c>
      <c r="U787" s="45" t="n">
        <f aca="false">IF(J787="BUY",S787-M787,M787-S787)</f>
        <v>-0.470000000001164</v>
      </c>
      <c r="V787" s="46" t="n">
        <v>0</v>
      </c>
      <c r="W787" s="46" t="n">
        <v>0</v>
      </c>
      <c r="X787" s="46" t="n">
        <v>-1.88</v>
      </c>
      <c r="Y787" s="33" t="n">
        <f aca="false">IFERROR(X787/R787,0)</f>
        <v>-0.0134170710819302</v>
      </c>
      <c r="Z787" s="29" t="str">
        <f aca="false">IF(X787&gt;0,"Win",IF(X787&lt;0,"Loss","Flat"))</f>
        <v>Loss</v>
      </c>
      <c r="AA787" s="29" t="n">
        <f aca="false">ROUND((C787-B787)*1440,1)</f>
        <v>3.3</v>
      </c>
      <c r="AB787" s="29" t="str">
        <f aca="false">IF(AA787&lt;1,"a) &lt;1 min",IF(AA787&lt;10,"b) 1-10 min",IF(AA787&lt;60,"c) 10-60 min",IF(AA787&lt;240,"d) 1-4 h","e) 4 h+"))))</f>
        <v>b) 1-10 min</v>
      </c>
      <c r="AC787" s="29" t="str">
        <f aca="false">IF(P787&lt;10,"a) &lt;10",IF(P787&lt;20,"b) 10-20",IF(P787&lt;40,"c) 20-40",IF(P787&lt;80,"d) 40-80","e) 80+"))))</f>
        <v>c) 20-40</v>
      </c>
      <c r="AD787" s="31" t="n">
        <f aca="false">Summary!$C$5+SUM(X$2:X787)</f>
        <v>17411.4</v>
      </c>
      <c r="AE787" s="31" t="n">
        <f aca="false">MAX(AE786,AD787)</f>
        <v>17731.2</v>
      </c>
      <c r="AF787" s="31" t="n">
        <f aca="false">AE787-AD787</f>
        <v>319.799999999999</v>
      </c>
      <c r="AG787" s="30" t="n">
        <f aca="false">IFERROR(AF787/AE787,0)</f>
        <v>0.0180360043313481</v>
      </c>
    </row>
    <row r="788" customFormat="false" ht="15" hidden="false" customHeight="false" outlineLevel="0" collapsed="false">
      <c r="A788" s="29" t="n">
        <v>787</v>
      </c>
      <c r="B788" s="44" t="n">
        <v>45785.2583333333</v>
      </c>
      <c r="C788" s="44" t="n">
        <v>45785.2640856481</v>
      </c>
      <c r="D788" s="43" t="n">
        <f aca="false">INT(C788)</f>
        <v>45785</v>
      </c>
      <c r="E788" s="43" t="n">
        <f aca="false">D788-WEEKDAY(D788,3)</f>
        <v>45782</v>
      </c>
      <c r="F788" s="29" t="s">
        <v>181</v>
      </c>
      <c r="G788" s="29" t="n">
        <v>2025</v>
      </c>
      <c r="H788" s="29" t="s">
        <v>253</v>
      </c>
      <c r="I788" s="29" t="n">
        <v>6</v>
      </c>
      <c r="J788" s="29" t="s">
        <v>246</v>
      </c>
      <c r="K788" s="29" t="s">
        <v>247</v>
      </c>
      <c r="L788" s="29" t="n">
        <v>0.04</v>
      </c>
      <c r="M788" s="32" t="n">
        <v>20043.79</v>
      </c>
      <c r="N788" s="32" t="n">
        <v>20038.34</v>
      </c>
      <c r="O788" s="32" t="n">
        <v>20057.13</v>
      </c>
      <c r="P788" s="45" t="n">
        <f aca="false">ABS(M788-N788)</f>
        <v>5.45000000000073</v>
      </c>
      <c r="Q788" s="45" t="n">
        <f aca="false">IF(O788="","",ABS(O788-M788))</f>
        <v>13.3400000000001</v>
      </c>
      <c r="R788" s="31" t="n">
        <f aca="false">P788*L788*Summary!$C$6</f>
        <v>21.8000000000029</v>
      </c>
      <c r="S788" s="32" t="n">
        <v>20057.6</v>
      </c>
      <c r="T788" s="29" t="s">
        <v>227</v>
      </c>
      <c r="U788" s="45" t="n">
        <f aca="false">IF(J788="BUY",S788-M788,M788-S788)</f>
        <v>13.8099999999977</v>
      </c>
      <c r="V788" s="46" t="n">
        <v>0</v>
      </c>
      <c r="W788" s="46" t="n">
        <v>0</v>
      </c>
      <c r="X788" s="46" t="n">
        <v>55.24</v>
      </c>
      <c r="Y788" s="33" t="n">
        <f aca="false">IFERROR(X788/R788,0)</f>
        <v>2.5339449541281</v>
      </c>
      <c r="Z788" s="29" t="str">
        <f aca="false">IF(X788&gt;0,"Win",IF(X788&lt;0,"Loss","Flat"))</f>
        <v>Win</v>
      </c>
      <c r="AA788" s="29" t="n">
        <f aca="false">ROUND((C788-B788)*1440,1)</f>
        <v>8.3</v>
      </c>
      <c r="AB788" s="29" t="str">
        <f aca="false">IF(AA788&lt;1,"a) &lt;1 min",IF(AA788&lt;10,"b) 1-10 min",IF(AA788&lt;60,"c) 10-60 min",IF(AA788&lt;240,"d) 1-4 h","e) 4 h+"))))</f>
        <v>b) 1-10 min</v>
      </c>
      <c r="AC788" s="29" t="str">
        <f aca="false">IF(P788&lt;10,"a) &lt;10",IF(P788&lt;20,"b) 10-20",IF(P788&lt;40,"c) 20-40",IF(P788&lt;80,"d) 40-80","e) 80+"))))</f>
        <v>a) &lt;10</v>
      </c>
      <c r="AD788" s="31" t="n">
        <f aca="false">Summary!$C$5+SUM(X$2:X788)</f>
        <v>17466.64</v>
      </c>
      <c r="AE788" s="31" t="n">
        <f aca="false">MAX(AE787,AD788)</f>
        <v>17731.2</v>
      </c>
      <c r="AF788" s="31" t="n">
        <f aca="false">AE788-AD788</f>
        <v>264.560000000001</v>
      </c>
      <c r="AG788" s="30" t="n">
        <f aca="false">IFERROR(AF788/AE788,0)</f>
        <v>0.0149205919509115</v>
      </c>
    </row>
    <row r="789" customFormat="false" ht="15" hidden="false" customHeight="false" outlineLevel="0" collapsed="false">
      <c r="A789" s="29" t="n">
        <v>788</v>
      </c>
      <c r="B789" s="44" t="n">
        <v>45789.0465277778</v>
      </c>
      <c r="C789" s="44" t="n">
        <v>45789.3681944445</v>
      </c>
      <c r="D789" s="43" t="n">
        <f aca="false">INT(C789)</f>
        <v>45789</v>
      </c>
      <c r="E789" s="43" t="n">
        <f aca="false">D789-WEEKDAY(D789,3)</f>
        <v>45789</v>
      </c>
      <c r="F789" s="29" t="s">
        <v>181</v>
      </c>
      <c r="G789" s="29" t="n">
        <v>2025</v>
      </c>
      <c r="H789" s="29" t="s">
        <v>245</v>
      </c>
      <c r="I789" s="29" t="n">
        <v>1</v>
      </c>
      <c r="J789" s="29" t="s">
        <v>246</v>
      </c>
      <c r="K789" s="29" t="s">
        <v>247</v>
      </c>
      <c r="L789" s="29" t="n">
        <v>0.04</v>
      </c>
      <c r="M789" s="32" t="n">
        <v>20331.11</v>
      </c>
      <c r="N789" s="32" t="n">
        <v>20271.07</v>
      </c>
      <c r="O789" s="32" t="n">
        <v>20478.21</v>
      </c>
      <c r="P789" s="45" t="n">
        <f aca="false">ABS(M789-N789)</f>
        <v>60.0400000000009</v>
      </c>
      <c r="Q789" s="45" t="n">
        <f aca="false">IF(O789="","",ABS(O789-M789))</f>
        <v>147.099999999999</v>
      </c>
      <c r="R789" s="31" t="n">
        <f aca="false">P789*L789*Summary!$C$6</f>
        <v>240.160000000004</v>
      </c>
      <c r="S789" s="32" t="n">
        <v>20479.02</v>
      </c>
      <c r="T789" s="29" t="s">
        <v>227</v>
      </c>
      <c r="U789" s="45" t="n">
        <f aca="false">IF(J789="BUY",S789-M789,M789-S789)</f>
        <v>147.91</v>
      </c>
      <c r="V789" s="46" t="n">
        <v>0</v>
      </c>
      <c r="W789" s="46" t="n">
        <v>0</v>
      </c>
      <c r="X789" s="46" t="n">
        <v>591.64</v>
      </c>
      <c r="Y789" s="33" t="n">
        <f aca="false">IFERROR(X789/R789,0)</f>
        <v>2.46352431712188</v>
      </c>
      <c r="Z789" s="29" t="str">
        <f aca="false">IF(X789&gt;0,"Win",IF(X789&lt;0,"Loss","Flat"))</f>
        <v>Win</v>
      </c>
      <c r="AA789" s="29" t="n">
        <f aca="false">ROUND((C789-B789)*1440,1)</f>
        <v>463.2</v>
      </c>
      <c r="AB789" s="29" t="str">
        <f aca="false">IF(AA789&lt;1,"a) &lt;1 min",IF(AA789&lt;10,"b) 1-10 min",IF(AA789&lt;60,"c) 10-60 min",IF(AA789&lt;240,"d) 1-4 h","e) 4 h+"))))</f>
        <v>e) 4 h+</v>
      </c>
      <c r="AC789" s="29" t="str">
        <f aca="false">IF(P789&lt;10,"a) &lt;10",IF(P789&lt;20,"b) 10-20",IF(P789&lt;40,"c) 20-40",IF(P789&lt;80,"d) 40-80","e) 80+"))))</f>
        <v>d) 40-80</v>
      </c>
      <c r="AD789" s="31" t="n">
        <f aca="false">Summary!$C$5+SUM(X$2:X789)</f>
        <v>18058.28</v>
      </c>
      <c r="AE789" s="31" t="n">
        <f aca="false">MAX(AE788,AD789)</f>
        <v>18058.28</v>
      </c>
      <c r="AF789" s="31" t="n">
        <f aca="false">AE789-AD789</f>
        <v>0</v>
      </c>
      <c r="AG789" s="30" t="n">
        <f aca="false">IFERROR(AF789/AE789,0)</f>
        <v>0</v>
      </c>
    </row>
    <row r="790" customFormat="false" ht="15" hidden="false" customHeight="false" outlineLevel="0" collapsed="false">
      <c r="A790" s="29" t="n">
        <v>789</v>
      </c>
      <c r="B790" s="44" t="n">
        <v>45790.6465277778</v>
      </c>
      <c r="C790" s="44" t="n">
        <v>45790.6469212963</v>
      </c>
      <c r="D790" s="43" t="n">
        <f aca="false">INT(C790)</f>
        <v>45790</v>
      </c>
      <c r="E790" s="43" t="n">
        <f aca="false">D790-WEEKDAY(D790,3)</f>
        <v>45789</v>
      </c>
      <c r="F790" s="29" t="s">
        <v>181</v>
      </c>
      <c r="G790" s="29" t="n">
        <v>2025</v>
      </c>
      <c r="H790" s="29" t="s">
        <v>248</v>
      </c>
      <c r="I790" s="29" t="n">
        <v>15</v>
      </c>
      <c r="J790" s="29" t="s">
        <v>246</v>
      </c>
      <c r="K790" s="29" t="s">
        <v>247</v>
      </c>
      <c r="L790" s="29" t="n">
        <v>0.04</v>
      </c>
      <c r="M790" s="32" t="n">
        <v>20948.92</v>
      </c>
      <c r="N790" s="32" t="n">
        <v>20926.57</v>
      </c>
      <c r="O790" s="32" t="n">
        <v>21003.69</v>
      </c>
      <c r="P790" s="45" t="n">
        <f aca="false">ABS(M790-N790)</f>
        <v>22.3499999999985</v>
      </c>
      <c r="Q790" s="45" t="n">
        <f aca="false">IF(O790="","",ABS(O790-M790))</f>
        <v>54.7700000000004</v>
      </c>
      <c r="R790" s="31" t="n">
        <f aca="false">P790*L790*Summary!$C$6</f>
        <v>89.3999999999942</v>
      </c>
      <c r="S790" s="32" t="n">
        <v>20923.94</v>
      </c>
      <c r="T790" s="29" t="s">
        <v>249</v>
      </c>
      <c r="U790" s="45" t="n">
        <f aca="false">IF(J790="BUY",S790-M790,M790-S790)</f>
        <v>-24.9799999999996</v>
      </c>
      <c r="V790" s="46" t="n">
        <v>0</v>
      </c>
      <c r="W790" s="46" t="n">
        <v>0</v>
      </c>
      <c r="X790" s="46" t="n">
        <v>-99.92</v>
      </c>
      <c r="Y790" s="33" t="n">
        <f aca="false">IFERROR(X790/R790,0)</f>
        <v>-1.11767337807614</v>
      </c>
      <c r="Z790" s="29" t="str">
        <f aca="false">IF(X790&gt;0,"Win",IF(X790&lt;0,"Loss","Flat"))</f>
        <v>Loss</v>
      </c>
      <c r="AA790" s="29" t="n">
        <f aca="false">ROUND((C790-B790)*1440,1)</f>
        <v>0.6</v>
      </c>
      <c r="AB790" s="29" t="str">
        <f aca="false">IF(AA790&lt;1,"a) &lt;1 min",IF(AA790&lt;10,"b) 1-10 min",IF(AA790&lt;60,"c) 10-60 min",IF(AA790&lt;240,"d) 1-4 h","e) 4 h+"))))</f>
        <v>a) &lt;1 min</v>
      </c>
      <c r="AC790" s="29" t="str">
        <f aca="false">IF(P790&lt;10,"a) &lt;10",IF(P790&lt;20,"b) 10-20",IF(P790&lt;40,"c) 20-40",IF(P790&lt;80,"d) 40-80","e) 80+"))))</f>
        <v>c) 20-40</v>
      </c>
      <c r="AD790" s="31" t="n">
        <f aca="false">Summary!$C$5+SUM(X$2:X790)</f>
        <v>17958.36</v>
      </c>
      <c r="AE790" s="31" t="n">
        <f aca="false">MAX(AE789,AD790)</f>
        <v>18058.28</v>
      </c>
      <c r="AF790" s="31" t="n">
        <f aca="false">AE790-AD790</f>
        <v>99.9199999999983</v>
      </c>
      <c r="AG790" s="30" t="n">
        <f aca="false">IFERROR(AF790/AE790,0)</f>
        <v>0.00553319585253957</v>
      </c>
    </row>
    <row r="791" customFormat="false" ht="15" hidden="false" customHeight="false" outlineLevel="0" collapsed="false">
      <c r="A791" s="29" t="n">
        <v>790</v>
      </c>
      <c r="B791" s="44" t="n">
        <v>45791.4152777778</v>
      </c>
      <c r="C791" s="44" t="n">
        <v>45791.4153587963</v>
      </c>
      <c r="D791" s="43" t="n">
        <f aca="false">INT(C791)</f>
        <v>45791</v>
      </c>
      <c r="E791" s="43" t="n">
        <f aca="false">D791-WEEKDAY(D791,3)</f>
        <v>45789</v>
      </c>
      <c r="F791" s="29" t="s">
        <v>181</v>
      </c>
      <c r="G791" s="29" t="n">
        <v>2025</v>
      </c>
      <c r="H791" s="29" t="s">
        <v>252</v>
      </c>
      <c r="I791" s="29" t="n">
        <v>9</v>
      </c>
      <c r="J791" s="29" t="s">
        <v>246</v>
      </c>
      <c r="K791" s="29" t="s">
        <v>247</v>
      </c>
      <c r="L791" s="29" t="n">
        <v>0.04</v>
      </c>
      <c r="M791" s="32" t="n">
        <v>21268.39</v>
      </c>
      <c r="N791" s="32" t="n">
        <v>21260.82</v>
      </c>
      <c r="O791" s="32" t="n">
        <v>21286.94</v>
      </c>
      <c r="P791" s="45" t="n">
        <f aca="false">ABS(M791-N791)</f>
        <v>7.56999999999971</v>
      </c>
      <c r="Q791" s="45" t="n">
        <f aca="false">IF(O791="","",ABS(O791-M791))</f>
        <v>18.5499999999993</v>
      </c>
      <c r="R791" s="31" t="n">
        <f aca="false">P791*L791*Summary!$C$6</f>
        <v>30.2799999999988</v>
      </c>
      <c r="S791" s="32" t="n">
        <v>21260.6</v>
      </c>
      <c r="T791" s="29" t="s">
        <v>249</v>
      </c>
      <c r="U791" s="45" t="n">
        <f aca="false">IF(J791="BUY",S791-M791,M791-S791)</f>
        <v>-7.79000000000087</v>
      </c>
      <c r="V791" s="46" t="n">
        <v>0</v>
      </c>
      <c r="W791" s="46" t="n">
        <v>0</v>
      </c>
      <c r="X791" s="46" t="n">
        <v>-31.16</v>
      </c>
      <c r="Y791" s="33" t="n">
        <f aca="false">IFERROR(X791/R791,0)</f>
        <v>-1.0290620871863</v>
      </c>
      <c r="Z791" s="29" t="str">
        <f aca="false">IF(X791&gt;0,"Win",IF(X791&lt;0,"Loss","Flat"))</f>
        <v>Loss</v>
      </c>
      <c r="AA791" s="29" t="n">
        <f aca="false">ROUND((C791-B791)*1440,1)</f>
        <v>0.1</v>
      </c>
      <c r="AB791" s="29" t="str">
        <f aca="false">IF(AA791&lt;1,"a) &lt;1 min",IF(AA791&lt;10,"b) 1-10 min",IF(AA791&lt;60,"c) 10-60 min",IF(AA791&lt;240,"d) 1-4 h","e) 4 h+"))))</f>
        <v>a) &lt;1 min</v>
      </c>
      <c r="AC791" s="29" t="str">
        <f aca="false">IF(P791&lt;10,"a) &lt;10",IF(P791&lt;20,"b) 10-20",IF(P791&lt;40,"c) 20-40",IF(P791&lt;80,"d) 40-80","e) 80+"))))</f>
        <v>a) &lt;10</v>
      </c>
      <c r="AD791" s="31" t="n">
        <f aca="false">Summary!$C$5+SUM(X$2:X791)</f>
        <v>17927.2</v>
      </c>
      <c r="AE791" s="31" t="n">
        <f aca="false">MAX(AE790,AD791)</f>
        <v>18058.28</v>
      </c>
      <c r="AF791" s="31" t="n">
        <f aca="false">AE791-AD791</f>
        <v>131.079999999998</v>
      </c>
      <c r="AG791" s="30" t="n">
        <f aca="false">IFERROR(AF791/AE791,0)</f>
        <v>0.00725872009958856</v>
      </c>
    </row>
    <row r="792" customFormat="false" ht="15" hidden="false" customHeight="false" outlineLevel="0" collapsed="false">
      <c r="A792" s="29" t="n">
        <v>791</v>
      </c>
      <c r="B792" s="44" t="n">
        <v>45792.4881944444</v>
      </c>
      <c r="C792" s="44" t="n">
        <v>45792.4912847222</v>
      </c>
      <c r="D792" s="43" t="n">
        <f aca="false">INT(C792)</f>
        <v>45792</v>
      </c>
      <c r="E792" s="43" t="n">
        <f aca="false">D792-WEEKDAY(D792,3)</f>
        <v>45789</v>
      </c>
      <c r="F792" s="29" t="s">
        <v>181</v>
      </c>
      <c r="G792" s="29" t="n">
        <v>2025</v>
      </c>
      <c r="H792" s="29" t="s">
        <v>253</v>
      </c>
      <c r="I792" s="29" t="n">
        <v>11</v>
      </c>
      <c r="J792" s="29" t="s">
        <v>250</v>
      </c>
      <c r="K792" s="29" t="s">
        <v>251</v>
      </c>
      <c r="L792" s="29" t="n">
        <v>0.04</v>
      </c>
      <c r="M792" s="32" t="n">
        <v>21143.94</v>
      </c>
      <c r="N792" s="32" t="n">
        <v>21157.09</v>
      </c>
      <c r="O792" s="32" t="n">
        <v>21111.72</v>
      </c>
      <c r="P792" s="45" t="n">
        <f aca="false">ABS(M792-N792)</f>
        <v>13.1500000000015</v>
      </c>
      <c r="Q792" s="45" t="n">
        <f aca="false">IF(O792="","",ABS(O792-M792))</f>
        <v>32.2199999999975</v>
      </c>
      <c r="R792" s="31" t="n">
        <f aca="false">P792*L792*Summary!$C$6</f>
        <v>52.6000000000058</v>
      </c>
      <c r="S792" s="32" t="n">
        <v>21157.22</v>
      </c>
      <c r="T792" s="29" t="s">
        <v>249</v>
      </c>
      <c r="U792" s="45" t="n">
        <f aca="false">IF(J792="BUY",S792-M792,M792-S792)</f>
        <v>-13.2800000000025</v>
      </c>
      <c r="V792" s="46" t="n">
        <v>0</v>
      </c>
      <c r="W792" s="46" t="n">
        <v>0</v>
      </c>
      <c r="X792" s="46" t="n">
        <v>-53.12</v>
      </c>
      <c r="Y792" s="33" t="n">
        <f aca="false">IFERROR(X792/R792,0)</f>
        <v>-1.00988593155882</v>
      </c>
      <c r="Z792" s="29" t="str">
        <f aca="false">IF(X792&gt;0,"Win",IF(X792&lt;0,"Loss","Flat"))</f>
        <v>Loss</v>
      </c>
      <c r="AA792" s="29" t="n">
        <f aca="false">ROUND((C792-B792)*1440,1)</f>
        <v>4.5</v>
      </c>
      <c r="AB792" s="29" t="str">
        <f aca="false">IF(AA792&lt;1,"a) &lt;1 min",IF(AA792&lt;10,"b) 1-10 min",IF(AA792&lt;60,"c) 10-60 min",IF(AA792&lt;240,"d) 1-4 h","e) 4 h+"))))</f>
        <v>b) 1-10 min</v>
      </c>
      <c r="AC792" s="29" t="str">
        <f aca="false">IF(P792&lt;10,"a) &lt;10",IF(P792&lt;20,"b) 10-20",IF(P792&lt;40,"c) 20-40",IF(P792&lt;80,"d) 40-80","e) 80+"))))</f>
        <v>b) 10-20</v>
      </c>
      <c r="AD792" s="31" t="n">
        <f aca="false">Summary!$C$5+SUM(X$2:X792)</f>
        <v>17874.08</v>
      </c>
      <c r="AE792" s="31" t="n">
        <f aca="false">MAX(AE791,AD792)</f>
        <v>18058.28</v>
      </c>
      <c r="AF792" s="31" t="n">
        <f aca="false">AE792-AD792</f>
        <v>184.199999999997</v>
      </c>
      <c r="AG792" s="30" t="n">
        <f aca="false">IFERROR(AF792/AE792,0)</f>
        <v>0.0102003070059827</v>
      </c>
    </row>
    <row r="793" customFormat="false" ht="15" hidden="false" customHeight="false" outlineLevel="0" collapsed="false">
      <c r="A793" s="29" t="n">
        <v>792</v>
      </c>
      <c r="B793" s="44" t="n">
        <v>45792.7805555556</v>
      </c>
      <c r="C793" s="44" t="n">
        <v>45792.7828009259</v>
      </c>
      <c r="D793" s="43" t="n">
        <f aca="false">INT(C793)</f>
        <v>45792</v>
      </c>
      <c r="E793" s="43" t="n">
        <f aca="false">D793-WEEKDAY(D793,3)</f>
        <v>45789</v>
      </c>
      <c r="F793" s="29" t="s">
        <v>181</v>
      </c>
      <c r="G793" s="29" t="n">
        <v>2025</v>
      </c>
      <c r="H793" s="29" t="s">
        <v>253</v>
      </c>
      <c r="I793" s="29" t="n">
        <v>18</v>
      </c>
      <c r="J793" s="29" t="s">
        <v>246</v>
      </c>
      <c r="K793" s="29" t="s">
        <v>247</v>
      </c>
      <c r="L793" s="29" t="n">
        <v>0.04</v>
      </c>
      <c r="M793" s="32" t="n">
        <v>21346.7</v>
      </c>
      <c r="N793" s="32" t="n">
        <v>21336.31</v>
      </c>
      <c r="O793" s="32" t="n">
        <v>21372.15</v>
      </c>
      <c r="P793" s="45" t="n">
        <f aca="false">ABS(M793-N793)</f>
        <v>10.3899999999994</v>
      </c>
      <c r="Q793" s="45" t="n">
        <f aca="false">IF(O793="","",ABS(O793-M793))</f>
        <v>25.4500000000007</v>
      </c>
      <c r="R793" s="31" t="n">
        <f aca="false">P793*L793*Summary!$C$6</f>
        <v>41.5599999999977</v>
      </c>
      <c r="S793" s="32" t="n">
        <v>21346.33</v>
      </c>
      <c r="T793" s="29" t="s">
        <v>255</v>
      </c>
      <c r="U793" s="45" t="n">
        <f aca="false">IF(J793="BUY",S793-M793,M793-S793)</f>
        <v>-0.369999999998981</v>
      </c>
      <c r="V793" s="46" t="n">
        <v>0</v>
      </c>
      <c r="W793" s="46" t="n">
        <v>0</v>
      </c>
      <c r="X793" s="46" t="n">
        <v>-1.48</v>
      </c>
      <c r="Y793" s="33" t="n">
        <f aca="false">IFERROR(X793/R793,0)</f>
        <v>-0.0356111645813302</v>
      </c>
      <c r="Z793" s="29" t="str">
        <f aca="false">IF(X793&gt;0,"Win",IF(X793&lt;0,"Loss","Flat"))</f>
        <v>Loss</v>
      </c>
      <c r="AA793" s="29" t="n">
        <f aca="false">ROUND((C793-B793)*1440,1)</f>
        <v>3.2</v>
      </c>
      <c r="AB793" s="29" t="str">
        <f aca="false">IF(AA793&lt;1,"a) &lt;1 min",IF(AA793&lt;10,"b) 1-10 min",IF(AA793&lt;60,"c) 10-60 min",IF(AA793&lt;240,"d) 1-4 h","e) 4 h+"))))</f>
        <v>b) 1-10 min</v>
      </c>
      <c r="AC793" s="29" t="str">
        <f aca="false">IF(P793&lt;10,"a) &lt;10",IF(P793&lt;20,"b) 10-20",IF(P793&lt;40,"c) 20-40",IF(P793&lt;80,"d) 40-80","e) 80+"))))</f>
        <v>b) 10-20</v>
      </c>
      <c r="AD793" s="31" t="n">
        <f aca="false">Summary!$C$5+SUM(X$2:X793)</f>
        <v>17872.6</v>
      </c>
      <c r="AE793" s="31" t="n">
        <f aca="false">MAX(AE792,AD793)</f>
        <v>18058.28</v>
      </c>
      <c r="AF793" s="31" t="n">
        <f aca="false">AE793-AD793</f>
        <v>185.68</v>
      </c>
      <c r="AG793" s="30" t="n">
        <f aca="false">IFERROR(AF793/AE793,0)</f>
        <v>0.0102822638700917</v>
      </c>
    </row>
    <row r="794" customFormat="false" ht="15" hidden="false" customHeight="false" outlineLevel="0" collapsed="false">
      <c r="A794" s="29" t="n">
        <v>793</v>
      </c>
      <c r="B794" s="44" t="n">
        <v>45796.0513888889</v>
      </c>
      <c r="C794" s="44" t="n">
        <v>45796.0555787037</v>
      </c>
      <c r="D794" s="43" t="n">
        <f aca="false">INT(C794)</f>
        <v>45796</v>
      </c>
      <c r="E794" s="43" t="n">
        <f aca="false">D794-WEEKDAY(D794,3)</f>
        <v>45796</v>
      </c>
      <c r="F794" s="29" t="s">
        <v>181</v>
      </c>
      <c r="G794" s="29" t="n">
        <v>2025</v>
      </c>
      <c r="H794" s="29" t="s">
        <v>245</v>
      </c>
      <c r="I794" s="29" t="n">
        <v>1</v>
      </c>
      <c r="J794" s="29" t="s">
        <v>250</v>
      </c>
      <c r="K794" s="29" t="s">
        <v>251</v>
      </c>
      <c r="L794" s="29" t="n">
        <v>0.04</v>
      </c>
      <c r="M794" s="32" t="n">
        <v>21239.92</v>
      </c>
      <c r="N794" s="32" t="n">
        <v>21249.03</v>
      </c>
      <c r="O794" s="32" t="n">
        <v>21217.61</v>
      </c>
      <c r="P794" s="45" t="n">
        <f aca="false">ABS(M794-N794)</f>
        <v>9.11000000000058</v>
      </c>
      <c r="Q794" s="45" t="n">
        <f aca="false">IF(O794="","",ABS(O794-M794))</f>
        <v>22.3099999999977</v>
      </c>
      <c r="R794" s="31" t="n">
        <f aca="false">P794*L794*Summary!$C$6</f>
        <v>36.4400000000023</v>
      </c>
      <c r="S794" s="32" t="n">
        <v>21251.05</v>
      </c>
      <c r="T794" s="29" t="s">
        <v>249</v>
      </c>
      <c r="U794" s="45" t="n">
        <f aca="false">IF(J794="BUY",S794-M794,M794-S794)</f>
        <v>-11.130000000001</v>
      </c>
      <c r="V794" s="46" t="n">
        <v>0</v>
      </c>
      <c r="W794" s="46" t="n">
        <v>0</v>
      </c>
      <c r="X794" s="46" t="n">
        <v>-44.52</v>
      </c>
      <c r="Y794" s="33" t="n">
        <f aca="false">IFERROR(X794/R794,0)</f>
        <v>-1.22173435784844</v>
      </c>
      <c r="Z794" s="29" t="str">
        <f aca="false">IF(X794&gt;0,"Win",IF(X794&lt;0,"Loss","Flat"))</f>
        <v>Loss</v>
      </c>
      <c r="AA794" s="29" t="n">
        <f aca="false">ROUND((C794-B794)*1440,1)</f>
        <v>6</v>
      </c>
      <c r="AB794" s="29" t="str">
        <f aca="false">IF(AA794&lt;1,"a) &lt;1 min",IF(AA794&lt;10,"b) 1-10 min",IF(AA794&lt;60,"c) 10-60 min",IF(AA794&lt;240,"d) 1-4 h","e) 4 h+"))))</f>
        <v>b) 1-10 min</v>
      </c>
      <c r="AC794" s="29" t="str">
        <f aca="false">IF(P794&lt;10,"a) &lt;10",IF(P794&lt;20,"b) 10-20",IF(P794&lt;40,"c) 20-40",IF(P794&lt;80,"d) 40-80","e) 80+"))))</f>
        <v>a) &lt;10</v>
      </c>
      <c r="AD794" s="31" t="n">
        <f aca="false">Summary!$C$5+SUM(X$2:X794)</f>
        <v>17828.08</v>
      </c>
      <c r="AE794" s="31" t="n">
        <f aca="false">MAX(AE793,AD794)</f>
        <v>18058.28</v>
      </c>
      <c r="AF794" s="31" t="n">
        <f aca="false">AE794-AD794</f>
        <v>230.199999999997</v>
      </c>
      <c r="AG794" s="30" t="n">
        <f aca="false">IFERROR(AF794/AE794,0)</f>
        <v>0.0127476149445018</v>
      </c>
    </row>
    <row r="795" customFormat="false" ht="15" hidden="false" customHeight="false" outlineLevel="0" collapsed="false">
      <c r="A795" s="29" t="n">
        <v>794</v>
      </c>
      <c r="B795" s="44" t="n">
        <v>45796.8354166667</v>
      </c>
      <c r="C795" s="44" t="n">
        <v>45796.8387615741</v>
      </c>
      <c r="D795" s="43" t="n">
        <f aca="false">INT(C795)</f>
        <v>45796</v>
      </c>
      <c r="E795" s="43" t="n">
        <f aca="false">D795-WEEKDAY(D795,3)</f>
        <v>45796</v>
      </c>
      <c r="F795" s="29" t="s">
        <v>181</v>
      </c>
      <c r="G795" s="29" t="n">
        <v>2025</v>
      </c>
      <c r="H795" s="29" t="s">
        <v>245</v>
      </c>
      <c r="I795" s="29" t="n">
        <v>20</v>
      </c>
      <c r="J795" s="29" t="s">
        <v>246</v>
      </c>
      <c r="K795" s="29" t="s">
        <v>247</v>
      </c>
      <c r="L795" s="29" t="n">
        <v>0.04</v>
      </c>
      <c r="M795" s="32" t="n">
        <v>21431.82</v>
      </c>
      <c r="N795" s="32" t="n">
        <v>21423.08</v>
      </c>
      <c r="O795" s="32" t="n">
        <v>21453.24</v>
      </c>
      <c r="P795" s="45" t="n">
        <f aca="false">ABS(M795-N795)</f>
        <v>8.73999999999796</v>
      </c>
      <c r="Q795" s="45" t="n">
        <f aca="false">IF(O795="","",ABS(O795-M795))</f>
        <v>21.4200000000019</v>
      </c>
      <c r="R795" s="31" t="n">
        <f aca="false">P795*L795*Summary!$C$6</f>
        <v>34.9599999999919</v>
      </c>
      <c r="S795" s="32" t="n">
        <v>21453.25</v>
      </c>
      <c r="T795" s="29" t="s">
        <v>227</v>
      </c>
      <c r="U795" s="45" t="n">
        <f aca="false">IF(J795="BUY",S795-M795,M795-S795)</f>
        <v>21.4300000000003</v>
      </c>
      <c r="V795" s="46" t="n">
        <v>0</v>
      </c>
      <c r="W795" s="46" t="n">
        <v>0</v>
      </c>
      <c r="X795" s="46" t="n">
        <v>85.72</v>
      </c>
      <c r="Y795" s="33" t="n">
        <f aca="false">IFERROR(X795/R795,0)</f>
        <v>2.4519450800921</v>
      </c>
      <c r="Z795" s="29" t="str">
        <f aca="false">IF(X795&gt;0,"Win",IF(X795&lt;0,"Loss","Flat"))</f>
        <v>Win</v>
      </c>
      <c r="AA795" s="29" t="n">
        <f aca="false">ROUND((C795-B795)*1440,1)</f>
        <v>4.8</v>
      </c>
      <c r="AB795" s="29" t="str">
        <f aca="false">IF(AA795&lt;1,"a) &lt;1 min",IF(AA795&lt;10,"b) 1-10 min",IF(AA795&lt;60,"c) 10-60 min",IF(AA795&lt;240,"d) 1-4 h","e) 4 h+"))))</f>
        <v>b) 1-10 min</v>
      </c>
      <c r="AC795" s="29" t="str">
        <f aca="false">IF(P795&lt;10,"a) &lt;10",IF(P795&lt;20,"b) 10-20",IF(P795&lt;40,"c) 20-40",IF(P795&lt;80,"d) 40-80","e) 80+"))))</f>
        <v>a) &lt;10</v>
      </c>
      <c r="AD795" s="31" t="n">
        <f aca="false">Summary!$C$5+SUM(X$2:X795)</f>
        <v>17913.8</v>
      </c>
      <c r="AE795" s="31" t="n">
        <f aca="false">MAX(AE794,AD795)</f>
        <v>18058.28</v>
      </c>
      <c r="AF795" s="31" t="n">
        <f aca="false">AE795-AD795</f>
        <v>144.48</v>
      </c>
      <c r="AG795" s="30" t="n">
        <f aca="false">IFERROR(AF795/AE795,0)</f>
        <v>0.00800076197733115</v>
      </c>
    </row>
    <row r="796" customFormat="false" ht="15" hidden="false" customHeight="false" outlineLevel="0" collapsed="false">
      <c r="A796" s="29" t="n">
        <v>795</v>
      </c>
      <c r="B796" s="44" t="n">
        <v>45797.1055555556</v>
      </c>
      <c r="C796" s="44" t="n">
        <v>45797.1073726852</v>
      </c>
      <c r="D796" s="43" t="n">
        <f aca="false">INT(C796)</f>
        <v>45797</v>
      </c>
      <c r="E796" s="43" t="n">
        <f aca="false">D796-WEEKDAY(D796,3)</f>
        <v>45796</v>
      </c>
      <c r="F796" s="29" t="s">
        <v>181</v>
      </c>
      <c r="G796" s="29" t="n">
        <v>2025</v>
      </c>
      <c r="H796" s="29" t="s">
        <v>248</v>
      </c>
      <c r="I796" s="29" t="n">
        <v>2</v>
      </c>
      <c r="J796" s="29" t="s">
        <v>246</v>
      </c>
      <c r="K796" s="29" t="s">
        <v>247</v>
      </c>
      <c r="L796" s="29" t="n">
        <v>0.04</v>
      </c>
      <c r="M796" s="32" t="n">
        <v>21465.5</v>
      </c>
      <c r="N796" s="32" t="n">
        <v>21459.93</v>
      </c>
      <c r="O796" s="32" t="n">
        <v>21479.14</v>
      </c>
      <c r="P796" s="45" t="n">
        <f aca="false">ABS(M796-N796)</f>
        <v>5.56999999999971</v>
      </c>
      <c r="Q796" s="45" t="n">
        <f aca="false">IF(O796="","",ABS(O796-M796))</f>
        <v>13.6399999999994</v>
      </c>
      <c r="R796" s="31" t="n">
        <f aca="false">P796*L796*Summary!$C$6</f>
        <v>22.2799999999988</v>
      </c>
      <c r="S796" s="32" t="n">
        <v>21479.31</v>
      </c>
      <c r="T796" s="29" t="s">
        <v>227</v>
      </c>
      <c r="U796" s="45" t="n">
        <f aca="false">IF(J796="BUY",S796-M796,M796-S796)</f>
        <v>13.8100000000013</v>
      </c>
      <c r="V796" s="46" t="n">
        <v>0</v>
      </c>
      <c r="W796" s="46" t="n">
        <v>0</v>
      </c>
      <c r="X796" s="46" t="n">
        <v>55.24</v>
      </c>
      <c r="Y796" s="33" t="n">
        <f aca="false">IFERROR(X796/R796,0)</f>
        <v>2.47935368043101</v>
      </c>
      <c r="Z796" s="29" t="str">
        <f aca="false">IF(X796&gt;0,"Win",IF(X796&lt;0,"Loss","Flat"))</f>
        <v>Win</v>
      </c>
      <c r="AA796" s="29" t="n">
        <f aca="false">ROUND((C796-B796)*1440,1)</f>
        <v>2.6</v>
      </c>
      <c r="AB796" s="29" t="str">
        <f aca="false">IF(AA796&lt;1,"a) &lt;1 min",IF(AA796&lt;10,"b) 1-10 min",IF(AA796&lt;60,"c) 10-60 min",IF(AA796&lt;240,"d) 1-4 h","e) 4 h+"))))</f>
        <v>b) 1-10 min</v>
      </c>
      <c r="AC796" s="29" t="str">
        <f aca="false">IF(P796&lt;10,"a) &lt;10",IF(P796&lt;20,"b) 10-20",IF(P796&lt;40,"c) 20-40",IF(P796&lt;80,"d) 40-80","e) 80+"))))</f>
        <v>a) &lt;10</v>
      </c>
      <c r="AD796" s="31" t="n">
        <f aca="false">Summary!$C$5+SUM(X$2:X796)</f>
        <v>17969.04</v>
      </c>
      <c r="AE796" s="31" t="n">
        <f aca="false">MAX(AE795,AD796)</f>
        <v>18058.28</v>
      </c>
      <c r="AF796" s="31" t="n">
        <f aca="false">AE796-AD796</f>
        <v>89.239999999998</v>
      </c>
      <c r="AG796" s="30" t="n">
        <f aca="false">IFERROR(AF796/AE796,0)</f>
        <v>0.00494177740072687</v>
      </c>
    </row>
    <row r="797" customFormat="false" ht="15" hidden="false" customHeight="false" outlineLevel="0" collapsed="false">
      <c r="A797" s="29" t="n">
        <v>796</v>
      </c>
      <c r="B797" s="44" t="n">
        <v>45798.4027777778</v>
      </c>
      <c r="C797" s="44" t="n">
        <v>45798.4039930556</v>
      </c>
      <c r="D797" s="43" t="n">
        <f aca="false">INT(C797)</f>
        <v>45798</v>
      </c>
      <c r="E797" s="43" t="n">
        <f aca="false">D797-WEEKDAY(D797,3)</f>
        <v>45796</v>
      </c>
      <c r="F797" s="29" t="s">
        <v>181</v>
      </c>
      <c r="G797" s="29" t="n">
        <v>2025</v>
      </c>
      <c r="H797" s="29" t="s">
        <v>252</v>
      </c>
      <c r="I797" s="29" t="n">
        <v>9</v>
      </c>
      <c r="J797" s="29" t="s">
        <v>250</v>
      </c>
      <c r="K797" s="29" t="s">
        <v>251</v>
      </c>
      <c r="L797" s="29" t="n">
        <v>0.04</v>
      </c>
      <c r="M797" s="32" t="n">
        <v>21222.29</v>
      </c>
      <c r="N797" s="32" t="n">
        <v>21230.64</v>
      </c>
      <c r="O797" s="32" t="n">
        <v>21201.83</v>
      </c>
      <c r="P797" s="45" t="n">
        <f aca="false">ABS(M797-N797)</f>
        <v>8.34999999999855</v>
      </c>
      <c r="Q797" s="45" t="n">
        <f aca="false">IF(O797="","",ABS(O797-M797))</f>
        <v>20.4599999999991</v>
      </c>
      <c r="R797" s="31" t="n">
        <f aca="false">P797*L797*Summary!$C$6</f>
        <v>33.3999999999942</v>
      </c>
      <c r="S797" s="32" t="n">
        <v>21231.09</v>
      </c>
      <c r="T797" s="29" t="s">
        <v>249</v>
      </c>
      <c r="U797" s="45" t="n">
        <f aca="false">IF(J797="BUY",S797-M797,M797-S797)</f>
        <v>-8.79999999999927</v>
      </c>
      <c r="V797" s="46" t="n">
        <v>0</v>
      </c>
      <c r="W797" s="46" t="n">
        <v>0</v>
      </c>
      <c r="X797" s="46" t="n">
        <v>-35.2</v>
      </c>
      <c r="Y797" s="33" t="n">
        <f aca="false">IFERROR(X797/R797,0)</f>
        <v>-1.05389221556905</v>
      </c>
      <c r="Z797" s="29" t="str">
        <f aca="false">IF(X797&gt;0,"Win",IF(X797&lt;0,"Loss","Flat"))</f>
        <v>Loss</v>
      </c>
      <c r="AA797" s="29" t="n">
        <f aca="false">ROUND((C797-B797)*1440,1)</f>
        <v>1.8</v>
      </c>
      <c r="AB797" s="29" t="str">
        <f aca="false">IF(AA797&lt;1,"a) &lt;1 min",IF(AA797&lt;10,"b) 1-10 min",IF(AA797&lt;60,"c) 10-60 min",IF(AA797&lt;240,"d) 1-4 h","e) 4 h+"))))</f>
        <v>b) 1-10 min</v>
      </c>
      <c r="AC797" s="29" t="str">
        <f aca="false">IF(P797&lt;10,"a) &lt;10",IF(P797&lt;20,"b) 10-20",IF(P797&lt;40,"c) 20-40",IF(P797&lt;80,"d) 40-80","e) 80+"))))</f>
        <v>a) &lt;10</v>
      </c>
      <c r="AD797" s="31" t="n">
        <f aca="false">Summary!$C$5+SUM(X$2:X797)</f>
        <v>17933.84</v>
      </c>
      <c r="AE797" s="31" t="n">
        <f aca="false">MAX(AE796,AD797)</f>
        <v>18058.28</v>
      </c>
      <c r="AF797" s="31" t="n">
        <f aca="false">AE797-AD797</f>
        <v>124.439999999999</v>
      </c>
      <c r="AG797" s="30" t="n">
        <f aca="false">IFERROR(AF797/AE797,0)</f>
        <v>0.00689102173628932</v>
      </c>
    </row>
    <row r="798" customFormat="false" ht="15" hidden="false" customHeight="false" outlineLevel="0" collapsed="false">
      <c r="A798" s="29" t="n">
        <v>797</v>
      </c>
      <c r="B798" s="44" t="n">
        <v>45799.6347222222</v>
      </c>
      <c r="C798" s="44" t="n">
        <v>45799.6396759259</v>
      </c>
      <c r="D798" s="43" t="n">
        <f aca="false">INT(C798)</f>
        <v>45799</v>
      </c>
      <c r="E798" s="43" t="n">
        <f aca="false">D798-WEEKDAY(D798,3)</f>
        <v>45796</v>
      </c>
      <c r="F798" s="29" t="s">
        <v>181</v>
      </c>
      <c r="G798" s="29" t="n">
        <v>2025</v>
      </c>
      <c r="H798" s="29" t="s">
        <v>253</v>
      </c>
      <c r="I798" s="29" t="n">
        <v>15</v>
      </c>
      <c r="J798" s="29" t="s">
        <v>250</v>
      </c>
      <c r="K798" s="29" t="s">
        <v>251</v>
      </c>
      <c r="L798" s="29" t="n">
        <v>0.04</v>
      </c>
      <c r="M798" s="32" t="n">
        <v>20998.15</v>
      </c>
      <c r="N798" s="32" t="n">
        <v>21011.63</v>
      </c>
      <c r="O798" s="32" t="n">
        <v>20965.13</v>
      </c>
      <c r="P798" s="45" t="n">
        <f aca="false">ABS(M798-N798)</f>
        <v>13.4799999999996</v>
      </c>
      <c r="Q798" s="45" t="n">
        <f aca="false">IF(O798="","",ABS(O798-M798))</f>
        <v>33.0200000000004</v>
      </c>
      <c r="R798" s="31" t="n">
        <f aca="false">P798*L798*Summary!$C$6</f>
        <v>53.9199999999983</v>
      </c>
      <c r="S798" s="32" t="n">
        <v>20998.93</v>
      </c>
      <c r="T798" s="29" t="s">
        <v>255</v>
      </c>
      <c r="U798" s="45" t="n">
        <f aca="false">IF(J798="BUY",S798-M798,M798-S798)</f>
        <v>-0.779999999998836</v>
      </c>
      <c r="V798" s="46" t="n">
        <v>0</v>
      </c>
      <c r="W798" s="46" t="n">
        <v>0</v>
      </c>
      <c r="X798" s="46" t="n">
        <v>-3.12</v>
      </c>
      <c r="Y798" s="33" t="n">
        <f aca="false">IFERROR(X798/R798,0)</f>
        <v>-0.0578635014836814</v>
      </c>
      <c r="Z798" s="29" t="str">
        <f aca="false">IF(X798&gt;0,"Win",IF(X798&lt;0,"Loss","Flat"))</f>
        <v>Loss</v>
      </c>
      <c r="AA798" s="29" t="n">
        <f aca="false">ROUND((C798-B798)*1440,1)</f>
        <v>7.1</v>
      </c>
      <c r="AB798" s="29" t="str">
        <f aca="false">IF(AA798&lt;1,"a) &lt;1 min",IF(AA798&lt;10,"b) 1-10 min",IF(AA798&lt;60,"c) 10-60 min",IF(AA798&lt;240,"d) 1-4 h","e) 4 h+"))))</f>
        <v>b) 1-10 min</v>
      </c>
      <c r="AC798" s="29" t="str">
        <f aca="false">IF(P798&lt;10,"a) &lt;10",IF(P798&lt;20,"b) 10-20",IF(P798&lt;40,"c) 20-40",IF(P798&lt;80,"d) 40-80","e) 80+"))))</f>
        <v>b) 10-20</v>
      </c>
      <c r="AD798" s="31" t="n">
        <f aca="false">Summary!$C$5+SUM(X$2:X798)</f>
        <v>17930.72</v>
      </c>
      <c r="AE798" s="31" t="n">
        <f aca="false">MAX(AE797,AD798)</f>
        <v>18058.28</v>
      </c>
      <c r="AF798" s="31" t="n">
        <f aca="false">AE798-AD798</f>
        <v>127.559999999998</v>
      </c>
      <c r="AG798" s="30" t="n">
        <f aca="false">IFERROR(AF798/AE798,0)</f>
        <v>0.0070637956660323</v>
      </c>
    </row>
    <row r="799" customFormat="false" ht="15" hidden="false" customHeight="false" outlineLevel="0" collapsed="false">
      <c r="A799" s="29" t="n">
        <v>798</v>
      </c>
      <c r="B799" s="44" t="n">
        <v>45800.6138888889</v>
      </c>
      <c r="C799" s="44" t="n">
        <v>45800.6140509259</v>
      </c>
      <c r="D799" s="43" t="n">
        <f aca="false">INT(C799)</f>
        <v>45800</v>
      </c>
      <c r="E799" s="43" t="n">
        <f aca="false">D799-WEEKDAY(D799,3)</f>
        <v>45796</v>
      </c>
      <c r="F799" s="29" t="s">
        <v>181</v>
      </c>
      <c r="G799" s="29" t="n">
        <v>2025</v>
      </c>
      <c r="H799" s="29" t="s">
        <v>254</v>
      </c>
      <c r="I799" s="29" t="n">
        <v>14</v>
      </c>
      <c r="J799" s="29" t="s">
        <v>250</v>
      </c>
      <c r="K799" s="29" t="s">
        <v>251</v>
      </c>
      <c r="L799" s="29" t="n">
        <v>0.04</v>
      </c>
      <c r="M799" s="32" t="n">
        <v>20953.83</v>
      </c>
      <c r="N799" s="32" t="n">
        <v>20977.9</v>
      </c>
      <c r="O799" s="32" t="n">
        <v>20894.85</v>
      </c>
      <c r="P799" s="45" t="n">
        <f aca="false">ABS(M799-N799)</f>
        <v>24.0699999999997</v>
      </c>
      <c r="Q799" s="45" t="n">
        <f aca="false">IF(O799="","",ABS(O799-M799))</f>
        <v>58.9800000000032</v>
      </c>
      <c r="R799" s="31" t="n">
        <f aca="false">P799*L799*Summary!$C$6</f>
        <v>96.2799999999988</v>
      </c>
      <c r="S799" s="32" t="n">
        <v>20893.8</v>
      </c>
      <c r="T799" s="29" t="s">
        <v>227</v>
      </c>
      <c r="U799" s="45" t="n">
        <f aca="false">IF(J799="BUY",S799-M799,M799-S799)</f>
        <v>60.0300000000025</v>
      </c>
      <c r="V799" s="46" t="n">
        <v>0</v>
      </c>
      <c r="W799" s="46" t="n">
        <v>0</v>
      </c>
      <c r="X799" s="46" t="n">
        <v>240.12</v>
      </c>
      <c r="Y799" s="33" t="n">
        <f aca="false">IFERROR(X799/R799,0)</f>
        <v>2.49397590361449</v>
      </c>
      <c r="Z799" s="29" t="str">
        <f aca="false">IF(X799&gt;0,"Win",IF(X799&lt;0,"Loss","Flat"))</f>
        <v>Win</v>
      </c>
      <c r="AA799" s="29" t="n">
        <f aca="false">ROUND((C799-B799)*1440,1)</f>
        <v>0.2</v>
      </c>
      <c r="AB799" s="29" t="str">
        <f aca="false">IF(AA799&lt;1,"a) &lt;1 min",IF(AA799&lt;10,"b) 1-10 min",IF(AA799&lt;60,"c) 10-60 min",IF(AA799&lt;240,"d) 1-4 h","e) 4 h+"))))</f>
        <v>a) &lt;1 min</v>
      </c>
      <c r="AC799" s="29" t="str">
        <f aca="false">IF(P799&lt;10,"a) &lt;10",IF(P799&lt;20,"b) 10-20",IF(P799&lt;40,"c) 20-40",IF(P799&lt;80,"d) 40-80","e) 80+"))))</f>
        <v>c) 20-40</v>
      </c>
      <c r="AD799" s="31" t="n">
        <f aca="false">Summary!$C$5+SUM(X$2:X799)</f>
        <v>18170.84</v>
      </c>
      <c r="AE799" s="31" t="n">
        <f aca="false">MAX(AE798,AD799)</f>
        <v>18170.84</v>
      </c>
      <c r="AF799" s="31" t="n">
        <f aca="false">AE799-AD799</f>
        <v>0</v>
      </c>
      <c r="AG799" s="30" t="n">
        <f aca="false">IFERROR(AF799/AE799,0)</f>
        <v>0</v>
      </c>
    </row>
    <row r="800" customFormat="false" ht="15" hidden="false" customHeight="false" outlineLevel="0" collapsed="false">
      <c r="A800" s="29" t="n">
        <v>799</v>
      </c>
      <c r="B800" s="44" t="n">
        <v>45803.2243171296</v>
      </c>
      <c r="C800" s="44" t="n">
        <v>45803.2271064815</v>
      </c>
      <c r="D800" s="43" t="n">
        <f aca="false">INT(C800)</f>
        <v>45803</v>
      </c>
      <c r="E800" s="43" t="n">
        <f aca="false">D800-WEEKDAY(D800,3)</f>
        <v>45803</v>
      </c>
      <c r="F800" s="29" t="s">
        <v>181</v>
      </c>
      <c r="G800" s="29" t="n">
        <v>2025</v>
      </c>
      <c r="H800" s="29" t="s">
        <v>245</v>
      </c>
      <c r="I800" s="29" t="n">
        <v>5</v>
      </c>
      <c r="J800" s="29" t="s">
        <v>246</v>
      </c>
      <c r="K800" s="29" t="s">
        <v>247</v>
      </c>
      <c r="L800" s="29" t="n">
        <v>0.04</v>
      </c>
      <c r="M800" s="32" t="n">
        <v>21167.9</v>
      </c>
      <c r="N800" s="32" t="n">
        <v>21160.3</v>
      </c>
      <c r="O800" s="32" t="n">
        <v>21186.52</v>
      </c>
      <c r="P800" s="45" t="n">
        <f aca="false">ABS(M800-N800)</f>
        <v>7.60000000000218</v>
      </c>
      <c r="Q800" s="45" t="n">
        <f aca="false">IF(O800="","",ABS(O800-M800))</f>
        <v>18.619999999999</v>
      </c>
      <c r="R800" s="31" t="n">
        <f aca="false">P800*L800*Summary!$C$6</f>
        <v>30.4000000000087</v>
      </c>
      <c r="S800" s="32" t="n">
        <v>21167.69</v>
      </c>
      <c r="T800" s="29" t="s">
        <v>255</v>
      </c>
      <c r="U800" s="45" t="n">
        <f aca="false">IF(J800="BUY",S800-M800,M800-S800)</f>
        <v>-0.210000000002765</v>
      </c>
      <c r="V800" s="46" t="n">
        <v>0</v>
      </c>
      <c r="W800" s="46" t="n">
        <v>0</v>
      </c>
      <c r="X800" s="46" t="n">
        <v>-0.84</v>
      </c>
      <c r="Y800" s="33" t="n">
        <f aca="false">IFERROR(X800/R800,0)</f>
        <v>-0.0276315789473605</v>
      </c>
      <c r="Z800" s="29" t="str">
        <f aca="false">IF(X800&gt;0,"Win",IF(X800&lt;0,"Loss","Flat"))</f>
        <v>Loss</v>
      </c>
      <c r="AA800" s="29" t="n">
        <f aca="false">ROUND((C800-B800)*1440,1)</f>
        <v>4</v>
      </c>
      <c r="AB800" s="29" t="str">
        <f aca="false">IF(AA800&lt;1,"a) &lt;1 min",IF(AA800&lt;10,"b) 1-10 min",IF(AA800&lt;60,"c) 10-60 min",IF(AA800&lt;240,"d) 1-4 h","e) 4 h+"))))</f>
        <v>b) 1-10 min</v>
      </c>
      <c r="AC800" s="29" t="str">
        <f aca="false">IF(P800&lt;10,"a) &lt;10",IF(P800&lt;20,"b) 10-20",IF(P800&lt;40,"c) 20-40",IF(P800&lt;80,"d) 40-80","e) 80+"))))</f>
        <v>a) &lt;10</v>
      </c>
      <c r="AD800" s="31" t="n">
        <f aca="false">Summary!$C$5+SUM(X$2:X800)</f>
        <v>18170</v>
      </c>
      <c r="AE800" s="31" t="n">
        <f aca="false">MAX(AE799,AD800)</f>
        <v>18170.84</v>
      </c>
      <c r="AF800" s="31" t="n">
        <f aca="false">AE800-AD800</f>
        <v>0.840000000000146</v>
      </c>
      <c r="AG800" s="30" t="n">
        <f aca="false">IFERROR(AF800/AE800,0)</f>
        <v>4.62279124135233E-005</v>
      </c>
    </row>
    <row r="801" customFormat="false" ht="15" hidden="false" customHeight="false" outlineLevel="0" collapsed="false">
      <c r="A801" s="29" t="n">
        <v>800</v>
      </c>
      <c r="B801" s="44" t="n">
        <v>45804.4388888889</v>
      </c>
      <c r="C801" s="44" t="n">
        <v>45804.4492708333</v>
      </c>
      <c r="D801" s="43" t="n">
        <f aca="false">INT(C801)</f>
        <v>45804</v>
      </c>
      <c r="E801" s="43" t="n">
        <f aca="false">D801-WEEKDAY(D801,3)</f>
        <v>45803</v>
      </c>
      <c r="F801" s="29" t="s">
        <v>181</v>
      </c>
      <c r="G801" s="29" t="n">
        <v>2025</v>
      </c>
      <c r="H801" s="29" t="s">
        <v>248</v>
      </c>
      <c r="I801" s="29" t="n">
        <v>10</v>
      </c>
      <c r="J801" s="29" t="s">
        <v>246</v>
      </c>
      <c r="K801" s="29" t="s">
        <v>247</v>
      </c>
      <c r="L801" s="29" t="n">
        <v>0.04</v>
      </c>
      <c r="M801" s="32" t="n">
        <v>21257.23</v>
      </c>
      <c r="N801" s="32" t="n">
        <v>21245.32</v>
      </c>
      <c r="O801" s="32" t="n">
        <v>21286.4</v>
      </c>
      <c r="P801" s="45" t="n">
        <f aca="false">ABS(M801-N801)</f>
        <v>11.9099999999999</v>
      </c>
      <c r="Q801" s="45" t="n">
        <f aca="false">IF(O801="","",ABS(O801-M801))</f>
        <v>29.1700000000019</v>
      </c>
      <c r="R801" s="31" t="n">
        <f aca="false">P801*L801*Summary!$C$6</f>
        <v>47.6399999999994</v>
      </c>
      <c r="S801" s="32" t="n">
        <v>21286.75</v>
      </c>
      <c r="T801" s="29" t="s">
        <v>227</v>
      </c>
      <c r="U801" s="45" t="n">
        <f aca="false">IF(J801="BUY",S801-M801,M801-S801)</f>
        <v>29.5200000000004</v>
      </c>
      <c r="V801" s="46" t="n">
        <v>0</v>
      </c>
      <c r="W801" s="46" t="n">
        <v>0</v>
      </c>
      <c r="X801" s="46" t="n">
        <v>118.08</v>
      </c>
      <c r="Y801" s="33" t="n">
        <f aca="false">IFERROR(X801/R801,0)</f>
        <v>2.47858942065494</v>
      </c>
      <c r="Z801" s="29" t="str">
        <f aca="false">IF(X801&gt;0,"Win",IF(X801&lt;0,"Loss","Flat"))</f>
        <v>Win</v>
      </c>
      <c r="AA801" s="29" t="n">
        <f aca="false">ROUND((C801-B801)*1440,1)</f>
        <v>15</v>
      </c>
      <c r="AB801" s="29" t="str">
        <f aca="false">IF(AA801&lt;1,"a) &lt;1 min",IF(AA801&lt;10,"b) 1-10 min",IF(AA801&lt;60,"c) 10-60 min",IF(AA801&lt;240,"d) 1-4 h","e) 4 h+"))))</f>
        <v>c) 10-60 min</v>
      </c>
      <c r="AC801" s="29" t="str">
        <f aca="false">IF(P801&lt;10,"a) &lt;10",IF(P801&lt;20,"b) 10-20",IF(P801&lt;40,"c) 20-40",IF(P801&lt;80,"d) 40-80","e) 80+"))))</f>
        <v>b) 10-20</v>
      </c>
      <c r="AD801" s="31" t="n">
        <f aca="false">Summary!$C$5+SUM(X$2:X801)</f>
        <v>18288.08</v>
      </c>
      <c r="AE801" s="31" t="n">
        <f aca="false">MAX(AE800,AD801)</f>
        <v>18288.08</v>
      </c>
      <c r="AF801" s="31" t="n">
        <f aca="false">AE801-AD801</f>
        <v>0</v>
      </c>
      <c r="AG801" s="30" t="n">
        <f aca="false">IFERROR(AF801/AE801,0)</f>
        <v>0</v>
      </c>
    </row>
    <row r="802" customFormat="false" ht="15" hidden="false" customHeight="false" outlineLevel="0" collapsed="false">
      <c r="A802" s="29" t="n">
        <v>801</v>
      </c>
      <c r="B802" s="44" t="n">
        <v>45805.5673611111</v>
      </c>
      <c r="C802" s="44" t="n">
        <v>45805.5790277778</v>
      </c>
      <c r="D802" s="43" t="n">
        <f aca="false">INT(C802)</f>
        <v>45805</v>
      </c>
      <c r="E802" s="43" t="n">
        <f aca="false">D802-WEEKDAY(D802,3)</f>
        <v>45803</v>
      </c>
      <c r="F802" s="29" t="s">
        <v>181</v>
      </c>
      <c r="G802" s="29" t="n">
        <v>2025</v>
      </c>
      <c r="H802" s="29" t="s">
        <v>252</v>
      </c>
      <c r="I802" s="29" t="n">
        <v>13</v>
      </c>
      <c r="J802" s="29" t="s">
        <v>246</v>
      </c>
      <c r="K802" s="29" t="s">
        <v>247</v>
      </c>
      <c r="L802" s="29" t="n">
        <v>0.04</v>
      </c>
      <c r="M802" s="32" t="n">
        <v>21435.1</v>
      </c>
      <c r="N802" s="32" t="n">
        <v>21427.48</v>
      </c>
      <c r="O802" s="32" t="n">
        <v>21453.78</v>
      </c>
      <c r="P802" s="45" t="n">
        <f aca="false">ABS(M802-N802)</f>
        <v>7.61999999999898</v>
      </c>
      <c r="Q802" s="45" t="n">
        <f aca="false">IF(O802="","",ABS(O802-M802))</f>
        <v>18.6800000000003</v>
      </c>
      <c r="R802" s="31" t="n">
        <f aca="false">P802*L802*Summary!$C$6</f>
        <v>30.4799999999959</v>
      </c>
      <c r="S802" s="32" t="n">
        <v>21454.38</v>
      </c>
      <c r="T802" s="29" t="s">
        <v>227</v>
      </c>
      <c r="U802" s="45" t="n">
        <f aca="false">IF(J802="BUY",S802-M802,M802-S802)</f>
        <v>19.2800000000025</v>
      </c>
      <c r="V802" s="46" t="n">
        <v>0</v>
      </c>
      <c r="W802" s="46" t="n">
        <v>0</v>
      </c>
      <c r="X802" s="46" t="n">
        <v>77.12</v>
      </c>
      <c r="Y802" s="33" t="n">
        <f aca="false">IFERROR(X802/R802,0)</f>
        <v>2.53018372703446</v>
      </c>
      <c r="Z802" s="29" t="str">
        <f aca="false">IF(X802&gt;0,"Win",IF(X802&lt;0,"Loss","Flat"))</f>
        <v>Win</v>
      </c>
      <c r="AA802" s="29" t="n">
        <f aca="false">ROUND((C802-B802)*1440,1)</f>
        <v>16.8</v>
      </c>
      <c r="AB802" s="29" t="str">
        <f aca="false">IF(AA802&lt;1,"a) &lt;1 min",IF(AA802&lt;10,"b) 1-10 min",IF(AA802&lt;60,"c) 10-60 min",IF(AA802&lt;240,"d) 1-4 h","e) 4 h+"))))</f>
        <v>c) 10-60 min</v>
      </c>
      <c r="AC802" s="29" t="str">
        <f aca="false">IF(P802&lt;10,"a) &lt;10",IF(P802&lt;20,"b) 10-20",IF(P802&lt;40,"c) 20-40",IF(P802&lt;80,"d) 40-80","e) 80+"))))</f>
        <v>a) &lt;10</v>
      </c>
      <c r="AD802" s="31" t="n">
        <f aca="false">Summary!$C$5+SUM(X$2:X802)</f>
        <v>18365.2</v>
      </c>
      <c r="AE802" s="31" t="n">
        <f aca="false">MAX(AE801,AD802)</f>
        <v>18365.2</v>
      </c>
      <c r="AF802" s="31" t="n">
        <f aca="false">AE802-AD802</f>
        <v>0</v>
      </c>
      <c r="AG802" s="30" t="n">
        <f aca="false">IFERROR(AF802/AE802,0)</f>
        <v>0</v>
      </c>
    </row>
    <row r="803" customFormat="false" ht="15" hidden="false" customHeight="false" outlineLevel="0" collapsed="false">
      <c r="A803" s="29" t="n">
        <v>802</v>
      </c>
      <c r="B803" s="44" t="n">
        <v>45806.0770833333</v>
      </c>
      <c r="C803" s="44" t="n">
        <v>45806.0834259259</v>
      </c>
      <c r="D803" s="43" t="n">
        <f aca="false">INT(C803)</f>
        <v>45806</v>
      </c>
      <c r="E803" s="43" t="n">
        <f aca="false">D803-WEEKDAY(D803,3)</f>
        <v>45803</v>
      </c>
      <c r="F803" s="29" t="s">
        <v>181</v>
      </c>
      <c r="G803" s="29" t="n">
        <v>2025</v>
      </c>
      <c r="H803" s="29" t="s">
        <v>253</v>
      </c>
      <c r="I803" s="29" t="n">
        <v>1</v>
      </c>
      <c r="J803" s="29" t="s">
        <v>246</v>
      </c>
      <c r="K803" s="29" t="s">
        <v>247</v>
      </c>
      <c r="L803" s="29" t="n">
        <v>0.04</v>
      </c>
      <c r="M803" s="32" t="n">
        <v>21520.82</v>
      </c>
      <c r="N803" s="32" t="n">
        <v>21512</v>
      </c>
      <c r="O803" s="32" t="n">
        <v>21542.43</v>
      </c>
      <c r="P803" s="45" t="n">
        <f aca="false">ABS(M803-N803)</f>
        <v>8.81999999999971</v>
      </c>
      <c r="Q803" s="45" t="n">
        <f aca="false">IF(O803="","",ABS(O803-M803))</f>
        <v>21.6100000000006</v>
      </c>
      <c r="R803" s="31" t="n">
        <f aca="false">P803*L803*Summary!$C$6</f>
        <v>35.2799999999988</v>
      </c>
      <c r="S803" s="32" t="n">
        <v>21543.7</v>
      </c>
      <c r="T803" s="29" t="s">
        <v>227</v>
      </c>
      <c r="U803" s="45" t="n">
        <f aca="false">IF(J803="BUY",S803-M803,M803-S803)</f>
        <v>22.880000000001</v>
      </c>
      <c r="V803" s="46" t="n">
        <v>0</v>
      </c>
      <c r="W803" s="46" t="n">
        <v>0</v>
      </c>
      <c r="X803" s="46" t="n">
        <v>91.52</v>
      </c>
      <c r="Y803" s="33" t="n">
        <f aca="false">IFERROR(X803/R803,0)</f>
        <v>2.59410430839011</v>
      </c>
      <c r="Z803" s="29" t="str">
        <f aca="false">IF(X803&gt;0,"Win",IF(X803&lt;0,"Loss","Flat"))</f>
        <v>Win</v>
      </c>
      <c r="AA803" s="29" t="n">
        <f aca="false">ROUND((C803-B803)*1440,1)</f>
        <v>9.1</v>
      </c>
      <c r="AB803" s="29" t="str">
        <f aca="false">IF(AA803&lt;1,"a) &lt;1 min",IF(AA803&lt;10,"b) 1-10 min",IF(AA803&lt;60,"c) 10-60 min",IF(AA803&lt;240,"d) 1-4 h","e) 4 h+"))))</f>
        <v>b) 1-10 min</v>
      </c>
      <c r="AC803" s="29" t="str">
        <f aca="false">IF(P803&lt;10,"a) &lt;10",IF(P803&lt;20,"b) 10-20",IF(P803&lt;40,"c) 20-40",IF(P803&lt;80,"d) 40-80","e) 80+"))))</f>
        <v>a) &lt;10</v>
      </c>
      <c r="AD803" s="31" t="n">
        <f aca="false">Summary!$C$5+SUM(X$2:X803)</f>
        <v>18456.72</v>
      </c>
      <c r="AE803" s="31" t="n">
        <f aca="false">MAX(AE802,AD803)</f>
        <v>18456.72</v>
      </c>
      <c r="AF803" s="31" t="n">
        <f aca="false">AE803-AD803</f>
        <v>0</v>
      </c>
      <c r="AG803" s="30" t="n">
        <f aca="false">IFERROR(AF803/AE803,0)</f>
        <v>0</v>
      </c>
    </row>
    <row r="804" customFormat="false" ht="15" hidden="false" customHeight="false" outlineLevel="0" collapsed="false">
      <c r="A804" s="29" t="n">
        <v>803</v>
      </c>
      <c r="B804" s="44" t="n">
        <v>45806.7923611111</v>
      </c>
      <c r="C804" s="44" t="n">
        <v>45806.7945717593</v>
      </c>
      <c r="D804" s="43" t="n">
        <f aca="false">INT(C804)</f>
        <v>45806</v>
      </c>
      <c r="E804" s="43" t="n">
        <f aca="false">D804-WEEKDAY(D804,3)</f>
        <v>45803</v>
      </c>
      <c r="F804" s="29" t="s">
        <v>181</v>
      </c>
      <c r="G804" s="29" t="n">
        <v>2025</v>
      </c>
      <c r="H804" s="29" t="s">
        <v>253</v>
      </c>
      <c r="I804" s="29" t="n">
        <v>19</v>
      </c>
      <c r="J804" s="29" t="s">
        <v>250</v>
      </c>
      <c r="K804" s="29" t="s">
        <v>251</v>
      </c>
      <c r="L804" s="29" t="n">
        <v>0.04</v>
      </c>
      <c r="M804" s="32" t="n">
        <v>21260.11</v>
      </c>
      <c r="N804" s="32" t="n">
        <v>21300.14</v>
      </c>
      <c r="O804" s="32" t="n">
        <v>21168.93</v>
      </c>
      <c r="P804" s="45" t="n">
        <f aca="false">ABS(M804-N804)</f>
        <v>40.0299999999988</v>
      </c>
      <c r="Q804" s="45" t="n">
        <f aca="false">IF(O804="","",ABS(O804-M804))</f>
        <v>91.1800000000003</v>
      </c>
      <c r="R804" s="31" t="n">
        <f aca="false">P804*L804*Summary!$C$6</f>
        <v>160.119999999995</v>
      </c>
      <c r="S804" s="32" t="n">
        <v>21300.38</v>
      </c>
      <c r="T804" s="29" t="s">
        <v>249</v>
      </c>
      <c r="U804" s="45" t="n">
        <f aca="false">IF(J804="BUY",S804-M804,M804-S804)</f>
        <v>-40.2700000000004</v>
      </c>
      <c r="V804" s="46" t="n">
        <v>0</v>
      </c>
      <c r="W804" s="46" t="n">
        <v>0</v>
      </c>
      <c r="X804" s="46" t="n">
        <v>-161.08</v>
      </c>
      <c r="Y804" s="33" t="n">
        <f aca="false">IFERROR(X804/R804,0)</f>
        <v>-1.0059955033725</v>
      </c>
      <c r="Z804" s="29" t="str">
        <f aca="false">IF(X804&gt;0,"Win",IF(X804&lt;0,"Loss","Flat"))</f>
        <v>Loss</v>
      </c>
      <c r="AA804" s="29" t="n">
        <f aca="false">ROUND((C804-B804)*1440,1)</f>
        <v>3.2</v>
      </c>
      <c r="AB804" s="29" t="str">
        <f aca="false">IF(AA804&lt;1,"a) &lt;1 min",IF(AA804&lt;10,"b) 1-10 min",IF(AA804&lt;60,"c) 10-60 min",IF(AA804&lt;240,"d) 1-4 h","e) 4 h+"))))</f>
        <v>b) 1-10 min</v>
      </c>
      <c r="AC804" s="29" t="str">
        <f aca="false">IF(P804&lt;10,"a) &lt;10",IF(P804&lt;20,"b) 10-20",IF(P804&lt;40,"c) 20-40",IF(P804&lt;80,"d) 40-80","e) 80+"))))</f>
        <v>d) 40-80</v>
      </c>
      <c r="AD804" s="31" t="n">
        <f aca="false">Summary!$C$5+SUM(X$2:X804)</f>
        <v>18295.64</v>
      </c>
      <c r="AE804" s="31" t="n">
        <f aca="false">MAX(AE803,AD804)</f>
        <v>18456.72</v>
      </c>
      <c r="AF804" s="31" t="n">
        <f aca="false">AE804-AD804</f>
        <v>161.080000000002</v>
      </c>
      <c r="AG804" s="30" t="n">
        <f aca="false">IFERROR(AF804/AE804,0)</f>
        <v>0.00872744452968901</v>
      </c>
    </row>
    <row r="805" customFormat="false" ht="15" hidden="false" customHeight="false" outlineLevel="0" collapsed="false">
      <c r="A805" s="29" t="n">
        <v>804</v>
      </c>
      <c r="B805" s="44" t="n">
        <v>45807.1805555556</v>
      </c>
      <c r="C805" s="44" t="n">
        <v>45807.1818634259</v>
      </c>
      <c r="D805" s="43" t="n">
        <f aca="false">INT(C805)</f>
        <v>45807</v>
      </c>
      <c r="E805" s="43" t="n">
        <f aca="false">D805-WEEKDAY(D805,3)</f>
        <v>45803</v>
      </c>
      <c r="F805" s="29" t="s">
        <v>181</v>
      </c>
      <c r="G805" s="29" t="n">
        <v>2025</v>
      </c>
      <c r="H805" s="29" t="s">
        <v>254</v>
      </c>
      <c r="I805" s="29" t="n">
        <v>4</v>
      </c>
      <c r="J805" s="29" t="s">
        <v>250</v>
      </c>
      <c r="K805" s="29" t="s">
        <v>251</v>
      </c>
      <c r="L805" s="29" t="n">
        <v>0.04</v>
      </c>
      <c r="M805" s="32" t="n">
        <v>21246.27</v>
      </c>
      <c r="N805" s="32" t="n">
        <v>21256.18</v>
      </c>
      <c r="O805" s="32" t="n">
        <v>21222</v>
      </c>
      <c r="P805" s="45" t="n">
        <f aca="false">ABS(M805-N805)</f>
        <v>9.90999999999985</v>
      </c>
      <c r="Q805" s="45" t="n">
        <f aca="false">IF(O805="","",ABS(O805-M805))</f>
        <v>24.2700000000004</v>
      </c>
      <c r="R805" s="31" t="n">
        <f aca="false">P805*L805*Summary!$C$6</f>
        <v>39.6399999999994</v>
      </c>
      <c r="S805" s="32" t="n">
        <v>21248.52</v>
      </c>
      <c r="T805" s="29" t="s">
        <v>255</v>
      </c>
      <c r="U805" s="45" t="n">
        <f aca="false">IF(J805="BUY",S805-M805,M805-S805)</f>
        <v>-2.25</v>
      </c>
      <c r="V805" s="46" t="n">
        <v>0</v>
      </c>
      <c r="W805" s="46" t="n">
        <v>0</v>
      </c>
      <c r="X805" s="46" t="n">
        <v>-9</v>
      </c>
      <c r="Y805" s="33" t="n">
        <f aca="false">IFERROR(X805/R805,0)</f>
        <v>-0.227043390514635</v>
      </c>
      <c r="Z805" s="29" t="str">
        <f aca="false">IF(X805&gt;0,"Win",IF(X805&lt;0,"Loss","Flat"))</f>
        <v>Loss</v>
      </c>
      <c r="AA805" s="29" t="n">
        <f aca="false">ROUND((C805-B805)*1440,1)</f>
        <v>1.9</v>
      </c>
      <c r="AB805" s="29" t="str">
        <f aca="false">IF(AA805&lt;1,"a) &lt;1 min",IF(AA805&lt;10,"b) 1-10 min",IF(AA805&lt;60,"c) 10-60 min",IF(AA805&lt;240,"d) 1-4 h","e) 4 h+"))))</f>
        <v>b) 1-10 min</v>
      </c>
      <c r="AC805" s="29" t="str">
        <f aca="false">IF(P805&lt;10,"a) &lt;10",IF(P805&lt;20,"b) 10-20",IF(P805&lt;40,"c) 20-40",IF(P805&lt;80,"d) 40-80","e) 80+"))))</f>
        <v>a) &lt;10</v>
      </c>
      <c r="AD805" s="31" t="n">
        <f aca="false">Summary!$C$5+SUM(X$2:X805)</f>
        <v>18286.64</v>
      </c>
      <c r="AE805" s="31" t="n">
        <f aca="false">MAX(AE804,AD805)</f>
        <v>18456.72</v>
      </c>
      <c r="AF805" s="31" t="n">
        <f aca="false">AE805-AD805</f>
        <v>170.080000000002</v>
      </c>
      <c r="AG805" s="30" t="n">
        <f aca="false">IFERROR(AF805/AE805,0)</f>
        <v>0.00921507180040667</v>
      </c>
    </row>
    <row r="806" customFormat="false" ht="15" hidden="false" customHeight="false" outlineLevel="0" collapsed="false">
      <c r="A806" s="29" t="n">
        <v>805</v>
      </c>
      <c r="B806" s="44" t="n">
        <v>45810.69375</v>
      </c>
      <c r="C806" s="44" t="n">
        <v>45810.6952662037</v>
      </c>
      <c r="D806" s="43" t="n">
        <f aca="false">INT(C806)</f>
        <v>45810</v>
      </c>
      <c r="E806" s="43" t="n">
        <f aca="false">D806-WEEKDAY(D806,3)</f>
        <v>45810</v>
      </c>
      <c r="F806" s="29" t="s">
        <v>182</v>
      </c>
      <c r="G806" s="29" t="n">
        <v>2025</v>
      </c>
      <c r="H806" s="29" t="s">
        <v>245</v>
      </c>
      <c r="I806" s="29" t="n">
        <v>16</v>
      </c>
      <c r="J806" s="29" t="s">
        <v>246</v>
      </c>
      <c r="K806" s="29" t="s">
        <v>247</v>
      </c>
      <c r="L806" s="29" t="n">
        <v>0.04</v>
      </c>
      <c r="M806" s="32" t="n">
        <v>21406.85</v>
      </c>
      <c r="N806" s="32" t="n">
        <v>21383.84</v>
      </c>
      <c r="O806" s="32" t="n">
        <v>21462.16</v>
      </c>
      <c r="P806" s="45" t="n">
        <f aca="false">ABS(M806-N806)</f>
        <v>23.0099999999984</v>
      </c>
      <c r="Q806" s="45" t="n">
        <f aca="false">IF(O806="","",ABS(O806-M806))</f>
        <v>55.3100000000013</v>
      </c>
      <c r="R806" s="31" t="n">
        <f aca="false">P806*L806*Summary!$C$6</f>
        <v>92.0399999999936</v>
      </c>
      <c r="S806" s="32" t="n">
        <v>21383.63</v>
      </c>
      <c r="T806" s="29" t="s">
        <v>249</v>
      </c>
      <c r="U806" s="45" t="n">
        <f aca="false">IF(J806="BUY",S806-M806,M806-S806)</f>
        <v>-23.2199999999975</v>
      </c>
      <c r="V806" s="46" t="n">
        <v>0</v>
      </c>
      <c r="W806" s="46" t="n">
        <v>0</v>
      </c>
      <c r="X806" s="46" t="n">
        <v>-92.88</v>
      </c>
      <c r="Y806" s="33" t="n">
        <f aca="false">IFERROR(X806/R806,0)</f>
        <v>-1.00912646675366</v>
      </c>
      <c r="Z806" s="29" t="str">
        <f aca="false">IF(X806&gt;0,"Win",IF(X806&lt;0,"Loss","Flat"))</f>
        <v>Loss</v>
      </c>
      <c r="AA806" s="29" t="n">
        <f aca="false">ROUND((C806-B806)*1440,1)</f>
        <v>2.2</v>
      </c>
      <c r="AB806" s="29" t="str">
        <f aca="false">IF(AA806&lt;1,"a) &lt;1 min",IF(AA806&lt;10,"b) 1-10 min",IF(AA806&lt;60,"c) 10-60 min",IF(AA806&lt;240,"d) 1-4 h","e) 4 h+"))))</f>
        <v>b) 1-10 min</v>
      </c>
      <c r="AC806" s="29" t="str">
        <f aca="false">IF(P806&lt;10,"a) &lt;10",IF(P806&lt;20,"b) 10-20",IF(P806&lt;40,"c) 20-40",IF(P806&lt;80,"d) 40-80","e) 80+"))))</f>
        <v>c) 20-40</v>
      </c>
      <c r="AD806" s="31" t="n">
        <f aca="false">Summary!$C$5+SUM(X$2:X806)</f>
        <v>18193.76</v>
      </c>
      <c r="AE806" s="31" t="n">
        <f aca="false">MAX(AE805,AD806)</f>
        <v>18456.72</v>
      </c>
      <c r="AF806" s="31" t="n">
        <f aca="false">AE806-AD806</f>
        <v>262.959999999999</v>
      </c>
      <c r="AG806" s="30" t="n">
        <f aca="false">IFERROR(AF806/AE806,0)</f>
        <v>0.0142473852342127</v>
      </c>
    </row>
    <row r="807" customFormat="false" ht="15" hidden="false" customHeight="false" outlineLevel="0" collapsed="false">
      <c r="A807" s="29" t="n">
        <v>806</v>
      </c>
      <c r="B807" s="44" t="n">
        <v>45811.6881944445</v>
      </c>
      <c r="C807" s="44" t="n">
        <v>45811.6887847222</v>
      </c>
      <c r="D807" s="43" t="n">
        <f aca="false">INT(C807)</f>
        <v>45811</v>
      </c>
      <c r="E807" s="43" t="n">
        <f aca="false">D807-WEEKDAY(D807,3)</f>
        <v>45810</v>
      </c>
      <c r="F807" s="29" t="s">
        <v>182</v>
      </c>
      <c r="G807" s="29" t="n">
        <v>2025</v>
      </c>
      <c r="H807" s="29" t="s">
        <v>248</v>
      </c>
      <c r="I807" s="29" t="n">
        <v>16</v>
      </c>
      <c r="J807" s="29" t="s">
        <v>246</v>
      </c>
      <c r="K807" s="29" t="s">
        <v>247</v>
      </c>
      <c r="L807" s="29" t="n">
        <v>0.04</v>
      </c>
      <c r="M807" s="32" t="n">
        <v>21547.24</v>
      </c>
      <c r="N807" s="32" t="n">
        <v>21530.24</v>
      </c>
      <c r="O807" s="32" t="n">
        <v>21585</v>
      </c>
      <c r="P807" s="45" t="n">
        <f aca="false">ABS(M807-N807)</f>
        <v>17</v>
      </c>
      <c r="Q807" s="45" t="n">
        <f aca="false">IF(O807="","",ABS(O807-M807))</f>
        <v>37.7599999999984</v>
      </c>
      <c r="R807" s="31" t="n">
        <f aca="false">P807*L807*Summary!$C$6</f>
        <v>68</v>
      </c>
      <c r="S807" s="32" t="n">
        <v>21529.82</v>
      </c>
      <c r="T807" s="29" t="s">
        <v>249</v>
      </c>
      <c r="U807" s="45" t="n">
        <f aca="false">IF(J807="BUY",S807-M807,M807-S807)</f>
        <v>-17.4200000000019</v>
      </c>
      <c r="V807" s="46" t="n">
        <v>0</v>
      </c>
      <c r="W807" s="46" t="n">
        <v>0</v>
      </c>
      <c r="X807" s="46" t="n">
        <v>-69.68</v>
      </c>
      <c r="Y807" s="33" t="n">
        <f aca="false">IFERROR(X807/R807,0)</f>
        <v>-1.02470588235294</v>
      </c>
      <c r="Z807" s="29" t="str">
        <f aca="false">IF(X807&gt;0,"Win",IF(X807&lt;0,"Loss","Flat"))</f>
        <v>Loss</v>
      </c>
      <c r="AA807" s="29" t="n">
        <f aca="false">ROUND((C807-B807)*1440,1)</f>
        <v>0.9</v>
      </c>
      <c r="AB807" s="29" t="str">
        <f aca="false">IF(AA807&lt;1,"a) &lt;1 min",IF(AA807&lt;10,"b) 1-10 min",IF(AA807&lt;60,"c) 10-60 min",IF(AA807&lt;240,"d) 1-4 h","e) 4 h+"))))</f>
        <v>a) &lt;1 min</v>
      </c>
      <c r="AC807" s="29" t="str">
        <f aca="false">IF(P807&lt;10,"a) &lt;10",IF(P807&lt;20,"b) 10-20",IF(P807&lt;40,"c) 20-40",IF(P807&lt;80,"d) 40-80","e) 80+"))))</f>
        <v>b) 10-20</v>
      </c>
      <c r="AD807" s="31" t="n">
        <f aca="false">Summary!$C$5+SUM(X$2:X807)</f>
        <v>18124.08</v>
      </c>
      <c r="AE807" s="31" t="n">
        <f aca="false">MAX(AE806,AD807)</f>
        <v>18456.72</v>
      </c>
      <c r="AF807" s="31" t="n">
        <f aca="false">AE807-AD807</f>
        <v>332.639999999999</v>
      </c>
      <c r="AG807" s="30" t="n">
        <f aca="false">IFERROR(AF807/AE807,0)</f>
        <v>0.0180227039257246</v>
      </c>
    </row>
    <row r="808" customFormat="false" ht="15" hidden="false" customHeight="false" outlineLevel="0" collapsed="false">
      <c r="A808" s="29" t="n">
        <v>807</v>
      </c>
      <c r="B808" s="44" t="n">
        <v>45812.6277777778</v>
      </c>
      <c r="C808" s="44" t="n">
        <v>45812.6314930556</v>
      </c>
      <c r="D808" s="43" t="n">
        <f aca="false">INT(C808)</f>
        <v>45812</v>
      </c>
      <c r="E808" s="43" t="n">
        <f aca="false">D808-WEEKDAY(D808,3)</f>
        <v>45810</v>
      </c>
      <c r="F808" s="29" t="s">
        <v>182</v>
      </c>
      <c r="G808" s="29" t="n">
        <v>2025</v>
      </c>
      <c r="H808" s="29" t="s">
        <v>252</v>
      </c>
      <c r="I808" s="29" t="n">
        <v>15</v>
      </c>
      <c r="J808" s="29" t="s">
        <v>246</v>
      </c>
      <c r="K808" s="29" t="s">
        <v>247</v>
      </c>
      <c r="L808" s="29" t="n">
        <v>0.04</v>
      </c>
      <c r="M808" s="32" t="n">
        <v>21718.01</v>
      </c>
      <c r="N808" s="32" t="n">
        <v>21712.76</v>
      </c>
      <c r="O808" s="32" t="n">
        <v>21730.88</v>
      </c>
      <c r="P808" s="45" t="n">
        <f aca="false">ABS(M808-N808)</f>
        <v>5.25</v>
      </c>
      <c r="Q808" s="45" t="n">
        <f aca="false">IF(O808="","",ABS(O808-M808))</f>
        <v>12.8700000000026</v>
      </c>
      <c r="R808" s="31" t="n">
        <f aca="false">P808*L808*Summary!$C$6</f>
        <v>21</v>
      </c>
      <c r="S808" s="32" t="n">
        <v>21717.95</v>
      </c>
      <c r="T808" s="29" t="s">
        <v>255</v>
      </c>
      <c r="U808" s="45" t="n">
        <f aca="false">IF(J808="BUY",S808-M808,M808-S808)</f>
        <v>-0.0599999999976717</v>
      </c>
      <c r="V808" s="46" t="n">
        <v>0</v>
      </c>
      <c r="W808" s="46" t="n">
        <v>0</v>
      </c>
      <c r="X808" s="46" t="n">
        <v>-0.24</v>
      </c>
      <c r="Y808" s="33" t="n">
        <f aca="false">IFERROR(X808/R808,0)</f>
        <v>-0.0114285714285714</v>
      </c>
      <c r="Z808" s="29" t="str">
        <f aca="false">IF(X808&gt;0,"Win",IF(X808&lt;0,"Loss","Flat"))</f>
        <v>Loss</v>
      </c>
      <c r="AA808" s="29" t="n">
        <f aca="false">ROUND((C808-B808)*1440,1)</f>
        <v>5.4</v>
      </c>
      <c r="AB808" s="29" t="str">
        <f aca="false">IF(AA808&lt;1,"a) &lt;1 min",IF(AA808&lt;10,"b) 1-10 min",IF(AA808&lt;60,"c) 10-60 min",IF(AA808&lt;240,"d) 1-4 h","e) 4 h+"))))</f>
        <v>b) 1-10 min</v>
      </c>
      <c r="AC808" s="29" t="str">
        <f aca="false">IF(P808&lt;10,"a) &lt;10",IF(P808&lt;20,"b) 10-20",IF(P808&lt;40,"c) 20-40",IF(P808&lt;80,"d) 40-80","e) 80+"))))</f>
        <v>a) &lt;10</v>
      </c>
      <c r="AD808" s="31" t="n">
        <f aca="false">Summary!$C$5+SUM(X$2:X808)</f>
        <v>18123.84</v>
      </c>
      <c r="AE808" s="31" t="n">
        <f aca="false">MAX(AE807,AD808)</f>
        <v>18456.72</v>
      </c>
      <c r="AF808" s="31" t="n">
        <f aca="false">AE808-AD808</f>
        <v>332.880000000001</v>
      </c>
      <c r="AG808" s="30" t="n">
        <f aca="false">IFERROR(AF808/AE808,0)</f>
        <v>0.0180357073196105</v>
      </c>
    </row>
    <row r="809" customFormat="false" ht="15" hidden="false" customHeight="false" outlineLevel="0" collapsed="false">
      <c r="A809" s="29" t="n">
        <v>808</v>
      </c>
      <c r="B809" s="44" t="n">
        <v>45813.4361111111</v>
      </c>
      <c r="C809" s="44" t="n">
        <v>45813.4381828704</v>
      </c>
      <c r="D809" s="43" t="n">
        <f aca="false">INT(C809)</f>
        <v>45813</v>
      </c>
      <c r="E809" s="43" t="n">
        <f aca="false">D809-WEEKDAY(D809,3)</f>
        <v>45810</v>
      </c>
      <c r="F809" s="29" t="s">
        <v>182</v>
      </c>
      <c r="G809" s="29" t="n">
        <v>2025</v>
      </c>
      <c r="H809" s="29" t="s">
        <v>253</v>
      </c>
      <c r="I809" s="29" t="n">
        <v>10</v>
      </c>
      <c r="J809" s="29" t="s">
        <v>246</v>
      </c>
      <c r="K809" s="29" t="s">
        <v>247</v>
      </c>
      <c r="L809" s="29" t="n">
        <v>0.04</v>
      </c>
      <c r="M809" s="32" t="n">
        <v>21767.27</v>
      </c>
      <c r="N809" s="32" t="n">
        <v>21758.9</v>
      </c>
      <c r="O809" s="32" t="n">
        <v>21787.78</v>
      </c>
      <c r="P809" s="45" t="n">
        <f aca="false">ABS(M809-N809)</f>
        <v>8.36999999999898</v>
      </c>
      <c r="Q809" s="45" t="n">
        <f aca="false">IF(O809="","",ABS(O809-M809))</f>
        <v>20.5099999999984</v>
      </c>
      <c r="R809" s="31" t="n">
        <f aca="false">P809*L809*Summary!$C$6</f>
        <v>33.4799999999959</v>
      </c>
      <c r="S809" s="32" t="n">
        <v>21767.21</v>
      </c>
      <c r="T809" s="29" t="s">
        <v>255</v>
      </c>
      <c r="U809" s="45" t="n">
        <f aca="false">IF(J809="BUY",S809-M809,M809-S809)</f>
        <v>-0.0600000000013097</v>
      </c>
      <c r="V809" s="46" t="n">
        <v>0</v>
      </c>
      <c r="W809" s="46" t="n">
        <v>0</v>
      </c>
      <c r="X809" s="46" t="n">
        <v>-0.24</v>
      </c>
      <c r="Y809" s="33" t="n">
        <f aca="false">IFERROR(X809/R809,0)</f>
        <v>-0.00716845878136288</v>
      </c>
      <c r="Z809" s="29" t="str">
        <f aca="false">IF(X809&gt;0,"Win",IF(X809&lt;0,"Loss","Flat"))</f>
        <v>Loss</v>
      </c>
      <c r="AA809" s="29" t="n">
        <f aca="false">ROUND((C809-B809)*1440,1)</f>
        <v>3</v>
      </c>
      <c r="AB809" s="29" t="str">
        <f aca="false">IF(AA809&lt;1,"a) &lt;1 min",IF(AA809&lt;10,"b) 1-10 min",IF(AA809&lt;60,"c) 10-60 min",IF(AA809&lt;240,"d) 1-4 h","e) 4 h+"))))</f>
        <v>b) 1-10 min</v>
      </c>
      <c r="AC809" s="29" t="str">
        <f aca="false">IF(P809&lt;10,"a) &lt;10",IF(P809&lt;20,"b) 10-20",IF(P809&lt;40,"c) 20-40",IF(P809&lt;80,"d) 40-80","e) 80+"))))</f>
        <v>a) &lt;10</v>
      </c>
      <c r="AD809" s="31" t="n">
        <f aca="false">Summary!$C$5+SUM(X$2:X809)</f>
        <v>18123.6</v>
      </c>
      <c r="AE809" s="31" t="n">
        <f aca="false">MAX(AE808,AD809)</f>
        <v>18456.72</v>
      </c>
      <c r="AF809" s="31" t="n">
        <f aca="false">AE809-AD809</f>
        <v>333.120000000003</v>
      </c>
      <c r="AG809" s="30" t="n">
        <f aca="false">IFERROR(AF809/AE809,0)</f>
        <v>0.0180487107134964</v>
      </c>
    </row>
    <row r="810" customFormat="false" ht="15" hidden="false" customHeight="false" outlineLevel="0" collapsed="false">
      <c r="A810" s="29" t="n">
        <v>809</v>
      </c>
      <c r="B810" s="44" t="n">
        <v>45813.8868055556</v>
      </c>
      <c r="C810" s="44" t="n">
        <v>45813.888125</v>
      </c>
      <c r="D810" s="43" t="n">
        <f aca="false">INT(C810)</f>
        <v>45813</v>
      </c>
      <c r="E810" s="43" t="n">
        <f aca="false">D810-WEEKDAY(D810,3)</f>
        <v>45810</v>
      </c>
      <c r="F810" s="29" t="s">
        <v>182</v>
      </c>
      <c r="G810" s="29" t="n">
        <v>2025</v>
      </c>
      <c r="H810" s="29" t="s">
        <v>253</v>
      </c>
      <c r="I810" s="29" t="n">
        <v>21</v>
      </c>
      <c r="J810" s="29" t="s">
        <v>250</v>
      </c>
      <c r="K810" s="29" t="s">
        <v>251</v>
      </c>
      <c r="L810" s="29" t="n">
        <v>0.04</v>
      </c>
      <c r="M810" s="32" t="n">
        <v>21588.55</v>
      </c>
      <c r="N810" s="32" t="n">
        <v>21610.34</v>
      </c>
      <c r="O810" s="32" t="n">
        <v>21535.16</v>
      </c>
      <c r="P810" s="45" t="n">
        <f aca="false">ABS(M810-N810)</f>
        <v>21.7900000000009</v>
      </c>
      <c r="Q810" s="45" t="n">
        <f aca="false">IF(O810="","",ABS(O810-M810))</f>
        <v>53.3899999999994</v>
      </c>
      <c r="R810" s="31" t="n">
        <f aca="false">P810*L810*Summary!$C$6</f>
        <v>87.1600000000035</v>
      </c>
      <c r="S810" s="32" t="n">
        <v>21610.52</v>
      </c>
      <c r="T810" s="29" t="s">
        <v>249</v>
      </c>
      <c r="U810" s="45" t="n">
        <f aca="false">IF(J810="BUY",S810-M810,M810-S810)</f>
        <v>-21.9700000000012</v>
      </c>
      <c r="V810" s="46" t="n">
        <v>0</v>
      </c>
      <c r="W810" s="46" t="n">
        <v>0</v>
      </c>
      <c r="X810" s="46" t="n">
        <v>-87.88</v>
      </c>
      <c r="Y810" s="33" t="n">
        <f aca="false">IFERROR(X810/R810,0)</f>
        <v>-1.00826067003208</v>
      </c>
      <c r="Z810" s="29" t="str">
        <f aca="false">IF(X810&gt;0,"Win",IF(X810&lt;0,"Loss","Flat"))</f>
        <v>Loss</v>
      </c>
      <c r="AA810" s="29" t="n">
        <f aca="false">ROUND((C810-B810)*1440,1)</f>
        <v>1.9</v>
      </c>
      <c r="AB810" s="29" t="str">
        <f aca="false">IF(AA810&lt;1,"a) &lt;1 min",IF(AA810&lt;10,"b) 1-10 min",IF(AA810&lt;60,"c) 10-60 min",IF(AA810&lt;240,"d) 1-4 h","e) 4 h+"))))</f>
        <v>b) 1-10 min</v>
      </c>
      <c r="AC810" s="29" t="str">
        <f aca="false">IF(P810&lt;10,"a) &lt;10",IF(P810&lt;20,"b) 10-20",IF(P810&lt;40,"c) 20-40",IF(P810&lt;80,"d) 40-80","e) 80+"))))</f>
        <v>c) 20-40</v>
      </c>
      <c r="AD810" s="31" t="n">
        <f aca="false">Summary!$C$5+SUM(X$2:X810)</f>
        <v>18035.72</v>
      </c>
      <c r="AE810" s="31" t="n">
        <f aca="false">MAX(AE809,AD810)</f>
        <v>18456.72</v>
      </c>
      <c r="AF810" s="31" t="n">
        <f aca="false">AE810-AD810</f>
        <v>421</v>
      </c>
      <c r="AG810" s="30" t="n">
        <f aca="false">IFERROR(AF810/AE810,0)</f>
        <v>0.0228101201080149</v>
      </c>
    </row>
    <row r="811" customFormat="false" ht="15" hidden="false" customHeight="false" outlineLevel="0" collapsed="false">
      <c r="A811" s="29" t="n">
        <v>810</v>
      </c>
      <c r="B811" s="44" t="n">
        <v>45814.0465509259</v>
      </c>
      <c r="C811" s="44" t="n">
        <v>45814.0530208333</v>
      </c>
      <c r="D811" s="43" t="n">
        <f aca="false">INT(C811)</f>
        <v>45814</v>
      </c>
      <c r="E811" s="43" t="n">
        <f aca="false">D811-WEEKDAY(D811,3)</f>
        <v>45810</v>
      </c>
      <c r="F811" s="29" t="s">
        <v>182</v>
      </c>
      <c r="G811" s="29" t="n">
        <v>2025</v>
      </c>
      <c r="H811" s="29" t="s">
        <v>254</v>
      </c>
      <c r="I811" s="29" t="n">
        <v>1</v>
      </c>
      <c r="J811" s="29" t="s">
        <v>250</v>
      </c>
      <c r="K811" s="29" t="s">
        <v>251</v>
      </c>
      <c r="L811" s="29" t="n">
        <v>0.04</v>
      </c>
      <c r="M811" s="32" t="n">
        <v>21459.48</v>
      </c>
      <c r="N811" s="32" t="n">
        <v>21484.19</v>
      </c>
      <c r="O811" s="32" t="n">
        <v>21398.93</v>
      </c>
      <c r="P811" s="45" t="n">
        <f aca="false">ABS(M811-N811)</f>
        <v>24.7099999999991</v>
      </c>
      <c r="Q811" s="45" t="n">
        <f aca="false">IF(O811="","",ABS(O811-M811))</f>
        <v>60.5499999999993</v>
      </c>
      <c r="R811" s="31" t="n">
        <f aca="false">P811*L811*Summary!$C$6</f>
        <v>98.8399999999965</v>
      </c>
      <c r="S811" s="32" t="n">
        <v>21484.28</v>
      </c>
      <c r="T811" s="29" t="s">
        <v>249</v>
      </c>
      <c r="U811" s="45" t="n">
        <f aca="false">IF(J811="BUY",S811-M811,M811-S811)</f>
        <v>-24.7999999999993</v>
      </c>
      <c r="V811" s="46" t="n">
        <v>0</v>
      </c>
      <c r="W811" s="46" t="n">
        <v>0</v>
      </c>
      <c r="X811" s="46" t="n">
        <v>-99.2</v>
      </c>
      <c r="Y811" s="33" t="n">
        <f aca="false">IFERROR(X811/R811,0)</f>
        <v>-1.00364225010121</v>
      </c>
      <c r="Z811" s="29" t="str">
        <f aca="false">IF(X811&gt;0,"Win",IF(X811&lt;0,"Loss","Flat"))</f>
        <v>Loss</v>
      </c>
      <c r="AA811" s="29" t="n">
        <f aca="false">ROUND((C811-B811)*1440,1)</f>
        <v>9.3</v>
      </c>
      <c r="AB811" s="29" t="str">
        <f aca="false">IF(AA811&lt;1,"a) &lt;1 min",IF(AA811&lt;10,"b) 1-10 min",IF(AA811&lt;60,"c) 10-60 min",IF(AA811&lt;240,"d) 1-4 h","e) 4 h+"))))</f>
        <v>b) 1-10 min</v>
      </c>
      <c r="AC811" s="29" t="str">
        <f aca="false">IF(P811&lt;10,"a) &lt;10",IF(P811&lt;20,"b) 10-20",IF(P811&lt;40,"c) 20-40",IF(P811&lt;80,"d) 40-80","e) 80+"))))</f>
        <v>c) 20-40</v>
      </c>
      <c r="AD811" s="31" t="n">
        <f aca="false">Summary!$C$5+SUM(X$2:X811)</f>
        <v>17936.52</v>
      </c>
      <c r="AE811" s="31" t="n">
        <f aca="false">MAX(AE810,AD811)</f>
        <v>18456.72</v>
      </c>
      <c r="AF811" s="31" t="n">
        <f aca="false">AE811-AD811</f>
        <v>520.200000000001</v>
      </c>
      <c r="AG811" s="30" t="n">
        <f aca="false">IFERROR(AF811/AE811,0)</f>
        <v>0.0281848562474806</v>
      </c>
    </row>
    <row r="812" customFormat="false" ht="15" hidden="false" customHeight="false" outlineLevel="0" collapsed="false">
      <c r="A812" s="29" t="n">
        <v>811</v>
      </c>
      <c r="B812" s="44" t="n">
        <v>45817.73125</v>
      </c>
      <c r="C812" s="44" t="n">
        <v>45817.7392939815</v>
      </c>
      <c r="D812" s="43" t="n">
        <f aca="false">INT(C812)</f>
        <v>45817</v>
      </c>
      <c r="E812" s="43" t="n">
        <f aca="false">D812-WEEKDAY(D812,3)</f>
        <v>45817</v>
      </c>
      <c r="F812" s="29" t="s">
        <v>182</v>
      </c>
      <c r="G812" s="29" t="n">
        <v>2025</v>
      </c>
      <c r="H812" s="29" t="s">
        <v>245</v>
      </c>
      <c r="I812" s="29" t="n">
        <v>17</v>
      </c>
      <c r="J812" s="29" t="s">
        <v>246</v>
      </c>
      <c r="K812" s="29" t="s">
        <v>247</v>
      </c>
      <c r="L812" s="29" t="n">
        <v>0.04</v>
      </c>
      <c r="M812" s="32" t="n">
        <v>21849.71</v>
      </c>
      <c r="N812" s="32" t="n">
        <v>21833.74</v>
      </c>
      <c r="O812" s="32" t="n">
        <v>21888.83</v>
      </c>
      <c r="P812" s="45" t="n">
        <f aca="false">ABS(M812-N812)</f>
        <v>15.9699999999975</v>
      </c>
      <c r="Q812" s="45" t="n">
        <f aca="false">IF(O812="","",ABS(O812-M812))</f>
        <v>39.1200000000026</v>
      </c>
      <c r="R812" s="31" t="n">
        <f aca="false">P812*L812*Summary!$C$6</f>
        <v>63.8799999999901</v>
      </c>
      <c r="S812" s="32" t="n">
        <v>21833.17</v>
      </c>
      <c r="T812" s="29" t="s">
        <v>249</v>
      </c>
      <c r="U812" s="45" t="n">
        <f aca="false">IF(J812="BUY",S812-M812,M812-S812)</f>
        <v>-16.5400000000009</v>
      </c>
      <c r="V812" s="46" t="n">
        <v>0</v>
      </c>
      <c r="W812" s="46" t="n">
        <v>0</v>
      </c>
      <c r="X812" s="46" t="n">
        <v>-66.16</v>
      </c>
      <c r="Y812" s="33" t="n">
        <f aca="false">IFERROR(X812/R812,0)</f>
        <v>-1.03569192235457</v>
      </c>
      <c r="Z812" s="29" t="str">
        <f aca="false">IF(X812&gt;0,"Win",IF(X812&lt;0,"Loss","Flat"))</f>
        <v>Loss</v>
      </c>
      <c r="AA812" s="29" t="n">
        <f aca="false">ROUND((C812-B812)*1440,1)</f>
        <v>11.6</v>
      </c>
      <c r="AB812" s="29" t="str">
        <f aca="false">IF(AA812&lt;1,"a) &lt;1 min",IF(AA812&lt;10,"b) 1-10 min",IF(AA812&lt;60,"c) 10-60 min",IF(AA812&lt;240,"d) 1-4 h","e) 4 h+"))))</f>
        <v>c) 10-60 min</v>
      </c>
      <c r="AC812" s="29" t="str">
        <f aca="false">IF(P812&lt;10,"a) &lt;10",IF(P812&lt;20,"b) 10-20",IF(P812&lt;40,"c) 20-40",IF(P812&lt;80,"d) 40-80","e) 80+"))))</f>
        <v>b) 10-20</v>
      </c>
      <c r="AD812" s="31" t="n">
        <f aca="false">Summary!$C$5+SUM(X$2:X812)</f>
        <v>17870.36</v>
      </c>
      <c r="AE812" s="31" t="n">
        <f aca="false">MAX(AE811,AD812)</f>
        <v>18456.72</v>
      </c>
      <c r="AF812" s="31" t="n">
        <f aca="false">AE812-AD812</f>
        <v>586.360000000001</v>
      </c>
      <c r="AG812" s="30" t="n">
        <f aca="false">IFERROR(AF812/AE812,0)</f>
        <v>0.031769458495334</v>
      </c>
    </row>
    <row r="813" customFormat="false" ht="15" hidden="false" customHeight="false" outlineLevel="0" collapsed="false">
      <c r="A813" s="29" t="n">
        <v>812</v>
      </c>
      <c r="B813" s="44" t="n">
        <v>45818.1784722222</v>
      </c>
      <c r="C813" s="44" t="n">
        <v>45818.1834027778</v>
      </c>
      <c r="D813" s="43" t="n">
        <f aca="false">INT(C813)</f>
        <v>45818</v>
      </c>
      <c r="E813" s="43" t="n">
        <f aca="false">D813-WEEKDAY(D813,3)</f>
        <v>45817</v>
      </c>
      <c r="F813" s="29" t="s">
        <v>182</v>
      </c>
      <c r="G813" s="29" t="n">
        <v>2025</v>
      </c>
      <c r="H813" s="29" t="s">
        <v>248</v>
      </c>
      <c r="I813" s="29" t="n">
        <v>4</v>
      </c>
      <c r="J813" s="29" t="s">
        <v>246</v>
      </c>
      <c r="K813" s="29" t="s">
        <v>247</v>
      </c>
      <c r="L813" s="29" t="n">
        <v>0.04</v>
      </c>
      <c r="M813" s="32" t="n">
        <v>21869.67</v>
      </c>
      <c r="N813" s="32" t="n">
        <v>21863.41</v>
      </c>
      <c r="O813" s="32" t="n">
        <v>21885.02</v>
      </c>
      <c r="P813" s="45" t="n">
        <f aca="false">ABS(M813-N813)</f>
        <v>6.2599999999984</v>
      </c>
      <c r="Q813" s="45" t="n">
        <f aca="false">IF(O813="","",ABS(O813-M813))</f>
        <v>15.3500000000022</v>
      </c>
      <c r="R813" s="31" t="n">
        <f aca="false">P813*L813*Summary!$C$6</f>
        <v>25.0399999999936</v>
      </c>
      <c r="S813" s="32" t="n">
        <v>21885.5</v>
      </c>
      <c r="T813" s="29" t="s">
        <v>227</v>
      </c>
      <c r="U813" s="45" t="n">
        <f aca="false">IF(J813="BUY",S813-M813,M813-S813)</f>
        <v>15.8300000000017</v>
      </c>
      <c r="V813" s="46" t="n">
        <v>0</v>
      </c>
      <c r="W813" s="46" t="n">
        <v>0</v>
      </c>
      <c r="X813" s="46" t="n">
        <v>63.32</v>
      </c>
      <c r="Y813" s="33" t="n">
        <f aca="false">IFERROR(X813/R813,0)</f>
        <v>2.52875399361087</v>
      </c>
      <c r="Z813" s="29" t="str">
        <f aca="false">IF(X813&gt;0,"Win",IF(X813&lt;0,"Loss","Flat"))</f>
        <v>Win</v>
      </c>
      <c r="AA813" s="29" t="n">
        <f aca="false">ROUND((C813-B813)*1440,1)</f>
        <v>7.1</v>
      </c>
      <c r="AB813" s="29" t="str">
        <f aca="false">IF(AA813&lt;1,"a) &lt;1 min",IF(AA813&lt;10,"b) 1-10 min",IF(AA813&lt;60,"c) 10-60 min",IF(AA813&lt;240,"d) 1-4 h","e) 4 h+"))))</f>
        <v>b) 1-10 min</v>
      </c>
      <c r="AC813" s="29" t="str">
        <f aca="false">IF(P813&lt;10,"a) &lt;10",IF(P813&lt;20,"b) 10-20",IF(P813&lt;40,"c) 20-40",IF(P813&lt;80,"d) 40-80","e) 80+"))))</f>
        <v>a) &lt;10</v>
      </c>
      <c r="AD813" s="31" t="n">
        <f aca="false">Summary!$C$5+SUM(X$2:X813)</f>
        <v>17933.68</v>
      </c>
      <c r="AE813" s="31" t="n">
        <f aca="false">MAX(AE812,AD813)</f>
        <v>18456.72</v>
      </c>
      <c r="AF813" s="31" t="n">
        <f aca="false">AE813-AD813</f>
        <v>523.040000000001</v>
      </c>
      <c r="AG813" s="30" t="n">
        <f aca="false">IFERROR(AF813/AE813,0)</f>
        <v>0.028338729741796</v>
      </c>
    </row>
    <row r="814" customFormat="false" ht="15" hidden="false" customHeight="false" outlineLevel="0" collapsed="false">
      <c r="A814" s="29" t="n">
        <v>813</v>
      </c>
      <c r="B814" s="44" t="n">
        <v>45819.0958333333</v>
      </c>
      <c r="C814" s="44" t="n">
        <v>45819.096087963</v>
      </c>
      <c r="D814" s="43" t="n">
        <f aca="false">INT(C814)</f>
        <v>45819</v>
      </c>
      <c r="E814" s="43" t="n">
        <f aca="false">D814-WEEKDAY(D814,3)</f>
        <v>45817</v>
      </c>
      <c r="F814" s="29" t="s">
        <v>182</v>
      </c>
      <c r="G814" s="29" t="n">
        <v>2025</v>
      </c>
      <c r="H814" s="29" t="s">
        <v>252</v>
      </c>
      <c r="I814" s="29" t="n">
        <v>2</v>
      </c>
      <c r="J814" s="29" t="s">
        <v>246</v>
      </c>
      <c r="K814" s="29" t="s">
        <v>247</v>
      </c>
      <c r="L814" s="29" t="n">
        <v>0.04</v>
      </c>
      <c r="M814" s="32" t="n">
        <v>21968.89</v>
      </c>
      <c r="N814" s="32" t="n">
        <v>21955.47</v>
      </c>
      <c r="O814" s="32" t="n">
        <v>22001.77</v>
      </c>
      <c r="P814" s="45" t="n">
        <f aca="false">ABS(M814-N814)</f>
        <v>13.4199999999983</v>
      </c>
      <c r="Q814" s="45" t="n">
        <f aca="false">IF(O814="","",ABS(O814-M814))</f>
        <v>32.880000000001</v>
      </c>
      <c r="R814" s="31" t="n">
        <f aca="false">P814*L814*Summary!$C$6</f>
        <v>53.679999999993</v>
      </c>
      <c r="S814" s="32" t="n">
        <v>21955.29</v>
      </c>
      <c r="T814" s="29" t="s">
        <v>249</v>
      </c>
      <c r="U814" s="45" t="n">
        <f aca="false">IF(J814="BUY",S814-M814,M814-S814)</f>
        <v>-13.5999999999985</v>
      </c>
      <c r="V814" s="46" t="n">
        <v>0</v>
      </c>
      <c r="W814" s="46" t="n">
        <v>0</v>
      </c>
      <c r="X814" s="46" t="n">
        <v>-54.4</v>
      </c>
      <c r="Y814" s="33" t="n">
        <f aca="false">IFERROR(X814/R814,0)</f>
        <v>-1.01341281669164</v>
      </c>
      <c r="Z814" s="29" t="str">
        <f aca="false">IF(X814&gt;0,"Win",IF(X814&lt;0,"Loss","Flat"))</f>
        <v>Loss</v>
      </c>
      <c r="AA814" s="29" t="n">
        <f aca="false">ROUND((C814-B814)*1440,1)</f>
        <v>0.4</v>
      </c>
      <c r="AB814" s="29" t="str">
        <f aca="false">IF(AA814&lt;1,"a) &lt;1 min",IF(AA814&lt;10,"b) 1-10 min",IF(AA814&lt;60,"c) 10-60 min",IF(AA814&lt;240,"d) 1-4 h","e) 4 h+"))))</f>
        <v>a) &lt;1 min</v>
      </c>
      <c r="AC814" s="29" t="str">
        <f aca="false">IF(P814&lt;10,"a) &lt;10",IF(P814&lt;20,"b) 10-20",IF(P814&lt;40,"c) 20-40",IF(P814&lt;80,"d) 40-80","e) 80+"))))</f>
        <v>b) 10-20</v>
      </c>
      <c r="AD814" s="31" t="n">
        <f aca="false">Summary!$C$5+SUM(X$2:X814)</f>
        <v>17879.28</v>
      </c>
      <c r="AE814" s="31" t="n">
        <f aca="false">MAX(AE813,AD814)</f>
        <v>18456.72</v>
      </c>
      <c r="AF814" s="31" t="n">
        <f aca="false">AE814-AD814</f>
        <v>577.440000000002</v>
      </c>
      <c r="AG814" s="30" t="n">
        <f aca="false">IFERROR(AF814/AE814,0)</f>
        <v>0.031286165689245</v>
      </c>
    </row>
    <row r="815" customFormat="false" ht="15" hidden="false" customHeight="false" outlineLevel="0" collapsed="false">
      <c r="A815" s="29" t="n">
        <v>814</v>
      </c>
      <c r="B815" s="44" t="n">
        <v>45820.1833333333</v>
      </c>
      <c r="C815" s="44" t="n">
        <v>45820.1929282407</v>
      </c>
      <c r="D815" s="43" t="n">
        <f aca="false">INT(C815)</f>
        <v>45820</v>
      </c>
      <c r="E815" s="43" t="n">
        <f aca="false">D815-WEEKDAY(D815,3)</f>
        <v>45817</v>
      </c>
      <c r="F815" s="29" t="s">
        <v>182</v>
      </c>
      <c r="G815" s="29" t="n">
        <v>2025</v>
      </c>
      <c r="H815" s="29" t="s">
        <v>253</v>
      </c>
      <c r="I815" s="29" t="n">
        <v>4</v>
      </c>
      <c r="J815" s="29" t="s">
        <v>250</v>
      </c>
      <c r="K815" s="29" t="s">
        <v>251</v>
      </c>
      <c r="L815" s="29" t="n">
        <v>0.04</v>
      </c>
      <c r="M815" s="32" t="n">
        <v>21763.08</v>
      </c>
      <c r="N815" s="32" t="n">
        <v>21771.19</v>
      </c>
      <c r="O815" s="32" t="n">
        <v>21743.22</v>
      </c>
      <c r="P815" s="45" t="n">
        <f aca="false">ABS(M815-N815)</f>
        <v>8.10999999999694</v>
      </c>
      <c r="Q815" s="45" t="n">
        <f aca="false">IF(O815="","",ABS(O815-M815))</f>
        <v>19.8600000000006</v>
      </c>
      <c r="R815" s="31" t="n">
        <f aca="false">P815*L815*Summary!$C$6</f>
        <v>32.4399999999878</v>
      </c>
      <c r="S815" s="32" t="n">
        <v>21740.15</v>
      </c>
      <c r="T815" s="29" t="s">
        <v>227</v>
      </c>
      <c r="U815" s="45" t="n">
        <f aca="false">IF(J815="BUY",S815-M815,M815-S815)</f>
        <v>22.9300000000003</v>
      </c>
      <c r="V815" s="46" t="n">
        <v>0</v>
      </c>
      <c r="W815" s="46" t="n">
        <v>0</v>
      </c>
      <c r="X815" s="46" t="n">
        <v>91.72</v>
      </c>
      <c r="Y815" s="33" t="n">
        <f aca="false">IFERROR(X815/R815,0)</f>
        <v>2.82737361282474</v>
      </c>
      <c r="Z815" s="29" t="str">
        <f aca="false">IF(X815&gt;0,"Win",IF(X815&lt;0,"Loss","Flat"))</f>
        <v>Win</v>
      </c>
      <c r="AA815" s="29" t="n">
        <f aca="false">ROUND((C815-B815)*1440,1)</f>
        <v>13.8</v>
      </c>
      <c r="AB815" s="29" t="str">
        <f aca="false">IF(AA815&lt;1,"a) &lt;1 min",IF(AA815&lt;10,"b) 1-10 min",IF(AA815&lt;60,"c) 10-60 min",IF(AA815&lt;240,"d) 1-4 h","e) 4 h+"))))</f>
        <v>c) 10-60 min</v>
      </c>
      <c r="AC815" s="29" t="str">
        <f aca="false">IF(P815&lt;10,"a) &lt;10",IF(P815&lt;20,"b) 10-20",IF(P815&lt;40,"c) 20-40",IF(P815&lt;80,"d) 40-80","e) 80+"))))</f>
        <v>a) &lt;10</v>
      </c>
      <c r="AD815" s="31" t="n">
        <f aca="false">Summary!$C$5+SUM(X$2:X815)</f>
        <v>17971</v>
      </c>
      <c r="AE815" s="31" t="n">
        <f aca="false">MAX(AE814,AD815)</f>
        <v>18456.72</v>
      </c>
      <c r="AF815" s="31" t="n">
        <f aca="false">AE815-AD815</f>
        <v>485.720000000001</v>
      </c>
      <c r="AG815" s="30" t="n">
        <f aca="false">IFERROR(AF815/AE815,0)</f>
        <v>0.0263167019925535</v>
      </c>
    </row>
    <row r="816" customFormat="false" ht="15" hidden="false" customHeight="false" outlineLevel="0" collapsed="false">
      <c r="A816" s="29" t="n">
        <v>815</v>
      </c>
      <c r="B816" s="44" t="n">
        <v>45821.1270833333</v>
      </c>
      <c r="C816" s="44" t="n">
        <v>45821.134849537</v>
      </c>
      <c r="D816" s="43" t="n">
        <f aca="false">INT(C816)</f>
        <v>45821</v>
      </c>
      <c r="E816" s="43" t="n">
        <f aca="false">D816-WEEKDAY(D816,3)</f>
        <v>45817</v>
      </c>
      <c r="F816" s="29" t="s">
        <v>182</v>
      </c>
      <c r="G816" s="29" t="n">
        <v>2025</v>
      </c>
      <c r="H816" s="29" t="s">
        <v>254</v>
      </c>
      <c r="I816" s="29" t="n">
        <v>3</v>
      </c>
      <c r="J816" s="29" t="s">
        <v>250</v>
      </c>
      <c r="K816" s="29" t="s">
        <v>251</v>
      </c>
      <c r="L816" s="29" t="n">
        <v>0.04</v>
      </c>
      <c r="M816" s="32" t="n">
        <v>21687.6</v>
      </c>
      <c r="N816" s="32" t="n">
        <v>21737.04</v>
      </c>
      <c r="O816" s="32" t="n">
        <v>21566.47</v>
      </c>
      <c r="P816" s="45" t="n">
        <f aca="false">ABS(M816-N816)</f>
        <v>49.4400000000023</v>
      </c>
      <c r="Q816" s="45" t="n">
        <f aca="false">IF(O816="","",ABS(O816-M816))</f>
        <v>121.129999999997</v>
      </c>
      <c r="R816" s="31" t="n">
        <f aca="false">P816*L816*Summary!$C$6</f>
        <v>197.760000000009</v>
      </c>
      <c r="S816" s="32" t="n">
        <v>21688.89</v>
      </c>
      <c r="T816" s="29" t="s">
        <v>255</v>
      </c>
      <c r="U816" s="45" t="n">
        <f aca="false">IF(J816="BUY",S816-M816,M816-S816)</f>
        <v>-1.29000000000087</v>
      </c>
      <c r="V816" s="46" t="n">
        <v>0</v>
      </c>
      <c r="W816" s="46" t="n">
        <v>0</v>
      </c>
      <c r="X816" s="46" t="n">
        <v>-5.16</v>
      </c>
      <c r="Y816" s="33" t="n">
        <f aca="false">IFERROR(X816/R816,0)</f>
        <v>-0.0260922330097075</v>
      </c>
      <c r="Z816" s="29" t="str">
        <f aca="false">IF(X816&gt;0,"Win",IF(X816&lt;0,"Loss","Flat"))</f>
        <v>Loss</v>
      </c>
      <c r="AA816" s="29" t="n">
        <f aca="false">ROUND((C816-B816)*1440,1)</f>
        <v>11.2</v>
      </c>
      <c r="AB816" s="29" t="str">
        <f aca="false">IF(AA816&lt;1,"a) &lt;1 min",IF(AA816&lt;10,"b) 1-10 min",IF(AA816&lt;60,"c) 10-60 min",IF(AA816&lt;240,"d) 1-4 h","e) 4 h+"))))</f>
        <v>c) 10-60 min</v>
      </c>
      <c r="AC816" s="29" t="str">
        <f aca="false">IF(P816&lt;10,"a) &lt;10",IF(P816&lt;20,"b) 10-20",IF(P816&lt;40,"c) 20-40",IF(P816&lt;80,"d) 40-80","e) 80+"))))</f>
        <v>d) 40-80</v>
      </c>
      <c r="AD816" s="31" t="n">
        <f aca="false">Summary!$C$5+SUM(X$2:X816)</f>
        <v>17965.84</v>
      </c>
      <c r="AE816" s="31" t="n">
        <f aca="false">MAX(AE815,AD816)</f>
        <v>18456.72</v>
      </c>
      <c r="AF816" s="31" t="n">
        <f aca="false">AE816-AD816</f>
        <v>490.880000000001</v>
      </c>
      <c r="AG816" s="30" t="n">
        <f aca="false">IFERROR(AF816/AE816,0)</f>
        <v>0.0265962749610982</v>
      </c>
    </row>
    <row r="817" customFormat="false" ht="15" hidden="false" customHeight="false" outlineLevel="0" collapsed="false">
      <c r="A817" s="29" t="n">
        <v>816</v>
      </c>
      <c r="B817" s="44" t="n">
        <v>45824.7041666667</v>
      </c>
      <c r="C817" s="44" t="n">
        <v>45824.7235069444</v>
      </c>
      <c r="D817" s="43" t="n">
        <f aca="false">INT(C817)</f>
        <v>45824</v>
      </c>
      <c r="E817" s="43" t="n">
        <f aca="false">D817-WEEKDAY(D817,3)</f>
        <v>45824</v>
      </c>
      <c r="F817" s="29" t="s">
        <v>182</v>
      </c>
      <c r="G817" s="29" t="n">
        <v>2025</v>
      </c>
      <c r="H817" s="29" t="s">
        <v>245</v>
      </c>
      <c r="I817" s="29" t="n">
        <v>16</v>
      </c>
      <c r="J817" s="29" t="s">
        <v>246</v>
      </c>
      <c r="K817" s="29" t="s">
        <v>247</v>
      </c>
      <c r="L817" s="29" t="n">
        <v>0.04</v>
      </c>
      <c r="M817" s="32" t="n">
        <v>21894.98</v>
      </c>
      <c r="N817" s="32" t="n">
        <v>21875.57</v>
      </c>
      <c r="O817" s="32" t="n">
        <v>21953.99</v>
      </c>
      <c r="P817" s="45" t="n">
        <f aca="false">ABS(M817-N817)</f>
        <v>19.4099999999999</v>
      </c>
      <c r="Q817" s="45" t="n">
        <f aca="false">IF(O817="","",ABS(O817-M817))</f>
        <v>59.010000000002</v>
      </c>
      <c r="R817" s="31" t="n">
        <f aca="false">P817*L817*Summary!$C$6</f>
        <v>77.6399999999994</v>
      </c>
      <c r="S817" s="32" t="n">
        <v>21954.01</v>
      </c>
      <c r="T817" s="29" t="s">
        <v>227</v>
      </c>
      <c r="U817" s="45" t="n">
        <f aca="false">IF(J817="BUY",S817-M817,M817-S817)</f>
        <v>59.0299999999988</v>
      </c>
      <c r="V817" s="46" t="n">
        <v>0</v>
      </c>
      <c r="W817" s="46" t="n">
        <v>0</v>
      </c>
      <c r="X817" s="46" t="n">
        <v>236.12</v>
      </c>
      <c r="Y817" s="33" t="n">
        <f aca="false">IFERROR(X817/R817,0)</f>
        <v>3.04121586810924</v>
      </c>
      <c r="Z817" s="29" t="str">
        <f aca="false">IF(X817&gt;0,"Win",IF(X817&lt;0,"Loss","Flat"))</f>
        <v>Win</v>
      </c>
      <c r="AA817" s="29" t="n">
        <f aca="false">ROUND((C817-B817)*1440,1)</f>
        <v>27.9</v>
      </c>
      <c r="AB817" s="29" t="str">
        <f aca="false">IF(AA817&lt;1,"a) &lt;1 min",IF(AA817&lt;10,"b) 1-10 min",IF(AA817&lt;60,"c) 10-60 min",IF(AA817&lt;240,"d) 1-4 h","e) 4 h+"))))</f>
        <v>c) 10-60 min</v>
      </c>
      <c r="AC817" s="29" t="str">
        <f aca="false">IF(P817&lt;10,"a) &lt;10",IF(P817&lt;20,"b) 10-20",IF(P817&lt;40,"c) 20-40",IF(P817&lt;80,"d) 40-80","e) 80+"))))</f>
        <v>b) 10-20</v>
      </c>
      <c r="AD817" s="31" t="n">
        <f aca="false">Summary!$C$5+SUM(X$2:X817)</f>
        <v>18201.96</v>
      </c>
      <c r="AE817" s="31" t="n">
        <f aca="false">MAX(AE816,AD817)</f>
        <v>18456.72</v>
      </c>
      <c r="AF817" s="31" t="n">
        <f aca="false">AE817-AD817</f>
        <v>254.760000000002</v>
      </c>
      <c r="AG817" s="30" t="n">
        <f aca="false">IFERROR(AF817/AE817,0)</f>
        <v>0.0138031026097813</v>
      </c>
    </row>
    <row r="818" customFormat="false" ht="15" hidden="false" customHeight="false" outlineLevel="0" collapsed="false">
      <c r="A818" s="29" t="n">
        <v>817</v>
      </c>
      <c r="B818" s="44" t="n">
        <v>45826.0534722222</v>
      </c>
      <c r="C818" s="44" t="n">
        <v>45826.0633217593</v>
      </c>
      <c r="D818" s="43" t="n">
        <f aca="false">INT(C818)</f>
        <v>45826</v>
      </c>
      <c r="E818" s="43" t="n">
        <f aca="false">D818-WEEKDAY(D818,3)</f>
        <v>45824</v>
      </c>
      <c r="F818" s="29" t="s">
        <v>182</v>
      </c>
      <c r="G818" s="29" t="n">
        <v>2025</v>
      </c>
      <c r="H818" s="29" t="s">
        <v>252</v>
      </c>
      <c r="I818" s="29" t="n">
        <v>1</v>
      </c>
      <c r="J818" s="29" t="s">
        <v>250</v>
      </c>
      <c r="K818" s="29" t="s">
        <v>251</v>
      </c>
      <c r="L818" s="29" t="n">
        <v>0.04</v>
      </c>
      <c r="M818" s="32" t="n">
        <v>21673.98</v>
      </c>
      <c r="N818" s="32" t="n">
        <v>21681.27</v>
      </c>
      <c r="O818" s="32" t="n">
        <v>21656.12</v>
      </c>
      <c r="P818" s="45" t="n">
        <f aca="false">ABS(M818-N818)</f>
        <v>7.29000000000087</v>
      </c>
      <c r="Q818" s="45" t="n">
        <f aca="false">IF(O818="","",ABS(O818-M818))</f>
        <v>17.8600000000006</v>
      </c>
      <c r="R818" s="31" t="n">
        <f aca="false">P818*L818*Summary!$C$6</f>
        <v>29.1600000000035</v>
      </c>
      <c r="S818" s="32" t="n">
        <v>21655.71</v>
      </c>
      <c r="T818" s="29" t="s">
        <v>227</v>
      </c>
      <c r="U818" s="45" t="n">
        <f aca="false">IF(J818="BUY",S818-M818,M818-S818)</f>
        <v>18.2700000000004</v>
      </c>
      <c r="V818" s="46" t="n">
        <v>0</v>
      </c>
      <c r="W818" s="46" t="n">
        <v>0</v>
      </c>
      <c r="X818" s="46" t="n">
        <v>73.08</v>
      </c>
      <c r="Y818" s="33" t="n">
        <f aca="false">IFERROR(X818/R818,0)</f>
        <v>2.50617283950587</v>
      </c>
      <c r="Z818" s="29" t="str">
        <f aca="false">IF(X818&gt;0,"Win",IF(X818&lt;0,"Loss","Flat"))</f>
        <v>Win</v>
      </c>
      <c r="AA818" s="29" t="n">
        <f aca="false">ROUND((C818-B818)*1440,1)</f>
        <v>14.2</v>
      </c>
      <c r="AB818" s="29" t="str">
        <f aca="false">IF(AA818&lt;1,"a) &lt;1 min",IF(AA818&lt;10,"b) 1-10 min",IF(AA818&lt;60,"c) 10-60 min",IF(AA818&lt;240,"d) 1-4 h","e) 4 h+"))))</f>
        <v>c) 10-60 min</v>
      </c>
      <c r="AC818" s="29" t="str">
        <f aca="false">IF(P818&lt;10,"a) &lt;10",IF(P818&lt;20,"b) 10-20",IF(P818&lt;40,"c) 20-40",IF(P818&lt;80,"d) 40-80","e) 80+"))))</f>
        <v>a) &lt;10</v>
      </c>
      <c r="AD818" s="31" t="n">
        <f aca="false">Summary!$C$5+SUM(X$2:X818)</f>
        <v>18275.04</v>
      </c>
      <c r="AE818" s="31" t="n">
        <f aca="false">MAX(AE817,AD818)</f>
        <v>18456.72</v>
      </c>
      <c r="AF818" s="31" t="n">
        <f aca="false">AE818-AD818</f>
        <v>181.68</v>
      </c>
      <c r="AG818" s="30" t="n">
        <f aca="false">IFERROR(AF818/AE818,0)</f>
        <v>0.00984356917155379</v>
      </c>
    </row>
    <row r="819" customFormat="false" ht="15" hidden="false" customHeight="false" outlineLevel="0" collapsed="false">
      <c r="A819" s="29" t="n">
        <v>818</v>
      </c>
      <c r="B819" s="44" t="n">
        <v>45827.1368055556</v>
      </c>
      <c r="C819" s="44" t="n">
        <v>45827.1409722222</v>
      </c>
      <c r="D819" s="43" t="n">
        <f aca="false">INT(C819)</f>
        <v>45827</v>
      </c>
      <c r="E819" s="43" t="n">
        <f aca="false">D819-WEEKDAY(D819,3)</f>
        <v>45824</v>
      </c>
      <c r="F819" s="29" t="s">
        <v>182</v>
      </c>
      <c r="G819" s="29" t="n">
        <v>2025</v>
      </c>
      <c r="H819" s="29" t="s">
        <v>253</v>
      </c>
      <c r="I819" s="29" t="n">
        <v>3</v>
      </c>
      <c r="J819" s="29" t="s">
        <v>250</v>
      </c>
      <c r="K819" s="29" t="s">
        <v>251</v>
      </c>
      <c r="L819" s="29" t="n">
        <v>0.04</v>
      </c>
      <c r="M819" s="32" t="n">
        <v>21629.7</v>
      </c>
      <c r="N819" s="32" t="n">
        <v>21645</v>
      </c>
      <c r="O819" s="32" t="n">
        <v>21592.22</v>
      </c>
      <c r="P819" s="45" t="n">
        <f aca="false">ABS(M819-N819)</f>
        <v>15.2999999999993</v>
      </c>
      <c r="Q819" s="45" t="n">
        <f aca="false">IF(O819="","",ABS(O819-M819))</f>
        <v>37.4799999999996</v>
      </c>
      <c r="R819" s="31" t="n">
        <f aca="false">P819*L819*Summary!$C$6</f>
        <v>61.1999999999971</v>
      </c>
      <c r="S819" s="32" t="n">
        <v>21645.3</v>
      </c>
      <c r="T819" s="29" t="s">
        <v>249</v>
      </c>
      <c r="U819" s="45" t="n">
        <f aca="false">IF(J819="BUY",S819-M819,M819-S819)</f>
        <v>-15.5999999999985</v>
      </c>
      <c r="V819" s="46" t="n">
        <v>0</v>
      </c>
      <c r="W819" s="46" t="n">
        <v>0</v>
      </c>
      <c r="X819" s="46" t="n">
        <v>-62.4</v>
      </c>
      <c r="Y819" s="33" t="n">
        <f aca="false">IFERROR(X819/R819,0)</f>
        <v>-1.0196078431373</v>
      </c>
      <c r="Z819" s="29" t="str">
        <f aca="false">IF(X819&gt;0,"Win",IF(X819&lt;0,"Loss","Flat"))</f>
        <v>Loss</v>
      </c>
      <c r="AA819" s="29" t="n">
        <f aca="false">ROUND((C819-B819)*1440,1)</f>
        <v>6</v>
      </c>
      <c r="AB819" s="29" t="str">
        <f aca="false">IF(AA819&lt;1,"a) &lt;1 min",IF(AA819&lt;10,"b) 1-10 min",IF(AA819&lt;60,"c) 10-60 min",IF(AA819&lt;240,"d) 1-4 h","e) 4 h+"))))</f>
        <v>b) 1-10 min</v>
      </c>
      <c r="AC819" s="29" t="str">
        <f aca="false">IF(P819&lt;10,"a) &lt;10",IF(P819&lt;20,"b) 10-20",IF(P819&lt;40,"c) 20-40",IF(P819&lt;80,"d) 40-80","e) 80+"))))</f>
        <v>b) 10-20</v>
      </c>
      <c r="AD819" s="31" t="n">
        <f aca="false">Summary!$C$5+SUM(X$2:X819)</f>
        <v>18212.64</v>
      </c>
      <c r="AE819" s="31" t="n">
        <f aca="false">MAX(AE818,AD819)</f>
        <v>18456.72</v>
      </c>
      <c r="AF819" s="31" t="n">
        <f aca="false">AE819-AD819</f>
        <v>244.080000000002</v>
      </c>
      <c r="AG819" s="30" t="n">
        <f aca="false">IFERROR(AF819/AE819,0)</f>
        <v>0.013224451581863</v>
      </c>
    </row>
    <row r="820" customFormat="false" ht="15" hidden="false" customHeight="false" outlineLevel="0" collapsed="false">
      <c r="A820" s="29" t="n">
        <v>819</v>
      </c>
      <c r="B820" s="44" t="n">
        <v>45828.6145833333</v>
      </c>
      <c r="C820" s="44" t="n">
        <v>45828.6146875</v>
      </c>
      <c r="D820" s="43" t="n">
        <f aca="false">INT(C820)</f>
        <v>45828</v>
      </c>
      <c r="E820" s="43" t="n">
        <f aca="false">D820-WEEKDAY(D820,3)</f>
        <v>45824</v>
      </c>
      <c r="F820" s="29" t="s">
        <v>182</v>
      </c>
      <c r="G820" s="29" t="n">
        <v>2025</v>
      </c>
      <c r="H820" s="29" t="s">
        <v>254</v>
      </c>
      <c r="I820" s="29" t="n">
        <v>14</v>
      </c>
      <c r="J820" s="29" t="s">
        <v>246</v>
      </c>
      <c r="K820" s="29" t="s">
        <v>247</v>
      </c>
      <c r="L820" s="29" t="n">
        <v>0.04</v>
      </c>
      <c r="M820" s="32" t="n">
        <v>21749.75</v>
      </c>
      <c r="N820" s="32" t="n">
        <v>21734.33</v>
      </c>
      <c r="O820" s="32" t="n">
        <v>21768.45</v>
      </c>
      <c r="P820" s="45" t="n">
        <f aca="false">ABS(M820-N820)</f>
        <v>15.4199999999983</v>
      </c>
      <c r="Q820" s="45" t="n">
        <f aca="false">IF(O820="","",ABS(O820-M820))</f>
        <v>18.7000000000007</v>
      </c>
      <c r="R820" s="31" t="n">
        <f aca="false">P820*L820*Summary!$C$6</f>
        <v>61.679999999993</v>
      </c>
      <c r="S820" s="32" t="n">
        <v>21769.52</v>
      </c>
      <c r="T820" s="29" t="s">
        <v>227</v>
      </c>
      <c r="U820" s="45" t="n">
        <f aca="false">IF(J820="BUY",S820-M820,M820-S820)</f>
        <v>19.7700000000004</v>
      </c>
      <c r="V820" s="46" t="n">
        <v>0</v>
      </c>
      <c r="W820" s="46" t="n">
        <v>0</v>
      </c>
      <c r="X820" s="46" t="n">
        <v>79.08</v>
      </c>
      <c r="Y820" s="33" t="n">
        <f aca="false">IFERROR(X820/R820,0)</f>
        <v>1.28210116731532</v>
      </c>
      <c r="Z820" s="29" t="str">
        <f aca="false">IF(X820&gt;0,"Win",IF(X820&lt;0,"Loss","Flat"))</f>
        <v>Win</v>
      </c>
      <c r="AA820" s="29" t="n">
        <f aca="false">ROUND((C820-B820)*1440,1)</f>
        <v>0.1</v>
      </c>
      <c r="AB820" s="29" t="str">
        <f aca="false">IF(AA820&lt;1,"a) &lt;1 min",IF(AA820&lt;10,"b) 1-10 min",IF(AA820&lt;60,"c) 10-60 min",IF(AA820&lt;240,"d) 1-4 h","e) 4 h+"))))</f>
        <v>a) &lt;1 min</v>
      </c>
      <c r="AC820" s="29" t="str">
        <f aca="false">IF(P820&lt;10,"a) &lt;10",IF(P820&lt;20,"b) 10-20",IF(P820&lt;40,"c) 20-40",IF(P820&lt;80,"d) 40-80","e) 80+"))))</f>
        <v>b) 10-20</v>
      </c>
      <c r="AD820" s="31" t="n">
        <f aca="false">Summary!$C$5+SUM(X$2:X820)</f>
        <v>18291.72</v>
      </c>
      <c r="AE820" s="31" t="n">
        <f aca="false">MAX(AE819,AD820)</f>
        <v>18456.72</v>
      </c>
      <c r="AF820" s="31" t="n">
        <f aca="false">AE820-AD820</f>
        <v>165</v>
      </c>
      <c r="AG820" s="30" t="n">
        <f aca="false">IFERROR(AF820/AE820,0)</f>
        <v>0.00893983329649038</v>
      </c>
    </row>
    <row r="821" customFormat="false" ht="15" hidden="false" customHeight="false" outlineLevel="0" collapsed="false">
      <c r="A821" s="29" t="n">
        <v>820</v>
      </c>
      <c r="B821" s="44" t="n">
        <v>45831.0479166667</v>
      </c>
      <c r="C821" s="44" t="n">
        <v>45831.0632175926</v>
      </c>
      <c r="D821" s="43" t="n">
        <f aca="false">INT(C821)</f>
        <v>45831</v>
      </c>
      <c r="E821" s="43" t="n">
        <f aca="false">D821-WEEKDAY(D821,3)</f>
        <v>45831</v>
      </c>
      <c r="F821" s="29" t="s">
        <v>182</v>
      </c>
      <c r="G821" s="29" t="n">
        <v>2025</v>
      </c>
      <c r="H821" s="29" t="s">
        <v>245</v>
      </c>
      <c r="I821" s="29" t="n">
        <v>1</v>
      </c>
      <c r="J821" s="29" t="s">
        <v>250</v>
      </c>
      <c r="K821" s="29" t="s">
        <v>251</v>
      </c>
      <c r="L821" s="29" t="n">
        <v>0.04</v>
      </c>
      <c r="M821" s="32" t="n">
        <v>21510.4</v>
      </c>
      <c r="N821" s="32" t="n">
        <v>21543.03</v>
      </c>
      <c r="O821" s="32" t="n">
        <v>21430.46</v>
      </c>
      <c r="P821" s="45" t="n">
        <f aca="false">ABS(M821-N821)</f>
        <v>32.6299999999974</v>
      </c>
      <c r="Q821" s="45" t="n">
        <f aca="false">IF(O821="","",ABS(O821-M821))</f>
        <v>79.9400000000023</v>
      </c>
      <c r="R821" s="31" t="n">
        <f aca="false">P821*L821*Summary!$C$6</f>
        <v>130.51999999999</v>
      </c>
      <c r="S821" s="32" t="n">
        <v>21544.08</v>
      </c>
      <c r="T821" s="29" t="s">
        <v>249</v>
      </c>
      <c r="U821" s="45" t="n">
        <f aca="false">IF(J821="BUY",S821-M821,M821-S821)</f>
        <v>-33.6800000000003</v>
      </c>
      <c r="V821" s="46" t="n">
        <v>0</v>
      </c>
      <c r="W821" s="46" t="n">
        <v>0</v>
      </c>
      <c r="X821" s="46" t="n">
        <v>-134.72</v>
      </c>
      <c r="Y821" s="33" t="n">
        <f aca="false">IFERROR(X821/R821,0)</f>
        <v>-1.03217897640217</v>
      </c>
      <c r="Z821" s="29" t="str">
        <f aca="false">IF(X821&gt;0,"Win",IF(X821&lt;0,"Loss","Flat"))</f>
        <v>Loss</v>
      </c>
      <c r="AA821" s="29" t="n">
        <f aca="false">ROUND((C821-B821)*1440,1)</f>
        <v>22</v>
      </c>
      <c r="AB821" s="29" t="str">
        <f aca="false">IF(AA821&lt;1,"a) &lt;1 min",IF(AA821&lt;10,"b) 1-10 min",IF(AA821&lt;60,"c) 10-60 min",IF(AA821&lt;240,"d) 1-4 h","e) 4 h+"))))</f>
        <v>c) 10-60 min</v>
      </c>
      <c r="AC821" s="29" t="str">
        <f aca="false">IF(P821&lt;10,"a) &lt;10",IF(P821&lt;20,"b) 10-20",IF(P821&lt;40,"c) 20-40",IF(P821&lt;80,"d) 40-80","e) 80+"))))</f>
        <v>c) 20-40</v>
      </c>
      <c r="AD821" s="31" t="n">
        <f aca="false">Summary!$C$5+SUM(X$2:X821)</f>
        <v>18157</v>
      </c>
      <c r="AE821" s="31" t="n">
        <f aca="false">MAX(AE820,AD821)</f>
        <v>18456.72</v>
      </c>
      <c r="AF821" s="31" t="n">
        <f aca="false">AE821-AD821</f>
        <v>299.720000000001</v>
      </c>
      <c r="AG821" s="30" t="n">
        <f aca="false">IFERROR(AF821/AE821,0)</f>
        <v>0.0162390717310552</v>
      </c>
    </row>
    <row r="822" customFormat="false" ht="15" hidden="false" customHeight="false" outlineLevel="0" collapsed="false">
      <c r="A822" s="29" t="n">
        <v>821</v>
      </c>
      <c r="B822" s="44" t="n">
        <v>45832.0451388889</v>
      </c>
      <c r="C822" s="44" t="n">
        <v>45832.0519212963</v>
      </c>
      <c r="D822" s="43" t="n">
        <f aca="false">INT(C822)</f>
        <v>45832</v>
      </c>
      <c r="E822" s="43" t="n">
        <f aca="false">D822-WEEKDAY(D822,3)</f>
        <v>45831</v>
      </c>
      <c r="F822" s="29" t="s">
        <v>182</v>
      </c>
      <c r="G822" s="29" t="n">
        <v>2025</v>
      </c>
      <c r="H822" s="29" t="s">
        <v>248</v>
      </c>
      <c r="I822" s="29" t="n">
        <v>1</v>
      </c>
      <c r="J822" s="29" t="s">
        <v>246</v>
      </c>
      <c r="K822" s="29" t="s">
        <v>247</v>
      </c>
      <c r="L822" s="29" t="n">
        <v>0.04</v>
      </c>
      <c r="M822" s="32" t="n">
        <v>21915.94</v>
      </c>
      <c r="N822" s="32" t="n">
        <v>21900.07</v>
      </c>
      <c r="O822" s="32" t="n">
        <v>21954.83</v>
      </c>
      <c r="P822" s="45" t="n">
        <f aca="false">ABS(M822-N822)</f>
        <v>15.869999999999</v>
      </c>
      <c r="Q822" s="45" t="n">
        <f aca="false">IF(O822="","",ABS(O822-M822))</f>
        <v>38.8900000000031</v>
      </c>
      <c r="R822" s="31" t="n">
        <f aca="false">P822*L822*Summary!$C$6</f>
        <v>63.4799999999959</v>
      </c>
      <c r="S822" s="32" t="n">
        <v>21954.94</v>
      </c>
      <c r="T822" s="29" t="s">
        <v>227</v>
      </c>
      <c r="U822" s="45" t="n">
        <f aca="false">IF(J822="BUY",S822-M822,M822-S822)</f>
        <v>39</v>
      </c>
      <c r="V822" s="46" t="n">
        <v>0</v>
      </c>
      <c r="W822" s="46" t="n">
        <v>0</v>
      </c>
      <c r="X822" s="46" t="n">
        <v>156</v>
      </c>
      <c r="Y822" s="33" t="n">
        <f aca="false">IFERROR(X822/R822,0)</f>
        <v>2.45746691871471</v>
      </c>
      <c r="Z822" s="29" t="str">
        <f aca="false">IF(X822&gt;0,"Win",IF(X822&lt;0,"Loss","Flat"))</f>
        <v>Win</v>
      </c>
      <c r="AA822" s="29" t="n">
        <f aca="false">ROUND((C822-B822)*1440,1)</f>
        <v>9.8</v>
      </c>
      <c r="AB822" s="29" t="str">
        <f aca="false">IF(AA822&lt;1,"a) &lt;1 min",IF(AA822&lt;10,"b) 1-10 min",IF(AA822&lt;60,"c) 10-60 min",IF(AA822&lt;240,"d) 1-4 h","e) 4 h+"))))</f>
        <v>b) 1-10 min</v>
      </c>
      <c r="AC822" s="29" t="str">
        <f aca="false">IF(P822&lt;10,"a) &lt;10",IF(P822&lt;20,"b) 10-20",IF(P822&lt;40,"c) 20-40",IF(P822&lt;80,"d) 40-80","e) 80+"))))</f>
        <v>b) 10-20</v>
      </c>
      <c r="AD822" s="31" t="n">
        <f aca="false">Summary!$C$5+SUM(X$2:X822)</f>
        <v>18313</v>
      </c>
      <c r="AE822" s="31" t="n">
        <f aca="false">MAX(AE821,AD822)</f>
        <v>18456.72</v>
      </c>
      <c r="AF822" s="31" t="n">
        <f aca="false">AE822-AD822</f>
        <v>143.720000000001</v>
      </c>
      <c r="AG822" s="30" t="n">
        <f aca="false">IFERROR(AF822/AE822,0)</f>
        <v>0.00778686570528247</v>
      </c>
    </row>
    <row r="823" customFormat="false" ht="15" hidden="false" customHeight="false" outlineLevel="0" collapsed="false">
      <c r="A823" s="29" t="n">
        <v>822</v>
      </c>
      <c r="B823" s="44" t="n">
        <v>45833.5159722222</v>
      </c>
      <c r="C823" s="44" t="n">
        <v>45833.5172453704</v>
      </c>
      <c r="D823" s="43" t="n">
        <f aca="false">INT(C823)</f>
        <v>45833</v>
      </c>
      <c r="E823" s="43" t="n">
        <f aca="false">D823-WEEKDAY(D823,3)</f>
        <v>45831</v>
      </c>
      <c r="F823" s="29" t="s">
        <v>182</v>
      </c>
      <c r="G823" s="29" t="n">
        <v>2025</v>
      </c>
      <c r="H823" s="29" t="s">
        <v>252</v>
      </c>
      <c r="I823" s="29" t="n">
        <v>12</v>
      </c>
      <c r="J823" s="29" t="s">
        <v>246</v>
      </c>
      <c r="K823" s="29" t="s">
        <v>247</v>
      </c>
      <c r="L823" s="29" t="n">
        <v>0.04</v>
      </c>
      <c r="M823" s="32" t="n">
        <v>22224.19</v>
      </c>
      <c r="N823" s="32" t="n">
        <v>22220.14</v>
      </c>
      <c r="O823" s="32" t="n">
        <v>22234.1</v>
      </c>
      <c r="P823" s="45" t="n">
        <f aca="false">ABS(M823-N823)</f>
        <v>4.04999999999927</v>
      </c>
      <c r="Q823" s="45" t="n">
        <f aca="false">IF(O823="","",ABS(O823-M823))</f>
        <v>9.90999999999985</v>
      </c>
      <c r="R823" s="31" t="n">
        <f aca="false">P823*L823*Summary!$C$6</f>
        <v>16.1999999999971</v>
      </c>
      <c r="S823" s="32" t="n">
        <v>22223.82</v>
      </c>
      <c r="T823" s="29" t="s">
        <v>255</v>
      </c>
      <c r="U823" s="45" t="n">
        <f aca="false">IF(J823="BUY",S823-M823,M823-S823)</f>
        <v>-0.369999999998981</v>
      </c>
      <c r="V823" s="46" t="n">
        <v>0</v>
      </c>
      <c r="W823" s="46" t="n">
        <v>0</v>
      </c>
      <c r="X823" s="46" t="n">
        <v>-1.48</v>
      </c>
      <c r="Y823" s="33" t="n">
        <f aca="false">IFERROR(X823/R823,0)</f>
        <v>-0.0913580246913744</v>
      </c>
      <c r="Z823" s="29" t="str">
        <f aca="false">IF(X823&gt;0,"Win",IF(X823&lt;0,"Loss","Flat"))</f>
        <v>Loss</v>
      </c>
      <c r="AA823" s="29" t="n">
        <f aca="false">ROUND((C823-B823)*1440,1)</f>
        <v>1.8</v>
      </c>
      <c r="AB823" s="29" t="str">
        <f aca="false">IF(AA823&lt;1,"a) &lt;1 min",IF(AA823&lt;10,"b) 1-10 min",IF(AA823&lt;60,"c) 10-60 min",IF(AA823&lt;240,"d) 1-4 h","e) 4 h+"))))</f>
        <v>b) 1-10 min</v>
      </c>
      <c r="AC823" s="29" t="str">
        <f aca="false">IF(P823&lt;10,"a) &lt;10",IF(P823&lt;20,"b) 10-20",IF(P823&lt;40,"c) 20-40",IF(P823&lt;80,"d) 40-80","e) 80+"))))</f>
        <v>a) &lt;10</v>
      </c>
      <c r="AD823" s="31" t="n">
        <f aca="false">Summary!$C$5+SUM(X$2:X823)</f>
        <v>18311.52</v>
      </c>
      <c r="AE823" s="31" t="n">
        <f aca="false">MAX(AE822,AD823)</f>
        <v>18456.72</v>
      </c>
      <c r="AF823" s="31" t="n">
        <f aca="false">AE823-AD823</f>
        <v>145.200000000001</v>
      </c>
      <c r="AG823" s="30" t="n">
        <f aca="false">IFERROR(AF823/AE823,0)</f>
        <v>0.00786705330091158</v>
      </c>
    </row>
    <row r="824" customFormat="false" ht="15" hidden="false" customHeight="false" outlineLevel="0" collapsed="false">
      <c r="A824" s="29" t="n">
        <v>823</v>
      </c>
      <c r="B824" s="44" t="n">
        <v>45834.4673611111</v>
      </c>
      <c r="C824" s="44" t="n">
        <v>45834.4708333333</v>
      </c>
      <c r="D824" s="43" t="n">
        <f aca="false">INT(C824)</f>
        <v>45834</v>
      </c>
      <c r="E824" s="43" t="n">
        <f aca="false">D824-WEEKDAY(D824,3)</f>
        <v>45831</v>
      </c>
      <c r="F824" s="29" t="s">
        <v>182</v>
      </c>
      <c r="G824" s="29" t="n">
        <v>2025</v>
      </c>
      <c r="H824" s="29" t="s">
        <v>253</v>
      </c>
      <c r="I824" s="29" t="n">
        <v>11</v>
      </c>
      <c r="J824" s="29" t="s">
        <v>246</v>
      </c>
      <c r="K824" s="29" t="s">
        <v>247</v>
      </c>
      <c r="L824" s="29" t="n">
        <v>0.04</v>
      </c>
      <c r="M824" s="32" t="n">
        <v>22332.04</v>
      </c>
      <c r="N824" s="32" t="n">
        <v>22326.93</v>
      </c>
      <c r="O824" s="32" t="n">
        <v>22344.56</v>
      </c>
      <c r="P824" s="45" t="n">
        <f aca="false">ABS(M824-N824)</f>
        <v>5.11000000000058</v>
      </c>
      <c r="Q824" s="45" t="n">
        <f aca="false">IF(O824="","",ABS(O824-M824))</f>
        <v>12.5200000000004</v>
      </c>
      <c r="R824" s="31" t="n">
        <f aca="false">P824*L824*Summary!$C$6</f>
        <v>20.4400000000023</v>
      </c>
      <c r="S824" s="32" t="n">
        <v>22332.01</v>
      </c>
      <c r="T824" s="29" t="s">
        <v>255</v>
      </c>
      <c r="U824" s="45" t="n">
        <f aca="false">IF(J824="BUY",S824-M824,M824-S824)</f>
        <v>-0.0300000000024738</v>
      </c>
      <c r="V824" s="46" t="n">
        <v>0</v>
      </c>
      <c r="W824" s="46" t="n">
        <v>0</v>
      </c>
      <c r="X824" s="46" t="n">
        <v>-0.12</v>
      </c>
      <c r="Y824" s="33" t="n">
        <f aca="false">IFERROR(X824/R824,0)</f>
        <v>-0.00587084148727917</v>
      </c>
      <c r="Z824" s="29" t="str">
        <f aca="false">IF(X824&gt;0,"Win",IF(X824&lt;0,"Loss","Flat"))</f>
        <v>Loss</v>
      </c>
      <c r="AA824" s="29" t="n">
        <f aca="false">ROUND((C824-B824)*1440,1)</f>
        <v>5</v>
      </c>
      <c r="AB824" s="29" t="str">
        <f aca="false">IF(AA824&lt;1,"a) &lt;1 min",IF(AA824&lt;10,"b) 1-10 min",IF(AA824&lt;60,"c) 10-60 min",IF(AA824&lt;240,"d) 1-4 h","e) 4 h+"))))</f>
        <v>b) 1-10 min</v>
      </c>
      <c r="AC824" s="29" t="str">
        <f aca="false">IF(P824&lt;10,"a) &lt;10",IF(P824&lt;20,"b) 10-20",IF(P824&lt;40,"c) 20-40",IF(P824&lt;80,"d) 40-80","e) 80+"))))</f>
        <v>a) &lt;10</v>
      </c>
      <c r="AD824" s="31" t="n">
        <f aca="false">Summary!$C$5+SUM(X$2:X824)</f>
        <v>18311.4</v>
      </c>
      <c r="AE824" s="31" t="n">
        <f aca="false">MAX(AE823,AD824)</f>
        <v>18456.72</v>
      </c>
      <c r="AF824" s="31" t="n">
        <f aca="false">AE824-AD824</f>
        <v>145.32</v>
      </c>
      <c r="AG824" s="30" t="n">
        <f aca="false">IFERROR(AF824/AE824,0)</f>
        <v>0.00787355499785442</v>
      </c>
    </row>
    <row r="825" customFormat="false" ht="15" hidden="false" customHeight="false" outlineLevel="0" collapsed="false">
      <c r="A825" s="29" t="n">
        <v>824</v>
      </c>
      <c r="B825" s="44" t="n">
        <v>45835.0486111111</v>
      </c>
      <c r="C825" s="44" t="n">
        <v>45835.052025463</v>
      </c>
      <c r="D825" s="43" t="n">
        <f aca="false">INT(C825)</f>
        <v>45835</v>
      </c>
      <c r="E825" s="43" t="n">
        <f aca="false">D825-WEEKDAY(D825,3)</f>
        <v>45831</v>
      </c>
      <c r="F825" s="29" t="s">
        <v>182</v>
      </c>
      <c r="G825" s="29" t="n">
        <v>2025</v>
      </c>
      <c r="H825" s="29" t="s">
        <v>254</v>
      </c>
      <c r="I825" s="29" t="n">
        <v>1</v>
      </c>
      <c r="J825" s="29" t="s">
        <v>246</v>
      </c>
      <c r="K825" s="29" t="s">
        <v>247</v>
      </c>
      <c r="L825" s="29" t="n">
        <v>0.04</v>
      </c>
      <c r="M825" s="32" t="n">
        <v>22478.2</v>
      </c>
      <c r="N825" s="32" t="n">
        <v>22466.34</v>
      </c>
      <c r="O825" s="32" t="n">
        <v>22507.26</v>
      </c>
      <c r="P825" s="45" t="n">
        <f aca="false">ABS(M825-N825)</f>
        <v>11.8600000000006</v>
      </c>
      <c r="Q825" s="45" t="n">
        <f aca="false">IF(O825="","",ABS(O825-M825))</f>
        <v>29.0599999999977</v>
      </c>
      <c r="R825" s="31" t="n">
        <f aca="false">P825*L825*Summary!$C$6</f>
        <v>47.4400000000023</v>
      </c>
      <c r="S825" s="32" t="n">
        <v>22465.77</v>
      </c>
      <c r="T825" s="29" t="s">
        <v>249</v>
      </c>
      <c r="U825" s="45" t="n">
        <f aca="false">IF(J825="BUY",S825-M825,M825-S825)</f>
        <v>-12.4300000000003</v>
      </c>
      <c r="V825" s="46" t="n">
        <v>0</v>
      </c>
      <c r="W825" s="46" t="n">
        <v>0</v>
      </c>
      <c r="X825" s="46" t="n">
        <v>-49.72</v>
      </c>
      <c r="Y825" s="33" t="n">
        <f aca="false">IFERROR(X825/R825,0)</f>
        <v>-1.04806070826302</v>
      </c>
      <c r="Z825" s="29" t="str">
        <f aca="false">IF(X825&gt;0,"Win",IF(X825&lt;0,"Loss","Flat"))</f>
        <v>Loss</v>
      </c>
      <c r="AA825" s="29" t="n">
        <f aca="false">ROUND((C825-B825)*1440,1)</f>
        <v>4.9</v>
      </c>
      <c r="AB825" s="29" t="str">
        <f aca="false">IF(AA825&lt;1,"a) &lt;1 min",IF(AA825&lt;10,"b) 1-10 min",IF(AA825&lt;60,"c) 10-60 min",IF(AA825&lt;240,"d) 1-4 h","e) 4 h+"))))</f>
        <v>b) 1-10 min</v>
      </c>
      <c r="AC825" s="29" t="str">
        <f aca="false">IF(P825&lt;10,"a) &lt;10",IF(P825&lt;20,"b) 10-20",IF(P825&lt;40,"c) 20-40",IF(P825&lt;80,"d) 40-80","e) 80+"))))</f>
        <v>b) 10-20</v>
      </c>
      <c r="AD825" s="31" t="n">
        <f aca="false">Summary!$C$5+SUM(X$2:X825)</f>
        <v>18261.68</v>
      </c>
      <c r="AE825" s="31" t="n">
        <f aca="false">MAX(AE824,AD825)</f>
        <v>18456.72</v>
      </c>
      <c r="AF825" s="31" t="n">
        <f aca="false">AE825-AD825</f>
        <v>195.040000000001</v>
      </c>
      <c r="AG825" s="30" t="n">
        <f aca="false">IFERROR(AF825/AE825,0)</f>
        <v>0.0105674247645303</v>
      </c>
    </row>
    <row r="826" customFormat="false" ht="15" hidden="false" customHeight="false" outlineLevel="0" collapsed="false">
      <c r="A826" s="29" t="n">
        <v>825</v>
      </c>
      <c r="B826" s="44" t="n">
        <v>45838.0805555556</v>
      </c>
      <c r="C826" s="44" t="n">
        <v>45838.0812037037</v>
      </c>
      <c r="D826" s="43" t="n">
        <f aca="false">INT(C826)</f>
        <v>45838</v>
      </c>
      <c r="E826" s="43" t="n">
        <f aca="false">D826-WEEKDAY(D826,3)</f>
        <v>45838</v>
      </c>
      <c r="F826" s="29" t="s">
        <v>182</v>
      </c>
      <c r="G826" s="29" t="n">
        <v>2025</v>
      </c>
      <c r="H826" s="29" t="s">
        <v>245</v>
      </c>
      <c r="I826" s="29" t="n">
        <v>1</v>
      </c>
      <c r="J826" s="29" t="s">
        <v>246</v>
      </c>
      <c r="K826" s="29" t="s">
        <v>247</v>
      </c>
      <c r="L826" s="29" t="n">
        <v>0.04</v>
      </c>
      <c r="M826" s="32" t="n">
        <v>22617.33</v>
      </c>
      <c r="N826" s="32" t="n">
        <v>22607.8</v>
      </c>
      <c r="O826" s="32" t="n">
        <v>22640.68</v>
      </c>
      <c r="P826" s="45" t="n">
        <f aca="false">ABS(M826-N826)</f>
        <v>9.53000000000247</v>
      </c>
      <c r="Q826" s="45" t="n">
        <f aca="false">IF(O826="","",ABS(O826-M826))</f>
        <v>23.3499999999985</v>
      </c>
      <c r="R826" s="31" t="n">
        <f aca="false">P826*L826*Summary!$C$6</f>
        <v>38.1200000000099</v>
      </c>
      <c r="S826" s="32" t="n">
        <v>22607.73</v>
      </c>
      <c r="T826" s="29" t="s">
        <v>249</v>
      </c>
      <c r="U826" s="45" t="n">
        <f aca="false">IF(J826="BUY",S826-M826,M826-S826)</f>
        <v>-9.60000000000218</v>
      </c>
      <c r="V826" s="46" t="n">
        <v>0</v>
      </c>
      <c r="W826" s="46" t="n">
        <v>0</v>
      </c>
      <c r="X826" s="46" t="n">
        <v>-38.4</v>
      </c>
      <c r="Y826" s="33" t="n">
        <f aca="false">IFERROR(X826/R826,0)</f>
        <v>-1.0073452256031</v>
      </c>
      <c r="Z826" s="29" t="str">
        <f aca="false">IF(X826&gt;0,"Win",IF(X826&lt;0,"Loss","Flat"))</f>
        <v>Loss</v>
      </c>
      <c r="AA826" s="29" t="n">
        <f aca="false">ROUND((C826-B826)*1440,1)</f>
        <v>0.9</v>
      </c>
      <c r="AB826" s="29" t="str">
        <f aca="false">IF(AA826&lt;1,"a) &lt;1 min",IF(AA826&lt;10,"b) 1-10 min",IF(AA826&lt;60,"c) 10-60 min",IF(AA826&lt;240,"d) 1-4 h","e) 4 h+"))))</f>
        <v>a) &lt;1 min</v>
      </c>
      <c r="AC826" s="29" t="str">
        <f aca="false">IF(P826&lt;10,"a) &lt;10",IF(P826&lt;20,"b) 10-20",IF(P826&lt;40,"c) 20-40",IF(P826&lt;80,"d) 40-80","e) 80+"))))</f>
        <v>a) &lt;10</v>
      </c>
      <c r="AD826" s="31" t="n">
        <f aca="false">Summary!$C$5+SUM(X$2:X826)</f>
        <v>18223.28</v>
      </c>
      <c r="AE826" s="31" t="n">
        <f aca="false">MAX(AE825,AD826)</f>
        <v>18456.72</v>
      </c>
      <c r="AF826" s="31" t="n">
        <f aca="false">AE826-AD826</f>
        <v>233.440000000002</v>
      </c>
      <c r="AG826" s="30" t="n">
        <f aca="false">IFERROR(AF826/AE826,0)</f>
        <v>0.012647967786259</v>
      </c>
    </row>
    <row r="827" customFormat="false" ht="15" hidden="false" customHeight="false" outlineLevel="0" collapsed="false">
      <c r="A827" s="29" t="n">
        <v>826</v>
      </c>
      <c r="B827" s="44" t="n">
        <v>45839.7319444444</v>
      </c>
      <c r="C827" s="44" t="n">
        <v>45839.7376273148</v>
      </c>
      <c r="D827" s="43" t="n">
        <f aca="false">INT(C827)</f>
        <v>45839</v>
      </c>
      <c r="E827" s="43" t="n">
        <f aca="false">D827-WEEKDAY(D827,3)</f>
        <v>45838</v>
      </c>
      <c r="F827" s="29" t="s">
        <v>183</v>
      </c>
      <c r="G827" s="29" t="n">
        <v>2025</v>
      </c>
      <c r="H827" s="29" t="s">
        <v>248</v>
      </c>
      <c r="I827" s="29" t="n">
        <v>17</v>
      </c>
      <c r="J827" s="29" t="s">
        <v>250</v>
      </c>
      <c r="K827" s="29" t="s">
        <v>251</v>
      </c>
      <c r="L827" s="29" t="n">
        <v>0.04</v>
      </c>
      <c r="M827" s="32" t="n">
        <v>22534.71</v>
      </c>
      <c r="N827" s="32" t="n">
        <v>22551.15</v>
      </c>
      <c r="O827" s="32" t="n">
        <v>22494.42</v>
      </c>
      <c r="P827" s="45" t="n">
        <f aca="false">ABS(M827-N827)</f>
        <v>16.4400000000023</v>
      </c>
      <c r="Q827" s="45" t="n">
        <f aca="false">IF(O827="","",ABS(O827-M827))</f>
        <v>40.2900000000009</v>
      </c>
      <c r="R827" s="31" t="n">
        <f aca="false">P827*L827*Summary!$C$6</f>
        <v>65.7600000000093</v>
      </c>
      <c r="S827" s="32" t="n">
        <v>22492.2</v>
      </c>
      <c r="T827" s="29" t="s">
        <v>227</v>
      </c>
      <c r="U827" s="45" t="n">
        <f aca="false">IF(J827="BUY",S827-M827,M827-S827)</f>
        <v>42.5099999999984</v>
      </c>
      <c r="V827" s="46" t="n">
        <v>0</v>
      </c>
      <c r="W827" s="46" t="n">
        <v>0</v>
      </c>
      <c r="X827" s="46" t="n">
        <v>170.04</v>
      </c>
      <c r="Y827" s="33" t="n">
        <f aca="false">IFERROR(X827/R827,0)</f>
        <v>2.5857664233573</v>
      </c>
      <c r="Z827" s="29" t="str">
        <f aca="false">IF(X827&gt;0,"Win",IF(X827&lt;0,"Loss","Flat"))</f>
        <v>Win</v>
      </c>
      <c r="AA827" s="29" t="n">
        <f aca="false">ROUND((C827-B827)*1440,1)</f>
        <v>8.2</v>
      </c>
      <c r="AB827" s="29" t="str">
        <f aca="false">IF(AA827&lt;1,"a) &lt;1 min",IF(AA827&lt;10,"b) 1-10 min",IF(AA827&lt;60,"c) 10-60 min",IF(AA827&lt;240,"d) 1-4 h","e) 4 h+"))))</f>
        <v>b) 1-10 min</v>
      </c>
      <c r="AC827" s="29" t="str">
        <f aca="false">IF(P827&lt;10,"a) &lt;10",IF(P827&lt;20,"b) 10-20",IF(P827&lt;40,"c) 20-40",IF(P827&lt;80,"d) 40-80","e) 80+"))))</f>
        <v>b) 10-20</v>
      </c>
      <c r="AD827" s="31" t="n">
        <f aca="false">Summary!$C$5+SUM(X$2:X827)</f>
        <v>18393.32</v>
      </c>
      <c r="AE827" s="31" t="n">
        <f aca="false">MAX(AE826,AD827)</f>
        <v>18456.72</v>
      </c>
      <c r="AF827" s="31" t="n">
        <f aca="false">AE827-AD827</f>
        <v>63.4000000000015</v>
      </c>
      <c r="AG827" s="30" t="n">
        <f aca="false">IFERROR(AF827/AE827,0)</f>
        <v>0.00343506321816669</v>
      </c>
    </row>
    <row r="828" customFormat="false" ht="15" hidden="false" customHeight="false" outlineLevel="0" collapsed="false">
      <c r="A828" s="29" t="n">
        <v>827</v>
      </c>
      <c r="B828" s="44" t="n">
        <v>45840.6548611111</v>
      </c>
      <c r="C828" s="44" t="n">
        <v>45840.656724537</v>
      </c>
      <c r="D828" s="43" t="n">
        <f aca="false">INT(C828)</f>
        <v>45840</v>
      </c>
      <c r="E828" s="43" t="n">
        <f aca="false">D828-WEEKDAY(D828,3)</f>
        <v>45838</v>
      </c>
      <c r="F828" s="29" t="s">
        <v>183</v>
      </c>
      <c r="G828" s="29" t="n">
        <v>2025</v>
      </c>
      <c r="H828" s="29" t="s">
        <v>252</v>
      </c>
      <c r="I828" s="29" t="n">
        <v>15</v>
      </c>
      <c r="J828" s="29" t="s">
        <v>250</v>
      </c>
      <c r="K828" s="29" t="s">
        <v>251</v>
      </c>
      <c r="L828" s="29" t="n">
        <v>0.04</v>
      </c>
      <c r="M828" s="32" t="n">
        <v>22378.75</v>
      </c>
      <c r="N828" s="32" t="n">
        <v>22390.75</v>
      </c>
      <c r="O828" s="32" t="n">
        <v>22349.36</v>
      </c>
      <c r="P828" s="45" t="n">
        <f aca="false">ABS(M828-N828)</f>
        <v>12</v>
      </c>
      <c r="Q828" s="45" t="n">
        <f aca="false">IF(O828="","",ABS(O828-M828))</f>
        <v>29.3899999999994</v>
      </c>
      <c r="R828" s="31" t="n">
        <f aca="false">P828*L828*Summary!$C$6</f>
        <v>48</v>
      </c>
      <c r="S828" s="32" t="n">
        <v>22390.9</v>
      </c>
      <c r="T828" s="29" t="s">
        <v>249</v>
      </c>
      <c r="U828" s="45" t="n">
        <f aca="false">IF(J828="BUY",S828-M828,M828-S828)</f>
        <v>-12.1500000000015</v>
      </c>
      <c r="V828" s="46" t="n">
        <v>0</v>
      </c>
      <c r="W828" s="46" t="n">
        <v>0</v>
      </c>
      <c r="X828" s="46" t="n">
        <v>-48.6</v>
      </c>
      <c r="Y828" s="33" t="n">
        <f aca="false">IFERROR(X828/R828,0)</f>
        <v>-1.0125</v>
      </c>
      <c r="Z828" s="29" t="str">
        <f aca="false">IF(X828&gt;0,"Win",IF(X828&lt;0,"Loss","Flat"))</f>
        <v>Loss</v>
      </c>
      <c r="AA828" s="29" t="n">
        <f aca="false">ROUND((C828-B828)*1440,1)</f>
        <v>2.7</v>
      </c>
      <c r="AB828" s="29" t="str">
        <f aca="false">IF(AA828&lt;1,"a) &lt;1 min",IF(AA828&lt;10,"b) 1-10 min",IF(AA828&lt;60,"c) 10-60 min",IF(AA828&lt;240,"d) 1-4 h","e) 4 h+"))))</f>
        <v>b) 1-10 min</v>
      </c>
      <c r="AC828" s="29" t="str">
        <f aca="false">IF(P828&lt;10,"a) &lt;10",IF(P828&lt;20,"b) 10-20",IF(P828&lt;40,"c) 20-40",IF(P828&lt;80,"d) 40-80","e) 80+"))))</f>
        <v>b) 10-20</v>
      </c>
      <c r="AD828" s="31" t="n">
        <f aca="false">Summary!$C$5+SUM(X$2:X828)</f>
        <v>18344.72</v>
      </c>
      <c r="AE828" s="31" t="n">
        <f aca="false">MAX(AE827,AD828)</f>
        <v>18456.72</v>
      </c>
      <c r="AF828" s="31" t="n">
        <f aca="false">AE828-AD828</f>
        <v>112</v>
      </c>
      <c r="AG828" s="30" t="n">
        <f aca="false">IFERROR(AF828/AE828,0)</f>
        <v>0.00606825048004196</v>
      </c>
    </row>
    <row r="829" customFormat="false" ht="15" hidden="false" customHeight="false" outlineLevel="0" collapsed="false">
      <c r="A829" s="29" t="n">
        <v>828</v>
      </c>
      <c r="B829" s="44" t="n">
        <v>45841.1368055556</v>
      </c>
      <c r="C829" s="44" t="n">
        <v>45841.1402662037</v>
      </c>
      <c r="D829" s="43" t="n">
        <f aca="false">INT(C829)</f>
        <v>45841</v>
      </c>
      <c r="E829" s="43" t="n">
        <f aca="false">D829-WEEKDAY(D829,3)</f>
        <v>45838</v>
      </c>
      <c r="F829" s="29" t="s">
        <v>183</v>
      </c>
      <c r="G829" s="29" t="n">
        <v>2025</v>
      </c>
      <c r="H829" s="29" t="s">
        <v>253</v>
      </c>
      <c r="I829" s="29" t="n">
        <v>3</v>
      </c>
      <c r="J829" s="29" t="s">
        <v>246</v>
      </c>
      <c r="K829" s="29" t="s">
        <v>247</v>
      </c>
      <c r="L829" s="29" t="n">
        <v>0.04</v>
      </c>
      <c r="M829" s="32" t="n">
        <v>22641.92</v>
      </c>
      <c r="N829" s="32" t="n">
        <v>22636.72</v>
      </c>
      <c r="O829" s="32" t="n">
        <v>22654.65</v>
      </c>
      <c r="P829" s="45" t="n">
        <f aca="false">ABS(M829-N829)</f>
        <v>5.19999999999709</v>
      </c>
      <c r="Q829" s="45" t="n">
        <f aca="false">IF(O829="","",ABS(O829-M829))</f>
        <v>12.7300000000032</v>
      </c>
      <c r="R829" s="31" t="n">
        <f aca="false">P829*L829*Summary!$C$6</f>
        <v>20.7999999999884</v>
      </c>
      <c r="S829" s="32" t="n">
        <v>22636.48</v>
      </c>
      <c r="T829" s="29" t="s">
        <v>249</v>
      </c>
      <c r="U829" s="45" t="n">
        <f aca="false">IF(J829="BUY",S829-M829,M829-S829)</f>
        <v>-5.43999999999869</v>
      </c>
      <c r="V829" s="46" t="n">
        <v>0</v>
      </c>
      <c r="W829" s="46" t="n">
        <v>0</v>
      </c>
      <c r="X829" s="46" t="n">
        <v>-21.76</v>
      </c>
      <c r="Y829" s="33" t="n">
        <f aca="false">IFERROR(X829/R829,0)</f>
        <v>-1.04615384615443</v>
      </c>
      <c r="Z829" s="29" t="str">
        <f aca="false">IF(X829&gt;0,"Win",IF(X829&lt;0,"Loss","Flat"))</f>
        <v>Loss</v>
      </c>
      <c r="AA829" s="29" t="n">
        <f aca="false">ROUND((C829-B829)*1440,1)</f>
        <v>5</v>
      </c>
      <c r="AB829" s="29" t="str">
        <f aca="false">IF(AA829&lt;1,"a) &lt;1 min",IF(AA829&lt;10,"b) 1-10 min",IF(AA829&lt;60,"c) 10-60 min",IF(AA829&lt;240,"d) 1-4 h","e) 4 h+"))))</f>
        <v>b) 1-10 min</v>
      </c>
      <c r="AC829" s="29" t="str">
        <f aca="false">IF(P829&lt;10,"a) &lt;10",IF(P829&lt;20,"b) 10-20",IF(P829&lt;40,"c) 20-40",IF(P829&lt;80,"d) 40-80","e) 80+"))))</f>
        <v>a) &lt;10</v>
      </c>
      <c r="AD829" s="31" t="n">
        <f aca="false">Summary!$C$5+SUM(X$2:X829)</f>
        <v>18322.96</v>
      </c>
      <c r="AE829" s="31" t="n">
        <f aca="false">MAX(AE828,AD829)</f>
        <v>18456.72</v>
      </c>
      <c r="AF829" s="31" t="n">
        <f aca="false">AE829-AD829</f>
        <v>133.760000000002</v>
      </c>
      <c r="AG829" s="30" t="n">
        <f aca="false">IFERROR(AF829/AE829,0)</f>
        <v>0.00724722485902165</v>
      </c>
    </row>
    <row r="830" customFormat="false" ht="15" hidden="false" customHeight="false" outlineLevel="0" collapsed="false">
      <c r="A830" s="29" t="n">
        <v>829</v>
      </c>
      <c r="B830" s="44" t="n">
        <v>45845.80625</v>
      </c>
      <c r="C830" s="44" t="n">
        <v>45845.8075694444</v>
      </c>
      <c r="D830" s="43" t="n">
        <f aca="false">INT(C830)</f>
        <v>45845</v>
      </c>
      <c r="E830" s="43" t="n">
        <f aca="false">D830-WEEKDAY(D830,3)</f>
        <v>45845</v>
      </c>
      <c r="F830" s="29" t="s">
        <v>183</v>
      </c>
      <c r="G830" s="29" t="n">
        <v>2025</v>
      </c>
      <c r="H830" s="29" t="s">
        <v>245</v>
      </c>
      <c r="I830" s="29" t="n">
        <v>19</v>
      </c>
      <c r="J830" s="29" t="s">
        <v>250</v>
      </c>
      <c r="K830" s="29" t="s">
        <v>251</v>
      </c>
      <c r="L830" s="29" t="n">
        <v>0.04</v>
      </c>
      <c r="M830" s="32" t="n">
        <v>22678.29</v>
      </c>
      <c r="N830" s="32" t="n">
        <v>22709.3</v>
      </c>
      <c r="O830" s="32" t="n">
        <v>22618.57</v>
      </c>
      <c r="P830" s="45" t="n">
        <f aca="false">ABS(M830-N830)</f>
        <v>31.0099999999984</v>
      </c>
      <c r="Q830" s="45" t="n">
        <f aca="false">IF(O830="","",ABS(O830-M830))</f>
        <v>59.7200000000012</v>
      </c>
      <c r="R830" s="31" t="n">
        <f aca="false">P830*L830*Summary!$C$6</f>
        <v>124.039999999994</v>
      </c>
      <c r="S830" s="32" t="n">
        <v>22678.45</v>
      </c>
      <c r="T830" s="29" t="s">
        <v>255</v>
      </c>
      <c r="U830" s="45" t="n">
        <f aca="false">IF(J830="BUY",S830-M830,M830-S830)</f>
        <v>-0.159999999999854</v>
      </c>
      <c r="V830" s="46" t="n">
        <v>0</v>
      </c>
      <c r="W830" s="46" t="n">
        <v>0</v>
      </c>
      <c r="X830" s="46" t="n">
        <v>-0.64</v>
      </c>
      <c r="Y830" s="33" t="n">
        <f aca="false">IFERROR(X830/R830,0)</f>
        <v>-0.00515962592712055</v>
      </c>
      <c r="Z830" s="29" t="str">
        <f aca="false">IF(X830&gt;0,"Win",IF(X830&lt;0,"Loss","Flat"))</f>
        <v>Loss</v>
      </c>
      <c r="AA830" s="29" t="n">
        <f aca="false">ROUND((C830-B830)*1440,1)</f>
        <v>1.9</v>
      </c>
      <c r="AB830" s="29" t="str">
        <f aca="false">IF(AA830&lt;1,"a) &lt;1 min",IF(AA830&lt;10,"b) 1-10 min",IF(AA830&lt;60,"c) 10-60 min",IF(AA830&lt;240,"d) 1-4 h","e) 4 h+"))))</f>
        <v>b) 1-10 min</v>
      </c>
      <c r="AC830" s="29" t="str">
        <f aca="false">IF(P830&lt;10,"a) &lt;10",IF(P830&lt;20,"b) 10-20",IF(P830&lt;40,"c) 20-40",IF(P830&lt;80,"d) 40-80","e) 80+"))))</f>
        <v>c) 20-40</v>
      </c>
      <c r="AD830" s="31" t="n">
        <f aca="false">Summary!$C$5+SUM(X$2:X830)</f>
        <v>18322.32</v>
      </c>
      <c r="AE830" s="31" t="n">
        <f aca="false">MAX(AE829,AD830)</f>
        <v>18456.72</v>
      </c>
      <c r="AF830" s="31" t="n">
        <f aca="false">AE830-AD830</f>
        <v>134.400000000001</v>
      </c>
      <c r="AG830" s="30" t="n">
        <f aca="false">IFERROR(AF830/AE830,0)</f>
        <v>0.00728190057605043</v>
      </c>
    </row>
    <row r="831" customFormat="false" ht="15" hidden="false" customHeight="false" outlineLevel="0" collapsed="false">
      <c r="A831" s="29" t="n">
        <v>830</v>
      </c>
      <c r="B831" s="44" t="n">
        <v>45847.6875</v>
      </c>
      <c r="C831" s="44" t="n">
        <v>45847.6876157407</v>
      </c>
      <c r="D831" s="43" t="n">
        <f aca="false">INT(C831)</f>
        <v>45847</v>
      </c>
      <c r="E831" s="43" t="n">
        <f aca="false">D831-WEEKDAY(D831,3)</f>
        <v>45845</v>
      </c>
      <c r="F831" s="29" t="s">
        <v>183</v>
      </c>
      <c r="G831" s="29" t="n">
        <v>2025</v>
      </c>
      <c r="H831" s="29" t="s">
        <v>252</v>
      </c>
      <c r="I831" s="29" t="n">
        <v>16</v>
      </c>
      <c r="J831" s="29" t="s">
        <v>246</v>
      </c>
      <c r="K831" s="29" t="s">
        <v>247</v>
      </c>
      <c r="L831" s="29" t="n">
        <v>0.04</v>
      </c>
      <c r="M831" s="32" t="n">
        <v>22784.78</v>
      </c>
      <c r="N831" s="32" t="n">
        <v>22776.66</v>
      </c>
      <c r="O831" s="32" t="n">
        <v>22800.37</v>
      </c>
      <c r="P831" s="45" t="n">
        <f aca="false">ABS(M831-N831)</f>
        <v>8.11999999999898</v>
      </c>
      <c r="Q831" s="45" t="n">
        <f aca="false">IF(O831="","",ABS(O831-M831))</f>
        <v>15.5900000000001</v>
      </c>
      <c r="R831" s="31" t="n">
        <f aca="false">P831*L831*Summary!$C$6</f>
        <v>32.4799999999959</v>
      </c>
      <c r="S831" s="32" t="n">
        <v>22801.14</v>
      </c>
      <c r="T831" s="29" t="s">
        <v>227</v>
      </c>
      <c r="U831" s="45" t="n">
        <f aca="false">IF(J831="BUY",S831-M831,M831-S831)</f>
        <v>16.3600000000006</v>
      </c>
      <c r="V831" s="46" t="n">
        <v>0</v>
      </c>
      <c r="W831" s="46" t="n">
        <v>0</v>
      </c>
      <c r="X831" s="46" t="n">
        <v>65.44</v>
      </c>
      <c r="Y831" s="33" t="n">
        <f aca="false">IFERROR(X831/R831,0)</f>
        <v>2.01477832512341</v>
      </c>
      <c r="Z831" s="29" t="str">
        <f aca="false">IF(X831&gt;0,"Win",IF(X831&lt;0,"Loss","Flat"))</f>
        <v>Win</v>
      </c>
      <c r="AA831" s="29" t="n">
        <f aca="false">ROUND((C831-B831)*1440,1)</f>
        <v>0.2</v>
      </c>
      <c r="AB831" s="29" t="str">
        <f aca="false">IF(AA831&lt;1,"a) &lt;1 min",IF(AA831&lt;10,"b) 1-10 min",IF(AA831&lt;60,"c) 10-60 min",IF(AA831&lt;240,"d) 1-4 h","e) 4 h+"))))</f>
        <v>a) &lt;1 min</v>
      </c>
      <c r="AC831" s="29" t="str">
        <f aca="false">IF(P831&lt;10,"a) &lt;10",IF(P831&lt;20,"b) 10-20",IF(P831&lt;40,"c) 20-40",IF(P831&lt;80,"d) 40-80","e) 80+"))))</f>
        <v>a) &lt;10</v>
      </c>
      <c r="AD831" s="31" t="n">
        <f aca="false">Summary!$C$5+SUM(X$2:X831)</f>
        <v>18387.76</v>
      </c>
      <c r="AE831" s="31" t="n">
        <f aca="false">MAX(AE830,AD831)</f>
        <v>18456.72</v>
      </c>
      <c r="AF831" s="31" t="n">
        <f aca="false">AE831-AD831</f>
        <v>68.9599999999991</v>
      </c>
      <c r="AG831" s="30" t="n">
        <f aca="false">IFERROR(AF831/AE831,0)</f>
        <v>0.00373630850985436</v>
      </c>
    </row>
    <row r="832" customFormat="false" ht="15" hidden="false" customHeight="false" outlineLevel="0" collapsed="false">
      <c r="A832" s="29" t="n">
        <v>831</v>
      </c>
      <c r="B832" s="44" t="n">
        <v>45849.14375</v>
      </c>
      <c r="C832" s="44" t="n">
        <v>45849.144212963</v>
      </c>
      <c r="D832" s="43" t="n">
        <f aca="false">INT(C832)</f>
        <v>45849</v>
      </c>
      <c r="E832" s="43" t="n">
        <f aca="false">D832-WEEKDAY(D832,3)</f>
        <v>45845</v>
      </c>
      <c r="F832" s="29" t="s">
        <v>183</v>
      </c>
      <c r="G832" s="29" t="n">
        <v>2025</v>
      </c>
      <c r="H832" s="29" t="s">
        <v>254</v>
      </c>
      <c r="I832" s="29" t="n">
        <v>3</v>
      </c>
      <c r="J832" s="29" t="s">
        <v>250</v>
      </c>
      <c r="K832" s="29" t="s">
        <v>251</v>
      </c>
      <c r="L832" s="29" t="n">
        <v>0.04</v>
      </c>
      <c r="M832" s="32" t="n">
        <v>22698.46</v>
      </c>
      <c r="N832" s="32" t="n">
        <v>22716.99</v>
      </c>
      <c r="O832" s="32" t="n">
        <v>22653.06</v>
      </c>
      <c r="P832" s="45" t="n">
        <f aca="false">ABS(M832-N832)</f>
        <v>18.5300000000025</v>
      </c>
      <c r="Q832" s="45" t="n">
        <f aca="false">IF(O832="","",ABS(O832-M832))</f>
        <v>45.3999999999978</v>
      </c>
      <c r="R832" s="31" t="n">
        <f aca="false">P832*L832*Summary!$C$6</f>
        <v>74.1200000000099</v>
      </c>
      <c r="S832" s="32" t="n">
        <v>22651.61</v>
      </c>
      <c r="T832" s="29" t="s">
        <v>227</v>
      </c>
      <c r="U832" s="45" t="n">
        <f aca="false">IF(J832="BUY",S832-M832,M832-S832)</f>
        <v>46.8499999999985</v>
      </c>
      <c r="V832" s="46" t="n">
        <v>0</v>
      </c>
      <c r="W832" s="46" t="n">
        <v>0</v>
      </c>
      <c r="X832" s="46" t="n">
        <v>187.4</v>
      </c>
      <c r="Y832" s="33" t="n">
        <f aca="false">IFERROR(X832/R832,0)</f>
        <v>2.52833243389065</v>
      </c>
      <c r="Z832" s="29" t="str">
        <f aca="false">IF(X832&gt;0,"Win",IF(X832&lt;0,"Loss","Flat"))</f>
        <v>Win</v>
      </c>
      <c r="AA832" s="29" t="n">
        <f aca="false">ROUND((C832-B832)*1440,1)</f>
        <v>0.7</v>
      </c>
      <c r="AB832" s="29" t="str">
        <f aca="false">IF(AA832&lt;1,"a) &lt;1 min",IF(AA832&lt;10,"b) 1-10 min",IF(AA832&lt;60,"c) 10-60 min",IF(AA832&lt;240,"d) 1-4 h","e) 4 h+"))))</f>
        <v>a) &lt;1 min</v>
      </c>
      <c r="AC832" s="29" t="str">
        <f aca="false">IF(P832&lt;10,"a) &lt;10",IF(P832&lt;20,"b) 10-20",IF(P832&lt;40,"c) 20-40",IF(P832&lt;80,"d) 40-80","e) 80+"))))</f>
        <v>b) 10-20</v>
      </c>
      <c r="AD832" s="31" t="n">
        <f aca="false">Summary!$C$5+SUM(X$2:X832)</f>
        <v>18575.16</v>
      </c>
      <c r="AE832" s="31" t="n">
        <f aca="false">MAX(AE831,AD832)</f>
        <v>18575.16</v>
      </c>
      <c r="AF832" s="31" t="n">
        <f aca="false">AE832-AD832</f>
        <v>0</v>
      </c>
      <c r="AG832" s="30" t="n">
        <f aca="false">IFERROR(AF832/AE832,0)</f>
        <v>0</v>
      </c>
    </row>
    <row r="833" customFormat="false" ht="15" hidden="false" customHeight="false" outlineLevel="0" collapsed="false">
      <c r="A833" s="29" t="n">
        <v>832</v>
      </c>
      <c r="B833" s="44" t="n">
        <v>45852.05</v>
      </c>
      <c r="C833" s="44" t="n">
        <v>45852.0509837963</v>
      </c>
      <c r="D833" s="43" t="n">
        <f aca="false">INT(C833)</f>
        <v>45852</v>
      </c>
      <c r="E833" s="43" t="n">
        <f aca="false">D833-WEEKDAY(D833,3)</f>
        <v>45852</v>
      </c>
      <c r="F833" s="29" t="s">
        <v>183</v>
      </c>
      <c r="G833" s="29" t="n">
        <v>2025</v>
      </c>
      <c r="H833" s="29" t="s">
        <v>245</v>
      </c>
      <c r="I833" s="29" t="n">
        <v>1</v>
      </c>
      <c r="J833" s="29" t="s">
        <v>250</v>
      </c>
      <c r="K833" s="29" t="s">
        <v>251</v>
      </c>
      <c r="L833" s="29" t="n">
        <v>0.04</v>
      </c>
      <c r="M833" s="32" t="n">
        <v>22642.99</v>
      </c>
      <c r="N833" s="32" t="n">
        <v>22655.64</v>
      </c>
      <c r="O833" s="32" t="n">
        <v>22612</v>
      </c>
      <c r="P833" s="45" t="n">
        <f aca="false">ABS(M833-N833)</f>
        <v>12.6499999999978</v>
      </c>
      <c r="Q833" s="45" t="n">
        <f aca="false">IF(O833="","",ABS(O833-M833))</f>
        <v>30.9900000000016</v>
      </c>
      <c r="R833" s="31" t="n">
        <f aca="false">P833*L833*Summary!$C$6</f>
        <v>50.5999999999913</v>
      </c>
      <c r="S833" s="32" t="n">
        <v>22656.78</v>
      </c>
      <c r="T833" s="29" t="s">
        <v>249</v>
      </c>
      <c r="U833" s="45" t="n">
        <f aca="false">IF(J833="BUY",S833-M833,M833-S833)</f>
        <v>-13.7899999999972</v>
      </c>
      <c r="V833" s="46" t="n">
        <v>0</v>
      </c>
      <c r="W833" s="46" t="n">
        <v>0</v>
      </c>
      <c r="X833" s="46" t="n">
        <v>-55.16</v>
      </c>
      <c r="Y833" s="33" t="n">
        <f aca="false">IFERROR(X833/R833,0)</f>
        <v>-1.09011857707529</v>
      </c>
      <c r="Z833" s="29" t="str">
        <f aca="false">IF(X833&gt;0,"Win",IF(X833&lt;0,"Loss","Flat"))</f>
        <v>Loss</v>
      </c>
      <c r="AA833" s="29" t="n">
        <f aca="false">ROUND((C833-B833)*1440,1)</f>
        <v>1.4</v>
      </c>
      <c r="AB833" s="29" t="str">
        <f aca="false">IF(AA833&lt;1,"a) &lt;1 min",IF(AA833&lt;10,"b) 1-10 min",IF(AA833&lt;60,"c) 10-60 min",IF(AA833&lt;240,"d) 1-4 h","e) 4 h+"))))</f>
        <v>b) 1-10 min</v>
      </c>
      <c r="AC833" s="29" t="str">
        <f aca="false">IF(P833&lt;10,"a) &lt;10",IF(P833&lt;20,"b) 10-20",IF(P833&lt;40,"c) 20-40",IF(P833&lt;80,"d) 40-80","e) 80+"))))</f>
        <v>b) 10-20</v>
      </c>
      <c r="AD833" s="31" t="n">
        <f aca="false">Summary!$C$5+SUM(X$2:X833)</f>
        <v>18520</v>
      </c>
      <c r="AE833" s="31" t="n">
        <f aca="false">MAX(AE832,AD833)</f>
        <v>18575.16</v>
      </c>
      <c r="AF833" s="31" t="n">
        <f aca="false">AE833-AD833</f>
        <v>55.1599999999999</v>
      </c>
      <c r="AG833" s="30" t="n">
        <f aca="false">IFERROR(AF833/AE833,0)</f>
        <v>0.0029695571935854</v>
      </c>
    </row>
    <row r="834" customFormat="false" ht="15" hidden="false" customHeight="false" outlineLevel="0" collapsed="false">
      <c r="A834" s="29" t="n">
        <v>833</v>
      </c>
      <c r="B834" s="44" t="n">
        <v>45852.8395833333</v>
      </c>
      <c r="C834" s="44" t="n">
        <v>45852.841724537</v>
      </c>
      <c r="D834" s="43" t="n">
        <f aca="false">INT(C834)</f>
        <v>45852</v>
      </c>
      <c r="E834" s="43" t="n">
        <f aca="false">D834-WEEKDAY(D834,3)</f>
        <v>45852</v>
      </c>
      <c r="F834" s="29" t="s">
        <v>183</v>
      </c>
      <c r="G834" s="29" t="n">
        <v>2025</v>
      </c>
      <c r="H834" s="29" t="s">
        <v>245</v>
      </c>
      <c r="I834" s="29" t="n">
        <v>20</v>
      </c>
      <c r="J834" s="29" t="s">
        <v>246</v>
      </c>
      <c r="K834" s="29" t="s">
        <v>247</v>
      </c>
      <c r="L834" s="29" t="n">
        <v>0.04</v>
      </c>
      <c r="M834" s="32" t="n">
        <v>22867.8</v>
      </c>
      <c r="N834" s="32" t="n">
        <v>22864.06</v>
      </c>
      <c r="O834" s="32" t="n">
        <v>22876.96</v>
      </c>
      <c r="P834" s="45" t="n">
        <f aca="false">ABS(M834-N834)</f>
        <v>3.73999999999796</v>
      </c>
      <c r="Q834" s="45" t="n">
        <f aca="false">IF(O834="","",ABS(O834-M834))</f>
        <v>9.15999999999985</v>
      </c>
      <c r="R834" s="31" t="n">
        <f aca="false">P834*L834*Summary!$C$6</f>
        <v>14.9599999999919</v>
      </c>
      <c r="S834" s="32" t="n">
        <v>22867.8</v>
      </c>
      <c r="T834" s="29" t="s">
        <v>255</v>
      </c>
      <c r="U834" s="45" t="n">
        <f aca="false">IF(J834="BUY",S834-M834,M834-S834)</f>
        <v>0</v>
      </c>
      <c r="V834" s="46" t="n">
        <v>0</v>
      </c>
      <c r="W834" s="46" t="n">
        <v>0</v>
      </c>
      <c r="X834" s="46" t="n">
        <v>0</v>
      </c>
      <c r="Y834" s="33" t="n">
        <f aca="false">IFERROR(X834/R834,0)</f>
        <v>0</v>
      </c>
      <c r="Z834" s="29" t="str">
        <f aca="false">IF(X834&gt;0,"Win",IF(X834&lt;0,"Loss","Flat"))</f>
        <v>Flat</v>
      </c>
      <c r="AA834" s="29" t="n">
        <f aca="false">ROUND((C834-B834)*1440,1)</f>
        <v>3.1</v>
      </c>
      <c r="AB834" s="29" t="str">
        <f aca="false">IF(AA834&lt;1,"a) &lt;1 min",IF(AA834&lt;10,"b) 1-10 min",IF(AA834&lt;60,"c) 10-60 min",IF(AA834&lt;240,"d) 1-4 h","e) 4 h+"))))</f>
        <v>b) 1-10 min</v>
      </c>
      <c r="AC834" s="29" t="str">
        <f aca="false">IF(P834&lt;10,"a) &lt;10",IF(P834&lt;20,"b) 10-20",IF(P834&lt;40,"c) 20-40",IF(P834&lt;80,"d) 40-80","e) 80+"))))</f>
        <v>a) &lt;10</v>
      </c>
      <c r="AD834" s="31" t="n">
        <f aca="false">Summary!$C$5+SUM(X$2:X834)</f>
        <v>18520</v>
      </c>
      <c r="AE834" s="31" t="n">
        <f aca="false">MAX(AE833,AD834)</f>
        <v>18575.16</v>
      </c>
      <c r="AF834" s="31" t="n">
        <f aca="false">AE834-AD834</f>
        <v>55.1599999999999</v>
      </c>
      <c r="AG834" s="30" t="n">
        <f aca="false">IFERROR(AF834/AE834,0)</f>
        <v>0.0029695571935854</v>
      </c>
    </row>
    <row r="835" customFormat="false" ht="15" hidden="false" customHeight="false" outlineLevel="0" collapsed="false">
      <c r="A835" s="29" t="n">
        <v>834</v>
      </c>
      <c r="B835" s="44" t="n">
        <v>45853.1979166667</v>
      </c>
      <c r="C835" s="44" t="n">
        <v>45853.2015046296</v>
      </c>
      <c r="D835" s="43" t="n">
        <f aca="false">INT(C835)</f>
        <v>45853</v>
      </c>
      <c r="E835" s="43" t="n">
        <f aca="false">D835-WEEKDAY(D835,3)</f>
        <v>45852</v>
      </c>
      <c r="F835" s="29" t="s">
        <v>183</v>
      </c>
      <c r="G835" s="29" t="n">
        <v>2025</v>
      </c>
      <c r="H835" s="29" t="s">
        <v>248</v>
      </c>
      <c r="I835" s="29" t="n">
        <v>4</v>
      </c>
      <c r="J835" s="29" t="s">
        <v>246</v>
      </c>
      <c r="K835" s="29" t="s">
        <v>247</v>
      </c>
      <c r="L835" s="29" t="n">
        <v>0.04</v>
      </c>
      <c r="M835" s="32" t="n">
        <v>22900.6</v>
      </c>
      <c r="N835" s="32" t="n">
        <v>22885</v>
      </c>
      <c r="O835" s="32" t="n">
        <v>22938.82</v>
      </c>
      <c r="P835" s="45" t="n">
        <f aca="false">ABS(M835-N835)</f>
        <v>15.5999999999985</v>
      </c>
      <c r="Q835" s="45" t="n">
        <f aca="false">IF(O835="","",ABS(O835-M835))</f>
        <v>38.2200000000012</v>
      </c>
      <c r="R835" s="31" t="n">
        <f aca="false">P835*L835*Summary!$C$6</f>
        <v>62.3999999999942</v>
      </c>
      <c r="S835" s="32" t="n">
        <v>22939.53</v>
      </c>
      <c r="T835" s="29" t="s">
        <v>227</v>
      </c>
      <c r="U835" s="45" t="n">
        <f aca="false">IF(J835="BUY",S835-M835,M835-S835)</f>
        <v>38.9300000000003</v>
      </c>
      <c r="V835" s="46" t="n">
        <v>0</v>
      </c>
      <c r="W835" s="46" t="n">
        <v>0</v>
      </c>
      <c r="X835" s="46" t="n">
        <v>155.72</v>
      </c>
      <c r="Y835" s="33" t="n">
        <f aca="false">IFERROR(X835/R835,0)</f>
        <v>2.49551282051305</v>
      </c>
      <c r="Z835" s="29" t="str">
        <f aca="false">IF(X835&gt;0,"Win",IF(X835&lt;0,"Loss","Flat"))</f>
        <v>Win</v>
      </c>
      <c r="AA835" s="29" t="n">
        <f aca="false">ROUND((C835-B835)*1440,1)</f>
        <v>5.2</v>
      </c>
      <c r="AB835" s="29" t="str">
        <f aca="false">IF(AA835&lt;1,"a) &lt;1 min",IF(AA835&lt;10,"b) 1-10 min",IF(AA835&lt;60,"c) 10-60 min",IF(AA835&lt;240,"d) 1-4 h","e) 4 h+"))))</f>
        <v>b) 1-10 min</v>
      </c>
      <c r="AC835" s="29" t="str">
        <f aca="false">IF(P835&lt;10,"a) &lt;10",IF(P835&lt;20,"b) 10-20",IF(P835&lt;40,"c) 20-40",IF(P835&lt;80,"d) 40-80","e) 80+"))))</f>
        <v>b) 10-20</v>
      </c>
      <c r="AD835" s="31" t="n">
        <f aca="false">Summary!$C$5+SUM(X$2:X835)</f>
        <v>18675.72</v>
      </c>
      <c r="AE835" s="31" t="n">
        <f aca="false">MAX(AE834,AD835)</f>
        <v>18675.72</v>
      </c>
      <c r="AF835" s="31" t="n">
        <f aca="false">AE835-AD835</f>
        <v>0</v>
      </c>
      <c r="AG835" s="30" t="n">
        <f aca="false">IFERROR(AF835/AE835,0)</f>
        <v>0</v>
      </c>
    </row>
    <row r="836" customFormat="false" ht="15" hidden="false" customHeight="false" outlineLevel="0" collapsed="false">
      <c r="A836" s="29" t="n">
        <v>835</v>
      </c>
      <c r="B836" s="44" t="n">
        <v>45854.0652777778</v>
      </c>
      <c r="C836" s="44" t="n">
        <v>45854.0664583333</v>
      </c>
      <c r="D836" s="43" t="n">
        <f aca="false">INT(C836)</f>
        <v>45854</v>
      </c>
      <c r="E836" s="43" t="n">
        <f aca="false">D836-WEEKDAY(D836,3)</f>
        <v>45852</v>
      </c>
      <c r="F836" s="29" t="s">
        <v>183</v>
      </c>
      <c r="G836" s="29" t="n">
        <v>2025</v>
      </c>
      <c r="H836" s="29" t="s">
        <v>252</v>
      </c>
      <c r="I836" s="29" t="n">
        <v>1</v>
      </c>
      <c r="J836" s="29" t="s">
        <v>250</v>
      </c>
      <c r="K836" s="29" t="s">
        <v>251</v>
      </c>
      <c r="L836" s="29" t="n">
        <v>0.04</v>
      </c>
      <c r="M836" s="32" t="n">
        <v>22800.77</v>
      </c>
      <c r="N836" s="32" t="n">
        <v>22809.96</v>
      </c>
      <c r="O836" s="32" t="n">
        <v>22778.26</v>
      </c>
      <c r="P836" s="45" t="n">
        <f aca="false">ABS(M836-N836)</f>
        <v>9.18999999999869</v>
      </c>
      <c r="Q836" s="45" t="n">
        <f aca="false">IF(O836="","",ABS(O836-M836))</f>
        <v>22.510000000002</v>
      </c>
      <c r="R836" s="31" t="n">
        <f aca="false">P836*L836*Summary!$C$6</f>
        <v>36.7599999999948</v>
      </c>
      <c r="S836" s="32" t="n">
        <v>22811.4</v>
      </c>
      <c r="T836" s="29" t="s">
        <v>249</v>
      </c>
      <c r="U836" s="45" t="n">
        <f aca="false">IF(J836="BUY",S836-M836,M836-S836)</f>
        <v>-10.630000000001</v>
      </c>
      <c r="V836" s="46" t="n">
        <v>0</v>
      </c>
      <c r="W836" s="46" t="n">
        <v>0</v>
      </c>
      <c r="X836" s="46" t="n">
        <v>-42.52</v>
      </c>
      <c r="Y836" s="33" t="n">
        <f aca="false">IFERROR(X836/R836,0)</f>
        <v>-1.15669205658341</v>
      </c>
      <c r="Z836" s="29" t="str">
        <f aca="false">IF(X836&gt;0,"Win",IF(X836&lt;0,"Loss","Flat"))</f>
        <v>Loss</v>
      </c>
      <c r="AA836" s="29" t="n">
        <f aca="false">ROUND((C836-B836)*1440,1)</f>
        <v>1.7</v>
      </c>
      <c r="AB836" s="29" t="str">
        <f aca="false">IF(AA836&lt;1,"a) &lt;1 min",IF(AA836&lt;10,"b) 1-10 min",IF(AA836&lt;60,"c) 10-60 min",IF(AA836&lt;240,"d) 1-4 h","e) 4 h+"))))</f>
        <v>b) 1-10 min</v>
      </c>
      <c r="AC836" s="29" t="str">
        <f aca="false">IF(P836&lt;10,"a) &lt;10",IF(P836&lt;20,"b) 10-20",IF(P836&lt;40,"c) 20-40",IF(P836&lt;80,"d) 40-80","e) 80+"))))</f>
        <v>a) &lt;10</v>
      </c>
      <c r="AD836" s="31" t="n">
        <f aca="false">Summary!$C$5+SUM(X$2:X836)</f>
        <v>18633.2</v>
      </c>
      <c r="AE836" s="31" t="n">
        <f aca="false">MAX(AE835,AD836)</f>
        <v>18675.72</v>
      </c>
      <c r="AF836" s="31" t="n">
        <f aca="false">AE836-AD836</f>
        <v>42.5200000000004</v>
      </c>
      <c r="AG836" s="30" t="n">
        <f aca="false">IFERROR(AF836/AE836,0)</f>
        <v>0.00227675291769209</v>
      </c>
    </row>
    <row r="837" customFormat="false" ht="15" hidden="false" customHeight="false" outlineLevel="0" collapsed="false">
      <c r="A837" s="29" t="n">
        <v>836</v>
      </c>
      <c r="B837" s="44" t="n">
        <v>45855.3791782407</v>
      </c>
      <c r="C837" s="44" t="n">
        <v>45855.3795833333</v>
      </c>
      <c r="D837" s="43" t="n">
        <f aca="false">INT(C837)</f>
        <v>45855</v>
      </c>
      <c r="E837" s="43" t="n">
        <f aca="false">D837-WEEKDAY(D837,3)</f>
        <v>45852</v>
      </c>
      <c r="F837" s="29" t="s">
        <v>183</v>
      </c>
      <c r="G837" s="29" t="n">
        <v>2025</v>
      </c>
      <c r="H837" s="29" t="s">
        <v>253</v>
      </c>
      <c r="I837" s="29" t="n">
        <v>9</v>
      </c>
      <c r="J837" s="29" t="s">
        <v>246</v>
      </c>
      <c r="K837" s="29" t="s">
        <v>247</v>
      </c>
      <c r="L837" s="29" t="n">
        <v>0.04</v>
      </c>
      <c r="M837" s="32" t="n">
        <v>22931.02</v>
      </c>
      <c r="N837" s="32" t="n">
        <v>22926.29</v>
      </c>
      <c r="O837" s="32" t="n">
        <v>22942.61</v>
      </c>
      <c r="P837" s="45" t="n">
        <f aca="false">ABS(M837-N837)</f>
        <v>4.72999999999956</v>
      </c>
      <c r="Q837" s="45" t="n">
        <f aca="false">IF(O837="","",ABS(O837-M837))</f>
        <v>11.5900000000001</v>
      </c>
      <c r="R837" s="31" t="n">
        <f aca="false">P837*L837*Summary!$C$6</f>
        <v>18.9199999999983</v>
      </c>
      <c r="S837" s="32" t="n">
        <v>22944.15</v>
      </c>
      <c r="T837" s="29" t="s">
        <v>227</v>
      </c>
      <c r="U837" s="45" t="n">
        <f aca="false">IF(J837="BUY",S837-M837,M837-S837)</f>
        <v>13.130000000001</v>
      </c>
      <c r="V837" s="46" t="n">
        <v>0</v>
      </c>
      <c r="W837" s="46" t="n">
        <v>0</v>
      </c>
      <c r="X837" s="46" t="n">
        <v>52.52</v>
      </c>
      <c r="Y837" s="33" t="n">
        <f aca="false">IFERROR(X837/R837,0)</f>
        <v>2.77589852008482</v>
      </c>
      <c r="Z837" s="29" t="str">
        <f aca="false">IF(X837&gt;0,"Win",IF(X837&lt;0,"Loss","Flat"))</f>
        <v>Win</v>
      </c>
      <c r="AA837" s="29" t="n">
        <f aca="false">ROUND((C837-B837)*1440,1)</f>
        <v>0.6</v>
      </c>
      <c r="AB837" s="29" t="str">
        <f aca="false">IF(AA837&lt;1,"a) &lt;1 min",IF(AA837&lt;10,"b) 1-10 min",IF(AA837&lt;60,"c) 10-60 min",IF(AA837&lt;240,"d) 1-4 h","e) 4 h+"))))</f>
        <v>a) &lt;1 min</v>
      </c>
      <c r="AC837" s="29" t="str">
        <f aca="false">IF(P837&lt;10,"a) &lt;10",IF(P837&lt;20,"b) 10-20",IF(P837&lt;40,"c) 20-40",IF(P837&lt;80,"d) 40-80","e) 80+"))))</f>
        <v>a) &lt;10</v>
      </c>
      <c r="AD837" s="31" t="n">
        <f aca="false">Summary!$C$5+SUM(X$2:X837)</f>
        <v>18685.72</v>
      </c>
      <c r="AE837" s="31" t="n">
        <f aca="false">MAX(AE836,AD837)</f>
        <v>18685.72</v>
      </c>
      <c r="AF837" s="31" t="n">
        <f aca="false">AE837-AD837</f>
        <v>0</v>
      </c>
      <c r="AG837" s="30" t="n">
        <f aca="false">IFERROR(AF837/AE837,0)</f>
        <v>0</v>
      </c>
    </row>
    <row r="838" customFormat="false" ht="15" hidden="false" customHeight="false" outlineLevel="0" collapsed="false">
      <c r="A838" s="29" t="n">
        <v>837</v>
      </c>
      <c r="B838" s="44" t="n">
        <v>45856.09375</v>
      </c>
      <c r="C838" s="44" t="n">
        <v>45856.0939467593</v>
      </c>
      <c r="D838" s="43" t="n">
        <f aca="false">INT(C838)</f>
        <v>45856</v>
      </c>
      <c r="E838" s="43" t="n">
        <f aca="false">D838-WEEKDAY(D838,3)</f>
        <v>45852</v>
      </c>
      <c r="F838" s="29" t="s">
        <v>183</v>
      </c>
      <c r="G838" s="29" t="n">
        <v>2025</v>
      </c>
      <c r="H838" s="29" t="s">
        <v>254</v>
      </c>
      <c r="I838" s="29" t="n">
        <v>2</v>
      </c>
      <c r="J838" s="29" t="s">
        <v>246</v>
      </c>
      <c r="K838" s="29" t="s">
        <v>247</v>
      </c>
      <c r="L838" s="29" t="n">
        <v>0.04</v>
      </c>
      <c r="M838" s="32" t="n">
        <v>23108.93</v>
      </c>
      <c r="N838" s="32" t="n">
        <v>23105.94</v>
      </c>
      <c r="O838" s="32" t="n">
        <v>23116.25</v>
      </c>
      <c r="P838" s="45" t="n">
        <f aca="false">ABS(M838-N838)</f>
        <v>2.9900000000016</v>
      </c>
      <c r="Q838" s="45" t="n">
        <f aca="false">IF(O838="","",ABS(O838-M838))</f>
        <v>7.31999999999971</v>
      </c>
      <c r="R838" s="31" t="n">
        <f aca="false">P838*L838*Summary!$C$6</f>
        <v>11.9600000000064</v>
      </c>
      <c r="S838" s="32" t="n">
        <v>23105.93</v>
      </c>
      <c r="T838" s="29" t="s">
        <v>249</v>
      </c>
      <c r="U838" s="45" t="n">
        <f aca="false">IF(J838="BUY",S838-M838,M838-S838)</f>
        <v>-3</v>
      </c>
      <c r="V838" s="46" t="n">
        <v>0</v>
      </c>
      <c r="W838" s="46" t="n">
        <v>0</v>
      </c>
      <c r="X838" s="46" t="n">
        <v>-12</v>
      </c>
      <c r="Y838" s="33" t="n">
        <f aca="false">IFERROR(X838/R838,0)</f>
        <v>-1.00334448160481</v>
      </c>
      <c r="Z838" s="29" t="str">
        <f aca="false">IF(X838&gt;0,"Win",IF(X838&lt;0,"Loss","Flat"))</f>
        <v>Loss</v>
      </c>
      <c r="AA838" s="29" t="n">
        <f aca="false">ROUND((C838-B838)*1440,1)</f>
        <v>0.3</v>
      </c>
      <c r="AB838" s="29" t="str">
        <f aca="false">IF(AA838&lt;1,"a) &lt;1 min",IF(AA838&lt;10,"b) 1-10 min",IF(AA838&lt;60,"c) 10-60 min",IF(AA838&lt;240,"d) 1-4 h","e) 4 h+"))))</f>
        <v>a) &lt;1 min</v>
      </c>
      <c r="AC838" s="29" t="str">
        <f aca="false">IF(P838&lt;10,"a) &lt;10",IF(P838&lt;20,"b) 10-20",IF(P838&lt;40,"c) 20-40",IF(P838&lt;80,"d) 40-80","e) 80+"))))</f>
        <v>a) &lt;10</v>
      </c>
      <c r="AD838" s="31" t="n">
        <f aca="false">Summary!$C$5+SUM(X$2:X838)</f>
        <v>18673.72</v>
      </c>
      <c r="AE838" s="31" t="n">
        <f aca="false">MAX(AE837,AD838)</f>
        <v>18685.72</v>
      </c>
      <c r="AF838" s="31" t="n">
        <f aca="false">AE838-AD838</f>
        <v>12</v>
      </c>
      <c r="AG838" s="30" t="n">
        <f aca="false">IFERROR(AF838/AE838,0)</f>
        <v>0.000642201638470447</v>
      </c>
    </row>
    <row r="839" customFormat="false" ht="15" hidden="false" customHeight="false" outlineLevel="0" collapsed="false">
      <c r="A839" s="29" t="n">
        <v>838</v>
      </c>
      <c r="B839" s="44" t="n">
        <v>45859.6923611111</v>
      </c>
      <c r="C839" s="44" t="n">
        <v>45859.6933564815</v>
      </c>
      <c r="D839" s="43" t="n">
        <f aca="false">INT(C839)</f>
        <v>45859</v>
      </c>
      <c r="E839" s="43" t="n">
        <f aca="false">D839-WEEKDAY(D839,3)</f>
        <v>45859</v>
      </c>
      <c r="F839" s="29" t="s">
        <v>183</v>
      </c>
      <c r="G839" s="29" t="n">
        <v>2025</v>
      </c>
      <c r="H839" s="29" t="s">
        <v>245</v>
      </c>
      <c r="I839" s="29" t="n">
        <v>16</v>
      </c>
      <c r="J839" s="29" t="s">
        <v>246</v>
      </c>
      <c r="K839" s="29" t="s">
        <v>247</v>
      </c>
      <c r="L839" s="29" t="n">
        <v>0.04</v>
      </c>
      <c r="M839" s="32" t="n">
        <v>23162.75</v>
      </c>
      <c r="N839" s="32" t="n">
        <v>23150.81</v>
      </c>
      <c r="O839" s="32" t="n">
        <v>23192</v>
      </c>
      <c r="P839" s="45" t="n">
        <f aca="false">ABS(M839-N839)</f>
        <v>11.9399999999987</v>
      </c>
      <c r="Q839" s="45" t="n">
        <f aca="false">IF(O839="","",ABS(O839-M839))</f>
        <v>29.25</v>
      </c>
      <c r="R839" s="31" t="n">
        <f aca="false">P839*L839*Summary!$C$6</f>
        <v>47.7599999999948</v>
      </c>
      <c r="S839" s="32" t="n">
        <v>23150.28</v>
      </c>
      <c r="T839" s="29" t="s">
        <v>249</v>
      </c>
      <c r="U839" s="45" t="n">
        <f aca="false">IF(J839="BUY",S839-M839,M839-S839)</f>
        <v>-12.4700000000012</v>
      </c>
      <c r="V839" s="46" t="n">
        <v>0</v>
      </c>
      <c r="W839" s="46" t="n">
        <v>0</v>
      </c>
      <c r="X839" s="46" t="n">
        <v>-49.88</v>
      </c>
      <c r="Y839" s="33" t="n">
        <f aca="false">IFERROR(X839/R839,0)</f>
        <v>-1.04438860971536</v>
      </c>
      <c r="Z839" s="29" t="str">
        <f aca="false">IF(X839&gt;0,"Win",IF(X839&lt;0,"Loss","Flat"))</f>
        <v>Loss</v>
      </c>
      <c r="AA839" s="29" t="n">
        <f aca="false">ROUND((C839-B839)*1440,1)</f>
        <v>1.4</v>
      </c>
      <c r="AB839" s="29" t="str">
        <f aca="false">IF(AA839&lt;1,"a) &lt;1 min",IF(AA839&lt;10,"b) 1-10 min",IF(AA839&lt;60,"c) 10-60 min",IF(AA839&lt;240,"d) 1-4 h","e) 4 h+"))))</f>
        <v>b) 1-10 min</v>
      </c>
      <c r="AC839" s="29" t="str">
        <f aca="false">IF(P839&lt;10,"a) &lt;10",IF(P839&lt;20,"b) 10-20",IF(P839&lt;40,"c) 20-40",IF(P839&lt;80,"d) 40-80","e) 80+"))))</f>
        <v>b) 10-20</v>
      </c>
      <c r="AD839" s="31" t="n">
        <f aca="false">Summary!$C$5+SUM(X$2:X839)</f>
        <v>18623.84</v>
      </c>
      <c r="AE839" s="31" t="n">
        <f aca="false">MAX(AE838,AD839)</f>
        <v>18685.72</v>
      </c>
      <c r="AF839" s="31" t="n">
        <f aca="false">AE839-AD839</f>
        <v>61.880000000001</v>
      </c>
      <c r="AG839" s="30" t="n">
        <f aca="false">IFERROR(AF839/AE839,0)</f>
        <v>0.00331161978237933</v>
      </c>
    </row>
    <row r="840" customFormat="false" ht="15" hidden="false" customHeight="false" outlineLevel="0" collapsed="false">
      <c r="A840" s="29" t="n">
        <v>839</v>
      </c>
      <c r="B840" s="44" t="n">
        <v>45860.7027777778</v>
      </c>
      <c r="C840" s="44" t="n">
        <v>45860.7037847222</v>
      </c>
      <c r="D840" s="43" t="n">
        <f aca="false">INT(C840)</f>
        <v>45860</v>
      </c>
      <c r="E840" s="43" t="n">
        <f aca="false">D840-WEEKDAY(D840,3)</f>
        <v>45859</v>
      </c>
      <c r="F840" s="29" t="s">
        <v>183</v>
      </c>
      <c r="G840" s="29" t="n">
        <v>2025</v>
      </c>
      <c r="H840" s="29" t="s">
        <v>248</v>
      </c>
      <c r="I840" s="29" t="n">
        <v>16</v>
      </c>
      <c r="J840" s="29" t="s">
        <v>250</v>
      </c>
      <c r="K840" s="29" t="s">
        <v>251</v>
      </c>
      <c r="L840" s="29" t="n">
        <v>0.04</v>
      </c>
      <c r="M840" s="32" t="n">
        <v>23023.79</v>
      </c>
      <c r="N840" s="32" t="n">
        <v>23042.49</v>
      </c>
      <c r="O840" s="32" t="n">
        <v>22977.98</v>
      </c>
      <c r="P840" s="45" t="n">
        <f aca="false">ABS(M840-N840)</f>
        <v>18.7000000000007</v>
      </c>
      <c r="Q840" s="45" t="n">
        <f aca="false">IF(O840="","",ABS(O840-M840))</f>
        <v>45.8100000000013</v>
      </c>
      <c r="R840" s="31" t="n">
        <f aca="false">P840*L840*Summary!$C$6</f>
        <v>74.8000000000029</v>
      </c>
      <c r="S840" s="32" t="n">
        <v>22977.71</v>
      </c>
      <c r="T840" s="29" t="s">
        <v>227</v>
      </c>
      <c r="U840" s="45" t="n">
        <f aca="false">IF(J840="BUY",S840-M840,M840-S840)</f>
        <v>46.0800000000017</v>
      </c>
      <c r="V840" s="46" t="n">
        <v>0</v>
      </c>
      <c r="W840" s="46" t="n">
        <v>0</v>
      </c>
      <c r="X840" s="46" t="n">
        <v>184.32</v>
      </c>
      <c r="Y840" s="33" t="n">
        <f aca="false">IFERROR(X840/R840,0)</f>
        <v>2.46417112299456</v>
      </c>
      <c r="Z840" s="29" t="str">
        <f aca="false">IF(X840&gt;0,"Win",IF(X840&lt;0,"Loss","Flat"))</f>
        <v>Win</v>
      </c>
      <c r="AA840" s="29" t="n">
        <f aca="false">ROUND((C840-B840)*1440,1)</f>
        <v>1.5</v>
      </c>
      <c r="AB840" s="29" t="str">
        <f aca="false">IF(AA840&lt;1,"a) &lt;1 min",IF(AA840&lt;10,"b) 1-10 min",IF(AA840&lt;60,"c) 10-60 min",IF(AA840&lt;240,"d) 1-4 h","e) 4 h+"))))</f>
        <v>b) 1-10 min</v>
      </c>
      <c r="AC840" s="29" t="str">
        <f aca="false">IF(P840&lt;10,"a) &lt;10",IF(P840&lt;20,"b) 10-20",IF(P840&lt;40,"c) 20-40",IF(P840&lt;80,"d) 40-80","e) 80+"))))</f>
        <v>b) 10-20</v>
      </c>
      <c r="AD840" s="31" t="n">
        <f aca="false">Summary!$C$5+SUM(X$2:X840)</f>
        <v>18808.16</v>
      </c>
      <c r="AE840" s="31" t="n">
        <f aca="false">MAX(AE839,AD840)</f>
        <v>18808.16</v>
      </c>
      <c r="AF840" s="31" t="n">
        <f aca="false">AE840-AD840</f>
        <v>0</v>
      </c>
      <c r="AG840" s="30" t="n">
        <f aca="false">IFERROR(AF840/AE840,0)</f>
        <v>0</v>
      </c>
    </row>
    <row r="841" customFormat="false" ht="15" hidden="false" customHeight="false" outlineLevel="0" collapsed="false">
      <c r="A841" s="29" t="n">
        <v>840</v>
      </c>
      <c r="B841" s="44" t="n">
        <v>45861.9604166667</v>
      </c>
      <c r="C841" s="44" t="n">
        <v>45861.9606828704</v>
      </c>
      <c r="D841" s="43" t="n">
        <f aca="false">INT(C841)</f>
        <v>45861</v>
      </c>
      <c r="E841" s="43" t="n">
        <f aca="false">D841-WEEKDAY(D841,3)</f>
        <v>45859</v>
      </c>
      <c r="F841" s="29" t="s">
        <v>183</v>
      </c>
      <c r="G841" s="29" t="n">
        <v>2025</v>
      </c>
      <c r="H841" s="29" t="s">
        <v>252</v>
      </c>
      <c r="I841" s="29" t="n">
        <v>23</v>
      </c>
      <c r="J841" s="29" t="s">
        <v>246</v>
      </c>
      <c r="K841" s="29" t="s">
        <v>247</v>
      </c>
      <c r="L841" s="29" t="n">
        <v>0.04</v>
      </c>
      <c r="M841" s="32" t="n">
        <v>23224.15</v>
      </c>
      <c r="N841" s="32" t="n">
        <v>23195.78</v>
      </c>
      <c r="O841" s="32" t="n">
        <v>23287.99</v>
      </c>
      <c r="P841" s="45" t="n">
        <f aca="false">ABS(M841-N841)</f>
        <v>28.3700000000026</v>
      </c>
      <c r="Q841" s="45" t="n">
        <f aca="false">IF(O841="","",ABS(O841-M841))</f>
        <v>63.8400000000001</v>
      </c>
      <c r="R841" s="31" t="n">
        <f aca="false">P841*L841*Summary!$C$6</f>
        <v>113.48000000001</v>
      </c>
      <c r="S841" s="32" t="n">
        <v>23194.98</v>
      </c>
      <c r="T841" s="29" t="s">
        <v>249</v>
      </c>
      <c r="U841" s="45" t="n">
        <f aca="false">IF(J841="BUY",S841-M841,M841-S841)</f>
        <v>-29.1700000000019</v>
      </c>
      <c r="V841" s="46" t="n">
        <v>0</v>
      </c>
      <c r="W841" s="46" t="n">
        <v>0</v>
      </c>
      <c r="X841" s="46" t="n">
        <v>-116.68</v>
      </c>
      <c r="Y841" s="33" t="n">
        <f aca="false">IFERROR(X841/R841,0)</f>
        <v>-1.02819880155084</v>
      </c>
      <c r="Z841" s="29" t="str">
        <f aca="false">IF(X841&gt;0,"Win",IF(X841&lt;0,"Loss","Flat"))</f>
        <v>Loss</v>
      </c>
      <c r="AA841" s="29" t="n">
        <f aca="false">ROUND((C841-B841)*1440,1)</f>
        <v>0.4</v>
      </c>
      <c r="AB841" s="29" t="str">
        <f aca="false">IF(AA841&lt;1,"a) &lt;1 min",IF(AA841&lt;10,"b) 1-10 min",IF(AA841&lt;60,"c) 10-60 min",IF(AA841&lt;240,"d) 1-4 h","e) 4 h+"))))</f>
        <v>a) &lt;1 min</v>
      </c>
      <c r="AC841" s="29" t="str">
        <f aca="false">IF(P841&lt;10,"a) &lt;10",IF(P841&lt;20,"b) 10-20",IF(P841&lt;40,"c) 20-40",IF(P841&lt;80,"d) 40-80","e) 80+"))))</f>
        <v>c) 20-40</v>
      </c>
      <c r="AD841" s="31" t="n">
        <f aca="false">Summary!$C$5+SUM(X$2:X841)</f>
        <v>18691.48</v>
      </c>
      <c r="AE841" s="31" t="n">
        <f aca="false">MAX(AE840,AD841)</f>
        <v>18808.16</v>
      </c>
      <c r="AF841" s="31" t="n">
        <f aca="false">AE841-AD841</f>
        <v>116.68</v>
      </c>
      <c r="AG841" s="30" t="n">
        <f aca="false">IFERROR(AF841/AE841,0)</f>
        <v>0.0062036903131407</v>
      </c>
    </row>
    <row r="842" customFormat="false" ht="15" hidden="false" customHeight="false" outlineLevel="0" collapsed="false">
      <c r="A842" s="29" t="n">
        <v>841</v>
      </c>
      <c r="B842" s="44" t="n">
        <v>45862.1208333333</v>
      </c>
      <c r="C842" s="44" t="n">
        <v>45862.1220601852</v>
      </c>
      <c r="D842" s="43" t="n">
        <f aca="false">INT(C842)</f>
        <v>45862</v>
      </c>
      <c r="E842" s="43" t="n">
        <f aca="false">D842-WEEKDAY(D842,3)</f>
        <v>45859</v>
      </c>
      <c r="F842" s="29" t="s">
        <v>183</v>
      </c>
      <c r="G842" s="29" t="n">
        <v>2025</v>
      </c>
      <c r="H842" s="29" t="s">
        <v>253</v>
      </c>
      <c r="I842" s="29" t="n">
        <v>2</v>
      </c>
      <c r="J842" s="29" t="s">
        <v>246</v>
      </c>
      <c r="K842" s="29" t="s">
        <v>247</v>
      </c>
      <c r="L842" s="29" t="n">
        <v>0.04</v>
      </c>
      <c r="M842" s="32" t="n">
        <v>23252.73</v>
      </c>
      <c r="N842" s="32" t="n">
        <v>23250.38</v>
      </c>
      <c r="O842" s="32" t="n">
        <v>23258.48</v>
      </c>
      <c r="P842" s="45" t="n">
        <f aca="false">ABS(M842-N842)</f>
        <v>2.34999999999855</v>
      </c>
      <c r="Q842" s="45" t="n">
        <f aca="false">IF(O842="","",ABS(O842-M842))</f>
        <v>5.75</v>
      </c>
      <c r="R842" s="31" t="n">
        <f aca="false">P842*L842*Summary!$C$6</f>
        <v>9.39999999999418</v>
      </c>
      <c r="S842" s="32" t="n">
        <v>23250.3</v>
      </c>
      <c r="T842" s="29" t="s">
        <v>249</v>
      </c>
      <c r="U842" s="45" t="n">
        <f aca="false">IF(J842="BUY",S842-M842,M842-S842)</f>
        <v>-2.43000000000029</v>
      </c>
      <c r="V842" s="46" t="n">
        <v>0</v>
      </c>
      <c r="W842" s="46" t="n">
        <v>0</v>
      </c>
      <c r="X842" s="46" t="n">
        <v>-9.72</v>
      </c>
      <c r="Y842" s="33" t="n">
        <f aca="false">IFERROR(X842/R842,0)</f>
        <v>-1.03404255319213</v>
      </c>
      <c r="Z842" s="29" t="str">
        <f aca="false">IF(X842&gt;0,"Win",IF(X842&lt;0,"Loss","Flat"))</f>
        <v>Loss</v>
      </c>
      <c r="AA842" s="29" t="n">
        <f aca="false">ROUND((C842-B842)*1440,1)</f>
        <v>1.8</v>
      </c>
      <c r="AB842" s="29" t="str">
        <f aca="false">IF(AA842&lt;1,"a) &lt;1 min",IF(AA842&lt;10,"b) 1-10 min",IF(AA842&lt;60,"c) 10-60 min",IF(AA842&lt;240,"d) 1-4 h","e) 4 h+"))))</f>
        <v>b) 1-10 min</v>
      </c>
      <c r="AC842" s="29" t="str">
        <f aca="false">IF(P842&lt;10,"a) &lt;10",IF(P842&lt;20,"b) 10-20",IF(P842&lt;40,"c) 20-40",IF(P842&lt;80,"d) 40-80","e) 80+"))))</f>
        <v>a) &lt;10</v>
      </c>
      <c r="AD842" s="31" t="n">
        <f aca="false">Summary!$C$5+SUM(X$2:X842)</f>
        <v>18681.76</v>
      </c>
      <c r="AE842" s="31" t="n">
        <f aca="false">MAX(AE841,AD842)</f>
        <v>18808.16</v>
      </c>
      <c r="AF842" s="31" t="n">
        <f aca="false">AE842-AD842</f>
        <v>126.399999999998</v>
      </c>
      <c r="AG842" s="30" t="n">
        <f aca="false">IFERROR(AF842/AE842,0)</f>
        <v>0.00672048727786226</v>
      </c>
    </row>
    <row r="843" customFormat="false" ht="15" hidden="false" customHeight="false" outlineLevel="0" collapsed="false">
      <c r="A843" s="29" t="n">
        <v>842</v>
      </c>
      <c r="B843" s="44" t="n">
        <v>45863.1333333333</v>
      </c>
      <c r="C843" s="44" t="n">
        <v>45863.1409837963</v>
      </c>
      <c r="D843" s="43" t="n">
        <f aca="false">INT(C843)</f>
        <v>45863</v>
      </c>
      <c r="E843" s="43" t="n">
        <f aca="false">D843-WEEKDAY(D843,3)</f>
        <v>45859</v>
      </c>
      <c r="F843" s="29" t="s">
        <v>183</v>
      </c>
      <c r="G843" s="29" t="n">
        <v>2025</v>
      </c>
      <c r="H843" s="29" t="s">
        <v>254</v>
      </c>
      <c r="I843" s="29" t="n">
        <v>3</v>
      </c>
      <c r="J843" s="29" t="s">
        <v>246</v>
      </c>
      <c r="K843" s="29" t="s">
        <v>247</v>
      </c>
      <c r="L843" s="29" t="n">
        <v>0.04</v>
      </c>
      <c r="M843" s="32" t="n">
        <v>23271.68</v>
      </c>
      <c r="N843" s="32" t="n">
        <v>23267.16</v>
      </c>
      <c r="O843" s="32" t="n">
        <v>23282.75</v>
      </c>
      <c r="P843" s="45" t="n">
        <f aca="false">ABS(M843-N843)</f>
        <v>4.52000000000044</v>
      </c>
      <c r="Q843" s="45" t="n">
        <f aca="false">IF(O843="","",ABS(O843-M843))</f>
        <v>11.0699999999997</v>
      </c>
      <c r="R843" s="31" t="n">
        <f aca="false">P843*L843*Summary!$C$6</f>
        <v>18.0800000000017</v>
      </c>
      <c r="S843" s="32" t="n">
        <v>23271.61</v>
      </c>
      <c r="T843" s="29" t="s">
        <v>255</v>
      </c>
      <c r="U843" s="45" t="n">
        <f aca="false">IF(J843="BUY",S843-M843,M843-S843)</f>
        <v>-0.069999999999709</v>
      </c>
      <c r="V843" s="46" t="n">
        <v>0</v>
      </c>
      <c r="W843" s="46" t="n">
        <v>0</v>
      </c>
      <c r="X843" s="46" t="n">
        <v>-0.28</v>
      </c>
      <c r="Y843" s="33" t="n">
        <f aca="false">IFERROR(X843/R843,0)</f>
        <v>-0.0154867256637153</v>
      </c>
      <c r="Z843" s="29" t="str">
        <f aca="false">IF(X843&gt;0,"Win",IF(X843&lt;0,"Loss","Flat"))</f>
        <v>Loss</v>
      </c>
      <c r="AA843" s="29" t="n">
        <f aca="false">ROUND((C843-B843)*1440,1)</f>
        <v>11</v>
      </c>
      <c r="AB843" s="29" t="str">
        <f aca="false">IF(AA843&lt;1,"a) &lt;1 min",IF(AA843&lt;10,"b) 1-10 min",IF(AA843&lt;60,"c) 10-60 min",IF(AA843&lt;240,"d) 1-4 h","e) 4 h+"))))</f>
        <v>c) 10-60 min</v>
      </c>
      <c r="AC843" s="29" t="str">
        <f aca="false">IF(P843&lt;10,"a) &lt;10",IF(P843&lt;20,"b) 10-20",IF(P843&lt;40,"c) 20-40",IF(P843&lt;80,"d) 40-80","e) 80+"))))</f>
        <v>a) &lt;10</v>
      </c>
      <c r="AD843" s="31" t="n">
        <f aca="false">Summary!$C$5+SUM(X$2:X843)</f>
        <v>18681.48</v>
      </c>
      <c r="AE843" s="31" t="n">
        <f aca="false">MAX(AE842,AD843)</f>
        <v>18808.16</v>
      </c>
      <c r="AF843" s="31" t="n">
        <f aca="false">AE843-AD843</f>
        <v>126.68</v>
      </c>
      <c r="AG843" s="30" t="n">
        <f aca="false">IFERROR(AF843/AE843,0)</f>
        <v>0.00673537443322474</v>
      </c>
    </row>
    <row r="844" customFormat="false" ht="15" hidden="false" customHeight="false" outlineLevel="0" collapsed="false">
      <c r="A844" s="29" t="n">
        <v>843</v>
      </c>
      <c r="B844" s="44" t="n">
        <v>45866.0465277778</v>
      </c>
      <c r="C844" s="44" t="n">
        <v>45866.370474537</v>
      </c>
      <c r="D844" s="43" t="n">
        <f aca="false">INT(C844)</f>
        <v>45866</v>
      </c>
      <c r="E844" s="43" t="n">
        <f aca="false">D844-WEEKDAY(D844,3)</f>
        <v>45866</v>
      </c>
      <c r="F844" s="29" t="s">
        <v>183</v>
      </c>
      <c r="G844" s="29" t="n">
        <v>2025</v>
      </c>
      <c r="H844" s="29" t="s">
        <v>245</v>
      </c>
      <c r="I844" s="29" t="n">
        <v>1</v>
      </c>
      <c r="J844" s="29" t="s">
        <v>246</v>
      </c>
      <c r="K844" s="29" t="s">
        <v>247</v>
      </c>
      <c r="L844" s="29" t="n">
        <v>0.03</v>
      </c>
      <c r="M844" s="32" t="n">
        <v>23373.33</v>
      </c>
      <c r="N844" s="32" t="n">
        <v>23350.33</v>
      </c>
      <c r="O844" s="32" t="n">
        <v>23429.69</v>
      </c>
      <c r="P844" s="45" t="n">
        <f aca="false">ABS(M844-N844)</f>
        <v>23</v>
      </c>
      <c r="Q844" s="45" t="n">
        <f aca="false">IF(O844="","",ABS(O844-M844))</f>
        <v>56.3599999999969</v>
      </c>
      <c r="R844" s="31" t="n">
        <f aca="false">P844*L844*Summary!$C$6</f>
        <v>69</v>
      </c>
      <c r="S844" s="32" t="n">
        <v>23429.73</v>
      </c>
      <c r="T844" s="29" t="s">
        <v>227</v>
      </c>
      <c r="U844" s="45" t="n">
        <f aca="false">IF(J844="BUY",S844-M844,M844-S844)</f>
        <v>56.3999999999978</v>
      </c>
      <c r="V844" s="46" t="n">
        <v>0</v>
      </c>
      <c r="W844" s="46" t="n">
        <v>0</v>
      </c>
      <c r="X844" s="46" t="n">
        <v>169.2</v>
      </c>
      <c r="Y844" s="33" t="n">
        <f aca="false">IFERROR(X844/R844,0)</f>
        <v>2.45217391304348</v>
      </c>
      <c r="Z844" s="29" t="str">
        <f aca="false">IF(X844&gt;0,"Win",IF(X844&lt;0,"Loss","Flat"))</f>
        <v>Win</v>
      </c>
      <c r="AA844" s="29" t="n">
        <f aca="false">ROUND((C844-B844)*1440,1)</f>
        <v>466.5</v>
      </c>
      <c r="AB844" s="29" t="str">
        <f aca="false">IF(AA844&lt;1,"a) &lt;1 min",IF(AA844&lt;10,"b) 1-10 min",IF(AA844&lt;60,"c) 10-60 min",IF(AA844&lt;240,"d) 1-4 h","e) 4 h+"))))</f>
        <v>e) 4 h+</v>
      </c>
      <c r="AC844" s="29" t="str">
        <f aca="false">IF(P844&lt;10,"a) &lt;10",IF(P844&lt;20,"b) 10-20",IF(P844&lt;40,"c) 20-40",IF(P844&lt;80,"d) 40-80","e) 80+"))))</f>
        <v>c) 20-40</v>
      </c>
      <c r="AD844" s="31" t="n">
        <f aca="false">Summary!$C$5+SUM(X$2:X844)</f>
        <v>18850.68</v>
      </c>
      <c r="AE844" s="31" t="n">
        <f aca="false">MAX(AE843,AD844)</f>
        <v>18850.68</v>
      </c>
      <c r="AF844" s="31" t="n">
        <f aca="false">AE844-AD844</f>
        <v>0</v>
      </c>
      <c r="AG844" s="30" t="n">
        <f aca="false">IFERROR(AF844/AE844,0)</f>
        <v>0</v>
      </c>
    </row>
    <row r="845" customFormat="false" ht="15" hidden="false" customHeight="false" outlineLevel="0" collapsed="false">
      <c r="A845" s="29" t="n">
        <v>844</v>
      </c>
      <c r="B845" s="44" t="n">
        <v>45867.4486111111</v>
      </c>
      <c r="C845" s="44" t="n">
        <v>45867.4493287037</v>
      </c>
      <c r="D845" s="43" t="n">
        <f aca="false">INT(C845)</f>
        <v>45867</v>
      </c>
      <c r="E845" s="43" t="n">
        <f aca="false">D845-WEEKDAY(D845,3)</f>
        <v>45866</v>
      </c>
      <c r="F845" s="29" t="s">
        <v>183</v>
      </c>
      <c r="G845" s="29" t="n">
        <v>2025</v>
      </c>
      <c r="H845" s="29" t="s">
        <v>248</v>
      </c>
      <c r="I845" s="29" t="n">
        <v>10</v>
      </c>
      <c r="J845" s="29" t="s">
        <v>246</v>
      </c>
      <c r="K845" s="29" t="s">
        <v>247</v>
      </c>
      <c r="L845" s="29" t="n">
        <v>0.04</v>
      </c>
      <c r="M845" s="32" t="n">
        <v>23443.59</v>
      </c>
      <c r="N845" s="32" t="n">
        <v>23439.55</v>
      </c>
      <c r="O845" s="32" t="n">
        <v>23453.48</v>
      </c>
      <c r="P845" s="45" t="n">
        <f aca="false">ABS(M845-N845)</f>
        <v>4.04000000000087</v>
      </c>
      <c r="Q845" s="45" t="n">
        <f aca="false">IF(O845="","",ABS(O845-M845))</f>
        <v>9.88999999999942</v>
      </c>
      <c r="R845" s="31" t="n">
        <f aca="false">P845*L845*Summary!$C$6</f>
        <v>16.1600000000035</v>
      </c>
      <c r="S845" s="32" t="n">
        <v>23453.57</v>
      </c>
      <c r="T845" s="29" t="s">
        <v>227</v>
      </c>
      <c r="U845" s="45" t="n">
        <f aca="false">IF(J845="BUY",S845-M845,M845-S845)</f>
        <v>9.97999999999956</v>
      </c>
      <c r="V845" s="46" t="n">
        <v>0</v>
      </c>
      <c r="W845" s="46" t="n">
        <v>0</v>
      </c>
      <c r="X845" s="46" t="n">
        <v>39.92</v>
      </c>
      <c r="Y845" s="33" t="n">
        <f aca="false">IFERROR(X845/R845,0)</f>
        <v>2.47029702970244</v>
      </c>
      <c r="Z845" s="29" t="str">
        <f aca="false">IF(X845&gt;0,"Win",IF(X845&lt;0,"Loss","Flat"))</f>
        <v>Win</v>
      </c>
      <c r="AA845" s="29" t="n">
        <f aca="false">ROUND((C845-B845)*1440,1)</f>
        <v>1</v>
      </c>
      <c r="AB845" s="29" t="str">
        <f aca="false">IF(AA845&lt;1,"a) &lt;1 min",IF(AA845&lt;10,"b) 1-10 min",IF(AA845&lt;60,"c) 10-60 min",IF(AA845&lt;240,"d) 1-4 h","e) 4 h+"))))</f>
        <v>b) 1-10 min</v>
      </c>
      <c r="AC845" s="29" t="str">
        <f aca="false">IF(P845&lt;10,"a) &lt;10",IF(P845&lt;20,"b) 10-20",IF(P845&lt;40,"c) 20-40",IF(P845&lt;80,"d) 40-80","e) 80+"))))</f>
        <v>a) &lt;10</v>
      </c>
      <c r="AD845" s="31" t="n">
        <f aca="false">Summary!$C$5+SUM(X$2:X845)</f>
        <v>18890.6</v>
      </c>
      <c r="AE845" s="31" t="n">
        <f aca="false">MAX(AE844,AD845)</f>
        <v>18890.6</v>
      </c>
      <c r="AF845" s="31" t="n">
        <f aca="false">AE845-AD845</f>
        <v>0</v>
      </c>
      <c r="AG845" s="30" t="n">
        <f aca="false">IFERROR(AF845/AE845,0)</f>
        <v>0</v>
      </c>
    </row>
    <row r="846" customFormat="false" ht="15" hidden="false" customHeight="false" outlineLevel="0" collapsed="false">
      <c r="A846" s="29" t="n">
        <v>845</v>
      </c>
      <c r="B846" s="44" t="n">
        <v>45867.9423611111</v>
      </c>
      <c r="C846" s="44" t="n">
        <v>45867.9426851852</v>
      </c>
      <c r="D846" s="43" t="n">
        <f aca="false">INT(C846)</f>
        <v>45867</v>
      </c>
      <c r="E846" s="43" t="n">
        <f aca="false">D846-WEEKDAY(D846,3)</f>
        <v>45866</v>
      </c>
      <c r="F846" s="29" t="s">
        <v>183</v>
      </c>
      <c r="G846" s="29" t="n">
        <v>2025</v>
      </c>
      <c r="H846" s="29" t="s">
        <v>248</v>
      </c>
      <c r="I846" s="29" t="n">
        <v>22</v>
      </c>
      <c r="J846" s="29" t="s">
        <v>250</v>
      </c>
      <c r="K846" s="29" t="s">
        <v>251</v>
      </c>
      <c r="L846" s="29" t="n">
        <v>0.04</v>
      </c>
      <c r="M846" s="32" t="n">
        <v>23295.32</v>
      </c>
      <c r="N846" s="32" t="n">
        <v>23304.16</v>
      </c>
      <c r="O846" s="32" t="n">
        <v>23273.67</v>
      </c>
      <c r="P846" s="45" t="n">
        <f aca="false">ABS(M846-N846)</f>
        <v>8.84000000000015</v>
      </c>
      <c r="Q846" s="45" t="n">
        <f aca="false">IF(O846="","",ABS(O846-M846))</f>
        <v>21.6500000000015</v>
      </c>
      <c r="R846" s="31" t="n">
        <f aca="false">P846*L846*Summary!$C$6</f>
        <v>35.3600000000006</v>
      </c>
      <c r="S846" s="32" t="n">
        <v>23305.05</v>
      </c>
      <c r="T846" s="29" t="s">
        <v>249</v>
      </c>
      <c r="U846" s="45" t="n">
        <f aca="false">IF(J846="BUY",S846-M846,M846-S846)</f>
        <v>-9.72999999999956</v>
      </c>
      <c r="V846" s="46" t="n">
        <v>0</v>
      </c>
      <c r="W846" s="46" t="n">
        <v>0</v>
      </c>
      <c r="X846" s="46" t="n">
        <v>-38.92</v>
      </c>
      <c r="Y846" s="33" t="n">
        <f aca="false">IFERROR(X846/R846,0)</f>
        <v>-1.10067873303166</v>
      </c>
      <c r="Z846" s="29" t="str">
        <f aca="false">IF(X846&gt;0,"Win",IF(X846&lt;0,"Loss","Flat"))</f>
        <v>Loss</v>
      </c>
      <c r="AA846" s="29" t="n">
        <f aca="false">ROUND((C846-B846)*1440,1)</f>
        <v>0.5</v>
      </c>
      <c r="AB846" s="29" t="str">
        <f aca="false">IF(AA846&lt;1,"a) &lt;1 min",IF(AA846&lt;10,"b) 1-10 min",IF(AA846&lt;60,"c) 10-60 min",IF(AA846&lt;240,"d) 1-4 h","e) 4 h+"))))</f>
        <v>a) &lt;1 min</v>
      </c>
      <c r="AC846" s="29" t="str">
        <f aca="false">IF(P846&lt;10,"a) &lt;10",IF(P846&lt;20,"b) 10-20",IF(P846&lt;40,"c) 20-40",IF(P846&lt;80,"d) 40-80","e) 80+"))))</f>
        <v>a) &lt;10</v>
      </c>
      <c r="AD846" s="31" t="n">
        <f aca="false">Summary!$C$5+SUM(X$2:X846)</f>
        <v>18851.68</v>
      </c>
      <c r="AE846" s="31" t="n">
        <f aca="false">MAX(AE845,AD846)</f>
        <v>18890.6</v>
      </c>
      <c r="AF846" s="31" t="n">
        <f aca="false">AE846-AD846</f>
        <v>38.9199999999983</v>
      </c>
      <c r="AG846" s="30" t="n">
        <f aca="false">IFERROR(AF846/AE846,0)</f>
        <v>0.0020602839507479</v>
      </c>
    </row>
    <row r="847" customFormat="false" ht="15" hidden="false" customHeight="false" outlineLevel="0" collapsed="false">
      <c r="A847" s="29" t="n">
        <v>846</v>
      </c>
      <c r="B847" s="44" t="n">
        <v>45868.9166666667</v>
      </c>
      <c r="C847" s="44" t="n">
        <v>45868.9185069444</v>
      </c>
      <c r="D847" s="43" t="n">
        <f aca="false">INT(C847)</f>
        <v>45868</v>
      </c>
      <c r="E847" s="43" t="n">
        <f aca="false">D847-WEEKDAY(D847,3)</f>
        <v>45866</v>
      </c>
      <c r="F847" s="29" t="s">
        <v>183</v>
      </c>
      <c r="G847" s="29" t="n">
        <v>2025</v>
      </c>
      <c r="H847" s="29" t="s">
        <v>252</v>
      </c>
      <c r="I847" s="29" t="n">
        <v>22</v>
      </c>
      <c r="J847" s="29" t="s">
        <v>250</v>
      </c>
      <c r="K847" s="29" t="s">
        <v>251</v>
      </c>
      <c r="L847" s="29" t="n">
        <v>0.04</v>
      </c>
      <c r="M847" s="32" t="n">
        <v>23274.23</v>
      </c>
      <c r="N847" s="32" t="n">
        <v>23303.52</v>
      </c>
      <c r="O847" s="32" t="n">
        <v>23202.46</v>
      </c>
      <c r="P847" s="45" t="n">
        <f aca="false">ABS(M847-N847)</f>
        <v>29.2900000000009</v>
      </c>
      <c r="Q847" s="45" t="n">
        <f aca="false">IF(O847="","",ABS(O847-M847))</f>
        <v>71.7700000000004</v>
      </c>
      <c r="R847" s="31" t="n">
        <f aca="false">P847*L847*Summary!$C$6</f>
        <v>117.160000000004</v>
      </c>
      <c r="S847" s="32" t="n">
        <v>23274.63</v>
      </c>
      <c r="T847" s="29" t="s">
        <v>255</v>
      </c>
      <c r="U847" s="45" t="n">
        <f aca="false">IF(J847="BUY",S847-M847,M847-S847)</f>
        <v>-0.400000000001455</v>
      </c>
      <c r="V847" s="46" t="n">
        <v>0</v>
      </c>
      <c r="W847" s="46" t="n">
        <v>0</v>
      </c>
      <c r="X847" s="46" t="n">
        <v>-1.6</v>
      </c>
      <c r="Y847" s="33" t="n">
        <f aca="false">IFERROR(X847/R847,0)</f>
        <v>-0.0136565380675995</v>
      </c>
      <c r="Z847" s="29" t="str">
        <f aca="false">IF(X847&gt;0,"Win",IF(X847&lt;0,"Loss","Flat"))</f>
        <v>Loss</v>
      </c>
      <c r="AA847" s="29" t="n">
        <f aca="false">ROUND((C847-B847)*1440,1)</f>
        <v>2.7</v>
      </c>
      <c r="AB847" s="29" t="str">
        <f aca="false">IF(AA847&lt;1,"a) &lt;1 min",IF(AA847&lt;10,"b) 1-10 min",IF(AA847&lt;60,"c) 10-60 min",IF(AA847&lt;240,"d) 1-4 h","e) 4 h+"))))</f>
        <v>b) 1-10 min</v>
      </c>
      <c r="AC847" s="29" t="str">
        <f aca="false">IF(P847&lt;10,"a) &lt;10",IF(P847&lt;20,"b) 10-20",IF(P847&lt;40,"c) 20-40",IF(P847&lt;80,"d) 40-80","e) 80+"))))</f>
        <v>c) 20-40</v>
      </c>
      <c r="AD847" s="31" t="n">
        <f aca="false">Summary!$C$5+SUM(X$2:X847)</f>
        <v>18850.08</v>
      </c>
      <c r="AE847" s="31" t="n">
        <f aca="false">MAX(AE846,AD847)</f>
        <v>18890.6</v>
      </c>
      <c r="AF847" s="31" t="n">
        <f aca="false">AE847-AD847</f>
        <v>40.5199999999968</v>
      </c>
      <c r="AG847" s="30" t="n">
        <f aca="false">IFERROR(AF847/AE847,0)</f>
        <v>0.00214498216043941</v>
      </c>
    </row>
    <row r="848" customFormat="false" ht="15" hidden="false" customHeight="false" outlineLevel="0" collapsed="false">
      <c r="A848" s="29" t="n">
        <v>847</v>
      </c>
      <c r="B848" s="44" t="n">
        <v>45868.9652777778</v>
      </c>
      <c r="C848" s="44" t="n">
        <v>45869.06375</v>
      </c>
      <c r="D848" s="43" t="n">
        <f aca="false">INT(C848)</f>
        <v>45869</v>
      </c>
      <c r="E848" s="43" t="n">
        <f aca="false">D848-WEEKDAY(D848,3)</f>
        <v>45866</v>
      </c>
      <c r="F848" s="29" t="s">
        <v>183</v>
      </c>
      <c r="G848" s="29" t="n">
        <v>2025</v>
      </c>
      <c r="H848" s="29" t="s">
        <v>252</v>
      </c>
      <c r="I848" s="29" t="n">
        <v>23</v>
      </c>
      <c r="J848" s="29" t="s">
        <v>246</v>
      </c>
      <c r="K848" s="29" t="s">
        <v>247</v>
      </c>
      <c r="L848" s="29" t="n">
        <v>0.04</v>
      </c>
      <c r="M848" s="32" t="n">
        <v>23515.84</v>
      </c>
      <c r="N848" s="32" t="n">
        <v>23489.04</v>
      </c>
      <c r="O848" s="32" t="n">
        <v>23581.49</v>
      </c>
      <c r="P848" s="45" t="n">
        <f aca="false">ABS(M848-N848)</f>
        <v>26.7999999999993</v>
      </c>
      <c r="Q848" s="45" t="n">
        <f aca="false">IF(O848="","",ABS(O848-M848))</f>
        <v>65.6500000000015</v>
      </c>
      <c r="R848" s="31" t="n">
        <f aca="false">P848*L848*Summary!$C$6</f>
        <v>107.199999999997</v>
      </c>
      <c r="S848" s="32" t="n">
        <v>23581.51</v>
      </c>
      <c r="T848" s="29" t="s">
        <v>227</v>
      </c>
      <c r="U848" s="45" t="n">
        <f aca="false">IF(J848="BUY",S848-M848,M848-S848)</f>
        <v>65.6699999999983</v>
      </c>
      <c r="V848" s="46" t="n">
        <v>0</v>
      </c>
      <c r="W848" s="46" t="n">
        <v>0</v>
      </c>
      <c r="X848" s="46" t="n">
        <v>262.68</v>
      </c>
      <c r="Y848" s="33" t="n">
        <f aca="false">IFERROR(X848/R848,0)</f>
        <v>2.45037313432842</v>
      </c>
      <c r="Z848" s="29" t="str">
        <f aca="false">IF(X848&gt;0,"Win",IF(X848&lt;0,"Loss","Flat"))</f>
        <v>Win</v>
      </c>
      <c r="AA848" s="29" t="n">
        <f aca="false">ROUND((C848-B848)*1440,1)</f>
        <v>141.8</v>
      </c>
      <c r="AB848" s="29" t="str">
        <f aca="false">IF(AA848&lt;1,"a) &lt;1 min",IF(AA848&lt;10,"b) 1-10 min",IF(AA848&lt;60,"c) 10-60 min",IF(AA848&lt;240,"d) 1-4 h","e) 4 h+"))))</f>
        <v>d) 1-4 h</v>
      </c>
      <c r="AC848" s="29" t="str">
        <f aca="false">IF(P848&lt;10,"a) &lt;10",IF(P848&lt;20,"b) 10-20",IF(P848&lt;40,"c) 20-40",IF(P848&lt;80,"d) 40-80","e) 80+"))))</f>
        <v>c) 20-40</v>
      </c>
      <c r="AD848" s="31" t="n">
        <f aca="false">Summary!$C$5+SUM(X$2:X848)</f>
        <v>19112.76</v>
      </c>
      <c r="AE848" s="31" t="n">
        <f aca="false">MAX(AE847,AD848)</f>
        <v>19112.76</v>
      </c>
      <c r="AF848" s="31" t="n">
        <f aca="false">AE848-AD848</f>
        <v>0</v>
      </c>
      <c r="AG848" s="30" t="n">
        <f aca="false">IFERROR(AF848/AE848,0)</f>
        <v>0</v>
      </c>
    </row>
    <row r="849" customFormat="false" ht="15" hidden="false" customHeight="false" outlineLevel="0" collapsed="false">
      <c r="A849" s="29" t="n">
        <v>848</v>
      </c>
      <c r="B849" s="44" t="n">
        <v>45869.8854166667</v>
      </c>
      <c r="C849" s="44" t="n">
        <v>45869.8887615741</v>
      </c>
      <c r="D849" s="43" t="n">
        <f aca="false">INT(C849)</f>
        <v>45869</v>
      </c>
      <c r="E849" s="43" t="n">
        <f aca="false">D849-WEEKDAY(D849,3)</f>
        <v>45866</v>
      </c>
      <c r="F849" s="29" t="s">
        <v>183</v>
      </c>
      <c r="G849" s="29" t="n">
        <v>2025</v>
      </c>
      <c r="H849" s="29" t="s">
        <v>253</v>
      </c>
      <c r="I849" s="29" t="n">
        <v>21</v>
      </c>
      <c r="J849" s="29" t="s">
        <v>250</v>
      </c>
      <c r="K849" s="29" t="s">
        <v>251</v>
      </c>
      <c r="L849" s="29" t="n">
        <v>0.04</v>
      </c>
      <c r="M849" s="32" t="n">
        <v>23217.4</v>
      </c>
      <c r="N849" s="32" t="n">
        <v>23236.23</v>
      </c>
      <c r="O849" s="32" t="n">
        <v>23171.26</v>
      </c>
      <c r="P849" s="45" t="n">
        <f aca="false">ABS(M849-N849)</f>
        <v>18.8299999999981</v>
      </c>
      <c r="Q849" s="45" t="n">
        <f aca="false">IF(O849="","",ABS(O849-M849))</f>
        <v>46.1400000000031</v>
      </c>
      <c r="R849" s="31" t="n">
        <f aca="false">P849*L849*Summary!$C$6</f>
        <v>75.3199999999924</v>
      </c>
      <c r="S849" s="32" t="n">
        <v>23217.71</v>
      </c>
      <c r="T849" s="29" t="s">
        <v>255</v>
      </c>
      <c r="U849" s="45" t="n">
        <f aca="false">IF(J849="BUY",S849-M849,M849-S849)</f>
        <v>-0.309999999997672</v>
      </c>
      <c r="V849" s="46" t="n">
        <v>0</v>
      </c>
      <c r="W849" s="46" t="n">
        <v>0</v>
      </c>
      <c r="X849" s="46" t="n">
        <v>-1.24</v>
      </c>
      <c r="Y849" s="33" t="n">
        <f aca="false">IFERROR(X849/R849,0)</f>
        <v>-0.0164630908125348</v>
      </c>
      <c r="Z849" s="29" t="str">
        <f aca="false">IF(X849&gt;0,"Win",IF(X849&lt;0,"Loss","Flat"))</f>
        <v>Loss</v>
      </c>
      <c r="AA849" s="29" t="n">
        <f aca="false">ROUND((C849-B849)*1440,1)</f>
        <v>4.8</v>
      </c>
      <c r="AB849" s="29" t="str">
        <f aca="false">IF(AA849&lt;1,"a) &lt;1 min",IF(AA849&lt;10,"b) 1-10 min",IF(AA849&lt;60,"c) 10-60 min",IF(AA849&lt;240,"d) 1-4 h","e) 4 h+"))))</f>
        <v>b) 1-10 min</v>
      </c>
      <c r="AC849" s="29" t="str">
        <f aca="false">IF(P849&lt;10,"a) &lt;10",IF(P849&lt;20,"b) 10-20",IF(P849&lt;40,"c) 20-40",IF(P849&lt;80,"d) 40-80","e) 80+"))))</f>
        <v>b) 10-20</v>
      </c>
      <c r="AD849" s="31" t="n">
        <f aca="false">Summary!$C$5+SUM(X$2:X849)</f>
        <v>19111.52</v>
      </c>
      <c r="AE849" s="31" t="n">
        <f aca="false">MAX(AE848,AD849)</f>
        <v>19112.76</v>
      </c>
      <c r="AF849" s="31" t="n">
        <f aca="false">AE849-AD849</f>
        <v>1.2400000000016</v>
      </c>
      <c r="AG849" s="30" t="n">
        <f aca="false">IFERROR(AF849/AE849,0)</f>
        <v>6.48781233061892E-005</v>
      </c>
    </row>
    <row r="850" customFormat="false" ht="15" hidden="false" customHeight="false" outlineLevel="0" collapsed="false">
      <c r="A850" s="29" t="n">
        <v>849</v>
      </c>
      <c r="B850" s="44" t="n">
        <v>45870.0604166667</v>
      </c>
      <c r="C850" s="44" t="n">
        <v>45870.0609606481</v>
      </c>
      <c r="D850" s="43" t="n">
        <f aca="false">INT(C850)</f>
        <v>45870</v>
      </c>
      <c r="E850" s="43" t="n">
        <f aca="false">D850-WEEKDAY(D850,3)</f>
        <v>45866</v>
      </c>
      <c r="F850" s="29" t="s">
        <v>184</v>
      </c>
      <c r="G850" s="29" t="n">
        <v>2025</v>
      </c>
      <c r="H850" s="29" t="s">
        <v>254</v>
      </c>
      <c r="I850" s="29" t="n">
        <v>1</v>
      </c>
      <c r="J850" s="29" t="s">
        <v>250</v>
      </c>
      <c r="K850" s="29" t="s">
        <v>251</v>
      </c>
      <c r="L850" s="29" t="n">
        <v>0.04</v>
      </c>
      <c r="M850" s="32" t="n">
        <v>23171.31</v>
      </c>
      <c r="N850" s="32" t="n">
        <v>23177.76</v>
      </c>
      <c r="O850" s="32" t="n">
        <v>23155.5</v>
      </c>
      <c r="P850" s="45" t="n">
        <f aca="false">ABS(M850-N850)</f>
        <v>6.44999999999709</v>
      </c>
      <c r="Q850" s="45" t="n">
        <f aca="false">IF(O850="","",ABS(O850-M850))</f>
        <v>15.8100000000013</v>
      </c>
      <c r="R850" s="31" t="n">
        <f aca="false">P850*L850*Summary!$C$6</f>
        <v>25.7999999999884</v>
      </c>
      <c r="S850" s="32" t="n">
        <v>23178.39</v>
      </c>
      <c r="T850" s="29" t="s">
        <v>249</v>
      </c>
      <c r="U850" s="45" t="n">
        <f aca="false">IF(J850="BUY",S850-M850,M850-S850)</f>
        <v>-7.07999999999811</v>
      </c>
      <c r="V850" s="46" t="n">
        <v>0</v>
      </c>
      <c r="W850" s="46" t="n">
        <v>0</v>
      </c>
      <c r="X850" s="46" t="n">
        <v>-28.32</v>
      </c>
      <c r="Y850" s="33" t="n">
        <f aca="false">IFERROR(X850/R850,0)</f>
        <v>-1.09767441860515</v>
      </c>
      <c r="Z850" s="29" t="str">
        <f aca="false">IF(X850&gt;0,"Win",IF(X850&lt;0,"Loss","Flat"))</f>
        <v>Loss</v>
      </c>
      <c r="AA850" s="29" t="n">
        <f aca="false">ROUND((C850-B850)*1440,1)</f>
        <v>0.8</v>
      </c>
      <c r="AB850" s="29" t="str">
        <f aca="false">IF(AA850&lt;1,"a) &lt;1 min",IF(AA850&lt;10,"b) 1-10 min",IF(AA850&lt;60,"c) 10-60 min",IF(AA850&lt;240,"d) 1-4 h","e) 4 h+"))))</f>
        <v>a) &lt;1 min</v>
      </c>
      <c r="AC850" s="29" t="str">
        <f aca="false">IF(P850&lt;10,"a) &lt;10",IF(P850&lt;20,"b) 10-20",IF(P850&lt;40,"c) 20-40",IF(P850&lt;80,"d) 40-80","e) 80+"))))</f>
        <v>a) &lt;10</v>
      </c>
      <c r="AD850" s="31" t="n">
        <f aca="false">Summary!$C$5+SUM(X$2:X850)</f>
        <v>19083.2</v>
      </c>
      <c r="AE850" s="31" t="n">
        <f aca="false">MAX(AE849,AD850)</f>
        <v>19112.76</v>
      </c>
      <c r="AF850" s="31" t="n">
        <f aca="false">AE850-AD850</f>
        <v>29.5600000000013</v>
      </c>
      <c r="AG850" s="30" t="n">
        <f aca="false">IFERROR(AF850/AE850,0)</f>
        <v>0.00154661074591013</v>
      </c>
    </row>
    <row r="851" customFormat="false" ht="15" hidden="false" customHeight="false" outlineLevel="0" collapsed="false">
      <c r="A851" s="29" t="n">
        <v>850</v>
      </c>
      <c r="B851" s="44" t="n">
        <v>45873.9652777778</v>
      </c>
      <c r="C851" s="44" t="n">
        <v>45874.0702430556</v>
      </c>
      <c r="D851" s="43" t="n">
        <f aca="false">INT(C851)</f>
        <v>45874</v>
      </c>
      <c r="E851" s="43" t="n">
        <f aca="false">D851-WEEKDAY(D851,3)</f>
        <v>45873</v>
      </c>
      <c r="F851" s="29" t="s">
        <v>184</v>
      </c>
      <c r="G851" s="29" t="n">
        <v>2025</v>
      </c>
      <c r="H851" s="29" t="s">
        <v>245</v>
      </c>
      <c r="I851" s="29" t="n">
        <v>23</v>
      </c>
      <c r="J851" s="29" t="s">
        <v>246</v>
      </c>
      <c r="K851" s="29" t="s">
        <v>247</v>
      </c>
      <c r="L851" s="29" t="n">
        <v>0.04</v>
      </c>
      <c r="M851" s="32" t="n">
        <v>23217.71</v>
      </c>
      <c r="N851" s="32" t="n">
        <v>23200.36</v>
      </c>
      <c r="O851" s="32" t="n">
        <v>23260.23</v>
      </c>
      <c r="P851" s="45" t="n">
        <f aca="false">ABS(M851-N851)</f>
        <v>17.3499999999985</v>
      </c>
      <c r="Q851" s="45" t="n">
        <f aca="false">IF(O851="","",ABS(O851-M851))</f>
        <v>42.5200000000004</v>
      </c>
      <c r="R851" s="31" t="n">
        <f aca="false">P851*L851*Summary!$C$6</f>
        <v>69.3999999999942</v>
      </c>
      <c r="S851" s="32" t="n">
        <v>23200.3</v>
      </c>
      <c r="T851" s="29" t="s">
        <v>249</v>
      </c>
      <c r="U851" s="45" t="n">
        <f aca="false">IF(J851="BUY",S851-M851,M851-S851)</f>
        <v>-17.4099999999999</v>
      </c>
      <c r="V851" s="46" t="n">
        <v>0</v>
      </c>
      <c r="W851" s="46" t="n">
        <v>0</v>
      </c>
      <c r="X851" s="46" t="n">
        <v>-69.64</v>
      </c>
      <c r="Y851" s="33" t="n">
        <f aca="false">IFERROR(X851/R851,0)</f>
        <v>-1.00345821325657</v>
      </c>
      <c r="Z851" s="29" t="str">
        <f aca="false">IF(X851&gt;0,"Win",IF(X851&lt;0,"Loss","Flat"))</f>
        <v>Loss</v>
      </c>
      <c r="AA851" s="29" t="n">
        <f aca="false">ROUND((C851-B851)*1440,1)</f>
        <v>151.1</v>
      </c>
      <c r="AB851" s="29" t="str">
        <f aca="false">IF(AA851&lt;1,"a) &lt;1 min",IF(AA851&lt;10,"b) 1-10 min",IF(AA851&lt;60,"c) 10-60 min",IF(AA851&lt;240,"d) 1-4 h","e) 4 h+"))))</f>
        <v>d) 1-4 h</v>
      </c>
      <c r="AC851" s="29" t="str">
        <f aca="false">IF(P851&lt;10,"a) &lt;10",IF(P851&lt;20,"b) 10-20",IF(P851&lt;40,"c) 20-40",IF(P851&lt;80,"d) 40-80","e) 80+"))))</f>
        <v>b) 10-20</v>
      </c>
      <c r="AD851" s="31" t="n">
        <f aca="false">Summary!$C$5+SUM(X$2:X851)</f>
        <v>19013.56</v>
      </c>
      <c r="AE851" s="31" t="n">
        <f aca="false">MAX(AE850,AD851)</f>
        <v>19112.76</v>
      </c>
      <c r="AF851" s="31" t="n">
        <f aca="false">AE851-AD851</f>
        <v>99.2000000000044</v>
      </c>
      <c r="AG851" s="30" t="n">
        <f aca="false">IFERROR(AF851/AE851,0)</f>
        <v>0.00519024986448866</v>
      </c>
    </row>
    <row r="852" customFormat="false" ht="15" hidden="false" customHeight="false" outlineLevel="0" collapsed="false">
      <c r="A852" s="29" t="n">
        <v>851</v>
      </c>
      <c r="B852" s="44" t="n">
        <v>45875.0465277778</v>
      </c>
      <c r="C852" s="44" t="n">
        <v>45875.0589699074</v>
      </c>
      <c r="D852" s="43" t="n">
        <f aca="false">INT(C852)</f>
        <v>45875</v>
      </c>
      <c r="E852" s="43" t="n">
        <f aca="false">D852-WEEKDAY(D852,3)</f>
        <v>45873</v>
      </c>
      <c r="F852" s="29" t="s">
        <v>184</v>
      </c>
      <c r="G852" s="29" t="n">
        <v>2025</v>
      </c>
      <c r="H852" s="29" t="s">
        <v>252</v>
      </c>
      <c r="I852" s="29" t="n">
        <v>1</v>
      </c>
      <c r="J852" s="29" t="s">
        <v>250</v>
      </c>
      <c r="K852" s="29" t="s">
        <v>251</v>
      </c>
      <c r="L852" s="29" t="n">
        <v>0.04</v>
      </c>
      <c r="M852" s="32" t="n">
        <v>22962.73</v>
      </c>
      <c r="N852" s="32" t="n">
        <v>22981.51</v>
      </c>
      <c r="O852" s="32" t="n">
        <v>22916.71</v>
      </c>
      <c r="P852" s="45" t="n">
        <f aca="false">ABS(M852-N852)</f>
        <v>18.7799999999988</v>
      </c>
      <c r="Q852" s="45" t="n">
        <f aca="false">IF(O852="","",ABS(O852-M852))</f>
        <v>46.0200000000004</v>
      </c>
      <c r="R852" s="31" t="n">
        <f aca="false">P852*L852*Summary!$C$6</f>
        <v>75.1199999999953</v>
      </c>
      <c r="S852" s="32" t="n">
        <v>22962.81</v>
      </c>
      <c r="T852" s="29" t="s">
        <v>255</v>
      </c>
      <c r="U852" s="45" t="n">
        <f aca="false">IF(J852="BUY",S852-M852,M852-S852)</f>
        <v>-0.0800000000017462</v>
      </c>
      <c r="V852" s="46" t="n">
        <v>0</v>
      </c>
      <c r="W852" s="46" t="n">
        <v>0</v>
      </c>
      <c r="X852" s="46" t="n">
        <v>-0.32</v>
      </c>
      <c r="Y852" s="33" t="n">
        <f aca="false">IFERROR(X852/R852,0)</f>
        <v>-0.00425985090521858</v>
      </c>
      <c r="Z852" s="29" t="str">
        <f aca="false">IF(X852&gt;0,"Win",IF(X852&lt;0,"Loss","Flat"))</f>
        <v>Loss</v>
      </c>
      <c r="AA852" s="29" t="n">
        <f aca="false">ROUND((C852-B852)*1440,1)</f>
        <v>17.9</v>
      </c>
      <c r="AB852" s="29" t="str">
        <f aca="false">IF(AA852&lt;1,"a) &lt;1 min",IF(AA852&lt;10,"b) 1-10 min",IF(AA852&lt;60,"c) 10-60 min",IF(AA852&lt;240,"d) 1-4 h","e) 4 h+"))))</f>
        <v>c) 10-60 min</v>
      </c>
      <c r="AC852" s="29" t="str">
        <f aca="false">IF(P852&lt;10,"a) &lt;10",IF(P852&lt;20,"b) 10-20",IF(P852&lt;40,"c) 20-40",IF(P852&lt;80,"d) 40-80","e) 80+"))))</f>
        <v>b) 10-20</v>
      </c>
      <c r="AD852" s="31" t="n">
        <f aca="false">Summary!$C$5+SUM(X$2:X852)</f>
        <v>19013.24</v>
      </c>
      <c r="AE852" s="31" t="n">
        <f aca="false">MAX(AE851,AD852)</f>
        <v>19112.76</v>
      </c>
      <c r="AF852" s="31" t="n">
        <f aca="false">AE852-AD852</f>
        <v>99.5200000000041</v>
      </c>
      <c r="AG852" s="30" t="n">
        <f aca="false">IFERROR(AF852/AE852,0)</f>
        <v>0.005206992605987</v>
      </c>
    </row>
    <row r="853" customFormat="false" ht="15" hidden="false" customHeight="false" outlineLevel="0" collapsed="false">
      <c r="A853" s="29" t="n">
        <v>852</v>
      </c>
      <c r="B853" s="44" t="n">
        <v>45875.8798611111</v>
      </c>
      <c r="C853" s="44" t="n">
        <v>45875.8822453704</v>
      </c>
      <c r="D853" s="43" t="n">
        <f aca="false">INT(C853)</f>
        <v>45875</v>
      </c>
      <c r="E853" s="43" t="n">
        <f aca="false">D853-WEEKDAY(D853,3)</f>
        <v>45873</v>
      </c>
      <c r="F853" s="29" t="s">
        <v>184</v>
      </c>
      <c r="G853" s="29" t="n">
        <v>2025</v>
      </c>
      <c r="H853" s="29" t="s">
        <v>252</v>
      </c>
      <c r="I853" s="29" t="n">
        <v>21</v>
      </c>
      <c r="J853" s="29" t="s">
        <v>246</v>
      </c>
      <c r="K853" s="29" t="s">
        <v>247</v>
      </c>
      <c r="L853" s="29" t="n">
        <v>0.04</v>
      </c>
      <c r="M853" s="32" t="n">
        <v>23289.18</v>
      </c>
      <c r="N853" s="32" t="n">
        <v>23279.91</v>
      </c>
      <c r="O853" s="32" t="n">
        <v>23311.9</v>
      </c>
      <c r="P853" s="45" t="n">
        <f aca="false">ABS(M853-N853)</f>
        <v>9.27000000000044</v>
      </c>
      <c r="Q853" s="45" t="n">
        <f aca="false">IF(O853="","",ABS(O853-M853))</f>
        <v>22.7200000000012</v>
      </c>
      <c r="R853" s="31" t="n">
        <f aca="false">P853*L853*Summary!$C$6</f>
        <v>37.0800000000017</v>
      </c>
      <c r="S853" s="32" t="n">
        <v>23289.08</v>
      </c>
      <c r="T853" s="29" t="s">
        <v>255</v>
      </c>
      <c r="U853" s="45" t="n">
        <f aca="false">IF(J853="BUY",S853-M853,M853-S853)</f>
        <v>-0.0999999999985448</v>
      </c>
      <c r="V853" s="46" t="n">
        <v>0</v>
      </c>
      <c r="W853" s="46" t="n">
        <v>0</v>
      </c>
      <c r="X853" s="46" t="n">
        <v>-0.4</v>
      </c>
      <c r="Y853" s="33" t="n">
        <f aca="false">IFERROR(X853/R853,0)</f>
        <v>-0.0107874865156413</v>
      </c>
      <c r="Z853" s="29" t="str">
        <f aca="false">IF(X853&gt;0,"Win",IF(X853&lt;0,"Loss","Flat"))</f>
        <v>Loss</v>
      </c>
      <c r="AA853" s="29" t="n">
        <f aca="false">ROUND((C853-B853)*1440,1)</f>
        <v>3.4</v>
      </c>
      <c r="AB853" s="29" t="str">
        <f aca="false">IF(AA853&lt;1,"a) &lt;1 min",IF(AA853&lt;10,"b) 1-10 min",IF(AA853&lt;60,"c) 10-60 min",IF(AA853&lt;240,"d) 1-4 h","e) 4 h+"))))</f>
        <v>b) 1-10 min</v>
      </c>
      <c r="AC853" s="29" t="str">
        <f aca="false">IF(P853&lt;10,"a) &lt;10",IF(P853&lt;20,"b) 10-20",IF(P853&lt;40,"c) 20-40",IF(P853&lt;80,"d) 40-80","e) 80+"))))</f>
        <v>a) &lt;10</v>
      </c>
      <c r="AD853" s="31" t="n">
        <f aca="false">Summary!$C$5+SUM(X$2:X853)</f>
        <v>19012.84</v>
      </c>
      <c r="AE853" s="31" t="n">
        <f aca="false">MAX(AE852,AD853)</f>
        <v>19112.76</v>
      </c>
      <c r="AF853" s="31" t="n">
        <f aca="false">AE853-AD853</f>
        <v>99.9200000000019</v>
      </c>
      <c r="AG853" s="30" t="n">
        <f aca="false">IFERROR(AF853/AE853,0)</f>
        <v>0.00522792103285982</v>
      </c>
    </row>
    <row r="854" customFormat="false" ht="15" hidden="false" customHeight="false" outlineLevel="0" collapsed="false">
      <c r="A854" s="29" t="n">
        <v>853</v>
      </c>
      <c r="B854" s="44" t="n">
        <v>45876.0604166667</v>
      </c>
      <c r="C854" s="44" t="n">
        <v>45876.064525463</v>
      </c>
      <c r="D854" s="43" t="n">
        <f aca="false">INT(C854)</f>
        <v>45876</v>
      </c>
      <c r="E854" s="43" t="n">
        <f aca="false">D854-WEEKDAY(D854,3)</f>
        <v>45873</v>
      </c>
      <c r="F854" s="29" t="s">
        <v>184</v>
      </c>
      <c r="G854" s="29" t="n">
        <v>2025</v>
      </c>
      <c r="H854" s="29" t="s">
        <v>253</v>
      </c>
      <c r="I854" s="29" t="n">
        <v>1</v>
      </c>
      <c r="J854" s="29" t="s">
        <v>246</v>
      </c>
      <c r="K854" s="29" t="s">
        <v>247</v>
      </c>
      <c r="L854" s="29" t="n">
        <v>0.04</v>
      </c>
      <c r="M854" s="32" t="n">
        <v>23349.01</v>
      </c>
      <c r="N854" s="32" t="n">
        <v>23341.38</v>
      </c>
      <c r="O854" s="32" t="n">
        <v>23367.7</v>
      </c>
      <c r="P854" s="45" t="n">
        <f aca="false">ABS(M854-N854)</f>
        <v>7.62999999999738</v>
      </c>
      <c r="Q854" s="45" t="n">
        <f aca="false">IF(O854="","",ABS(O854-M854))</f>
        <v>18.6900000000023</v>
      </c>
      <c r="R854" s="31" t="n">
        <f aca="false">P854*L854*Summary!$C$6</f>
        <v>30.5199999999895</v>
      </c>
      <c r="S854" s="32" t="n">
        <v>23367.8</v>
      </c>
      <c r="T854" s="29" t="s">
        <v>227</v>
      </c>
      <c r="U854" s="45" t="n">
        <f aca="false">IF(J854="BUY",S854-M854,M854-S854)</f>
        <v>18.7900000000009</v>
      </c>
      <c r="V854" s="46" t="n">
        <v>0</v>
      </c>
      <c r="W854" s="46" t="n">
        <v>0</v>
      </c>
      <c r="X854" s="46" t="n">
        <v>75.16</v>
      </c>
      <c r="Y854" s="33" t="n">
        <f aca="false">IFERROR(X854/R854,0)</f>
        <v>2.46264744429967</v>
      </c>
      <c r="Z854" s="29" t="str">
        <f aca="false">IF(X854&gt;0,"Win",IF(X854&lt;0,"Loss","Flat"))</f>
        <v>Win</v>
      </c>
      <c r="AA854" s="29" t="n">
        <f aca="false">ROUND((C854-B854)*1440,1)</f>
        <v>5.9</v>
      </c>
      <c r="AB854" s="29" t="str">
        <f aca="false">IF(AA854&lt;1,"a) &lt;1 min",IF(AA854&lt;10,"b) 1-10 min",IF(AA854&lt;60,"c) 10-60 min",IF(AA854&lt;240,"d) 1-4 h","e) 4 h+"))))</f>
        <v>b) 1-10 min</v>
      </c>
      <c r="AC854" s="29" t="str">
        <f aca="false">IF(P854&lt;10,"a) &lt;10",IF(P854&lt;20,"b) 10-20",IF(P854&lt;40,"c) 20-40",IF(P854&lt;80,"d) 40-80","e) 80+"))))</f>
        <v>a) &lt;10</v>
      </c>
      <c r="AD854" s="31" t="n">
        <f aca="false">Summary!$C$5+SUM(X$2:X854)</f>
        <v>19088</v>
      </c>
      <c r="AE854" s="31" t="n">
        <f aca="false">MAX(AE853,AD854)</f>
        <v>19112.76</v>
      </c>
      <c r="AF854" s="31" t="n">
        <f aca="false">AE854-AD854</f>
        <v>24.760000000002</v>
      </c>
      <c r="AG854" s="30" t="n">
        <f aca="false">IFERROR(AF854/AE854,0)</f>
        <v>0.00129546962343492</v>
      </c>
    </row>
    <row r="855" customFormat="false" ht="15" hidden="false" customHeight="false" outlineLevel="0" collapsed="false">
      <c r="A855" s="29" t="n">
        <v>854</v>
      </c>
      <c r="B855" s="44" t="n">
        <v>45877.7152777778</v>
      </c>
      <c r="C855" s="44" t="n">
        <v>45877.7172222222</v>
      </c>
      <c r="D855" s="43" t="n">
        <f aca="false">INT(C855)</f>
        <v>45877</v>
      </c>
      <c r="E855" s="43" t="n">
        <f aca="false">D855-WEEKDAY(D855,3)</f>
        <v>45873</v>
      </c>
      <c r="F855" s="29" t="s">
        <v>184</v>
      </c>
      <c r="G855" s="29" t="n">
        <v>2025</v>
      </c>
      <c r="H855" s="29" t="s">
        <v>254</v>
      </c>
      <c r="I855" s="29" t="n">
        <v>17</v>
      </c>
      <c r="J855" s="29" t="s">
        <v>246</v>
      </c>
      <c r="K855" s="29" t="s">
        <v>247</v>
      </c>
      <c r="L855" s="29" t="n">
        <v>0.04</v>
      </c>
      <c r="M855" s="32" t="n">
        <v>23562.04</v>
      </c>
      <c r="N855" s="32" t="n">
        <v>23548.27</v>
      </c>
      <c r="O855" s="32" t="n">
        <v>23595.78</v>
      </c>
      <c r="P855" s="45" t="n">
        <f aca="false">ABS(M855-N855)</f>
        <v>13.7700000000004</v>
      </c>
      <c r="Q855" s="45" t="n">
        <f aca="false">IF(O855="","",ABS(O855-M855))</f>
        <v>33.739999999998</v>
      </c>
      <c r="R855" s="31" t="n">
        <f aca="false">P855*L855*Summary!$C$6</f>
        <v>55.0800000000017</v>
      </c>
      <c r="S855" s="32" t="n">
        <v>23547.58</v>
      </c>
      <c r="T855" s="29" t="s">
        <v>249</v>
      </c>
      <c r="U855" s="45" t="n">
        <f aca="false">IF(J855="BUY",S855-M855,M855-S855)</f>
        <v>-14.4599999999991</v>
      </c>
      <c r="V855" s="46" t="n">
        <v>0</v>
      </c>
      <c r="W855" s="46" t="n">
        <v>0</v>
      </c>
      <c r="X855" s="46" t="n">
        <v>-57.84</v>
      </c>
      <c r="Y855" s="33" t="n">
        <f aca="false">IFERROR(X855/R855,0)</f>
        <v>-1.05010893246184</v>
      </c>
      <c r="Z855" s="29" t="str">
        <f aca="false">IF(X855&gt;0,"Win",IF(X855&lt;0,"Loss","Flat"))</f>
        <v>Loss</v>
      </c>
      <c r="AA855" s="29" t="n">
        <f aca="false">ROUND((C855-B855)*1440,1)</f>
        <v>2.8</v>
      </c>
      <c r="AB855" s="29" t="str">
        <f aca="false">IF(AA855&lt;1,"a) &lt;1 min",IF(AA855&lt;10,"b) 1-10 min",IF(AA855&lt;60,"c) 10-60 min",IF(AA855&lt;240,"d) 1-4 h","e) 4 h+"))))</f>
        <v>b) 1-10 min</v>
      </c>
      <c r="AC855" s="29" t="str">
        <f aca="false">IF(P855&lt;10,"a) &lt;10",IF(P855&lt;20,"b) 10-20",IF(P855&lt;40,"c) 20-40",IF(P855&lt;80,"d) 40-80","e) 80+"))))</f>
        <v>b) 10-20</v>
      </c>
      <c r="AD855" s="31" t="n">
        <f aca="false">Summary!$C$5+SUM(X$2:X855)</f>
        <v>19030.16</v>
      </c>
      <c r="AE855" s="31" t="n">
        <f aca="false">MAX(AE854,AD855)</f>
        <v>19112.76</v>
      </c>
      <c r="AF855" s="31" t="n">
        <f aca="false">AE855-AD855</f>
        <v>82.6000000000022</v>
      </c>
      <c r="AG855" s="30" t="n">
        <f aca="false">IFERROR(AF855/AE855,0)</f>
        <v>0.00432172014926165</v>
      </c>
    </row>
    <row r="856" customFormat="false" ht="15" hidden="false" customHeight="false" outlineLevel="0" collapsed="false">
      <c r="A856" s="29" t="n">
        <v>855</v>
      </c>
      <c r="B856" s="44" t="n">
        <v>45880.2166666667</v>
      </c>
      <c r="C856" s="44" t="n">
        <v>45880.2190856482</v>
      </c>
      <c r="D856" s="43" t="n">
        <f aca="false">INT(C856)</f>
        <v>45880</v>
      </c>
      <c r="E856" s="43" t="n">
        <f aca="false">D856-WEEKDAY(D856,3)</f>
        <v>45880</v>
      </c>
      <c r="F856" s="29" t="s">
        <v>184</v>
      </c>
      <c r="G856" s="29" t="n">
        <v>2025</v>
      </c>
      <c r="H856" s="29" t="s">
        <v>245</v>
      </c>
      <c r="I856" s="29" t="n">
        <v>5</v>
      </c>
      <c r="J856" s="29" t="s">
        <v>246</v>
      </c>
      <c r="K856" s="29" t="s">
        <v>247</v>
      </c>
      <c r="L856" s="29" t="n">
        <v>0.04</v>
      </c>
      <c r="M856" s="32" t="n">
        <v>23660.74</v>
      </c>
      <c r="N856" s="32" t="n">
        <v>23657.72</v>
      </c>
      <c r="O856" s="32" t="n">
        <v>23668.15</v>
      </c>
      <c r="P856" s="45" t="n">
        <f aca="false">ABS(M856-N856)</f>
        <v>3.02000000000044</v>
      </c>
      <c r="Q856" s="45" t="n">
        <f aca="false">IF(O856="","",ABS(O856-M856))</f>
        <v>7.40999999999985</v>
      </c>
      <c r="R856" s="31" t="n">
        <f aca="false">P856*L856*Summary!$C$6</f>
        <v>12.0800000000017</v>
      </c>
      <c r="S856" s="32" t="n">
        <v>23657.48</v>
      </c>
      <c r="T856" s="29" t="s">
        <v>249</v>
      </c>
      <c r="U856" s="45" t="n">
        <f aca="false">IF(J856="BUY",S856-M856,M856-S856)</f>
        <v>-3.26000000000204</v>
      </c>
      <c r="V856" s="46" t="n">
        <v>0</v>
      </c>
      <c r="W856" s="46" t="n">
        <v>0</v>
      </c>
      <c r="X856" s="46" t="n">
        <v>-13.04</v>
      </c>
      <c r="Y856" s="33" t="n">
        <f aca="false">IFERROR(X856/R856,0)</f>
        <v>-1.07947019867534</v>
      </c>
      <c r="Z856" s="29" t="str">
        <f aca="false">IF(X856&gt;0,"Win",IF(X856&lt;0,"Loss","Flat"))</f>
        <v>Loss</v>
      </c>
      <c r="AA856" s="29" t="n">
        <f aca="false">ROUND((C856-B856)*1440,1)</f>
        <v>3.5</v>
      </c>
      <c r="AB856" s="29" t="str">
        <f aca="false">IF(AA856&lt;1,"a) &lt;1 min",IF(AA856&lt;10,"b) 1-10 min",IF(AA856&lt;60,"c) 10-60 min",IF(AA856&lt;240,"d) 1-4 h","e) 4 h+"))))</f>
        <v>b) 1-10 min</v>
      </c>
      <c r="AC856" s="29" t="str">
        <f aca="false">IF(P856&lt;10,"a) &lt;10",IF(P856&lt;20,"b) 10-20",IF(P856&lt;40,"c) 20-40",IF(P856&lt;80,"d) 40-80","e) 80+"))))</f>
        <v>a) &lt;10</v>
      </c>
      <c r="AD856" s="31" t="n">
        <f aca="false">Summary!$C$5+SUM(X$2:X856)</f>
        <v>19017.12</v>
      </c>
      <c r="AE856" s="31" t="n">
        <f aca="false">MAX(AE855,AD856)</f>
        <v>19112.76</v>
      </c>
      <c r="AF856" s="31" t="n">
        <f aca="false">AE856-AD856</f>
        <v>95.6399999999994</v>
      </c>
      <c r="AG856" s="30" t="n">
        <f aca="false">IFERROR(AF856/AE856,0)</f>
        <v>0.00500398686531926</v>
      </c>
    </row>
    <row r="857" customFormat="false" ht="15" hidden="false" customHeight="false" outlineLevel="0" collapsed="false">
      <c r="A857" s="29" t="n">
        <v>856</v>
      </c>
      <c r="B857" s="44" t="n">
        <v>45881.6569444445</v>
      </c>
      <c r="C857" s="44" t="n">
        <v>45881.659837963</v>
      </c>
      <c r="D857" s="43" t="n">
        <f aca="false">INT(C857)</f>
        <v>45881</v>
      </c>
      <c r="E857" s="43" t="n">
        <f aca="false">D857-WEEKDAY(D857,3)</f>
        <v>45880</v>
      </c>
      <c r="F857" s="29" t="s">
        <v>184</v>
      </c>
      <c r="G857" s="29" t="n">
        <v>2025</v>
      </c>
      <c r="H857" s="29" t="s">
        <v>248</v>
      </c>
      <c r="I857" s="29" t="n">
        <v>15</v>
      </c>
      <c r="J857" s="29" t="s">
        <v>246</v>
      </c>
      <c r="K857" s="29" t="s">
        <v>247</v>
      </c>
      <c r="L857" s="29" t="n">
        <v>0.04</v>
      </c>
      <c r="M857" s="32" t="n">
        <v>23707.53</v>
      </c>
      <c r="N857" s="32" t="n">
        <v>23693.65</v>
      </c>
      <c r="O857" s="32" t="n">
        <v>23741.55</v>
      </c>
      <c r="P857" s="45" t="n">
        <f aca="false">ABS(M857-N857)</f>
        <v>13.8799999999974</v>
      </c>
      <c r="Q857" s="45" t="n">
        <f aca="false">IF(O857="","",ABS(O857-M857))</f>
        <v>34.0200000000004</v>
      </c>
      <c r="R857" s="31" t="n">
        <f aca="false">P857*L857*Summary!$C$6</f>
        <v>55.5199999999895</v>
      </c>
      <c r="S857" s="32" t="n">
        <v>23693.35</v>
      </c>
      <c r="T857" s="29" t="s">
        <v>249</v>
      </c>
      <c r="U857" s="45" t="n">
        <f aca="false">IF(J857="BUY",S857-M857,M857-S857)</f>
        <v>-14.1800000000003</v>
      </c>
      <c r="V857" s="46" t="n">
        <v>0</v>
      </c>
      <c r="W857" s="46" t="n">
        <v>0</v>
      </c>
      <c r="X857" s="46" t="n">
        <v>-56.72</v>
      </c>
      <c r="Y857" s="33" t="n">
        <f aca="false">IFERROR(X857/R857,0)</f>
        <v>-1.02161383285322</v>
      </c>
      <c r="Z857" s="29" t="str">
        <f aca="false">IF(X857&gt;0,"Win",IF(X857&lt;0,"Loss","Flat"))</f>
        <v>Loss</v>
      </c>
      <c r="AA857" s="29" t="n">
        <f aca="false">ROUND((C857-B857)*1440,1)</f>
        <v>4.2</v>
      </c>
      <c r="AB857" s="29" t="str">
        <f aca="false">IF(AA857&lt;1,"a) &lt;1 min",IF(AA857&lt;10,"b) 1-10 min",IF(AA857&lt;60,"c) 10-60 min",IF(AA857&lt;240,"d) 1-4 h","e) 4 h+"))))</f>
        <v>b) 1-10 min</v>
      </c>
      <c r="AC857" s="29" t="str">
        <f aca="false">IF(P857&lt;10,"a) &lt;10",IF(P857&lt;20,"b) 10-20",IF(P857&lt;40,"c) 20-40",IF(P857&lt;80,"d) 40-80","e) 80+"))))</f>
        <v>b) 10-20</v>
      </c>
      <c r="AD857" s="31" t="n">
        <f aca="false">Summary!$C$5+SUM(X$2:X857)</f>
        <v>18960.4</v>
      </c>
      <c r="AE857" s="31" t="n">
        <f aca="false">MAX(AE856,AD857)</f>
        <v>19112.76</v>
      </c>
      <c r="AF857" s="31" t="n">
        <f aca="false">AE857-AD857</f>
        <v>152.360000000001</v>
      </c>
      <c r="AG857" s="30" t="n">
        <f aca="false">IFERROR(AF857/AE857,0)</f>
        <v>0.00797163779590183</v>
      </c>
    </row>
    <row r="858" customFormat="false" ht="15" hidden="false" customHeight="false" outlineLevel="0" collapsed="false">
      <c r="A858" s="29" t="n">
        <v>857</v>
      </c>
      <c r="B858" s="44" t="n">
        <v>45882.1152777778</v>
      </c>
      <c r="C858" s="44" t="n">
        <v>45882.1164930556</v>
      </c>
      <c r="D858" s="43" t="n">
        <f aca="false">INT(C858)</f>
        <v>45882</v>
      </c>
      <c r="E858" s="43" t="n">
        <f aca="false">D858-WEEKDAY(D858,3)</f>
        <v>45880</v>
      </c>
      <c r="F858" s="29" t="s">
        <v>184</v>
      </c>
      <c r="G858" s="29" t="n">
        <v>2025</v>
      </c>
      <c r="H858" s="29" t="s">
        <v>252</v>
      </c>
      <c r="I858" s="29" t="n">
        <v>2</v>
      </c>
      <c r="J858" s="29" t="s">
        <v>246</v>
      </c>
      <c r="K858" s="29" t="s">
        <v>247</v>
      </c>
      <c r="L858" s="29" t="n">
        <v>0.03</v>
      </c>
      <c r="M858" s="32" t="n">
        <v>23845.21</v>
      </c>
      <c r="N858" s="32" t="n">
        <v>23841.62</v>
      </c>
      <c r="O858" s="32" t="n">
        <v>23854</v>
      </c>
      <c r="P858" s="45" t="n">
        <f aca="false">ABS(M858-N858)</f>
        <v>3.59000000000015</v>
      </c>
      <c r="Q858" s="45" t="n">
        <f aca="false">IF(O858="","",ABS(O858-M858))</f>
        <v>8.79000000000087</v>
      </c>
      <c r="R858" s="31" t="n">
        <f aca="false">P858*L858*Summary!$C$6</f>
        <v>10.7700000000004</v>
      </c>
      <c r="S858" s="32" t="n">
        <v>23841.42</v>
      </c>
      <c r="T858" s="29" t="s">
        <v>249</v>
      </c>
      <c r="U858" s="45" t="n">
        <f aca="false">IF(J858="BUY",S858-M858,M858-S858)</f>
        <v>-3.79000000000087</v>
      </c>
      <c r="V858" s="46" t="n">
        <v>0</v>
      </c>
      <c r="W858" s="46" t="n">
        <v>0</v>
      </c>
      <c r="X858" s="46" t="n">
        <v>-11.37</v>
      </c>
      <c r="Y858" s="33" t="n">
        <f aca="false">IFERROR(X858/R858,0)</f>
        <v>-1.05571030640664</v>
      </c>
      <c r="Z858" s="29" t="str">
        <f aca="false">IF(X858&gt;0,"Win",IF(X858&lt;0,"Loss","Flat"))</f>
        <v>Loss</v>
      </c>
      <c r="AA858" s="29" t="n">
        <f aca="false">ROUND((C858-B858)*1440,1)</f>
        <v>1.8</v>
      </c>
      <c r="AB858" s="29" t="str">
        <f aca="false">IF(AA858&lt;1,"a) &lt;1 min",IF(AA858&lt;10,"b) 1-10 min",IF(AA858&lt;60,"c) 10-60 min",IF(AA858&lt;240,"d) 1-4 h","e) 4 h+"))))</f>
        <v>b) 1-10 min</v>
      </c>
      <c r="AC858" s="29" t="str">
        <f aca="false">IF(P858&lt;10,"a) &lt;10",IF(P858&lt;20,"b) 10-20",IF(P858&lt;40,"c) 20-40",IF(P858&lt;80,"d) 40-80","e) 80+"))))</f>
        <v>a) &lt;10</v>
      </c>
      <c r="AD858" s="31" t="n">
        <f aca="false">Summary!$C$5+SUM(X$2:X858)</f>
        <v>18949.03</v>
      </c>
      <c r="AE858" s="31" t="n">
        <f aca="false">MAX(AE857,AD858)</f>
        <v>19112.76</v>
      </c>
      <c r="AF858" s="31" t="n">
        <f aca="false">AE858-AD858</f>
        <v>163.730000000003</v>
      </c>
      <c r="AG858" s="30" t="n">
        <f aca="false">IFERROR(AF858/AE858,0)</f>
        <v>0.0085665283297652</v>
      </c>
    </row>
    <row r="859" customFormat="false" ht="15" hidden="false" customHeight="false" outlineLevel="0" collapsed="false">
      <c r="A859" s="29" t="n">
        <v>858</v>
      </c>
      <c r="B859" s="44" t="n">
        <v>45883.6465277778</v>
      </c>
      <c r="C859" s="44" t="n">
        <v>45883.6502777778</v>
      </c>
      <c r="D859" s="43" t="n">
        <f aca="false">INT(C859)</f>
        <v>45883</v>
      </c>
      <c r="E859" s="43" t="n">
        <f aca="false">D859-WEEKDAY(D859,3)</f>
        <v>45880</v>
      </c>
      <c r="F859" s="29" t="s">
        <v>184</v>
      </c>
      <c r="G859" s="29" t="n">
        <v>2025</v>
      </c>
      <c r="H859" s="29" t="s">
        <v>253</v>
      </c>
      <c r="I859" s="29" t="n">
        <v>15</v>
      </c>
      <c r="J859" s="29" t="s">
        <v>250</v>
      </c>
      <c r="K859" s="29" t="s">
        <v>251</v>
      </c>
      <c r="L859" s="29" t="n">
        <v>0.03</v>
      </c>
      <c r="M859" s="32" t="n">
        <v>23766.53</v>
      </c>
      <c r="N859" s="32" t="n">
        <v>23792.53</v>
      </c>
      <c r="O859" s="32" t="n">
        <v>23702.83</v>
      </c>
      <c r="P859" s="45" t="n">
        <f aca="false">ABS(M859-N859)</f>
        <v>26</v>
      </c>
      <c r="Q859" s="45" t="n">
        <f aca="false">IF(O859="","",ABS(O859-M859))</f>
        <v>63.6999999999971</v>
      </c>
      <c r="R859" s="31" t="n">
        <f aca="false">P859*L859*Summary!$C$6</f>
        <v>78</v>
      </c>
      <c r="S859" s="32" t="n">
        <v>23702.05</v>
      </c>
      <c r="T859" s="29" t="s">
        <v>227</v>
      </c>
      <c r="U859" s="45" t="n">
        <f aca="false">IF(J859="BUY",S859-M859,M859-S859)</f>
        <v>64.4799999999996</v>
      </c>
      <c r="V859" s="46" t="n">
        <v>0</v>
      </c>
      <c r="W859" s="46" t="n">
        <v>0</v>
      </c>
      <c r="X859" s="46" t="n">
        <v>193.44</v>
      </c>
      <c r="Y859" s="33" t="n">
        <f aca="false">IFERROR(X859/R859,0)</f>
        <v>2.48</v>
      </c>
      <c r="Z859" s="29" t="str">
        <f aca="false">IF(X859&gt;0,"Win",IF(X859&lt;0,"Loss","Flat"))</f>
        <v>Win</v>
      </c>
      <c r="AA859" s="29" t="n">
        <f aca="false">ROUND((C859-B859)*1440,1)</f>
        <v>5.4</v>
      </c>
      <c r="AB859" s="29" t="str">
        <f aca="false">IF(AA859&lt;1,"a) &lt;1 min",IF(AA859&lt;10,"b) 1-10 min",IF(AA859&lt;60,"c) 10-60 min",IF(AA859&lt;240,"d) 1-4 h","e) 4 h+"))))</f>
        <v>b) 1-10 min</v>
      </c>
      <c r="AC859" s="29" t="str">
        <f aca="false">IF(P859&lt;10,"a) &lt;10",IF(P859&lt;20,"b) 10-20",IF(P859&lt;40,"c) 20-40",IF(P859&lt;80,"d) 40-80","e) 80+"))))</f>
        <v>c) 20-40</v>
      </c>
      <c r="AD859" s="31" t="n">
        <f aca="false">Summary!$C$5+SUM(X$2:X859)</f>
        <v>19142.47</v>
      </c>
      <c r="AE859" s="31" t="n">
        <f aca="false">MAX(AE858,AD859)</f>
        <v>19142.47</v>
      </c>
      <c r="AF859" s="31" t="n">
        <f aca="false">AE859-AD859</f>
        <v>0</v>
      </c>
      <c r="AG859" s="30" t="n">
        <f aca="false">IFERROR(AF859/AE859,0)</f>
        <v>0</v>
      </c>
    </row>
    <row r="860" customFormat="false" ht="15" hidden="false" customHeight="false" outlineLevel="0" collapsed="false">
      <c r="A860" s="29" t="n">
        <v>859</v>
      </c>
      <c r="B860" s="44" t="n">
        <v>45884.7013888889</v>
      </c>
      <c r="C860" s="44" t="n">
        <v>45884.7051736111</v>
      </c>
      <c r="D860" s="43" t="n">
        <f aca="false">INT(C860)</f>
        <v>45884</v>
      </c>
      <c r="E860" s="43" t="n">
        <f aca="false">D860-WEEKDAY(D860,3)</f>
        <v>45880</v>
      </c>
      <c r="F860" s="29" t="s">
        <v>184</v>
      </c>
      <c r="G860" s="29" t="n">
        <v>2025</v>
      </c>
      <c r="H860" s="29" t="s">
        <v>254</v>
      </c>
      <c r="I860" s="29" t="n">
        <v>16</v>
      </c>
      <c r="J860" s="29" t="s">
        <v>250</v>
      </c>
      <c r="K860" s="29" t="s">
        <v>251</v>
      </c>
      <c r="L860" s="29" t="n">
        <v>0.04</v>
      </c>
      <c r="M860" s="32" t="n">
        <v>23696.06</v>
      </c>
      <c r="N860" s="32" t="n">
        <v>23718.08</v>
      </c>
      <c r="O860" s="32" t="n">
        <v>23644.96</v>
      </c>
      <c r="P860" s="45" t="n">
        <f aca="false">ABS(M860-N860)</f>
        <v>22.0200000000004</v>
      </c>
      <c r="Q860" s="45" t="n">
        <f aca="false">IF(O860="","",ABS(O860-M860))</f>
        <v>51.1000000000022</v>
      </c>
      <c r="R860" s="31" t="n">
        <f aca="false">P860*L860*Summary!$C$6</f>
        <v>88.0800000000018</v>
      </c>
      <c r="S860" s="32" t="n">
        <v>23718.19</v>
      </c>
      <c r="T860" s="29" t="s">
        <v>249</v>
      </c>
      <c r="U860" s="45" t="n">
        <f aca="false">IF(J860="BUY",S860-M860,M860-S860)</f>
        <v>-22.1299999999974</v>
      </c>
      <c r="V860" s="46" t="n">
        <v>0</v>
      </c>
      <c r="W860" s="46" t="n">
        <v>0</v>
      </c>
      <c r="X860" s="46" t="n">
        <v>-88.52</v>
      </c>
      <c r="Y860" s="33" t="n">
        <f aca="false">IFERROR(X860/R860,0)</f>
        <v>-1.00499545867391</v>
      </c>
      <c r="Z860" s="29" t="str">
        <f aca="false">IF(X860&gt;0,"Win",IF(X860&lt;0,"Loss","Flat"))</f>
        <v>Loss</v>
      </c>
      <c r="AA860" s="29" t="n">
        <f aca="false">ROUND((C860-B860)*1440,1)</f>
        <v>5.5</v>
      </c>
      <c r="AB860" s="29" t="str">
        <f aca="false">IF(AA860&lt;1,"a) &lt;1 min",IF(AA860&lt;10,"b) 1-10 min",IF(AA860&lt;60,"c) 10-60 min",IF(AA860&lt;240,"d) 1-4 h","e) 4 h+"))))</f>
        <v>b) 1-10 min</v>
      </c>
      <c r="AC860" s="29" t="str">
        <f aca="false">IF(P860&lt;10,"a) &lt;10",IF(P860&lt;20,"b) 10-20",IF(P860&lt;40,"c) 20-40",IF(P860&lt;80,"d) 40-80","e) 80+"))))</f>
        <v>c) 20-40</v>
      </c>
      <c r="AD860" s="31" t="n">
        <f aca="false">Summary!$C$5+SUM(X$2:X860)</f>
        <v>19053.95</v>
      </c>
      <c r="AE860" s="31" t="n">
        <f aca="false">MAX(AE859,AD860)</f>
        <v>19142.47</v>
      </c>
      <c r="AF860" s="31" t="n">
        <f aca="false">AE860-AD860</f>
        <v>88.5200000000004</v>
      </c>
      <c r="AG860" s="30" t="n">
        <f aca="false">IFERROR(AF860/AE860,0)</f>
        <v>0.00462427262521506</v>
      </c>
    </row>
    <row r="861" customFormat="false" ht="15" hidden="false" customHeight="false" outlineLevel="0" collapsed="false">
      <c r="A861" s="29" t="n">
        <v>860</v>
      </c>
      <c r="B861" s="44" t="n">
        <v>45887.7409722222</v>
      </c>
      <c r="C861" s="44" t="n">
        <v>45887.7427777778</v>
      </c>
      <c r="D861" s="43" t="n">
        <f aca="false">INT(C861)</f>
        <v>45887</v>
      </c>
      <c r="E861" s="43" t="n">
        <f aca="false">D861-WEEKDAY(D861,3)</f>
        <v>45887</v>
      </c>
      <c r="F861" s="29" t="s">
        <v>184</v>
      </c>
      <c r="G861" s="29" t="n">
        <v>2025</v>
      </c>
      <c r="H861" s="29" t="s">
        <v>245</v>
      </c>
      <c r="I861" s="29" t="n">
        <v>17</v>
      </c>
      <c r="J861" s="29" t="s">
        <v>250</v>
      </c>
      <c r="K861" s="29" t="s">
        <v>251</v>
      </c>
      <c r="L861" s="29" t="n">
        <v>0.04</v>
      </c>
      <c r="M861" s="32" t="n">
        <v>23644.93</v>
      </c>
      <c r="N861" s="32" t="n">
        <v>23657.12</v>
      </c>
      <c r="O861" s="32" t="n">
        <v>23615.05</v>
      </c>
      <c r="P861" s="45" t="n">
        <f aca="false">ABS(M861-N861)</f>
        <v>12.1899999999987</v>
      </c>
      <c r="Q861" s="45" t="n">
        <f aca="false">IF(O861="","",ABS(O861-M861))</f>
        <v>29.880000000001</v>
      </c>
      <c r="R861" s="31" t="n">
        <f aca="false">P861*L861*Summary!$C$6</f>
        <v>48.7599999999948</v>
      </c>
      <c r="S861" s="32" t="n">
        <v>23657.37</v>
      </c>
      <c r="T861" s="29" t="s">
        <v>249</v>
      </c>
      <c r="U861" s="45" t="n">
        <f aca="false">IF(J861="BUY",S861-M861,M861-S861)</f>
        <v>-12.4399999999987</v>
      </c>
      <c r="V861" s="46" t="n">
        <v>0</v>
      </c>
      <c r="W861" s="46" t="n">
        <v>0</v>
      </c>
      <c r="X861" s="46" t="n">
        <v>-49.76</v>
      </c>
      <c r="Y861" s="33" t="n">
        <f aca="false">IFERROR(X861/R861,0)</f>
        <v>-1.02050861361783</v>
      </c>
      <c r="Z861" s="29" t="str">
        <f aca="false">IF(X861&gt;0,"Win",IF(X861&lt;0,"Loss","Flat"))</f>
        <v>Loss</v>
      </c>
      <c r="AA861" s="29" t="n">
        <f aca="false">ROUND((C861-B861)*1440,1)</f>
        <v>2.6</v>
      </c>
      <c r="AB861" s="29" t="str">
        <f aca="false">IF(AA861&lt;1,"a) &lt;1 min",IF(AA861&lt;10,"b) 1-10 min",IF(AA861&lt;60,"c) 10-60 min",IF(AA861&lt;240,"d) 1-4 h","e) 4 h+"))))</f>
        <v>b) 1-10 min</v>
      </c>
      <c r="AC861" s="29" t="str">
        <f aca="false">IF(P861&lt;10,"a) &lt;10",IF(P861&lt;20,"b) 10-20",IF(P861&lt;40,"c) 20-40",IF(P861&lt;80,"d) 40-80","e) 80+"))))</f>
        <v>b) 10-20</v>
      </c>
      <c r="AD861" s="31" t="n">
        <f aca="false">Summary!$C$5+SUM(X$2:X861)</f>
        <v>19004.19</v>
      </c>
      <c r="AE861" s="31" t="n">
        <f aca="false">MAX(AE860,AD861)</f>
        <v>19142.47</v>
      </c>
      <c r="AF861" s="31" t="n">
        <f aca="false">AE861-AD861</f>
        <v>138.279999999999</v>
      </c>
      <c r="AG861" s="30" t="n">
        <f aca="false">IFERROR(AF861/AE861,0)</f>
        <v>0.00722372818136838</v>
      </c>
    </row>
    <row r="862" customFormat="false" ht="15" hidden="false" customHeight="false" outlineLevel="0" collapsed="false">
      <c r="A862" s="29" t="n">
        <v>861</v>
      </c>
      <c r="B862" s="44" t="n">
        <v>45888.6895833333</v>
      </c>
      <c r="C862" s="44" t="n">
        <v>45888.6929513889</v>
      </c>
      <c r="D862" s="43" t="n">
        <f aca="false">INT(C862)</f>
        <v>45888</v>
      </c>
      <c r="E862" s="43" t="n">
        <f aca="false">D862-WEEKDAY(D862,3)</f>
        <v>45887</v>
      </c>
      <c r="F862" s="29" t="s">
        <v>184</v>
      </c>
      <c r="G862" s="29" t="n">
        <v>2025</v>
      </c>
      <c r="H862" s="29" t="s">
        <v>248</v>
      </c>
      <c r="I862" s="29" t="n">
        <v>16</v>
      </c>
      <c r="J862" s="29" t="s">
        <v>250</v>
      </c>
      <c r="K862" s="29" t="s">
        <v>251</v>
      </c>
      <c r="L862" s="29" t="n">
        <v>0.04</v>
      </c>
      <c r="M862" s="32" t="n">
        <v>23608.21</v>
      </c>
      <c r="N862" s="32" t="n">
        <v>23628.53</v>
      </c>
      <c r="O862" s="32" t="n">
        <v>23558.42</v>
      </c>
      <c r="P862" s="45" t="n">
        <f aca="false">ABS(M862-N862)</f>
        <v>20.3199999999997</v>
      </c>
      <c r="Q862" s="45" t="n">
        <f aca="false">IF(O862="","",ABS(O862-M862))</f>
        <v>49.7900000000009</v>
      </c>
      <c r="R862" s="31" t="n">
        <f aca="false">P862*L862*Summary!$C$6</f>
        <v>81.2799999999988</v>
      </c>
      <c r="S862" s="32" t="n">
        <v>23609.32</v>
      </c>
      <c r="T862" s="29" t="s">
        <v>255</v>
      </c>
      <c r="U862" s="45" t="n">
        <f aca="false">IF(J862="BUY",S862-M862,M862-S862)</f>
        <v>-1.11000000000058</v>
      </c>
      <c r="V862" s="46" t="n">
        <v>0</v>
      </c>
      <c r="W862" s="46" t="n">
        <v>0</v>
      </c>
      <c r="X862" s="46" t="n">
        <v>-4.44</v>
      </c>
      <c r="Y862" s="33" t="n">
        <f aca="false">IFERROR(X862/R862,0)</f>
        <v>-0.0546259842519693</v>
      </c>
      <c r="Z862" s="29" t="str">
        <f aca="false">IF(X862&gt;0,"Win",IF(X862&lt;0,"Loss","Flat"))</f>
        <v>Loss</v>
      </c>
      <c r="AA862" s="29" t="n">
        <f aca="false">ROUND((C862-B862)*1440,1)</f>
        <v>4.9</v>
      </c>
      <c r="AB862" s="29" t="str">
        <f aca="false">IF(AA862&lt;1,"a) &lt;1 min",IF(AA862&lt;10,"b) 1-10 min",IF(AA862&lt;60,"c) 10-60 min",IF(AA862&lt;240,"d) 1-4 h","e) 4 h+"))))</f>
        <v>b) 1-10 min</v>
      </c>
      <c r="AC862" s="29" t="str">
        <f aca="false">IF(P862&lt;10,"a) &lt;10",IF(P862&lt;20,"b) 10-20",IF(P862&lt;40,"c) 20-40",IF(P862&lt;80,"d) 40-80","e) 80+"))))</f>
        <v>c) 20-40</v>
      </c>
      <c r="AD862" s="31" t="n">
        <f aca="false">Summary!$C$5+SUM(X$2:X862)</f>
        <v>18999.75</v>
      </c>
      <c r="AE862" s="31" t="n">
        <f aca="false">MAX(AE861,AD862)</f>
        <v>19142.47</v>
      </c>
      <c r="AF862" s="31" t="n">
        <f aca="false">AE862-AD862</f>
        <v>142.720000000001</v>
      </c>
      <c r="AG862" s="30" t="n">
        <f aca="false">IFERROR(AF862/AE862,0)</f>
        <v>0.00745567317070374</v>
      </c>
    </row>
    <row r="863" customFormat="false" ht="15" hidden="false" customHeight="false" outlineLevel="0" collapsed="false">
      <c r="A863" s="29" t="n">
        <v>862</v>
      </c>
      <c r="B863" s="44" t="n">
        <v>45889.1006944445</v>
      </c>
      <c r="C863" s="44" t="n">
        <v>45889.1010185185</v>
      </c>
      <c r="D863" s="43" t="n">
        <f aca="false">INT(C863)</f>
        <v>45889</v>
      </c>
      <c r="E863" s="43" t="n">
        <f aca="false">D863-WEEKDAY(D863,3)</f>
        <v>45887</v>
      </c>
      <c r="F863" s="29" t="s">
        <v>184</v>
      </c>
      <c r="G863" s="29" t="n">
        <v>2025</v>
      </c>
      <c r="H863" s="29" t="s">
        <v>252</v>
      </c>
      <c r="I863" s="29" t="n">
        <v>2</v>
      </c>
      <c r="J863" s="29" t="s">
        <v>250</v>
      </c>
      <c r="K863" s="29" t="s">
        <v>251</v>
      </c>
      <c r="L863" s="29" t="n">
        <v>0.04</v>
      </c>
      <c r="M863" s="32" t="n">
        <v>23341.81</v>
      </c>
      <c r="N863" s="32" t="n">
        <v>23349.78</v>
      </c>
      <c r="O863" s="32" t="n">
        <v>23322.29</v>
      </c>
      <c r="P863" s="45" t="n">
        <f aca="false">ABS(M863-N863)</f>
        <v>7.96999999999753</v>
      </c>
      <c r="Q863" s="45" t="n">
        <f aca="false">IF(O863="","",ABS(O863-M863))</f>
        <v>19.5200000000004</v>
      </c>
      <c r="R863" s="31" t="n">
        <f aca="false">P863*L863*Summary!$C$6</f>
        <v>31.8799999999901</v>
      </c>
      <c r="S863" s="32" t="n">
        <v>23350.31</v>
      </c>
      <c r="T863" s="29" t="s">
        <v>249</v>
      </c>
      <c r="U863" s="45" t="n">
        <f aca="false">IF(J863="BUY",S863-M863,M863-S863)</f>
        <v>-8.5</v>
      </c>
      <c r="V863" s="46" t="n">
        <v>0</v>
      </c>
      <c r="W863" s="46" t="n">
        <v>0</v>
      </c>
      <c r="X863" s="46" t="n">
        <v>-34</v>
      </c>
      <c r="Y863" s="33" t="n">
        <f aca="false">IFERROR(X863/R863,0)</f>
        <v>-1.06649937264776</v>
      </c>
      <c r="Z863" s="29" t="str">
        <f aca="false">IF(X863&gt;0,"Win",IF(X863&lt;0,"Loss","Flat"))</f>
        <v>Loss</v>
      </c>
      <c r="AA863" s="29" t="n">
        <f aca="false">ROUND((C863-B863)*1440,1)</f>
        <v>0.5</v>
      </c>
      <c r="AB863" s="29" t="str">
        <f aca="false">IF(AA863&lt;1,"a) &lt;1 min",IF(AA863&lt;10,"b) 1-10 min",IF(AA863&lt;60,"c) 10-60 min",IF(AA863&lt;240,"d) 1-4 h","e) 4 h+"))))</f>
        <v>a) &lt;1 min</v>
      </c>
      <c r="AC863" s="29" t="str">
        <f aca="false">IF(P863&lt;10,"a) &lt;10",IF(P863&lt;20,"b) 10-20",IF(P863&lt;40,"c) 20-40",IF(P863&lt;80,"d) 40-80","e) 80+"))))</f>
        <v>a) &lt;10</v>
      </c>
      <c r="AD863" s="31" t="n">
        <f aca="false">Summary!$C$5+SUM(X$2:X863)</f>
        <v>18965.75</v>
      </c>
      <c r="AE863" s="31" t="n">
        <f aca="false">MAX(AE862,AD863)</f>
        <v>19142.47</v>
      </c>
      <c r="AF863" s="31" t="n">
        <f aca="false">AE863-AD863</f>
        <v>176.720000000001</v>
      </c>
      <c r="AG863" s="30" t="n">
        <f aca="false">IFERROR(AF863/AE863,0)</f>
        <v>0.009231828494442</v>
      </c>
    </row>
    <row r="864" customFormat="false" ht="15" hidden="false" customHeight="false" outlineLevel="0" collapsed="false">
      <c r="A864" s="29" t="n">
        <v>863</v>
      </c>
      <c r="B864" s="44" t="n">
        <v>45891.4042013889</v>
      </c>
      <c r="C864" s="44" t="n">
        <v>45891.4065856482</v>
      </c>
      <c r="D864" s="43" t="n">
        <f aca="false">INT(C864)</f>
        <v>45891</v>
      </c>
      <c r="E864" s="43" t="n">
        <f aca="false">D864-WEEKDAY(D864,3)</f>
        <v>45887</v>
      </c>
      <c r="F864" s="29" t="s">
        <v>184</v>
      </c>
      <c r="G864" s="29" t="n">
        <v>2025</v>
      </c>
      <c r="H864" s="29" t="s">
        <v>254</v>
      </c>
      <c r="I864" s="29" t="n">
        <v>9</v>
      </c>
      <c r="J864" s="29" t="s">
        <v>250</v>
      </c>
      <c r="K864" s="29" t="s">
        <v>251</v>
      </c>
      <c r="L864" s="29" t="n">
        <v>0.04</v>
      </c>
      <c r="M864" s="32" t="n">
        <v>23024.84</v>
      </c>
      <c r="N864" s="32" t="n">
        <v>23037.4</v>
      </c>
      <c r="O864" s="32" t="n">
        <v>22994.08</v>
      </c>
      <c r="P864" s="45" t="n">
        <f aca="false">ABS(M864-N864)</f>
        <v>12.5600000000013</v>
      </c>
      <c r="Q864" s="45" t="n">
        <f aca="false">IF(O864="","",ABS(O864-M864))</f>
        <v>30.7599999999984</v>
      </c>
      <c r="R864" s="31" t="n">
        <f aca="false">P864*L864*Summary!$C$6</f>
        <v>50.2400000000052</v>
      </c>
      <c r="S864" s="32" t="n">
        <v>23024.9</v>
      </c>
      <c r="T864" s="29" t="s">
        <v>255</v>
      </c>
      <c r="U864" s="45" t="n">
        <f aca="false">IF(J864="BUY",S864-M864,M864-S864)</f>
        <v>-0.0600000000013097</v>
      </c>
      <c r="V864" s="46" t="n">
        <v>0</v>
      </c>
      <c r="W864" s="46" t="n">
        <v>0</v>
      </c>
      <c r="X864" s="46" t="n">
        <v>-0.24</v>
      </c>
      <c r="Y864" s="33" t="n">
        <f aca="false">IFERROR(X864/R864,0)</f>
        <v>-0.00477707006369377</v>
      </c>
      <c r="Z864" s="29" t="str">
        <f aca="false">IF(X864&gt;0,"Win",IF(X864&lt;0,"Loss","Flat"))</f>
        <v>Loss</v>
      </c>
      <c r="AA864" s="29" t="n">
        <f aca="false">ROUND((C864-B864)*1440,1)</f>
        <v>3.4</v>
      </c>
      <c r="AB864" s="29" t="str">
        <f aca="false">IF(AA864&lt;1,"a) &lt;1 min",IF(AA864&lt;10,"b) 1-10 min",IF(AA864&lt;60,"c) 10-60 min",IF(AA864&lt;240,"d) 1-4 h","e) 4 h+"))))</f>
        <v>b) 1-10 min</v>
      </c>
      <c r="AC864" s="29" t="str">
        <f aca="false">IF(P864&lt;10,"a) &lt;10",IF(P864&lt;20,"b) 10-20",IF(P864&lt;40,"c) 20-40",IF(P864&lt;80,"d) 40-80","e) 80+"))))</f>
        <v>b) 10-20</v>
      </c>
      <c r="AD864" s="31" t="n">
        <f aca="false">Summary!$C$5+SUM(X$2:X864)</f>
        <v>18965.51</v>
      </c>
      <c r="AE864" s="31" t="n">
        <f aca="false">MAX(AE863,AD864)</f>
        <v>19142.47</v>
      </c>
      <c r="AF864" s="31" t="n">
        <f aca="false">AE864-AD864</f>
        <v>176.959999999999</v>
      </c>
      <c r="AG864" s="30" t="n">
        <f aca="false">IFERROR(AF864/AE864,0)</f>
        <v>0.00924436606143299</v>
      </c>
    </row>
    <row r="865" customFormat="false" ht="15" hidden="false" customHeight="false" outlineLevel="0" collapsed="false">
      <c r="A865" s="29" t="n">
        <v>864</v>
      </c>
      <c r="B865" s="44" t="n">
        <v>45891.7181018519</v>
      </c>
      <c r="C865" s="44" t="n">
        <v>45891.7207638889</v>
      </c>
      <c r="D865" s="43" t="n">
        <f aca="false">INT(C865)</f>
        <v>45891</v>
      </c>
      <c r="E865" s="43" t="n">
        <f aca="false">D865-WEEKDAY(D865,3)</f>
        <v>45887</v>
      </c>
      <c r="F865" s="29" t="s">
        <v>184</v>
      </c>
      <c r="G865" s="29" t="n">
        <v>2025</v>
      </c>
      <c r="H865" s="29" t="s">
        <v>254</v>
      </c>
      <c r="I865" s="29" t="n">
        <v>17</v>
      </c>
      <c r="J865" s="29" t="s">
        <v>246</v>
      </c>
      <c r="K865" s="29" t="s">
        <v>247</v>
      </c>
      <c r="L865" s="29" t="n">
        <v>0.04</v>
      </c>
      <c r="M865" s="32" t="n">
        <v>23324.47</v>
      </c>
      <c r="N865" s="32" t="n">
        <v>23279.33</v>
      </c>
      <c r="O865" s="32" t="n">
        <v>23435.05</v>
      </c>
      <c r="P865" s="45" t="n">
        <f aca="false">ABS(M865-N865)</f>
        <v>45.1399999999994</v>
      </c>
      <c r="Q865" s="45" t="n">
        <f aca="false">IF(O865="","",ABS(O865-M865))</f>
        <v>110.579999999998</v>
      </c>
      <c r="R865" s="31" t="n">
        <f aca="false">P865*L865*Summary!$C$6</f>
        <v>180.559999999998</v>
      </c>
      <c r="S865" s="32" t="n">
        <v>23435.42</v>
      </c>
      <c r="T865" s="29" t="s">
        <v>227</v>
      </c>
      <c r="U865" s="45" t="n">
        <f aca="false">IF(J865="BUY",S865-M865,M865-S865)</f>
        <v>110.949999999997</v>
      </c>
      <c r="V865" s="46" t="n">
        <v>0</v>
      </c>
      <c r="W865" s="46" t="n">
        <v>0</v>
      </c>
      <c r="X865" s="46" t="n">
        <v>443.8</v>
      </c>
      <c r="Y865" s="33" t="n">
        <f aca="false">IFERROR(X865/R865,0)</f>
        <v>2.45790872840056</v>
      </c>
      <c r="Z865" s="29" t="str">
        <f aca="false">IF(X865&gt;0,"Win",IF(X865&lt;0,"Loss","Flat"))</f>
        <v>Win</v>
      </c>
      <c r="AA865" s="29" t="n">
        <f aca="false">ROUND((C865-B865)*1440,1)</f>
        <v>3.8</v>
      </c>
      <c r="AB865" s="29" t="str">
        <f aca="false">IF(AA865&lt;1,"a) &lt;1 min",IF(AA865&lt;10,"b) 1-10 min",IF(AA865&lt;60,"c) 10-60 min",IF(AA865&lt;240,"d) 1-4 h","e) 4 h+"))))</f>
        <v>b) 1-10 min</v>
      </c>
      <c r="AC865" s="29" t="str">
        <f aca="false">IF(P865&lt;10,"a) &lt;10",IF(P865&lt;20,"b) 10-20",IF(P865&lt;40,"c) 20-40",IF(P865&lt;80,"d) 40-80","e) 80+"))))</f>
        <v>d) 40-80</v>
      </c>
      <c r="AD865" s="31" t="n">
        <f aca="false">Summary!$C$5+SUM(X$2:X865)</f>
        <v>19409.31</v>
      </c>
      <c r="AE865" s="31" t="n">
        <f aca="false">MAX(AE864,AD865)</f>
        <v>19409.31</v>
      </c>
      <c r="AF865" s="31" t="n">
        <f aca="false">AE865-AD865</f>
        <v>0</v>
      </c>
      <c r="AG865" s="30" t="n">
        <f aca="false">IFERROR(AF865/AE865,0)</f>
        <v>0</v>
      </c>
    </row>
    <row r="866" customFormat="false" ht="15" hidden="false" customHeight="false" outlineLevel="0" collapsed="false">
      <c r="A866" s="29" t="n">
        <v>865</v>
      </c>
      <c r="B866" s="44" t="n">
        <v>45895.1506944444</v>
      </c>
      <c r="C866" s="44" t="n">
        <v>45895.1544212963</v>
      </c>
      <c r="D866" s="43" t="n">
        <f aca="false">INT(C866)</f>
        <v>45895</v>
      </c>
      <c r="E866" s="43" t="n">
        <f aca="false">D866-WEEKDAY(D866,3)</f>
        <v>45894</v>
      </c>
      <c r="F866" s="29" t="s">
        <v>184</v>
      </c>
      <c r="G866" s="29" t="n">
        <v>2025</v>
      </c>
      <c r="H866" s="29" t="s">
        <v>248</v>
      </c>
      <c r="I866" s="29" t="n">
        <v>3</v>
      </c>
      <c r="J866" s="29" t="s">
        <v>250</v>
      </c>
      <c r="K866" s="29" t="s">
        <v>251</v>
      </c>
      <c r="L866" s="29" t="n">
        <v>0.04</v>
      </c>
      <c r="M866" s="32" t="n">
        <v>23371.41</v>
      </c>
      <c r="N866" s="32" t="n">
        <v>23391.86</v>
      </c>
      <c r="O866" s="32" t="n">
        <v>23321.3</v>
      </c>
      <c r="P866" s="45" t="n">
        <f aca="false">ABS(M866-N866)</f>
        <v>20.4500000000007</v>
      </c>
      <c r="Q866" s="45" t="n">
        <f aca="false">IF(O866="","",ABS(O866-M866))</f>
        <v>50.1100000000006</v>
      </c>
      <c r="R866" s="31" t="n">
        <f aca="false">P866*L866*Summary!$C$6</f>
        <v>81.8000000000029</v>
      </c>
      <c r="S866" s="32" t="n">
        <v>23319.74</v>
      </c>
      <c r="T866" s="29" t="s">
        <v>227</v>
      </c>
      <c r="U866" s="45" t="n">
        <f aca="false">IF(J866="BUY",S866-M866,M866-S866)</f>
        <v>51.6699999999983</v>
      </c>
      <c r="V866" s="46" t="n">
        <v>0</v>
      </c>
      <c r="W866" s="46" t="n">
        <v>0</v>
      </c>
      <c r="X866" s="46" t="n">
        <v>206.68</v>
      </c>
      <c r="Y866" s="33" t="n">
        <f aca="false">IFERROR(X866/R866,0)</f>
        <v>2.52665036674808</v>
      </c>
      <c r="Z866" s="29" t="str">
        <f aca="false">IF(X866&gt;0,"Win",IF(X866&lt;0,"Loss","Flat"))</f>
        <v>Win</v>
      </c>
      <c r="AA866" s="29" t="n">
        <f aca="false">ROUND((C866-B866)*1440,1)</f>
        <v>5.4</v>
      </c>
      <c r="AB866" s="29" t="str">
        <f aca="false">IF(AA866&lt;1,"a) &lt;1 min",IF(AA866&lt;10,"b) 1-10 min",IF(AA866&lt;60,"c) 10-60 min",IF(AA866&lt;240,"d) 1-4 h","e) 4 h+"))))</f>
        <v>b) 1-10 min</v>
      </c>
      <c r="AC866" s="29" t="str">
        <f aca="false">IF(P866&lt;10,"a) &lt;10",IF(P866&lt;20,"b) 10-20",IF(P866&lt;40,"c) 20-40",IF(P866&lt;80,"d) 40-80","e) 80+"))))</f>
        <v>c) 20-40</v>
      </c>
      <c r="AD866" s="31" t="n">
        <f aca="false">Summary!$C$5+SUM(X$2:X866)</f>
        <v>19615.99</v>
      </c>
      <c r="AE866" s="31" t="n">
        <f aca="false">MAX(AE865,AD866)</f>
        <v>19615.99</v>
      </c>
      <c r="AF866" s="31" t="n">
        <f aca="false">AE866-AD866</f>
        <v>0</v>
      </c>
      <c r="AG866" s="30" t="n">
        <f aca="false">IFERROR(AF866/AE866,0)</f>
        <v>0</v>
      </c>
    </row>
    <row r="867" customFormat="false" ht="15" hidden="false" customHeight="false" outlineLevel="0" collapsed="false">
      <c r="A867" s="29" t="n">
        <v>866</v>
      </c>
      <c r="B867" s="44" t="n">
        <v>45896.0451388889</v>
      </c>
      <c r="C867" s="44" t="n">
        <v>45896.0459027778</v>
      </c>
      <c r="D867" s="43" t="n">
        <f aca="false">INT(C867)</f>
        <v>45896</v>
      </c>
      <c r="E867" s="43" t="n">
        <f aca="false">D867-WEEKDAY(D867,3)</f>
        <v>45894</v>
      </c>
      <c r="F867" s="29" t="s">
        <v>184</v>
      </c>
      <c r="G867" s="29" t="n">
        <v>2025</v>
      </c>
      <c r="H867" s="29" t="s">
        <v>252</v>
      </c>
      <c r="I867" s="29" t="n">
        <v>1</v>
      </c>
      <c r="J867" s="29" t="s">
        <v>246</v>
      </c>
      <c r="K867" s="29" t="s">
        <v>247</v>
      </c>
      <c r="L867" s="29" t="n">
        <v>0.04</v>
      </c>
      <c r="M867" s="32" t="n">
        <v>23548.11</v>
      </c>
      <c r="N867" s="32" t="n">
        <v>23544.2</v>
      </c>
      <c r="O867" s="32" t="n">
        <v>23557.69</v>
      </c>
      <c r="P867" s="45" t="n">
        <f aca="false">ABS(M867-N867)</f>
        <v>3.90999999999985</v>
      </c>
      <c r="Q867" s="45" t="n">
        <f aca="false">IF(O867="","",ABS(O867-M867))</f>
        <v>9.57999999999811</v>
      </c>
      <c r="R867" s="31" t="n">
        <f aca="false">P867*L867*Summary!$C$6</f>
        <v>15.6399999999994</v>
      </c>
      <c r="S867" s="32" t="n">
        <v>23544.18</v>
      </c>
      <c r="T867" s="29" t="s">
        <v>249</v>
      </c>
      <c r="U867" s="45" t="n">
        <f aca="false">IF(J867="BUY",S867-M867,M867-S867)</f>
        <v>-3.93000000000029</v>
      </c>
      <c r="V867" s="46" t="n">
        <v>0</v>
      </c>
      <c r="W867" s="46" t="n">
        <v>0</v>
      </c>
      <c r="X867" s="46" t="n">
        <v>-15.72</v>
      </c>
      <c r="Y867" s="33" t="n">
        <f aca="false">IFERROR(X867/R867,0)</f>
        <v>-1.0051150895141</v>
      </c>
      <c r="Z867" s="29" t="str">
        <f aca="false">IF(X867&gt;0,"Win",IF(X867&lt;0,"Loss","Flat"))</f>
        <v>Loss</v>
      </c>
      <c r="AA867" s="29" t="n">
        <f aca="false">ROUND((C867-B867)*1440,1)</f>
        <v>1.1</v>
      </c>
      <c r="AB867" s="29" t="str">
        <f aca="false">IF(AA867&lt;1,"a) &lt;1 min",IF(AA867&lt;10,"b) 1-10 min",IF(AA867&lt;60,"c) 10-60 min",IF(AA867&lt;240,"d) 1-4 h","e) 4 h+"))))</f>
        <v>b) 1-10 min</v>
      </c>
      <c r="AC867" s="29" t="str">
        <f aca="false">IF(P867&lt;10,"a) &lt;10",IF(P867&lt;20,"b) 10-20",IF(P867&lt;40,"c) 20-40",IF(P867&lt;80,"d) 40-80","e) 80+"))))</f>
        <v>a) &lt;10</v>
      </c>
      <c r="AD867" s="31" t="n">
        <f aca="false">Summary!$C$5+SUM(X$2:X867)</f>
        <v>19600.27</v>
      </c>
      <c r="AE867" s="31" t="n">
        <f aca="false">MAX(AE866,AD867)</f>
        <v>19615.99</v>
      </c>
      <c r="AF867" s="31" t="n">
        <f aca="false">AE867-AD867</f>
        <v>15.7199999999975</v>
      </c>
      <c r="AG867" s="30" t="n">
        <f aca="false">IFERROR(AF867/AE867,0)</f>
        <v>0.000801387031702072</v>
      </c>
    </row>
    <row r="868" customFormat="false" ht="15" hidden="false" customHeight="false" outlineLevel="0" collapsed="false">
      <c r="A868" s="29" t="n">
        <v>867</v>
      </c>
      <c r="B868" s="44" t="n">
        <v>45897.0465277778</v>
      </c>
      <c r="C868" s="44" t="n">
        <v>45897.1958333333</v>
      </c>
      <c r="D868" s="43" t="n">
        <f aca="false">INT(C868)</f>
        <v>45897</v>
      </c>
      <c r="E868" s="43" t="n">
        <f aca="false">D868-WEEKDAY(D868,3)</f>
        <v>45894</v>
      </c>
      <c r="F868" s="29" t="s">
        <v>184</v>
      </c>
      <c r="G868" s="29" t="n">
        <v>2025</v>
      </c>
      <c r="H868" s="29" t="s">
        <v>253</v>
      </c>
      <c r="I868" s="29" t="n">
        <v>1</v>
      </c>
      <c r="J868" s="29" t="s">
        <v>250</v>
      </c>
      <c r="K868" s="29" t="s">
        <v>251</v>
      </c>
      <c r="L868" s="29" t="n">
        <v>0.04</v>
      </c>
      <c r="M868" s="32" t="n">
        <v>23451.71</v>
      </c>
      <c r="N868" s="32" t="n">
        <v>23477.25</v>
      </c>
      <c r="O868" s="32" t="n">
        <v>23389.13</v>
      </c>
      <c r="P868" s="45" t="n">
        <f aca="false">ABS(M868-N868)</f>
        <v>25.5400000000009</v>
      </c>
      <c r="Q868" s="45" t="n">
        <f aca="false">IF(O868="","",ABS(O868-M868))</f>
        <v>62.5799999999981</v>
      </c>
      <c r="R868" s="31" t="n">
        <f aca="false">P868*L868*Summary!$C$6</f>
        <v>102.160000000003</v>
      </c>
      <c r="S868" s="32" t="n">
        <v>23477.42</v>
      </c>
      <c r="T868" s="29" t="s">
        <v>249</v>
      </c>
      <c r="U868" s="45" t="n">
        <f aca="false">IF(J868="BUY",S868-M868,M868-S868)</f>
        <v>-25.7099999999991</v>
      </c>
      <c r="V868" s="46" t="n">
        <v>0</v>
      </c>
      <c r="W868" s="46" t="n">
        <v>0</v>
      </c>
      <c r="X868" s="46" t="n">
        <v>-102.84</v>
      </c>
      <c r="Y868" s="33" t="n">
        <f aca="false">IFERROR(X868/R868,0)</f>
        <v>-1.00665622552855</v>
      </c>
      <c r="Z868" s="29" t="str">
        <f aca="false">IF(X868&gt;0,"Win",IF(X868&lt;0,"Loss","Flat"))</f>
        <v>Loss</v>
      </c>
      <c r="AA868" s="29" t="n">
        <f aca="false">ROUND((C868-B868)*1440,1)</f>
        <v>215</v>
      </c>
      <c r="AB868" s="29" t="str">
        <f aca="false">IF(AA868&lt;1,"a) &lt;1 min",IF(AA868&lt;10,"b) 1-10 min",IF(AA868&lt;60,"c) 10-60 min",IF(AA868&lt;240,"d) 1-4 h","e) 4 h+"))))</f>
        <v>d) 1-4 h</v>
      </c>
      <c r="AC868" s="29" t="str">
        <f aca="false">IF(P868&lt;10,"a) &lt;10",IF(P868&lt;20,"b) 10-20",IF(P868&lt;40,"c) 20-40",IF(P868&lt;80,"d) 40-80","e) 80+"))))</f>
        <v>c) 20-40</v>
      </c>
      <c r="AD868" s="31" t="n">
        <f aca="false">Summary!$C$5+SUM(X$2:X868)</f>
        <v>19497.43</v>
      </c>
      <c r="AE868" s="31" t="n">
        <f aca="false">MAX(AE867,AD868)</f>
        <v>19615.99</v>
      </c>
      <c r="AF868" s="31" t="n">
        <f aca="false">AE868-AD868</f>
        <v>118.559999999998</v>
      </c>
      <c r="AG868" s="30" t="n">
        <f aca="false">IFERROR(AF868/AE868,0)</f>
        <v>0.00604404875818135</v>
      </c>
    </row>
    <row r="869" customFormat="false" ht="15" hidden="false" customHeight="false" outlineLevel="0" collapsed="false">
      <c r="A869" s="29" t="n">
        <v>868</v>
      </c>
      <c r="B869" s="44" t="n">
        <v>45897.475</v>
      </c>
      <c r="C869" s="44" t="n">
        <v>45897.4756944445</v>
      </c>
      <c r="D869" s="43" t="n">
        <f aca="false">INT(C869)</f>
        <v>45897</v>
      </c>
      <c r="E869" s="43" t="n">
        <f aca="false">D869-WEEKDAY(D869,3)</f>
        <v>45894</v>
      </c>
      <c r="F869" s="29" t="s">
        <v>184</v>
      </c>
      <c r="G869" s="29" t="n">
        <v>2025</v>
      </c>
      <c r="H869" s="29" t="s">
        <v>253</v>
      </c>
      <c r="I869" s="29" t="n">
        <v>11</v>
      </c>
      <c r="J869" s="29" t="s">
        <v>246</v>
      </c>
      <c r="K869" s="29" t="s">
        <v>247</v>
      </c>
      <c r="L869" s="29" t="n">
        <v>0.04</v>
      </c>
      <c r="M869" s="32" t="n">
        <v>23597.4</v>
      </c>
      <c r="N869" s="32" t="n">
        <v>23591.45</v>
      </c>
      <c r="O869" s="32" t="n">
        <v>23611.97</v>
      </c>
      <c r="P869" s="45" t="n">
        <f aca="false">ABS(M869-N869)</f>
        <v>5.95000000000073</v>
      </c>
      <c r="Q869" s="45" t="n">
        <f aca="false">IF(O869="","",ABS(O869-M869))</f>
        <v>14.5699999999997</v>
      </c>
      <c r="R869" s="31" t="n">
        <f aca="false">P869*L869*Summary!$C$6</f>
        <v>23.8000000000029</v>
      </c>
      <c r="S869" s="32" t="n">
        <v>23591.28</v>
      </c>
      <c r="T869" s="29" t="s">
        <v>249</v>
      </c>
      <c r="U869" s="45" t="n">
        <f aca="false">IF(J869="BUY",S869-M869,M869-S869)</f>
        <v>-6.12000000000262</v>
      </c>
      <c r="V869" s="46" t="n">
        <v>0</v>
      </c>
      <c r="W869" s="46" t="n">
        <v>0</v>
      </c>
      <c r="X869" s="46" t="n">
        <v>-24.48</v>
      </c>
      <c r="Y869" s="33" t="n">
        <f aca="false">IFERROR(X869/R869,0)</f>
        <v>-1.0285714285713</v>
      </c>
      <c r="Z869" s="29" t="str">
        <f aca="false">IF(X869&gt;0,"Win",IF(X869&lt;0,"Loss","Flat"))</f>
        <v>Loss</v>
      </c>
      <c r="AA869" s="29" t="n">
        <f aca="false">ROUND((C869-B869)*1440,1)</f>
        <v>1</v>
      </c>
      <c r="AB869" s="29" t="str">
        <f aca="false">IF(AA869&lt;1,"a) &lt;1 min",IF(AA869&lt;10,"b) 1-10 min",IF(AA869&lt;60,"c) 10-60 min",IF(AA869&lt;240,"d) 1-4 h","e) 4 h+"))))</f>
        <v>b) 1-10 min</v>
      </c>
      <c r="AC869" s="29" t="str">
        <f aca="false">IF(P869&lt;10,"a) &lt;10",IF(P869&lt;20,"b) 10-20",IF(P869&lt;40,"c) 20-40",IF(P869&lt;80,"d) 40-80","e) 80+"))))</f>
        <v>a) &lt;10</v>
      </c>
      <c r="AD869" s="31" t="n">
        <f aca="false">Summary!$C$5+SUM(X$2:X869)</f>
        <v>19472.95</v>
      </c>
      <c r="AE869" s="31" t="n">
        <f aca="false">MAX(AE868,AD869)</f>
        <v>19615.99</v>
      </c>
      <c r="AF869" s="31" t="n">
        <f aca="false">AE869-AD869</f>
        <v>143.039999999997</v>
      </c>
      <c r="AG869" s="30" t="n">
        <f aca="false">IFERROR(AF869/AE869,0)</f>
        <v>0.00729201024266414</v>
      </c>
    </row>
    <row r="870" customFormat="false" ht="15" hidden="false" customHeight="false" outlineLevel="0" collapsed="false">
      <c r="A870" s="29" t="n">
        <v>869</v>
      </c>
      <c r="B870" s="44" t="n">
        <v>45898.7125</v>
      </c>
      <c r="C870" s="44" t="n">
        <v>45898.7180671296</v>
      </c>
      <c r="D870" s="43" t="n">
        <f aca="false">INT(C870)</f>
        <v>45898</v>
      </c>
      <c r="E870" s="43" t="n">
        <f aca="false">D870-WEEKDAY(D870,3)</f>
        <v>45894</v>
      </c>
      <c r="F870" s="29" t="s">
        <v>184</v>
      </c>
      <c r="G870" s="29" t="n">
        <v>2025</v>
      </c>
      <c r="H870" s="29" t="s">
        <v>254</v>
      </c>
      <c r="I870" s="29" t="n">
        <v>17</v>
      </c>
      <c r="J870" s="29" t="s">
        <v>250</v>
      </c>
      <c r="K870" s="29" t="s">
        <v>251</v>
      </c>
      <c r="L870" s="29" t="n">
        <v>0.04</v>
      </c>
      <c r="M870" s="32" t="n">
        <v>23411.4</v>
      </c>
      <c r="N870" s="32" t="n">
        <v>23438.56</v>
      </c>
      <c r="O870" s="32" t="n">
        <v>23351.75</v>
      </c>
      <c r="P870" s="45" t="n">
        <f aca="false">ABS(M870-N870)</f>
        <v>27.1599999999999</v>
      </c>
      <c r="Q870" s="45" t="n">
        <f aca="false">IF(O870="","",ABS(O870-M870))</f>
        <v>59.6500000000015</v>
      </c>
      <c r="R870" s="31" t="n">
        <f aca="false">P870*L870*Summary!$C$6</f>
        <v>108.639999999999</v>
      </c>
      <c r="S870" s="32" t="n">
        <v>23412.15</v>
      </c>
      <c r="T870" s="29" t="s">
        <v>255</v>
      </c>
      <c r="U870" s="45" t="n">
        <f aca="false">IF(J870="BUY",S870-M870,M870-S870)</f>
        <v>-0.75</v>
      </c>
      <c r="V870" s="46" t="n">
        <v>0</v>
      </c>
      <c r="W870" s="46" t="n">
        <v>0</v>
      </c>
      <c r="X870" s="46" t="n">
        <v>-3</v>
      </c>
      <c r="Y870" s="33" t="n">
        <f aca="false">IFERROR(X870/R870,0)</f>
        <v>-0.0276141384388809</v>
      </c>
      <c r="Z870" s="29" t="str">
        <f aca="false">IF(X870&gt;0,"Win",IF(X870&lt;0,"Loss","Flat"))</f>
        <v>Loss</v>
      </c>
      <c r="AA870" s="29" t="n">
        <f aca="false">ROUND((C870-B870)*1440,1)</f>
        <v>8</v>
      </c>
      <c r="AB870" s="29" t="str">
        <f aca="false">IF(AA870&lt;1,"a) &lt;1 min",IF(AA870&lt;10,"b) 1-10 min",IF(AA870&lt;60,"c) 10-60 min",IF(AA870&lt;240,"d) 1-4 h","e) 4 h+"))))</f>
        <v>b) 1-10 min</v>
      </c>
      <c r="AC870" s="29" t="str">
        <f aca="false">IF(P870&lt;10,"a) &lt;10",IF(P870&lt;20,"b) 10-20",IF(P870&lt;40,"c) 20-40",IF(P870&lt;80,"d) 40-80","e) 80+"))))</f>
        <v>c) 20-40</v>
      </c>
      <c r="AD870" s="31" t="n">
        <f aca="false">Summary!$C$5+SUM(X$2:X870)</f>
        <v>19469.95</v>
      </c>
      <c r="AE870" s="31" t="n">
        <f aca="false">MAX(AE869,AD870)</f>
        <v>19615.99</v>
      </c>
      <c r="AF870" s="31" t="n">
        <f aca="false">AE870-AD870</f>
        <v>146.039999999997</v>
      </c>
      <c r="AG870" s="30" t="n">
        <f aca="false">IFERROR(AF870/AE870,0)</f>
        <v>0.00744494669909585</v>
      </c>
    </row>
    <row r="871" customFormat="false" ht="15" hidden="false" customHeight="false" outlineLevel="0" collapsed="false">
      <c r="A871" s="29" t="n">
        <v>870</v>
      </c>
      <c r="B871" s="44" t="n">
        <v>45901.38125</v>
      </c>
      <c r="C871" s="44" t="n">
        <v>45901.3948611111</v>
      </c>
      <c r="D871" s="43" t="n">
        <f aca="false">INT(C871)</f>
        <v>45901</v>
      </c>
      <c r="E871" s="43" t="n">
        <f aca="false">D871-WEEKDAY(D871,3)</f>
        <v>45901</v>
      </c>
      <c r="F871" s="29" t="s">
        <v>185</v>
      </c>
      <c r="G871" s="29" t="n">
        <v>2025</v>
      </c>
      <c r="H871" s="29" t="s">
        <v>245</v>
      </c>
      <c r="I871" s="29" t="n">
        <v>9</v>
      </c>
      <c r="J871" s="29" t="s">
        <v>250</v>
      </c>
      <c r="K871" s="29" t="s">
        <v>251</v>
      </c>
      <c r="L871" s="29" t="n">
        <v>0.04</v>
      </c>
      <c r="M871" s="32" t="n">
        <v>23349.52</v>
      </c>
      <c r="N871" s="32" t="n">
        <v>23357.71</v>
      </c>
      <c r="O871" s="32" t="n">
        <v>23329.45</v>
      </c>
      <c r="P871" s="45" t="n">
        <f aca="false">ABS(M871-N871)</f>
        <v>8.18999999999869</v>
      </c>
      <c r="Q871" s="45" t="n">
        <f aca="false">IF(O871="","",ABS(O871-M871))</f>
        <v>20.0699999999997</v>
      </c>
      <c r="R871" s="31" t="n">
        <f aca="false">P871*L871*Summary!$C$6</f>
        <v>32.7599999999948</v>
      </c>
      <c r="S871" s="32" t="n">
        <v>23329.22</v>
      </c>
      <c r="T871" s="29" t="s">
        <v>227</v>
      </c>
      <c r="U871" s="45" t="n">
        <f aca="false">IF(J871="BUY",S871-M871,M871-S871)</f>
        <v>20.2999999999993</v>
      </c>
      <c r="V871" s="46" t="n">
        <v>0</v>
      </c>
      <c r="W871" s="46" t="n">
        <v>0</v>
      </c>
      <c r="X871" s="46" t="n">
        <v>81.2</v>
      </c>
      <c r="Y871" s="33" t="n">
        <f aca="false">IFERROR(X871/R871,0)</f>
        <v>2.47863247863288</v>
      </c>
      <c r="Z871" s="29" t="str">
        <f aca="false">IF(X871&gt;0,"Win",IF(X871&lt;0,"Loss","Flat"))</f>
        <v>Win</v>
      </c>
      <c r="AA871" s="29" t="n">
        <f aca="false">ROUND((C871-B871)*1440,1)</f>
        <v>19.6</v>
      </c>
      <c r="AB871" s="29" t="str">
        <f aca="false">IF(AA871&lt;1,"a) &lt;1 min",IF(AA871&lt;10,"b) 1-10 min",IF(AA871&lt;60,"c) 10-60 min",IF(AA871&lt;240,"d) 1-4 h","e) 4 h+"))))</f>
        <v>c) 10-60 min</v>
      </c>
      <c r="AC871" s="29" t="str">
        <f aca="false">IF(P871&lt;10,"a) &lt;10",IF(P871&lt;20,"b) 10-20",IF(P871&lt;40,"c) 20-40",IF(P871&lt;80,"d) 40-80","e) 80+"))))</f>
        <v>a) &lt;10</v>
      </c>
      <c r="AD871" s="31" t="n">
        <f aca="false">Summary!$C$5+SUM(X$2:X871)</f>
        <v>19551.15</v>
      </c>
      <c r="AE871" s="31" t="n">
        <f aca="false">MAX(AE870,AD871)</f>
        <v>19615.99</v>
      </c>
      <c r="AF871" s="31" t="n">
        <f aca="false">AE871-AD871</f>
        <v>64.8399999999965</v>
      </c>
      <c r="AG871" s="30" t="n">
        <f aca="false">IFERROR(AF871/AE871,0)</f>
        <v>0.00330546661167734</v>
      </c>
    </row>
    <row r="872" customFormat="false" ht="15" hidden="false" customHeight="false" outlineLevel="0" collapsed="false">
      <c r="A872" s="29" t="n">
        <v>871</v>
      </c>
      <c r="B872" s="44" t="n">
        <v>45902.4458333333</v>
      </c>
      <c r="C872" s="44" t="n">
        <v>45902.4495138889</v>
      </c>
      <c r="D872" s="43" t="n">
        <f aca="false">INT(C872)</f>
        <v>45902</v>
      </c>
      <c r="E872" s="43" t="n">
        <f aca="false">D872-WEEKDAY(D872,3)</f>
        <v>45901</v>
      </c>
      <c r="F872" s="29" t="s">
        <v>185</v>
      </c>
      <c r="G872" s="29" t="n">
        <v>2025</v>
      </c>
      <c r="H872" s="29" t="s">
        <v>248</v>
      </c>
      <c r="I872" s="29" t="n">
        <v>10</v>
      </c>
      <c r="J872" s="29" t="s">
        <v>250</v>
      </c>
      <c r="K872" s="29" t="s">
        <v>251</v>
      </c>
      <c r="L872" s="29" t="n">
        <v>0.04</v>
      </c>
      <c r="M872" s="32" t="n">
        <v>23322.75</v>
      </c>
      <c r="N872" s="32" t="n">
        <v>23331.96</v>
      </c>
      <c r="O872" s="32" t="n">
        <v>23300.18</v>
      </c>
      <c r="P872" s="45" t="n">
        <f aca="false">ABS(M872-N872)</f>
        <v>9.20999999999913</v>
      </c>
      <c r="Q872" s="45" t="n">
        <f aca="false">IF(O872="","",ABS(O872-M872))</f>
        <v>22.5699999999997</v>
      </c>
      <c r="R872" s="31" t="n">
        <f aca="false">P872*L872*Summary!$C$6</f>
        <v>36.8399999999965</v>
      </c>
      <c r="S872" s="32" t="n">
        <v>23299.8</v>
      </c>
      <c r="T872" s="29" t="s">
        <v>227</v>
      </c>
      <c r="U872" s="45" t="n">
        <f aca="false">IF(J872="BUY",S872-M872,M872-S872)</f>
        <v>22.9500000000007</v>
      </c>
      <c r="V872" s="46" t="n">
        <v>0</v>
      </c>
      <c r="W872" s="46" t="n">
        <v>0</v>
      </c>
      <c r="X872" s="46" t="n">
        <v>91.8</v>
      </c>
      <c r="Y872" s="33" t="n">
        <f aca="false">IFERROR(X872/R872,0)</f>
        <v>2.49185667752467</v>
      </c>
      <c r="Z872" s="29" t="str">
        <f aca="false">IF(X872&gt;0,"Win",IF(X872&lt;0,"Loss","Flat"))</f>
        <v>Win</v>
      </c>
      <c r="AA872" s="29" t="n">
        <f aca="false">ROUND((C872-B872)*1440,1)</f>
        <v>5.3</v>
      </c>
      <c r="AB872" s="29" t="str">
        <f aca="false">IF(AA872&lt;1,"a) &lt;1 min",IF(AA872&lt;10,"b) 1-10 min",IF(AA872&lt;60,"c) 10-60 min",IF(AA872&lt;240,"d) 1-4 h","e) 4 h+"))))</f>
        <v>b) 1-10 min</v>
      </c>
      <c r="AC872" s="29" t="str">
        <f aca="false">IF(P872&lt;10,"a) &lt;10",IF(P872&lt;20,"b) 10-20",IF(P872&lt;40,"c) 20-40",IF(P872&lt;80,"d) 40-80","e) 80+"))))</f>
        <v>a) &lt;10</v>
      </c>
      <c r="AD872" s="31" t="n">
        <f aca="false">Summary!$C$5+SUM(X$2:X872)</f>
        <v>19642.95</v>
      </c>
      <c r="AE872" s="31" t="n">
        <f aca="false">MAX(AE871,AD872)</f>
        <v>19642.95</v>
      </c>
      <c r="AF872" s="31" t="n">
        <f aca="false">AE872-AD872</f>
        <v>0</v>
      </c>
      <c r="AG872" s="30" t="n">
        <f aca="false">IFERROR(AF872/AE872,0)</f>
        <v>0</v>
      </c>
    </row>
    <row r="873" customFormat="false" ht="15" hidden="false" customHeight="false" outlineLevel="0" collapsed="false">
      <c r="A873" s="29" t="n">
        <v>872</v>
      </c>
      <c r="B873" s="44" t="n">
        <v>45903.7388888889</v>
      </c>
      <c r="C873" s="44" t="n">
        <v>45903.7402546296</v>
      </c>
      <c r="D873" s="43" t="n">
        <f aca="false">INT(C873)</f>
        <v>45903</v>
      </c>
      <c r="E873" s="43" t="n">
        <f aca="false">D873-WEEKDAY(D873,3)</f>
        <v>45901</v>
      </c>
      <c r="F873" s="29" t="s">
        <v>185</v>
      </c>
      <c r="G873" s="29" t="n">
        <v>2025</v>
      </c>
      <c r="H873" s="29" t="s">
        <v>252</v>
      </c>
      <c r="I873" s="29" t="n">
        <v>17</v>
      </c>
      <c r="J873" s="29" t="s">
        <v>246</v>
      </c>
      <c r="K873" s="29" t="s">
        <v>247</v>
      </c>
      <c r="L873" s="29" t="n">
        <v>0.04</v>
      </c>
      <c r="M873" s="32" t="n">
        <v>23469.4</v>
      </c>
      <c r="N873" s="32" t="n">
        <v>23459.74</v>
      </c>
      <c r="O873" s="32" t="n">
        <v>23498.51</v>
      </c>
      <c r="P873" s="45" t="n">
        <f aca="false">ABS(M873-N873)</f>
        <v>9.65999999999985</v>
      </c>
      <c r="Q873" s="45" t="n">
        <f aca="false">IF(O873="","",ABS(O873-M873))</f>
        <v>29.1099999999969</v>
      </c>
      <c r="R873" s="31" t="n">
        <f aca="false">P873*L873*Summary!$C$6</f>
        <v>38.6399999999994</v>
      </c>
      <c r="S873" s="32" t="n">
        <v>23459.65</v>
      </c>
      <c r="T873" s="29" t="s">
        <v>249</v>
      </c>
      <c r="U873" s="45" t="n">
        <f aca="false">IF(J873="BUY",S873-M873,M873-S873)</f>
        <v>-9.75</v>
      </c>
      <c r="V873" s="46" t="n">
        <v>0</v>
      </c>
      <c r="W873" s="46" t="n">
        <v>0</v>
      </c>
      <c r="X873" s="46" t="n">
        <v>-39</v>
      </c>
      <c r="Y873" s="33" t="n">
        <f aca="false">IFERROR(X873/R873,0)</f>
        <v>-1.00931677018635</v>
      </c>
      <c r="Z873" s="29" t="str">
        <f aca="false">IF(X873&gt;0,"Win",IF(X873&lt;0,"Loss","Flat"))</f>
        <v>Loss</v>
      </c>
      <c r="AA873" s="29" t="n">
        <f aca="false">ROUND((C873-B873)*1440,1)</f>
        <v>2</v>
      </c>
      <c r="AB873" s="29" t="str">
        <f aca="false">IF(AA873&lt;1,"a) &lt;1 min",IF(AA873&lt;10,"b) 1-10 min",IF(AA873&lt;60,"c) 10-60 min",IF(AA873&lt;240,"d) 1-4 h","e) 4 h+"))))</f>
        <v>b) 1-10 min</v>
      </c>
      <c r="AC873" s="29" t="str">
        <f aca="false">IF(P873&lt;10,"a) &lt;10",IF(P873&lt;20,"b) 10-20",IF(P873&lt;40,"c) 20-40",IF(P873&lt;80,"d) 40-80","e) 80+"))))</f>
        <v>a) &lt;10</v>
      </c>
      <c r="AD873" s="31" t="n">
        <f aca="false">Summary!$C$5+SUM(X$2:X873)</f>
        <v>19603.95</v>
      </c>
      <c r="AE873" s="31" t="n">
        <f aca="false">MAX(AE872,AD873)</f>
        <v>19642.95</v>
      </c>
      <c r="AF873" s="31" t="n">
        <f aca="false">AE873-AD873</f>
        <v>39</v>
      </c>
      <c r="AG873" s="30" t="n">
        <f aca="false">IFERROR(AF873/AE873,0)</f>
        <v>0.00198544515971379</v>
      </c>
    </row>
    <row r="874" customFormat="false" ht="15" hidden="false" customHeight="false" outlineLevel="0" collapsed="false">
      <c r="A874" s="29" t="n">
        <v>873</v>
      </c>
      <c r="B874" s="44" t="n">
        <v>45904.2145833333</v>
      </c>
      <c r="C874" s="44" t="n">
        <v>45904.2156018519</v>
      </c>
      <c r="D874" s="43" t="n">
        <f aca="false">INT(C874)</f>
        <v>45904</v>
      </c>
      <c r="E874" s="43" t="n">
        <f aca="false">D874-WEEKDAY(D874,3)</f>
        <v>45901</v>
      </c>
      <c r="F874" s="29" t="s">
        <v>185</v>
      </c>
      <c r="G874" s="29" t="n">
        <v>2025</v>
      </c>
      <c r="H874" s="29" t="s">
        <v>253</v>
      </c>
      <c r="I874" s="29" t="n">
        <v>5</v>
      </c>
      <c r="J874" s="29" t="s">
        <v>246</v>
      </c>
      <c r="K874" s="29" t="s">
        <v>247</v>
      </c>
      <c r="L874" s="29" t="n">
        <v>0.04</v>
      </c>
      <c r="M874" s="32" t="n">
        <v>23486.47</v>
      </c>
      <c r="N874" s="32" t="n">
        <v>23480.14</v>
      </c>
      <c r="O874" s="32" t="n">
        <v>23501.97</v>
      </c>
      <c r="P874" s="45" t="n">
        <f aca="false">ABS(M874-N874)</f>
        <v>6.33000000000175</v>
      </c>
      <c r="Q874" s="45" t="n">
        <f aca="false">IF(O874="","",ABS(O874-M874))</f>
        <v>15.5</v>
      </c>
      <c r="R874" s="31" t="n">
        <f aca="false">P874*L874*Summary!$C$6</f>
        <v>25.320000000007</v>
      </c>
      <c r="S874" s="32" t="n">
        <v>23479.97</v>
      </c>
      <c r="T874" s="29" t="s">
        <v>249</v>
      </c>
      <c r="U874" s="45" t="n">
        <f aca="false">IF(J874="BUY",S874-M874,M874-S874)</f>
        <v>-6.5</v>
      </c>
      <c r="V874" s="46" t="n">
        <v>0</v>
      </c>
      <c r="W874" s="46" t="n">
        <v>0</v>
      </c>
      <c r="X874" s="46" t="n">
        <v>-26</v>
      </c>
      <c r="Y874" s="33" t="n">
        <f aca="false">IFERROR(X874/R874,0)</f>
        <v>-1.0268562401261</v>
      </c>
      <c r="Z874" s="29" t="str">
        <f aca="false">IF(X874&gt;0,"Win",IF(X874&lt;0,"Loss","Flat"))</f>
        <v>Loss</v>
      </c>
      <c r="AA874" s="29" t="n">
        <f aca="false">ROUND((C874-B874)*1440,1)</f>
        <v>1.5</v>
      </c>
      <c r="AB874" s="29" t="str">
        <f aca="false">IF(AA874&lt;1,"a) &lt;1 min",IF(AA874&lt;10,"b) 1-10 min",IF(AA874&lt;60,"c) 10-60 min",IF(AA874&lt;240,"d) 1-4 h","e) 4 h+"))))</f>
        <v>b) 1-10 min</v>
      </c>
      <c r="AC874" s="29" t="str">
        <f aca="false">IF(P874&lt;10,"a) &lt;10",IF(P874&lt;20,"b) 10-20",IF(P874&lt;40,"c) 20-40",IF(P874&lt;80,"d) 40-80","e) 80+"))))</f>
        <v>a) &lt;10</v>
      </c>
      <c r="AD874" s="31" t="n">
        <f aca="false">Summary!$C$5+SUM(X$2:X874)</f>
        <v>19577.95</v>
      </c>
      <c r="AE874" s="31" t="n">
        <f aca="false">MAX(AE873,AD874)</f>
        <v>19642.95</v>
      </c>
      <c r="AF874" s="31" t="n">
        <f aca="false">AE874-AD874</f>
        <v>65</v>
      </c>
      <c r="AG874" s="30" t="n">
        <f aca="false">IFERROR(AF874/AE874,0)</f>
        <v>0.00330907526618965</v>
      </c>
    </row>
    <row r="875" customFormat="false" ht="15" hidden="false" customHeight="false" outlineLevel="0" collapsed="false">
      <c r="A875" s="29" t="n">
        <v>874</v>
      </c>
      <c r="B875" s="44" t="n">
        <v>45905.0423611111</v>
      </c>
      <c r="C875" s="44" t="n">
        <v>45905.0623842593</v>
      </c>
      <c r="D875" s="43" t="n">
        <f aca="false">INT(C875)</f>
        <v>45905</v>
      </c>
      <c r="E875" s="43" t="n">
        <f aca="false">D875-WEEKDAY(D875,3)</f>
        <v>45901</v>
      </c>
      <c r="F875" s="29" t="s">
        <v>185</v>
      </c>
      <c r="G875" s="29" t="n">
        <v>2025</v>
      </c>
      <c r="H875" s="29" t="s">
        <v>254</v>
      </c>
      <c r="I875" s="29" t="n">
        <v>1</v>
      </c>
      <c r="J875" s="29" t="s">
        <v>246</v>
      </c>
      <c r="K875" s="29" t="s">
        <v>247</v>
      </c>
      <c r="L875" s="29" t="n">
        <v>0.04</v>
      </c>
      <c r="M875" s="32" t="n">
        <v>23663.48</v>
      </c>
      <c r="N875" s="32" t="n">
        <v>23651.74</v>
      </c>
      <c r="O875" s="32" t="n">
        <v>23692.24</v>
      </c>
      <c r="P875" s="45" t="n">
        <f aca="false">ABS(M875-N875)</f>
        <v>11.739999999998</v>
      </c>
      <c r="Q875" s="45" t="n">
        <f aca="false">IF(O875="","",ABS(O875-M875))</f>
        <v>28.760000000002</v>
      </c>
      <c r="R875" s="31" t="n">
        <f aca="false">P875*L875*Summary!$C$6</f>
        <v>46.9599999999919</v>
      </c>
      <c r="S875" s="32" t="n">
        <v>23663.18</v>
      </c>
      <c r="T875" s="29" t="s">
        <v>255</v>
      </c>
      <c r="U875" s="45" t="n">
        <f aca="false">IF(J875="BUY",S875-M875,M875-S875)</f>
        <v>-0.299999999999272</v>
      </c>
      <c r="V875" s="46" t="n">
        <v>0</v>
      </c>
      <c r="W875" s="46" t="n">
        <v>0</v>
      </c>
      <c r="X875" s="46" t="n">
        <v>-1.2</v>
      </c>
      <c r="Y875" s="33" t="n">
        <f aca="false">IFERROR(X875/R875,0)</f>
        <v>-0.0255536626916569</v>
      </c>
      <c r="Z875" s="29" t="str">
        <f aca="false">IF(X875&gt;0,"Win",IF(X875&lt;0,"Loss","Flat"))</f>
        <v>Loss</v>
      </c>
      <c r="AA875" s="29" t="n">
        <f aca="false">ROUND((C875-B875)*1440,1)</f>
        <v>28.8</v>
      </c>
      <c r="AB875" s="29" t="str">
        <f aca="false">IF(AA875&lt;1,"a) &lt;1 min",IF(AA875&lt;10,"b) 1-10 min",IF(AA875&lt;60,"c) 10-60 min",IF(AA875&lt;240,"d) 1-4 h","e) 4 h+"))))</f>
        <v>c) 10-60 min</v>
      </c>
      <c r="AC875" s="29" t="str">
        <f aca="false">IF(P875&lt;10,"a) &lt;10",IF(P875&lt;20,"b) 10-20",IF(P875&lt;40,"c) 20-40",IF(P875&lt;80,"d) 40-80","e) 80+"))))</f>
        <v>b) 10-20</v>
      </c>
      <c r="AD875" s="31" t="n">
        <f aca="false">Summary!$C$5+SUM(X$2:X875)</f>
        <v>19576.75</v>
      </c>
      <c r="AE875" s="31" t="n">
        <f aca="false">MAX(AE874,AD875)</f>
        <v>19642.95</v>
      </c>
      <c r="AF875" s="31" t="n">
        <f aca="false">AE875-AD875</f>
        <v>66.2000000000007</v>
      </c>
      <c r="AG875" s="30" t="n">
        <f aca="false">IFERROR(AF875/AE875,0)</f>
        <v>0.00337016588648857</v>
      </c>
    </row>
    <row r="876" customFormat="false" ht="15" hidden="false" customHeight="false" outlineLevel="0" collapsed="false">
      <c r="A876" s="29" t="n">
        <v>875</v>
      </c>
      <c r="B876" s="44" t="n">
        <v>45909.9555555556</v>
      </c>
      <c r="C876" s="44" t="n">
        <v>45909.9559027778</v>
      </c>
      <c r="D876" s="43" t="n">
        <f aca="false">INT(C876)</f>
        <v>45909</v>
      </c>
      <c r="E876" s="43" t="n">
        <f aca="false">D876-WEEKDAY(D876,3)</f>
        <v>45908</v>
      </c>
      <c r="F876" s="29" t="s">
        <v>185</v>
      </c>
      <c r="G876" s="29" t="n">
        <v>2025</v>
      </c>
      <c r="H876" s="29" t="s">
        <v>248</v>
      </c>
      <c r="I876" s="29" t="n">
        <v>22</v>
      </c>
      <c r="J876" s="29" t="s">
        <v>246</v>
      </c>
      <c r="K876" s="29" t="s">
        <v>247</v>
      </c>
      <c r="L876" s="29" t="n">
        <v>0.04</v>
      </c>
      <c r="M876" s="32" t="n">
        <v>23851.84</v>
      </c>
      <c r="N876" s="32" t="n">
        <v>23843.09</v>
      </c>
      <c r="O876" s="32" t="n">
        <v>23876.56</v>
      </c>
      <c r="P876" s="45" t="n">
        <f aca="false">ABS(M876-N876)</f>
        <v>8.75</v>
      </c>
      <c r="Q876" s="45" t="n">
        <f aca="false">IF(O876="","",ABS(O876-M876))</f>
        <v>24.7200000000012</v>
      </c>
      <c r="R876" s="31" t="n">
        <f aca="false">P876*L876*Summary!$C$6</f>
        <v>35</v>
      </c>
      <c r="S876" s="32" t="n">
        <v>23842.37</v>
      </c>
      <c r="T876" s="29" t="s">
        <v>249</v>
      </c>
      <c r="U876" s="45" t="n">
        <f aca="false">IF(J876="BUY",S876-M876,M876-S876)</f>
        <v>-9.47000000000116</v>
      </c>
      <c r="V876" s="46" t="n">
        <v>0</v>
      </c>
      <c r="W876" s="46" t="n">
        <v>0</v>
      </c>
      <c r="X876" s="46" t="n">
        <v>-37.88</v>
      </c>
      <c r="Y876" s="33" t="n">
        <f aca="false">IFERROR(X876/R876,0)</f>
        <v>-1.08228571428571</v>
      </c>
      <c r="Z876" s="29" t="str">
        <f aca="false">IF(X876&gt;0,"Win",IF(X876&lt;0,"Loss","Flat"))</f>
        <v>Loss</v>
      </c>
      <c r="AA876" s="29" t="n">
        <f aca="false">ROUND((C876-B876)*1440,1)</f>
        <v>0.5</v>
      </c>
      <c r="AB876" s="29" t="str">
        <f aca="false">IF(AA876&lt;1,"a) &lt;1 min",IF(AA876&lt;10,"b) 1-10 min",IF(AA876&lt;60,"c) 10-60 min",IF(AA876&lt;240,"d) 1-4 h","e) 4 h+"))))</f>
        <v>a) &lt;1 min</v>
      </c>
      <c r="AC876" s="29" t="str">
        <f aca="false">IF(P876&lt;10,"a) &lt;10",IF(P876&lt;20,"b) 10-20",IF(P876&lt;40,"c) 20-40",IF(P876&lt;80,"d) 40-80","e) 80+"))))</f>
        <v>a) &lt;10</v>
      </c>
      <c r="AD876" s="31" t="n">
        <f aca="false">Summary!$C$5+SUM(X$2:X876)</f>
        <v>19538.87</v>
      </c>
      <c r="AE876" s="31" t="n">
        <f aca="false">MAX(AE875,AD876)</f>
        <v>19642.95</v>
      </c>
      <c r="AF876" s="31" t="n">
        <f aca="false">AE876-AD876</f>
        <v>104.079999999998</v>
      </c>
      <c r="AG876" s="30" t="n">
        <f aca="false">IFERROR(AF876/AE876,0)</f>
        <v>0.00529859313392327</v>
      </c>
    </row>
    <row r="877" customFormat="false" ht="15" hidden="false" customHeight="false" outlineLevel="0" collapsed="false">
      <c r="A877" s="29" t="n">
        <v>876</v>
      </c>
      <c r="B877" s="44" t="n">
        <v>45910.0423611111</v>
      </c>
      <c r="C877" s="44" t="n">
        <v>45910.0444212963</v>
      </c>
      <c r="D877" s="43" t="n">
        <f aca="false">INT(C877)</f>
        <v>45910</v>
      </c>
      <c r="E877" s="43" t="n">
        <f aca="false">D877-WEEKDAY(D877,3)</f>
        <v>45908</v>
      </c>
      <c r="F877" s="29" t="s">
        <v>185</v>
      </c>
      <c r="G877" s="29" t="n">
        <v>2025</v>
      </c>
      <c r="H877" s="29" t="s">
        <v>252</v>
      </c>
      <c r="I877" s="29" t="n">
        <v>1</v>
      </c>
      <c r="J877" s="29" t="s">
        <v>246</v>
      </c>
      <c r="K877" s="29" t="s">
        <v>247</v>
      </c>
      <c r="L877" s="29" t="n">
        <v>0.04</v>
      </c>
      <c r="M877" s="32" t="n">
        <v>23873.97</v>
      </c>
      <c r="N877" s="32" t="n">
        <v>23863.88</v>
      </c>
      <c r="O877" s="32" t="n">
        <v>23900.45</v>
      </c>
      <c r="P877" s="45" t="n">
        <f aca="false">ABS(M877-N877)</f>
        <v>10.0900000000001</v>
      </c>
      <c r="Q877" s="45" t="n">
        <f aca="false">IF(O877="","",ABS(O877-M877))</f>
        <v>26.4799999999996</v>
      </c>
      <c r="R877" s="31" t="n">
        <f aca="false">P877*L877*Summary!$C$6</f>
        <v>40.3600000000006</v>
      </c>
      <c r="S877" s="32" t="n">
        <v>23863.39</v>
      </c>
      <c r="T877" s="29" t="s">
        <v>249</v>
      </c>
      <c r="U877" s="45" t="n">
        <f aca="false">IF(J877="BUY",S877-M877,M877-S877)</f>
        <v>-10.5800000000017</v>
      </c>
      <c r="V877" s="46" t="n">
        <v>0</v>
      </c>
      <c r="W877" s="46" t="n">
        <v>0</v>
      </c>
      <c r="X877" s="46" t="n">
        <v>-42.32</v>
      </c>
      <c r="Y877" s="33" t="n">
        <f aca="false">IFERROR(X877/R877,0)</f>
        <v>-1.04856293359761</v>
      </c>
      <c r="Z877" s="29" t="str">
        <f aca="false">IF(X877&gt;0,"Win",IF(X877&lt;0,"Loss","Flat"))</f>
        <v>Loss</v>
      </c>
      <c r="AA877" s="29" t="n">
        <f aca="false">ROUND((C877-B877)*1440,1)</f>
        <v>3</v>
      </c>
      <c r="AB877" s="29" t="str">
        <f aca="false">IF(AA877&lt;1,"a) &lt;1 min",IF(AA877&lt;10,"b) 1-10 min",IF(AA877&lt;60,"c) 10-60 min",IF(AA877&lt;240,"d) 1-4 h","e) 4 h+"))))</f>
        <v>b) 1-10 min</v>
      </c>
      <c r="AC877" s="29" t="str">
        <f aca="false">IF(P877&lt;10,"a) &lt;10",IF(P877&lt;20,"b) 10-20",IF(P877&lt;40,"c) 20-40",IF(P877&lt;80,"d) 40-80","e) 80+"))))</f>
        <v>b) 10-20</v>
      </c>
      <c r="AD877" s="31" t="n">
        <f aca="false">Summary!$C$5+SUM(X$2:X877)</f>
        <v>19496.55</v>
      </c>
      <c r="AE877" s="31" t="n">
        <f aca="false">MAX(AE876,AD877)</f>
        <v>19642.95</v>
      </c>
      <c r="AF877" s="31" t="n">
        <f aca="false">AE877-AD877</f>
        <v>146.400000000001</v>
      </c>
      <c r="AG877" s="30" t="n">
        <f aca="false">IFERROR(AF877/AE877,0)</f>
        <v>0.00745305567646415</v>
      </c>
    </row>
    <row r="878" customFormat="false" ht="15" hidden="false" customHeight="false" outlineLevel="0" collapsed="false">
      <c r="A878" s="29" t="n">
        <v>877</v>
      </c>
      <c r="B878" s="44" t="n">
        <v>45911.7631944444</v>
      </c>
      <c r="C878" s="44" t="n">
        <v>45911.7651736111</v>
      </c>
      <c r="D878" s="43" t="n">
        <f aca="false">INT(C878)</f>
        <v>45911</v>
      </c>
      <c r="E878" s="43" t="n">
        <f aca="false">D878-WEEKDAY(D878,3)</f>
        <v>45908</v>
      </c>
      <c r="F878" s="29" t="s">
        <v>185</v>
      </c>
      <c r="G878" s="29" t="n">
        <v>2025</v>
      </c>
      <c r="H878" s="29" t="s">
        <v>253</v>
      </c>
      <c r="I878" s="29" t="n">
        <v>18</v>
      </c>
      <c r="J878" s="29" t="s">
        <v>246</v>
      </c>
      <c r="K878" s="29" t="s">
        <v>247</v>
      </c>
      <c r="L878" s="29" t="n">
        <v>0.04</v>
      </c>
      <c r="M878" s="32" t="n">
        <v>24012.32</v>
      </c>
      <c r="N878" s="32" t="n">
        <v>24003.93</v>
      </c>
      <c r="O878" s="32" t="n">
        <v>24033.88</v>
      </c>
      <c r="P878" s="45" t="n">
        <f aca="false">ABS(M878-N878)</f>
        <v>8.38999999999942</v>
      </c>
      <c r="Q878" s="45" t="n">
        <f aca="false">IF(O878="","",ABS(O878-M878))</f>
        <v>21.5600000000013</v>
      </c>
      <c r="R878" s="31" t="n">
        <f aca="false">P878*L878*Summary!$C$6</f>
        <v>33.5599999999977</v>
      </c>
      <c r="S878" s="32" t="n">
        <v>24002.69</v>
      </c>
      <c r="T878" s="29" t="s">
        <v>249</v>
      </c>
      <c r="U878" s="45" t="n">
        <f aca="false">IF(J878="BUY",S878-M878,M878-S878)</f>
        <v>-9.63000000000102</v>
      </c>
      <c r="V878" s="46" t="n">
        <v>0</v>
      </c>
      <c r="W878" s="46" t="n">
        <v>0</v>
      </c>
      <c r="X878" s="46" t="n">
        <v>-38.52</v>
      </c>
      <c r="Y878" s="33" t="n">
        <f aca="false">IFERROR(X878/R878,0)</f>
        <v>-1.1477949940406</v>
      </c>
      <c r="Z878" s="29" t="str">
        <f aca="false">IF(X878&gt;0,"Win",IF(X878&lt;0,"Loss","Flat"))</f>
        <v>Loss</v>
      </c>
      <c r="AA878" s="29" t="n">
        <f aca="false">ROUND((C878-B878)*1440,1)</f>
        <v>2.9</v>
      </c>
      <c r="AB878" s="29" t="str">
        <f aca="false">IF(AA878&lt;1,"a) &lt;1 min",IF(AA878&lt;10,"b) 1-10 min",IF(AA878&lt;60,"c) 10-60 min",IF(AA878&lt;240,"d) 1-4 h","e) 4 h+"))))</f>
        <v>b) 1-10 min</v>
      </c>
      <c r="AC878" s="29" t="str">
        <f aca="false">IF(P878&lt;10,"a) &lt;10",IF(P878&lt;20,"b) 10-20",IF(P878&lt;40,"c) 20-40",IF(P878&lt;80,"d) 40-80","e) 80+"))))</f>
        <v>a) &lt;10</v>
      </c>
      <c r="AD878" s="31" t="n">
        <f aca="false">Summary!$C$5+SUM(X$2:X878)</f>
        <v>19458.03</v>
      </c>
      <c r="AE878" s="31" t="n">
        <f aca="false">MAX(AE877,AD878)</f>
        <v>19642.95</v>
      </c>
      <c r="AF878" s="31" t="n">
        <f aca="false">AE878-AD878</f>
        <v>184.920000000002</v>
      </c>
      <c r="AG878" s="30" t="n">
        <f aca="false">IFERROR(AF878/AE878,0)</f>
        <v>0.00941406458805841</v>
      </c>
    </row>
    <row r="879" customFormat="false" ht="15" hidden="false" customHeight="false" outlineLevel="0" collapsed="false">
      <c r="A879" s="29" t="n">
        <v>878</v>
      </c>
      <c r="B879" s="44" t="n">
        <v>45912.3666666667</v>
      </c>
      <c r="C879" s="44" t="n">
        <v>45912.3673032407</v>
      </c>
      <c r="D879" s="43" t="n">
        <f aca="false">INT(C879)</f>
        <v>45912</v>
      </c>
      <c r="E879" s="43" t="n">
        <f aca="false">D879-WEEKDAY(D879,3)</f>
        <v>45908</v>
      </c>
      <c r="F879" s="29" t="s">
        <v>185</v>
      </c>
      <c r="G879" s="29" t="n">
        <v>2025</v>
      </c>
      <c r="H879" s="29" t="s">
        <v>254</v>
      </c>
      <c r="I879" s="29" t="n">
        <v>8</v>
      </c>
      <c r="J879" s="29" t="s">
        <v>246</v>
      </c>
      <c r="K879" s="29" t="s">
        <v>247</v>
      </c>
      <c r="L879" s="29" t="n">
        <v>0.04</v>
      </c>
      <c r="M879" s="32" t="n">
        <v>24019.4</v>
      </c>
      <c r="N879" s="32" t="n">
        <v>24016.91</v>
      </c>
      <c r="O879" s="32" t="n">
        <v>24025.5</v>
      </c>
      <c r="P879" s="45" t="n">
        <f aca="false">ABS(M879-N879)</f>
        <v>2.4900000000016</v>
      </c>
      <c r="Q879" s="45" t="n">
        <f aca="false">IF(O879="","",ABS(O879-M879))</f>
        <v>6.09999999999855</v>
      </c>
      <c r="R879" s="31" t="n">
        <f aca="false">P879*L879*Summary!$C$6</f>
        <v>9.9600000000064</v>
      </c>
      <c r="S879" s="32" t="n">
        <v>24016.87</v>
      </c>
      <c r="T879" s="29" t="s">
        <v>249</v>
      </c>
      <c r="U879" s="45" t="n">
        <f aca="false">IF(J879="BUY",S879-M879,M879-S879)</f>
        <v>-2.53000000000247</v>
      </c>
      <c r="V879" s="46" t="n">
        <v>0</v>
      </c>
      <c r="W879" s="46" t="n">
        <v>0</v>
      </c>
      <c r="X879" s="46" t="n">
        <v>-10.12</v>
      </c>
      <c r="Y879" s="33" t="n">
        <f aca="false">IFERROR(X879/R879,0)</f>
        <v>-1.01606425702746</v>
      </c>
      <c r="Z879" s="29" t="str">
        <f aca="false">IF(X879&gt;0,"Win",IF(X879&lt;0,"Loss","Flat"))</f>
        <v>Loss</v>
      </c>
      <c r="AA879" s="29" t="n">
        <f aca="false">ROUND((C879-B879)*1440,1)</f>
        <v>0.9</v>
      </c>
      <c r="AB879" s="29" t="str">
        <f aca="false">IF(AA879&lt;1,"a) &lt;1 min",IF(AA879&lt;10,"b) 1-10 min",IF(AA879&lt;60,"c) 10-60 min",IF(AA879&lt;240,"d) 1-4 h","e) 4 h+"))))</f>
        <v>a) &lt;1 min</v>
      </c>
      <c r="AC879" s="29" t="str">
        <f aca="false">IF(P879&lt;10,"a) &lt;10",IF(P879&lt;20,"b) 10-20",IF(P879&lt;40,"c) 20-40",IF(P879&lt;80,"d) 40-80","e) 80+"))))</f>
        <v>a) &lt;10</v>
      </c>
      <c r="AD879" s="31" t="n">
        <f aca="false">Summary!$C$5+SUM(X$2:X879)</f>
        <v>19447.91</v>
      </c>
      <c r="AE879" s="31" t="n">
        <f aca="false">MAX(AE878,AD879)</f>
        <v>19642.95</v>
      </c>
      <c r="AF879" s="31" t="n">
        <f aca="false">AE879-AD879</f>
        <v>195.040000000001</v>
      </c>
      <c r="AG879" s="30" t="n">
        <f aca="false">IFERROR(AF879/AE879,0)</f>
        <v>0.00992926215257896</v>
      </c>
    </row>
    <row r="880" customFormat="false" ht="15" hidden="false" customHeight="false" outlineLevel="0" collapsed="false">
      <c r="A880" s="29" t="n">
        <v>879</v>
      </c>
      <c r="B880" s="44" t="n">
        <v>45915.4423611111</v>
      </c>
      <c r="C880" s="44" t="n">
        <v>45915.4437152778</v>
      </c>
      <c r="D880" s="43" t="n">
        <f aca="false">INT(C880)</f>
        <v>45915</v>
      </c>
      <c r="E880" s="43" t="n">
        <f aca="false">D880-WEEKDAY(D880,3)</f>
        <v>45915</v>
      </c>
      <c r="F880" s="29" t="s">
        <v>185</v>
      </c>
      <c r="G880" s="29" t="n">
        <v>2025</v>
      </c>
      <c r="H880" s="29" t="s">
        <v>245</v>
      </c>
      <c r="I880" s="29" t="n">
        <v>10</v>
      </c>
      <c r="J880" s="29" t="s">
        <v>246</v>
      </c>
      <c r="K880" s="29" t="s">
        <v>247</v>
      </c>
      <c r="L880" s="29" t="n">
        <v>0.04</v>
      </c>
      <c r="M880" s="32" t="n">
        <v>24136.27</v>
      </c>
      <c r="N880" s="32" t="n">
        <v>24132.67</v>
      </c>
      <c r="O880" s="32" t="n">
        <v>24145.09</v>
      </c>
      <c r="P880" s="45" t="n">
        <f aca="false">ABS(M880-N880)</f>
        <v>3.60000000000218</v>
      </c>
      <c r="Q880" s="45" t="n">
        <f aca="false">IF(O880="","",ABS(O880-M880))</f>
        <v>8.81999999999971</v>
      </c>
      <c r="R880" s="31" t="n">
        <f aca="false">P880*L880*Summary!$C$6</f>
        <v>14.4000000000087</v>
      </c>
      <c r="S880" s="32" t="n">
        <v>24132.37</v>
      </c>
      <c r="T880" s="29" t="s">
        <v>249</v>
      </c>
      <c r="U880" s="45" t="n">
        <f aca="false">IF(J880="BUY",S880-M880,M880-S880)</f>
        <v>-3.90000000000146</v>
      </c>
      <c r="V880" s="46" t="n">
        <v>0</v>
      </c>
      <c r="W880" s="46" t="n">
        <v>0</v>
      </c>
      <c r="X880" s="46" t="n">
        <v>-15.6</v>
      </c>
      <c r="Y880" s="33" t="n">
        <f aca="false">IFERROR(X880/R880,0)</f>
        <v>-1.08333333333268</v>
      </c>
      <c r="Z880" s="29" t="str">
        <f aca="false">IF(X880&gt;0,"Win",IF(X880&lt;0,"Loss","Flat"))</f>
        <v>Loss</v>
      </c>
      <c r="AA880" s="29" t="n">
        <f aca="false">ROUND((C880-B880)*1440,1)</f>
        <v>2</v>
      </c>
      <c r="AB880" s="29" t="str">
        <f aca="false">IF(AA880&lt;1,"a) &lt;1 min",IF(AA880&lt;10,"b) 1-10 min",IF(AA880&lt;60,"c) 10-60 min",IF(AA880&lt;240,"d) 1-4 h","e) 4 h+"))))</f>
        <v>b) 1-10 min</v>
      </c>
      <c r="AC880" s="29" t="str">
        <f aca="false">IF(P880&lt;10,"a) &lt;10",IF(P880&lt;20,"b) 10-20",IF(P880&lt;40,"c) 20-40",IF(P880&lt;80,"d) 40-80","e) 80+"))))</f>
        <v>a) &lt;10</v>
      </c>
      <c r="AD880" s="31" t="n">
        <f aca="false">Summary!$C$5+SUM(X$2:X880)</f>
        <v>19432.31</v>
      </c>
      <c r="AE880" s="31" t="n">
        <f aca="false">MAX(AE879,AD880)</f>
        <v>19642.95</v>
      </c>
      <c r="AF880" s="31" t="n">
        <f aca="false">AE880-AD880</f>
        <v>210.640000000003</v>
      </c>
      <c r="AG880" s="30" t="n">
        <f aca="false">IFERROR(AF880/AE880,0)</f>
        <v>0.0107234402164646</v>
      </c>
    </row>
    <row r="881" customFormat="false" ht="15" hidden="false" customHeight="false" outlineLevel="0" collapsed="false">
      <c r="A881" s="29" t="n">
        <v>880</v>
      </c>
      <c r="B881" s="44" t="n">
        <v>45916.1944444445</v>
      </c>
      <c r="C881" s="44" t="n">
        <v>45916.1946875</v>
      </c>
      <c r="D881" s="43" t="n">
        <f aca="false">INT(C881)</f>
        <v>45916</v>
      </c>
      <c r="E881" s="43" t="n">
        <f aca="false">D881-WEEKDAY(D881,3)</f>
        <v>45915</v>
      </c>
      <c r="F881" s="29" t="s">
        <v>185</v>
      </c>
      <c r="G881" s="29" t="n">
        <v>2025</v>
      </c>
      <c r="H881" s="29" t="s">
        <v>248</v>
      </c>
      <c r="I881" s="29" t="n">
        <v>4</v>
      </c>
      <c r="J881" s="29" t="s">
        <v>246</v>
      </c>
      <c r="K881" s="29" t="s">
        <v>247</v>
      </c>
      <c r="L881" s="29" t="n">
        <v>0.03</v>
      </c>
      <c r="M881" s="32" t="n">
        <v>24296.52</v>
      </c>
      <c r="N881" s="32" t="n">
        <v>24294.43</v>
      </c>
      <c r="O881" s="32" t="n">
        <v>24301.03</v>
      </c>
      <c r="P881" s="45" t="n">
        <f aca="false">ABS(M881-N881)</f>
        <v>2.09000000000015</v>
      </c>
      <c r="Q881" s="45" t="n">
        <f aca="false">IF(O881="","",ABS(O881-M881))</f>
        <v>4.5099999999984</v>
      </c>
      <c r="R881" s="31" t="n">
        <f aca="false">P881*L881*Summary!$C$6</f>
        <v>6.27000000000044</v>
      </c>
      <c r="S881" s="32" t="n">
        <v>24296.13</v>
      </c>
      <c r="T881" s="29" t="s">
        <v>255</v>
      </c>
      <c r="U881" s="45" t="n">
        <f aca="false">IF(J881="BUY",S881-M881,M881-S881)</f>
        <v>-0.389999999999418</v>
      </c>
      <c r="V881" s="46" t="n">
        <v>0</v>
      </c>
      <c r="W881" s="46" t="n">
        <v>0</v>
      </c>
      <c r="X881" s="46" t="n">
        <v>-1.17</v>
      </c>
      <c r="Y881" s="33" t="n">
        <f aca="false">IFERROR(X881/R881,0)</f>
        <v>-0.186602870813384</v>
      </c>
      <c r="Z881" s="29" t="str">
        <f aca="false">IF(X881&gt;0,"Win",IF(X881&lt;0,"Loss","Flat"))</f>
        <v>Loss</v>
      </c>
      <c r="AA881" s="29" t="n">
        <f aca="false">ROUND((C881-B881)*1440,1)</f>
        <v>0.4</v>
      </c>
      <c r="AB881" s="29" t="str">
        <f aca="false">IF(AA881&lt;1,"a) &lt;1 min",IF(AA881&lt;10,"b) 1-10 min",IF(AA881&lt;60,"c) 10-60 min",IF(AA881&lt;240,"d) 1-4 h","e) 4 h+"))))</f>
        <v>a) &lt;1 min</v>
      </c>
      <c r="AC881" s="29" t="str">
        <f aca="false">IF(P881&lt;10,"a) &lt;10",IF(P881&lt;20,"b) 10-20",IF(P881&lt;40,"c) 20-40",IF(P881&lt;80,"d) 40-80","e) 80+"))))</f>
        <v>a) &lt;10</v>
      </c>
      <c r="AD881" s="31" t="n">
        <f aca="false">Summary!$C$5+SUM(X$2:X881)</f>
        <v>19431.14</v>
      </c>
      <c r="AE881" s="31" t="n">
        <f aca="false">MAX(AE880,AD881)</f>
        <v>19642.95</v>
      </c>
      <c r="AF881" s="31" t="n">
        <f aca="false">AE881-AD881</f>
        <v>211.810000000001</v>
      </c>
      <c r="AG881" s="30" t="n">
        <f aca="false">IFERROR(AF881/AE881,0)</f>
        <v>0.0107830035712559</v>
      </c>
    </row>
    <row r="882" customFormat="false" ht="15" hidden="false" customHeight="false" outlineLevel="0" collapsed="false">
      <c r="A882" s="29" t="n">
        <v>881</v>
      </c>
      <c r="B882" s="44" t="n">
        <v>45917.4833333333</v>
      </c>
      <c r="C882" s="44" t="n">
        <v>45917.4846990741</v>
      </c>
      <c r="D882" s="43" t="n">
        <f aca="false">INT(C882)</f>
        <v>45917</v>
      </c>
      <c r="E882" s="43" t="n">
        <f aca="false">D882-WEEKDAY(D882,3)</f>
        <v>45915</v>
      </c>
      <c r="F882" s="29" t="s">
        <v>185</v>
      </c>
      <c r="G882" s="29" t="n">
        <v>2025</v>
      </c>
      <c r="H882" s="29" t="s">
        <v>252</v>
      </c>
      <c r="I882" s="29" t="n">
        <v>11</v>
      </c>
      <c r="J882" s="29" t="s">
        <v>250</v>
      </c>
      <c r="K882" s="29" t="s">
        <v>251</v>
      </c>
      <c r="L882" s="29" t="n">
        <v>0.04</v>
      </c>
      <c r="M882" s="32" t="n">
        <v>24229.02</v>
      </c>
      <c r="N882" s="32" t="n">
        <v>24242.85</v>
      </c>
      <c r="O882" s="32" t="n">
        <v>24196.9</v>
      </c>
      <c r="P882" s="45" t="n">
        <f aca="false">ABS(M882-N882)</f>
        <v>13.8299999999981</v>
      </c>
      <c r="Q882" s="45" t="n">
        <f aca="false">IF(O882="","",ABS(O882-M882))</f>
        <v>32.119999999999</v>
      </c>
      <c r="R882" s="31" t="n">
        <f aca="false">P882*L882*Summary!$C$6</f>
        <v>55.3199999999924</v>
      </c>
      <c r="S882" s="32" t="n">
        <v>24242.85</v>
      </c>
      <c r="T882" s="29" t="s">
        <v>249</v>
      </c>
      <c r="U882" s="45" t="n">
        <f aca="false">IF(J882="BUY",S882-M882,M882-S882)</f>
        <v>-13.8299999999981</v>
      </c>
      <c r="V882" s="46" t="n">
        <v>0</v>
      </c>
      <c r="W882" s="46" t="n">
        <v>0</v>
      </c>
      <c r="X882" s="46" t="n">
        <v>-55.32</v>
      </c>
      <c r="Y882" s="33" t="n">
        <f aca="false">IFERROR(X882/R882,0)</f>
        <v>-1.00000000000014</v>
      </c>
      <c r="Z882" s="29" t="str">
        <f aca="false">IF(X882&gt;0,"Win",IF(X882&lt;0,"Loss","Flat"))</f>
        <v>Loss</v>
      </c>
      <c r="AA882" s="29" t="n">
        <f aca="false">ROUND((C882-B882)*1440,1)</f>
        <v>2</v>
      </c>
      <c r="AB882" s="29" t="str">
        <f aca="false">IF(AA882&lt;1,"a) &lt;1 min",IF(AA882&lt;10,"b) 1-10 min",IF(AA882&lt;60,"c) 10-60 min",IF(AA882&lt;240,"d) 1-4 h","e) 4 h+"))))</f>
        <v>b) 1-10 min</v>
      </c>
      <c r="AC882" s="29" t="str">
        <f aca="false">IF(P882&lt;10,"a) &lt;10",IF(P882&lt;20,"b) 10-20",IF(P882&lt;40,"c) 20-40",IF(P882&lt;80,"d) 40-80","e) 80+"))))</f>
        <v>b) 10-20</v>
      </c>
      <c r="AD882" s="31" t="n">
        <f aca="false">Summary!$C$5+SUM(X$2:X882)</f>
        <v>19375.82</v>
      </c>
      <c r="AE882" s="31" t="n">
        <f aca="false">MAX(AE881,AD882)</f>
        <v>19642.95</v>
      </c>
      <c r="AF882" s="31" t="n">
        <f aca="false">AE882-AD882</f>
        <v>267.130000000001</v>
      </c>
      <c r="AG882" s="30" t="n">
        <f aca="false">IFERROR(AF882/AE882,0)</f>
        <v>0.0135992811670345</v>
      </c>
    </row>
    <row r="883" customFormat="false" ht="15" hidden="false" customHeight="false" outlineLevel="0" collapsed="false">
      <c r="A883" s="29" t="n">
        <v>882</v>
      </c>
      <c r="B883" s="44" t="n">
        <v>45918.0756944444</v>
      </c>
      <c r="C883" s="44" t="n">
        <v>45918.0775</v>
      </c>
      <c r="D883" s="43" t="n">
        <f aca="false">INT(C883)</f>
        <v>45918</v>
      </c>
      <c r="E883" s="43" t="n">
        <f aca="false">D883-WEEKDAY(D883,3)</f>
        <v>45915</v>
      </c>
      <c r="F883" s="29" t="s">
        <v>185</v>
      </c>
      <c r="G883" s="29" t="n">
        <v>2025</v>
      </c>
      <c r="H883" s="29" t="s">
        <v>253</v>
      </c>
      <c r="I883" s="29" t="n">
        <v>1</v>
      </c>
      <c r="J883" s="29" t="s">
        <v>246</v>
      </c>
      <c r="K883" s="29" t="s">
        <v>247</v>
      </c>
      <c r="L883" s="29" t="n">
        <v>0.03</v>
      </c>
      <c r="M883" s="32" t="n">
        <v>24305.82</v>
      </c>
      <c r="N883" s="32" t="n">
        <v>24301.35</v>
      </c>
      <c r="O883" s="32" t="n">
        <v>24318.15</v>
      </c>
      <c r="P883" s="45" t="n">
        <f aca="false">ABS(M883-N883)</f>
        <v>4.47000000000116</v>
      </c>
      <c r="Q883" s="45" t="n">
        <f aca="false">IF(O883="","",ABS(O883-M883))</f>
        <v>12.3300000000017</v>
      </c>
      <c r="R883" s="31" t="n">
        <f aca="false">P883*L883*Summary!$C$6</f>
        <v>13.4100000000035</v>
      </c>
      <c r="S883" s="32" t="n">
        <v>24318.39</v>
      </c>
      <c r="T883" s="29" t="s">
        <v>227</v>
      </c>
      <c r="U883" s="45" t="n">
        <f aca="false">IF(J883="BUY",S883-M883,M883-S883)</f>
        <v>12.5699999999997</v>
      </c>
      <c r="V883" s="46" t="n">
        <v>0</v>
      </c>
      <c r="W883" s="46" t="n">
        <v>0</v>
      </c>
      <c r="X883" s="46" t="n">
        <v>37.71</v>
      </c>
      <c r="Y883" s="33" t="n">
        <f aca="false">IFERROR(X883/R883,0)</f>
        <v>2.81208053691202</v>
      </c>
      <c r="Z883" s="29" t="str">
        <f aca="false">IF(X883&gt;0,"Win",IF(X883&lt;0,"Loss","Flat"))</f>
        <v>Win</v>
      </c>
      <c r="AA883" s="29" t="n">
        <f aca="false">ROUND((C883-B883)*1440,1)</f>
        <v>2.6</v>
      </c>
      <c r="AB883" s="29" t="str">
        <f aca="false">IF(AA883&lt;1,"a) &lt;1 min",IF(AA883&lt;10,"b) 1-10 min",IF(AA883&lt;60,"c) 10-60 min",IF(AA883&lt;240,"d) 1-4 h","e) 4 h+"))))</f>
        <v>b) 1-10 min</v>
      </c>
      <c r="AC883" s="29" t="str">
        <f aca="false">IF(P883&lt;10,"a) &lt;10",IF(P883&lt;20,"b) 10-20",IF(P883&lt;40,"c) 20-40",IF(P883&lt;80,"d) 40-80","e) 80+"))))</f>
        <v>a) &lt;10</v>
      </c>
      <c r="AD883" s="31" t="n">
        <f aca="false">Summary!$C$5+SUM(X$2:X883)</f>
        <v>19413.53</v>
      </c>
      <c r="AE883" s="31" t="n">
        <f aca="false">MAX(AE882,AD883)</f>
        <v>19642.95</v>
      </c>
      <c r="AF883" s="31" t="n">
        <f aca="false">AE883-AD883</f>
        <v>229.420000000002</v>
      </c>
      <c r="AG883" s="30" t="n">
        <f aca="false">IFERROR(AF883/AE883,0)</f>
        <v>0.0116795084241421</v>
      </c>
    </row>
    <row r="884" customFormat="false" ht="15" hidden="false" customHeight="false" outlineLevel="0" collapsed="false">
      <c r="A884" s="29" t="n">
        <v>883</v>
      </c>
      <c r="B884" s="44" t="n">
        <v>45919.7034722222</v>
      </c>
      <c r="C884" s="44" t="n">
        <v>45919.7043171296</v>
      </c>
      <c r="D884" s="43" t="n">
        <f aca="false">INT(C884)</f>
        <v>45919</v>
      </c>
      <c r="E884" s="43" t="n">
        <f aca="false">D884-WEEKDAY(D884,3)</f>
        <v>45915</v>
      </c>
      <c r="F884" s="29" t="s">
        <v>185</v>
      </c>
      <c r="G884" s="29" t="n">
        <v>2025</v>
      </c>
      <c r="H884" s="29" t="s">
        <v>254</v>
      </c>
      <c r="I884" s="29" t="n">
        <v>16</v>
      </c>
      <c r="J884" s="29" t="s">
        <v>246</v>
      </c>
      <c r="K884" s="29" t="s">
        <v>247</v>
      </c>
      <c r="L884" s="29" t="n">
        <v>0.03</v>
      </c>
      <c r="M884" s="32" t="n">
        <v>24564.29</v>
      </c>
      <c r="N884" s="32" t="n">
        <v>24546.86</v>
      </c>
      <c r="O884" s="32" t="n">
        <v>24606.44</v>
      </c>
      <c r="P884" s="45" t="n">
        <f aca="false">ABS(M884-N884)</f>
        <v>17.4300000000003</v>
      </c>
      <c r="Q884" s="45" t="n">
        <f aca="false">IF(O884="","",ABS(O884-M884))</f>
        <v>42.1499999999978</v>
      </c>
      <c r="R884" s="31" t="n">
        <f aca="false">P884*L884*Summary!$C$6</f>
        <v>52.2900000000009</v>
      </c>
      <c r="S884" s="32" t="n">
        <v>24546.58</v>
      </c>
      <c r="T884" s="29" t="s">
        <v>249</v>
      </c>
      <c r="U884" s="45" t="n">
        <f aca="false">IF(J884="BUY",S884-M884,M884-S884)</f>
        <v>-17.7099999999991</v>
      </c>
      <c r="V884" s="46" t="n">
        <v>0</v>
      </c>
      <c r="W884" s="46" t="n">
        <v>0</v>
      </c>
      <c r="X884" s="46" t="n">
        <v>-53.13</v>
      </c>
      <c r="Y884" s="33" t="n">
        <f aca="false">IFERROR(X884/R884,0)</f>
        <v>-1.0160642570281</v>
      </c>
      <c r="Z884" s="29" t="str">
        <f aca="false">IF(X884&gt;0,"Win",IF(X884&lt;0,"Loss","Flat"))</f>
        <v>Loss</v>
      </c>
      <c r="AA884" s="29" t="n">
        <f aca="false">ROUND((C884-B884)*1440,1)</f>
        <v>1.2</v>
      </c>
      <c r="AB884" s="29" t="str">
        <f aca="false">IF(AA884&lt;1,"a) &lt;1 min",IF(AA884&lt;10,"b) 1-10 min",IF(AA884&lt;60,"c) 10-60 min",IF(AA884&lt;240,"d) 1-4 h","e) 4 h+"))))</f>
        <v>b) 1-10 min</v>
      </c>
      <c r="AC884" s="29" t="str">
        <f aca="false">IF(P884&lt;10,"a) &lt;10",IF(P884&lt;20,"b) 10-20",IF(P884&lt;40,"c) 20-40",IF(P884&lt;80,"d) 40-80","e) 80+"))))</f>
        <v>b) 10-20</v>
      </c>
      <c r="AD884" s="31" t="n">
        <f aca="false">Summary!$C$5+SUM(X$2:X884)</f>
        <v>19360.4</v>
      </c>
      <c r="AE884" s="31" t="n">
        <f aca="false">MAX(AE883,AD884)</f>
        <v>19642.95</v>
      </c>
      <c r="AF884" s="31" t="n">
        <f aca="false">AE884-AD884</f>
        <v>282.549999999999</v>
      </c>
      <c r="AG884" s="30" t="n">
        <f aca="false">IFERROR(AF884/AE884,0)</f>
        <v>0.0143842956378751</v>
      </c>
    </row>
    <row r="885" customFormat="false" ht="15" hidden="false" customHeight="false" outlineLevel="0" collapsed="false">
      <c r="A885" s="29" t="n">
        <v>884</v>
      </c>
      <c r="B885" s="44" t="n">
        <v>45922.7131944444</v>
      </c>
      <c r="C885" s="44" t="n">
        <v>45922.7154398148</v>
      </c>
      <c r="D885" s="43" t="n">
        <f aca="false">INT(C885)</f>
        <v>45922</v>
      </c>
      <c r="E885" s="43" t="n">
        <f aca="false">D885-WEEKDAY(D885,3)</f>
        <v>45922</v>
      </c>
      <c r="F885" s="29" t="s">
        <v>185</v>
      </c>
      <c r="G885" s="29" t="n">
        <v>2025</v>
      </c>
      <c r="H885" s="29" t="s">
        <v>245</v>
      </c>
      <c r="I885" s="29" t="n">
        <v>17</v>
      </c>
      <c r="J885" s="29" t="s">
        <v>246</v>
      </c>
      <c r="K885" s="29" t="s">
        <v>247</v>
      </c>
      <c r="L885" s="29" t="n">
        <v>0.03</v>
      </c>
      <c r="M885" s="32" t="n">
        <v>24637.88</v>
      </c>
      <c r="N885" s="32" t="n">
        <v>24628.26</v>
      </c>
      <c r="O885" s="32" t="n">
        <v>24659.78</v>
      </c>
      <c r="P885" s="45" t="n">
        <f aca="false">ABS(M885-N885)</f>
        <v>9.62000000000262</v>
      </c>
      <c r="Q885" s="45" t="n">
        <f aca="false">IF(O885="","",ABS(O885-M885))</f>
        <v>21.8999999999978</v>
      </c>
      <c r="R885" s="31" t="n">
        <f aca="false">P885*L885*Summary!$C$6</f>
        <v>28.8600000000079</v>
      </c>
      <c r="S885" s="32" t="n">
        <v>24627.95</v>
      </c>
      <c r="T885" s="29" t="s">
        <v>249</v>
      </c>
      <c r="U885" s="45" t="n">
        <f aca="false">IF(J885="BUY",S885-M885,M885-S885)</f>
        <v>-9.93000000000029</v>
      </c>
      <c r="V885" s="46" t="n">
        <v>0</v>
      </c>
      <c r="W885" s="46" t="n">
        <v>0</v>
      </c>
      <c r="X885" s="46" t="n">
        <v>-29.79</v>
      </c>
      <c r="Y885" s="33" t="n">
        <f aca="false">IFERROR(X885/R885,0)</f>
        <v>-1.03222453222425</v>
      </c>
      <c r="Z885" s="29" t="str">
        <f aca="false">IF(X885&gt;0,"Win",IF(X885&lt;0,"Loss","Flat"))</f>
        <v>Loss</v>
      </c>
      <c r="AA885" s="29" t="n">
        <f aca="false">ROUND((C885-B885)*1440,1)</f>
        <v>3.2</v>
      </c>
      <c r="AB885" s="29" t="str">
        <f aca="false">IF(AA885&lt;1,"a) &lt;1 min",IF(AA885&lt;10,"b) 1-10 min",IF(AA885&lt;60,"c) 10-60 min",IF(AA885&lt;240,"d) 1-4 h","e) 4 h+"))))</f>
        <v>b) 1-10 min</v>
      </c>
      <c r="AC885" s="29" t="str">
        <f aca="false">IF(P885&lt;10,"a) &lt;10",IF(P885&lt;20,"b) 10-20",IF(P885&lt;40,"c) 20-40",IF(P885&lt;80,"d) 40-80","e) 80+"))))</f>
        <v>a) &lt;10</v>
      </c>
      <c r="AD885" s="31" t="n">
        <f aca="false">Summary!$C$5+SUM(X$2:X885)</f>
        <v>19330.61</v>
      </c>
      <c r="AE885" s="31" t="n">
        <f aca="false">MAX(AE884,AD885)</f>
        <v>19642.95</v>
      </c>
      <c r="AF885" s="31" t="n">
        <f aca="false">AE885-AD885</f>
        <v>312.34</v>
      </c>
      <c r="AG885" s="30" t="n">
        <f aca="false">IFERROR(AF885/AE885,0)</f>
        <v>0.015900870286795</v>
      </c>
    </row>
    <row r="886" customFormat="false" ht="15" hidden="false" customHeight="false" outlineLevel="0" collapsed="false">
      <c r="A886" s="29" t="n">
        <v>885</v>
      </c>
      <c r="B886" s="44" t="n">
        <v>45923.4756944445</v>
      </c>
      <c r="C886" s="44" t="n">
        <v>45923.4791898148</v>
      </c>
      <c r="D886" s="43" t="n">
        <f aca="false">INT(C886)</f>
        <v>45923</v>
      </c>
      <c r="E886" s="43" t="n">
        <f aca="false">D886-WEEKDAY(D886,3)</f>
        <v>45922</v>
      </c>
      <c r="F886" s="29" t="s">
        <v>185</v>
      </c>
      <c r="G886" s="29" t="n">
        <v>2025</v>
      </c>
      <c r="H886" s="29" t="s">
        <v>248</v>
      </c>
      <c r="I886" s="29" t="n">
        <v>11</v>
      </c>
      <c r="J886" s="29" t="s">
        <v>246</v>
      </c>
      <c r="K886" s="29" t="s">
        <v>247</v>
      </c>
      <c r="L886" s="29" t="n">
        <v>0.03</v>
      </c>
      <c r="M886" s="32" t="n">
        <v>24782.45</v>
      </c>
      <c r="N886" s="32" t="n">
        <v>24778.86</v>
      </c>
      <c r="O886" s="32" t="n">
        <v>24791.53</v>
      </c>
      <c r="P886" s="45" t="n">
        <f aca="false">ABS(M886-N886)</f>
        <v>3.59000000000015</v>
      </c>
      <c r="Q886" s="45" t="n">
        <f aca="false">IF(O886="","",ABS(O886-M886))</f>
        <v>9.07999999999811</v>
      </c>
      <c r="R886" s="31" t="n">
        <f aca="false">P886*L886*Summary!$C$6</f>
        <v>10.7700000000004</v>
      </c>
      <c r="S886" s="32" t="n">
        <v>24778.75</v>
      </c>
      <c r="T886" s="29" t="s">
        <v>249</v>
      </c>
      <c r="U886" s="45" t="n">
        <f aca="false">IF(J886="BUY",S886-M886,M886-S886)</f>
        <v>-3.70000000000073</v>
      </c>
      <c r="V886" s="46" t="n">
        <v>0</v>
      </c>
      <c r="W886" s="46" t="n">
        <v>0</v>
      </c>
      <c r="X886" s="46" t="n">
        <v>-11.1</v>
      </c>
      <c r="Y886" s="33" t="n">
        <f aca="false">IFERROR(X886/R886,0)</f>
        <v>-1.03064066852364</v>
      </c>
      <c r="Z886" s="29" t="str">
        <f aca="false">IF(X886&gt;0,"Win",IF(X886&lt;0,"Loss","Flat"))</f>
        <v>Loss</v>
      </c>
      <c r="AA886" s="29" t="n">
        <f aca="false">ROUND((C886-B886)*1440,1)</f>
        <v>5</v>
      </c>
      <c r="AB886" s="29" t="str">
        <f aca="false">IF(AA886&lt;1,"a) &lt;1 min",IF(AA886&lt;10,"b) 1-10 min",IF(AA886&lt;60,"c) 10-60 min",IF(AA886&lt;240,"d) 1-4 h","e) 4 h+"))))</f>
        <v>b) 1-10 min</v>
      </c>
      <c r="AC886" s="29" t="str">
        <f aca="false">IF(P886&lt;10,"a) &lt;10",IF(P886&lt;20,"b) 10-20",IF(P886&lt;40,"c) 20-40",IF(P886&lt;80,"d) 40-80","e) 80+"))))</f>
        <v>a) &lt;10</v>
      </c>
      <c r="AD886" s="31" t="n">
        <f aca="false">Summary!$C$5+SUM(X$2:X886)</f>
        <v>19319.51</v>
      </c>
      <c r="AE886" s="31" t="n">
        <f aca="false">MAX(AE885,AD886)</f>
        <v>19642.95</v>
      </c>
      <c r="AF886" s="31" t="n">
        <f aca="false">AE886-AD886</f>
        <v>323.439999999999</v>
      </c>
      <c r="AG886" s="30" t="n">
        <f aca="false">IFERROR(AF886/AE886,0)</f>
        <v>0.0164659585245596</v>
      </c>
    </row>
    <row r="887" customFormat="false" ht="15" hidden="false" customHeight="false" outlineLevel="0" collapsed="false">
      <c r="A887" s="29" t="n">
        <v>886</v>
      </c>
      <c r="B887" s="44" t="n">
        <v>45924.7736111111</v>
      </c>
      <c r="C887" s="44" t="n">
        <v>45924.7758680556</v>
      </c>
      <c r="D887" s="43" t="n">
        <f aca="false">INT(C887)</f>
        <v>45924</v>
      </c>
      <c r="E887" s="43" t="n">
        <f aca="false">D887-WEEKDAY(D887,3)</f>
        <v>45922</v>
      </c>
      <c r="F887" s="29" t="s">
        <v>185</v>
      </c>
      <c r="G887" s="29" t="n">
        <v>2025</v>
      </c>
      <c r="H887" s="29" t="s">
        <v>252</v>
      </c>
      <c r="I887" s="29" t="n">
        <v>18</v>
      </c>
      <c r="J887" s="29" t="s">
        <v>250</v>
      </c>
      <c r="K887" s="29" t="s">
        <v>251</v>
      </c>
      <c r="L887" s="29" t="n">
        <v>0.03</v>
      </c>
      <c r="M887" s="32" t="n">
        <v>24530.85</v>
      </c>
      <c r="N887" s="32" t="n">
        <v>24538.68</v>
      </c>
      <c r="O887" s="32" t="n">
        <v>24511.68</v>
      </c>
      <c r="P887" s="45" t="n">
        <f aca="false">ABS(M887-N887)</f>
        <v>7.83000000000175</v>
      </c>
      <c r="Q887" s="45" t="n">
        <f aca="false">IF(O887="","",ABS(O887-M887))</f>
        <v>19.1699999999983</v>
      </c>
      <c r="R887" s="31" t="n">
        <f aca="false">P887*L887*Summary!$C$6</f>
        <v>23.4900000000052</v>
      </c>
      <c r="S887" s="32" t="n">
        <v>24539.06</v>
      </c>
      <c r="T887" s="29" t="s">
        <v>249</v>
      </c>
      <c r="U887" s="45" t="n">
        <f aca="false">IF(J887="BUY",S887-M887,M887-S887)</f>
        <v>-8.21000000000277</v>
      </c>
      <c r="V887" s="46" t="n">
        <v>0</v>
      </c>
      <c r="W887" s="46" t="n">
        <v>0</v>
      </c>
      <c r="X887" s="46" t="n">
        <v>-24.63</v>
      </c>
      <c r="Y887" s="33" t="n">
        <f aca="false">IFERROR(X887/R887,0)</f>
        <v>-1.04853128991037</v>
      </c>
      <c r="Z887" s="29" t="str">
        <f aca="false">IF(X887&gt;0,"Win",IF(X887&lt;0,"Loss","Flat"))</f>
        <v>Loss</v>
      </c>
      <c r="AA887" s="29" t="n">
        <f aca="false">ROUND((C887-B887)*1440,1)</f>
        <v>3.3</v>
      </c>
      <c r="AB887" s="29" t="str">
        <f aca="false">IF(AA887&lt;1,"a) &lt;1 min",IF(AA887&lt;10,"b) 1-10 min",IF(AA887&lt;60,"c) 10-60 min",IF(AA887&lt;240,"d) 1-4 h","e) 4 h+"))))</f>
        <v>b) 1-10 min</v>
      </c>
      <c r="AC887" s="29" t="str">
        <f aca="false">IF(P887&lt;10,"a) &lt;10",IF(P887&lt;20,"b) 10-20",IF(P887&lt;40,"c) 20-40",IF(P887&lt;80,"d) 40-80","e) 80+"))))</f>
        <v>a) &lt;10</v>
      </c>
      <c r="AD887" s="31" t="n">
        <f aca="false">Summary!$C$5+SUM(X$2:X887)</f>
        <v>19294.88</v>
      </c>
      <c r="AE887" s="31" t="n">
        <f aca="false">MAX(AE886,AD887)</f>
        <v>19642.95</v>
      </c>
      <c r="AF887" s="31" t="n">
        <f aca="false">AE887-AD887</f>
        <v>348.070000000003</v>
      </c>
      <c r="AG887" s="30" t="n">
        <f aca="false">IFERROR(AF887/AE887,0)</f>
        <v>0.0177198435061945</v>
      </c>
    </row>
    <row r="888" customFormat="false" ht="15" hidden="false" customHeight="false" outlineLevel="0" collapsed="false">
      <c r="A888" s="29" t="n">
        <v>887</v>
      </c>
      <c r="B888" s="44" t="n">
        <v>45925.6131944444</v>
      </c>
      <c r="C888" s="44" t="n">
        <v>45925.6154861111</v>
      </c>
      <c r="D888" s="43" t="n">
        <f aca="false">INT(C888)</f>
        <v>45925</v>
      </c>
      <c r="E888" s="43" t="n">
        <f aca="false">D888-WEEKDAY(D888,3)</f>
        <v>45922</v>
      </c>
      <c r="F888" s="29" t="s">
        <v>185</v>
      </c>
      <c r="G888" s="29" t="n">
        <v>2025</v>
      </c>
      <c r="H888" s="29" t="s">
        <v>253</v>
      </c>
      <c r="I888" s="29" t="n">
        <v>14</v>
      </c>
      <c r="J888" s="29" t="s">
        <v>250</v>
      </c>
      <c r="K888" s="29" t="s">
        <v>251</v>
      </c>
      <c r="L888" s="29" t="n">
        <v>0.03</v>
      </c>
      <c r="M888" s="32" t="n">
        <v>24384.68</v>
      </c>
      <c r="N888" s="32" t="n">
        <v>24390.69</v>
      </c>
      <c r="O888" s="32" t="n">
        <v>24369.95</v>
      </c>
      <c r="P888" s="45" t="n">
        <f aca="false">ABS(M888-N888)</f>
        <v>6.0099999999984</v>
      </c>
      <c r="Q888" s="45" t="n">
        <f aca="false">IF(O888="","",ABS(O888-M888))</f>
        <v>14.7299999999996</v>
      </c>
      <c r="R888" s="31" t="n">
        <f aca="false">P888*L888*Summary!$C$6</f>
        <v>18.0299999999952</v>
      </c>
      <c r="S888" s="32" t="n">
        <v>24384.92</v>
      </c>
      <c r="T888" s="29" t="s">
        <v>255</v>
      </c>
      <c r="U888" s="45" t="n">
        <f aca="false">IF(J888="BUY",S888-M888,M888-S888)</f>
        <v>-0.239999999997963</v>
      </c>
      <c r="V888" s="46" t="n">
        <v>0</v>
      </c>
      <c r="W888" s="46" t="n">
        <v>0</v>
      </c>
      <c r="X888" s="46" t="n">
        <v>-0.72</v>
      </c>
      <c r="Y888" s="33" t="n">
        <f aca="false">IFERROR(X888/R888,0)</f>
        <v>-0.039933444259578</v>
      </c>
      <c r="Z888" s="29" t="str">
        <f aca="false">IF(X888&gt;0,"Win",IF(X888&lt;0,"Loss","Flat"))</f>
        <v>Loss</v>
      </c>
      <c r="AA888" s="29" t="n">
        <f aca="false">ROUND((C888-B888)*1440,1)</f>
        <v>3.3</v>
      </c>
      <c r="AB888" s="29" t="str">
        <f aca="false">IF(AA888&lt;1,"a) &lt;1 min",IF(AA888&lt;10,"b) 1-10 min",IF(AA888&lt;60,"c) 10-60 min",IF(AA888&lt;240,"d) 1-4 h","e) 4 h+"))))</f>
        <v>b) 1-10 min</v>
      </c>
      <c r="AC888" s="29" t="str">
        <f aca="false">IF(P888&lt;10,"a) &lt;10",IF(P888&lt;20,"b) 10-20",IF(P888&lt;40,"c) 20-40",IF(P888&lt;80,"d) 40-80","e) 80+"))))</f>
        <v>a) &lt;10</v>
      </c>
      <c r="AD888" s="31" t="n">
        <f aca="false">Summary!$C$5+SUM(X$2:X888)</f>
        <v>19294.16</v>
      </c>
      <c r="AE888" s="31" t="n">
        <f aca="false">MAX(AE887,AD888)</f>
        <v>19642.95</v>
      </c>
      <c r="AF888" s="31" t="n">
        <f aca="false">AE888-AD888</f>
        <v>348.790000000001</v>
      </c>
      <c r="AG888" s="30" t="n">
        <f aca="false">IFERROR(AF888/AE888,0)</f>
        <v>0.0177564978783737</v>
      </c>
    </row>
    <row r="889" customFormat="false" ht="15" hidden="false" customHeight="false" outlineLevel="0" collapsed="false">
      <c r="A889" s="29" t="n">
        <v>888</v>
      </c>
      <c r="B889" s="44" t="n">
        <v>45929.0479166667</v>
      </c>
      <c r="C889" s="44" t="n">
        <v>45929.0603009259</v>
      </c>
      <c r="D889" s="43" t="n">
        <f aca="false">INT(C889)</f>
        <v>45929</v>
      </c>
      <c r="E889" s="43" t="n">
        <f aca="false">D889-WEEKDAY(D889,3)</f>
        <v>45929</v>
      </c>
      <c r="F889" s="29" t="s">
        <v>185</v>
      </c>
      <c r="G889" s="29" t="n">
        <v>2025</v>
      </c>
      <c r="H889" s="29" t="s">
        <v>245</v>
      </c>
      <c r="I889" s="29" t="n">
        <v>1</v>
      </c>
      <c r="J889" s="29" t="s">
        <v>246</v>
      </c>
      <c r="K889" s="29" t="s">
        <v>247</v>
      </c>
      <c r="L889" s="29" t="n">
        <v>0.03</v>
      </c>
      <c r="M889" s="32" t="n">
        <v>24518.03</v>
      </c>
      <c r="N889" s="32" t="n">
        <v>24509.42</v>
      </c>
      <c r="O889" s="32" t="n">
        <v>24539.13</v>
      </c>
      <c r="P889" s="45" t="n">
        <f aca="false">ABS(M889-N889)</f>
        <v>8.61000000000058</v>
      </c>
      <c r="Q889" s="45" t="n">
        <f aca="false">IF(O889="","",ABS(O889-M889))</f>
        <v>21.1000000000022</v>
      </c>
      <c r="R889" s="31" t="n">
        <f aca="false">P889*L889*Summary!$C$6</f>
        <v>25.8300000000017</v>
      </c>
      <c r="S889" s="32" t="n">
        <v>24517.79</v>
      </c>
      <c r="T889" s="29" t="s">
        <v>255</v>
      </c>
      <c r="U889" s="45" t="n">
        <f aca="false">IF(J889="BUY",S889-M889,M889-S889)</f>
        <v>-0.239999999997963</v>
      </c>
      <c r="V889" s="46" t="n">
        <v>0</v>
      </c>
      <c r="W889" s="46" t="n">
        <v>0</v>
      </c>
      <c r="X889" s="46" t="n">
        <v>-0.72</v>
      </c>
      <c r="Y889" s="33" t="n">
        <f aca="false">IFERROR(X889/R889,0)</f>
        <v>-0.0278745644599284</v>
      </c>
      <c r="Z889" s="29" t="str">
        <f aca="false">IF(X889&gt;0,"Win",IF(X889&lt;0,"Loss","Flat"))</f>
        <v>Loss</v>
      </c>
      <c r="AA889" s="29" t="n">
        <f aca="false">ROUND((C889-B889)*1440,1)</f>
        <v>17.8</v>
      </c>
      <c r="AB889" s="29" t="str">
        <f aca="false">IF(AA889&lt;1,"a) &lt;1 min",IF(AA889&lt;10,"b) 1-10 min",IF(AA889&lt;60,"c) 10-60 min",IF(AA889&lt;240,"d) 1-4 h","e) 4 h+"))))</f>
        <v>c) 10-60 min</v>
      </c>
      <c r="AC889" s="29" t="str">
        <f aca="false">IF(P889&lt;10,"a) &lt;10",IF(P889&lt;20,"b) 10-20",IF(P889&lt;40,"c) 20-40",IF(P889&lt;80,"d) 40-80","e) 80+"))))</f>
        <v>a) &lt;10</v>
      </c>
      <c r="AD889" s="31" t="n">
        <f aca="false">Summary!$C$5+SUM(X$2:X889)</f>
        <v>19293.44</v>
      </c>
      <c r="AE889" s="31" t="n">
        <f aca="false">MAX(AE888,AD889)</f>
        <v>19642.95</v>
      </c>
      <c r="AF889" s="31" t="n">
        <f aca="false">AE889-AD889</f>
        <v>349.509999999998</v>
      </c>
      <c r="AG889" s="30" t="n">
        <f aca="false">IFERROR(AF889/AE889,0)</f>
        <v>0.0177931522505529</v>
      </c>
    </row>
    <row r="890" customFormat="false" ht="15" hidden="false" customHeight="false" outlineLevel="0" collapsed="false">
      <c r="A890" s="29" t="n">
        <v>889</v>
      </c>
      <c r="B890" s="44" t="n">
        <v>45931.4069444445</v>
      </c>
      <c r="C890" s="44" t="n">
        <v>45931.4080439815</v>
      </c>
      <c r="D890" s="43" t="n">
        <f aca="false">INT(C890)</f>
        <v>45931</v>
      </c>
      <c r="E890" s="43" t="n">
        <f aca="false">D890-WEEKDAY(D890,3)</f>
        <v>45929</v>
      </c>
      <c r="F890" s="29" t="s">
        <v>186</v>
      </c>
      <c r="G890" s="29" t="n">
        <v>2025</v>
      </c>
      <c r="H890" s="29" t="s">
        <v>252</v>
      </c>
      <c r="I890" s="29" t="n">
        <v>9</v>
      </c>
      <c r="J890" s="29" t="s">
        <v>250</v>
      </c>
      <c r="K890" s="29" t="s">
        <v>251</v>
      </c>
      <c r="L890" s="29" t="n">
        <v>0.03</v>
      </c>
      <c r="M890" s="32" t="n">
        <v>24488.78</v>
      </c>
      <c r="N890" s="32" t="n">
        <v>24498.39</v>
      </c>
      <c r="O890" s="32" t="n">
        <v>24461.68</v>
      </c>
      <c r="P890" s="45" t="n">
        <f aca="false">ABS(M890-N890)</f>
        <v>9.61000000000058</v>
      </c>
      <c r="Q890" s="45" t="n">
        <f aca="false">IF(O890="","",ABS(O890-M890))</f>
        <v>27.0999999999985</v>
      </c>
      <c r="R890" s="31" t="n">
        <f aca="false">P890*L890*Summary!$C$6</f>
        <v>28.8300000000017</v>
      </c>
      <c r="S890" s="32" t="n">
        <v>24459.22</v>
      </c>
      <c r="T890" s="29" t="s">
        <v>227</v>
      </c>
      <c r="U890" s="45" t="n">
        <f aca="false">IF(J890="BUY",S890-M890,M890-S890)</f>
        <v>29.5599999999977</v>
      </c>
      <c r="V890" s="46" t="n">
        <v>0</v>
      </c>
      <c r="W890" s="46" t="n">
        <v>0</v>
      </c>
      <c r="X890" s="46" t="n">
        <v>88.68</v>
      </c>
      <c r="Y890" s="33" t="n">
        <f aca="false">IFERROR(X890/R890,0)</f>
        <v>3.07596253902167</v>
      </c>
      <c r="Z890" s="29" t="str">
        <f aca="false">IF(X890&gt;0,"Win",IF(X890&lt;0,"Loss","Flat"))</f>
        <v>Win</v>
      </c>
      <c r="AA890" s="29" t="n">
        <f aca="false">ROUND((C890-B890)*1440,1)</f>
        <v>1.6</v>
      </c>
      <c r="AB890" s="29" t="str">
        <f aca="false">IF(AA890&lt;1,"a) &lt;1 min",IF(AA890&lt;10,"b) 1-10 min",IF(AA890&lt;60,"c) 10-60 min",IF(AA890&lt;240,"d) 1-4 h","e) 4 h+"))))</f>
        <v>b) 1-10 min</v>
      </c>
      <c r="AC890" s="29" t="str">
        <f aca="false">IF(P890&lt;10,"a) &lt;10",IF(P890&lt;20,"b) 10-20",IF(P890&lt;40,"c) 20-40",IF(P890&lt;80,"d) 40-80","e) 80+"))))</f>
        <v>a) &lt;10</v>
      </c>
      <c r="AD890" s="31" t="n">
        <f aca="false">Summary!$C$5+SUM(X$2:X890)</f>
        <v>19382.12</v>
      </c>
      <c r="AE890" s="31" t="n">
        <f aca="false">MAX(AE889,AD890)</f>
        <v>19642.95</v>
      </c>
      <c r="AF890" s="31" t="n">
        <f aca="false">AE890-AD890</f>
        <v>260.829999999998</v>
      </c>
      <c r="AG890" s="30" t="n">
        <f aca="false">IFERROR(AF890/AE890,0)</f>
        <v>0.0132785554104652</v>
      </c>
    </row>
    <row r="891" customFormat="false" ht="15" hidden="false" customHeight="false" outlineLevel="0" collapsed="false">
      <c r="A891" s="29" t="n">
        <v>890</v>
      </c>
      <c r="B891" s="44" t="n">
        <v>45931.7506944445</v>
      </c>
      <c r="C891" s="44" t="n">
        <v>45931.7526157407</v>
      </c>
      <c r="D891" s="43" t="n">
        <f aca="false">INT(C891)</f>
        <v>45931</v>
      </c>
      <c r="E891" s="43" t="n">
        <f aca="false">D891-WEEKDAY(D891,3)</f>
        <v>45929</v>
      </c>
      <c r="F891" s="29" t="s">
        <v>186</v>
      </c>
      <c r="G891" s="29" t="n">
        <v>2025</v>
      </c>
      <c r="H891" s="29" t="s">
        <v>252</v>
      </c>
      <c r="I891" s="29" t="n">
        <v>18</v>
      </c>
      <c r="J891" s="29" t="s">
        <v>246</v>
      </c>
      <c r="K891" s="29" t="s">
        <v>247</v>
      </c>
      <c r="L891" s="29" t="n">
        <v>0.03</v>
      </c>
      <c r="M891" s="32" t="n">
        <v>24689.14</v>
      </c>
      <c r="N891" s="32" t="n">
        <v>24680.4</v>
      </c>
      <c r="O891" s="32" t="n">
        <v>24712.32</v>
      </c>
      <c r="P891" s="45" t="n">
        <f aca="false">ABS(M891-N891)</f>
        <v>8.73999999999796</v>
      </c>
      <c r="Q891" s="45" t="n">
        <f aca="false">IF(O891="","",ABS(O891-M891))</f>
        <v>23.1800000000003</v>
      </c>
      <c r="R891" s="31" t="n">
        <f aca="false">P891*L891*Summary!$C$6</f>
        <v>26.2199999999939</v>
      </c>
      <c r="S891" s="32" t="n">
        <v>24688.78</v>
      </c>
      <c r="T891" s="29" t="s">
        <v>255</v>
      </c>
      <c r="U891" s="45" t="n">
        <f aca="false">IF(J891="BUY",S891-M891,M891-S891)</f>
        <v>-0.360000000000582</v>
      </c>
      <c r="V891" s="46" t="n">
        <v>0</v>
      </c>
      <c r="W891" s="46" t="n">
        <v>0</v>
      </c>
      <c r="X891" s="46" t="n">
        <v>-1.08</v>
      </c>
      <c r="Y891" s="33" t="n">
        <f aca="false">IFERROR(X891/R891,0)</f>
        <v>-0.041189931350124</v>
      </c>
      <c r="Z891" s="29" t="str">
        <f aca="false">IF(X891&gt;0,"Win",IF(X891&lt;0,"Loss","Flat"))</f>
        <v>Loss</v>
      </c>
      <c r="AA891" s="29" t="n">
        <f aca="false">ROUND((C891-B891)*1440,1)</f>
        <v>2.8</v>
      </c>
      <c r="AB891" s="29" t="str">
        <f aca="false">IF(AA891&lt;1,"a) &lt;1 min",IF(AA891&lt;10,"b) 1-10 min",IF(AA891&lt;60,"c) 10-60 min",IF(AA891&lt;240,"d) 1-4 h","e) 4 h+"))))</f>
        <v>b) 1-10 min</v>
      </c>
      <c r="AC891" s="29" t="str">
        <f aca="false">IF(P891&lt;10,"a) &lt;10",IF(P891&lt;20,"b) 10-20",IF(P891&lt;40,"c) 20-40",IF(P891&lt;80,"d) 40-80","e) 80+"))))</f>
        <v>a) &lt;10</v>
      </c>
      <c r="AD891" s="31" t="n">
        <f aca="false">Summary!$C$5+SUM(X$2:X891)</f>
        <v>19381.04</v>
      </c>
      <c r="AE891" s="31" t="n">
        <f aca="false">MAX(AE890,AD891)</f>
        <v>19642.95</v>
      </c>
      <c r="AF891" s="31" t="n">
        <f aca="false">AE891-AD891</f>
        <v>261.91</v>
      </c>
      <c r="AG891" s="30" t="n">
        <f aca="false">IFERROR(AF891/AE891,0)</f>
        <v>0.0133335369687343</v>
      </c>
    </row>
    <row r="892" customFormat="false" ht="15" hidden="false" customHeight="false" outlineLevel="0" collapsed="false">
      <c r="A892" s="29" t="n">
        <v>891</v>
      </c>
      <c r="B892" s="44" t="n">
        <v>45932.1298611111</v>
      </c>
      <c r="C892" s="44" t="n">
        <v>45932.1313773148</v>
      </c>
      <c r="D892" s="43" t="n">
        <f aca="false">INT(C892)</f>
        <v>45932</v>
      </c>
      <c r="E892" s="43" t="n">
        <f aca="false">D892-WEEKDAY(D892,3)</f>
        <v>45929</v>
      </c>
      <c r="F892" s="29" t="s">
        <v>186</v>
      </c>
      <c r="G892" s="29" t="n">
        <v>2025</v>
      </c>
      <c r="H892" s="29" t="s">
        <v>253</v>
      </c>
      <c r="I892" s="29" t="n">
        <v>3</v>
      </c>
      <c r="J892" s="29" t="s">
        <v>246</v>
      </c>
      <c r="K892" s="29" t="s">
        <v>247</v>
      </c>
      <c r="L892" s="29" t="n">
        <v>0.03</v>
      </c>
      <c r="M892" s="32" t="n">
        <v>24816.98</v>
      </c>
      <c r="N892" s="32" t="n">
        <v>24811.17</v>
      </c>
      <c r="O892" s="32" t="n">
        <v>24831.28</v>
      </c>
      <c r="P892" s="45" t="n">
        <f aca="false">ABS(M892-N892)</f>
        <v>5.81000000000131</v>
      </c>
      <c r="Q892" s="45" t="n">
        <f aca="false">IF(O892="","",ABS(O892-M892))</f>
        <v>14.2999999999993</v>
      </c>
      <c r="R892" s="31" t="n">
        <f aca="false">P892*L892*Summary!$C$6</f>
        <v>17.4300000000039</v>
      </c>
      <c r="S892" s="32" t="n">
        <v>24811.13</v>
      </c>
      <c r="T892" s="29" t="s">
        <v>249</v>
      </c>
      <c r="U892" s="45" t="n">
        <f aca="false">IF(J892="BUY",S892-M892,M892-S892)</f>
        <v>-5.84999999999855</v>
      </c>
      <c r="V892" s="46" t="n">
        <v>0</v>
      </c>
      <c r="W892" s="46" t="n">
        <v>0</v>
      </c>
      <c r="X892" s="46" t="n">
        <v>-17.55</v>
      </c>
      <c r="Y892" s="33" t="n">
        <f aca="false">IFERROR(X892/R892,0)</f>
        <v>-1.00688468158325</v>
      </c>
      <c r="Z892" s="29" t="str">
        <f aca="false">IF(X892&gt;0,"Win",IF(X892&lt;0,"Loss","Flat"))</f>
        <v>Loss</v>
      </c>
      <c r="AA892" s="29" t="n">
        <f aca="false">ROUND((C892-B892)*1440,1)</f>
        <v>2.2</v>
      </c>
      <c r="AB892" s="29" t="str">
        <f aca="false">IF(AA892&lt;1,"a) &lt;1 min",IF(AA892&lt;10,"b) 1-10 min",IF(AA892&lt;60,"c) 10-60 min",IF(AA892&lt;240,"d) 1-4 h","e) 4 h+"))))</f>
        <v>b) 1-10 min</v>
      </c>
      <c r="AC892" s="29" t="str">
        <f aca="false">IF(P892&lt;10,"a) &lt;10",IF(P892&lt;20,"b) 10-20",IF(P892&lt;40,"c) 20-40",IF(P892&lt;80,"d) 40-80","e) 80+"))))</f>
        <v>a) &lt;10</v>
      </c>
      <c r="AD892" s="31" t="n">
        <f aca="false">Summary!$C$5+SUM(X$2:X892)</f>
        <v>19363.49</v>
      </c>
      <c r="AE892" s="31" t="n">
        <f aca="false">MAX(AE891,AD892)</f>
        <v>19642.95</v>
      </c>
      <c r="AF892" s="31" t="n">
        <f aca="false">AE892-AD892</f>
        <v>279.460000000003</v>
      </c>
      <c r="AG892" s="30" t="n">
        <f aca="false">IFERROR(AF892/AE892,0)</f>
        <v>0.0142269872906057</v>
      </c>
    </row>
    <row r="893" customFormat="false" ht="15" hidden="false" customHeight="false" outlineLevel="0" collapsed="false">
      <c r="A893" s="29" t="n">
        <v>892</v>
      </c>
      <c r="B893" s="44" t="n">
        <v>45933.2868055556</v>
      </c>
      <c r="C893" s="44" t="n">
        <v>45933.28875</v>
      </c>
      <c r="D893" s="43" t="n">
        <f aca="false">INT(C893)</f>
        <v>45933</v>
      </c>
      <c r="E893" s="43" t="n">
        <f aca="false">D893-WEEKDAY(D893,3)</f>
        <v>45929</v>
      </c>
      <c r="F893" s="29" t="s">
        <v>186</v>
      </c>
      <c r="G893" s="29" t="n">
        <v>2025</v>
      </c>
      <c r="H893" s="29" t="s">
        <v>254</v>
      </c>
      <c r="I893" s="29" t="n">
        <v>6</v>
      </c>
      <c r="J893" s="29" t="s">
        <v>246</v>
      </c>
      <c r="K893" s="29" t="s">
        <v>247</v>
      </c>
      <c r="L893" s="29" t="n">
        <v>0.03</v>
      </c>
      <c r="M893" s="32" t="n">
        <v>24965.98</v>
      </c>
      <c r="N893" s="32" t="n">
        <v>24962.1</v>
      </c>
      <c r="O893" s="32" t="n">
        <v>24975.11</v>
      </c>
      <c r="P893" s="45" t="n">
        <f aca="false">ABS(M893-N893)</f>
        <v>3.88000000000102</v>
      </c>
      <c r="Q893" s="45" t="n">
        <f aca="false">IF(O893="","",ABS(O893-M893))</f>
        <v>9.13000000000102</v>
      </c>
      <c r="R893" s="31" t="n">
        <f aca="false">P893*L893*Summary!$C$6</f>
        <v>11.6400000000031</v>
      </c>
      <c r="S893" s="32" t="n">
        <v>24961.74</v>
      </c>
      <c r="T893" s="29" t="s">
        <v>249</v>
      </c>
      <c r="U893" s="45" t="n">
        <f aca="false">IF(J893="BUY",S893-M893,M893-S893)</f>
        <v>-4.23999999999796</v>
      </c>
      <c r="V893" s="46" t="n">
        <v>0</v>
      </c>
      <c r="W893" s="46" t="n">
        <v>0</v>
      </c>
      <c r="X893" s="46" t="n">
        <v>-12.72</v>
      </c>
      <c r="Y893" s="33" t="n">
        <f aca="false">IFERROR(X893/R893,0)</f>
        <v>-1.09278350515435</v>
      </c>
      <c r="Z893" s="29" t="str">
        <f aca="false">IF(X893&gt;0,"Win",IF(X893&lt;0,"Loss","Flat"))</f>
        <v>Loss</v>
      </c>
      <c r="AA893" s="29" t="n">
        <f aca="false">ROUND((C893-B893)*1440,1)</f>
        <v>2.8</v>
      </c>
      <c r="AB893" s="29" t="str">
        <f aca="false">IF(AA893&lt;1,"a) &lt;1 min",IF(AA893&lt;10,"b) 1-10 min",IF(AA893&lt;60,"c) 10-60 min",IF(AA893&lt;240,"d) 1-4 h","e) 4 h+"))))</f>
        <v>b) 1-10 min</v>
      </c>
      <c r="AC893" s="29" t="str">
        <f aca="false">IF(P893&lt;10,"a) &lt;10",IF(P893&lt;20,"b) 10-20",IF(P893&lt;40,"c) 20-40",IF(P893&lt;80,"d) 40-80","e) 80+"))))</f>
        <v>a) &lt;10</v>
      </c>
      <c r="AD893" s="31" t="n">
        <f aca="false">Summary!$C$5+SUM(X$2:X893)</f>
        <v>19350.77</v>
      </c>
      <c r="AE893" s="31" t="n">
        <f aca="false">MAX(AE892,AD893)</f>
        <v>19642.95</v>
      </c>
      <c r="AF893" s="31" t="n">
        <f aca="false">AE893-AD893</f>
        <v>292.18</v>
      </c>
      <c r="AG893" s="30" t="n">
        <f aca="false">IFERROR(AF893/AE893,0)</f>
        <v>0.0148745478657737</v>
      </c>
    </row>
    <row r="894" customFormat="false" ht="15" hidden="false" customHeight="false" outlineLevel="0" collapsed="false">
      <c r="A894" s="29" t="n">
        <v>893</v>
      </c>
      <c r="B894" s="44" t="n">
        <v>45933.8659722222</v>
      </c>
      <c r="C894" s="44" t="n">
        <v>45933.8702662037</v>
      </c>
      <c r="D894" s="43" t="n">
        <f aca="false">INT(C894)</f>
        <v>45933</v>
      </c>
      <c r="E894" s="43" t="n">
        <f aca="false">D894-WEEKDAY(D894,3)</f>
        <v>45929</v>
      </c>
      <c r="F894" s="29" t="s">
        <v>186</v>
      </c>
      <c r="G894" s="29" t="n">
        <v>2025</v>
      </c>
      <c r="H894" s="29" t="s">
        <v>254</v>
      </c>
      <c r="I894" s="29" t="n">
        <v>20</v>
      </c>
      <c r="J894" s="29" t="s">
        <v>250</v>
      </c>
      <c r="K894" s="29" t="s">
        <v>251</v>
      </c>
      <c r="L894" s="29" t="n">
        <v>0.03</v>
      </c>
      <c r="M894" s="32" t="n">
        <v>24778.45</v>
      </c>
      <c r="N894" s="32" t="n">
        <v>24793.19</v>
      </c>
      <c r="O894" s="32" t="n">
        <v>24735.29</v>
      </c>
      <c r="P894" s="45" t="n">
        <f aca="false">ABS(M894-N894)</f>
        <v>14.739999999998</v>
      </c>
      <c r="Q894" s="45" t="n">
        <f aca="false">IF(O894="","",ABS(O894-M894))</f>
        <v>43.1599999999999</v>
      </c>
      <c r="R894" s="31" t="n">
        <f aca="false">P894*L894*Summary!$C$6</f>
        <v>44.2199999999939</v>
      </c>
      <c r="S894" s="32" t="n">
        <v>24735.08</v>
      </c>
      <c r="T894" s="29" t="s">
        <v>227</v>
      </c>
      <c r="U894" s="45" t="n">
        <f aca="false">IF(J894="BUY",S894-M894,M894-S894)</f>
        <v>43.369999999999</v>
      </c>
      <c r="V894" s="46" t="n">
        <v>0</v>
      </c>
      <c r="W894" s="46" t="n">
        <v>0</v>
      </c>
      <c r="X894" s="46" t="n">
        <v>130.11</v>
      </c>
      <c r="Y894" s="33" t="n">
        <f aca="false">IFERROR(X894/R894,0)</f>
        <v>2.94233378561777</v>
      </c>
      <c r="Z894" s="29" t="str">
        <f aca="false">IF(X894&gt;0,"Win",IF(X894&lt;0,"Loss","Flat"))</f>
        <v>Win</v>
      </c>
      <c r="AA894" s="29" t="n">
        <f aca="false">ROUND((C894-B894)*1440,1)</f>
        <v>6.2</v>
      </c>
      <c r="AB894" s="29" t="str">
        <f aca="false">IF(AA894&lt;1,"a) &lt;1 min",IF(AA894&lt;10,"b) 1-10 min",IF(AA894&lt;60,"c) 10-60 min",IF(AA894&lt;240,"d) 1-4 h","e) 4 h+"))))</f>
        <v>b) 1-10 min</v>
      </c>
      <c r="AC894" s="29" t="str">
        <f aca="false">IF(P894&lt;10,"a) &lt;10",IF(P894&lt;20,"b) 10-20",IF(P894&lt;40,"c) 20-40",IF(P894&lt;80,"d) 40-80","e) 80+"))))</f>
        <v>b) 10-20</v>
      </c>
      <c r="AD894" s="31" t="n">
        <f aca="false">Summary!$C$5+SUM(X$2:X894)</f>
        <v>19480.88</v>
      </c>
      <c r="AE894" s="31" t="n">
        <f aca="false">MAX(AE893,AD894)</f>
        <v>19642.95</v>
      </c>
      <c r="AF894" s="31" t="n">
        <f aca="false">AE894-AD894</f>
        <v>162.070000000003</v>
      </c>
      <c r="AG894" s="30" t="n">
        <f aca="false">IFERROR(AF894/AE894,0)</f>
        <v>0.0082507973598672</v>
      </c>
    </row>
    <row r="895" customFormat="false" ht="15" hidden="false" customHeight="false" outlineLevel="0" collapsed="false">
      <c r="A895" s="29" t="n">
        <v>894</v>
      </c>
      <c r="B895" s="44" t="n">
        <v>45936.6270833333</v>
      </c>
      <c r="C895" s="44" t="n">
        <v>45936.6317361111</v>
      </c>
      <c r="D895" s="43" t="n">
        <f aca="false">INT(C895)</f>
        <v>45936</v>
      </c>
      <c r="E895" s="43" t="n">
        <f aca="false">D895-WEEKDAY(D895,3)</f>
        <v>45936</v>
      </c>
      <c r="F895" s="29" t="s">
        <v>186</v>
      </c>
      <c r="G895" s="29" t="n">
        <v>2025</v>
      </c>
      <c r="H895" s="29" t="s">
        <v>245</v>
      </c>
      <c r="I895" s="29" t="n">
        <v>15</v>
      </c>
      <c r="J895" s="29" t="s">
        <v>246</v>
      </c>
      <c r="K895" s="29" t="s">
        <v>247</v>
      </c>
      <c r="L895" s="29" t="n">
        <v>0.03</v>
      </c>
      <c r="M895" s="32" t="n">
        <v>24995.88</v>
      </c>
      <c r="N895" s="32" t="n">
        <v>24988.66</v>
      </c>
      <c r="O895" s="32" t="n">
        <v>25013.56</v>
      </c>
      <c r="P895" s="45" t="n">
        <f aca="false">ABS(M895-N895)</f>
        <v>7.22000000000116</v>
      </c>
      <c r="Q895" s="45" t="n">
        <f aca="false">IF(O895="","",ABS(O895-M895))</f>
        <v>17.6800000000003</v>
      </c>
      <c r="R895" s="31" t="n">
        <f aca="false">P895*L895*Summary!$C$6</f>
        <v>21.6600000000035</v>
      </c>
      <c r="S895" s="32" t="n">
        <v>25014.01</v>
      </c>
      <c r="T895" s="29" t="s">
        <v>227</v>
      </c>
      <c r="U895" s="45" t="n">
        <f aca="false">IF(J895="BUY",S895-M895,M895-S895)</f>
        <v>18.1299999999974</v>
      </c>
      <c r="V895" s="46" t="n">
        <v>0</v>
      </c>
      <c r="W895" s="46" t="n">
        <v>0</v>
      </c>
      <c r="X895" s="46" t="n">
        <v>54.39</v>
      </c>
      <c r="Y895" s="33" t="n">
        <f aca="false">IFERROR(X895/R895,0)</f>
        <v>2.51108033240957</v>
      </c>
      <c r="Z895" s="29" t="str">
        <f aca="false">IF(X895&gt;0,"Win",IF(X895&lt;0,"Loss","Flat"))</f>
        <v>Win</v>
      </c>
      <c r="AA895" s="29" t="n">
        <f aca="false">ROUND((C895-B895)*1440,1)</f>
        <v>6.7</v>
      </c>
      <c r="AB895" s="29" t="str">
        <f aca="false">IF(AA895&lt;1,"a) &lt;1 min",IF(AA895&lt;10,"b) 1-10 min",IF(AA895&lt;60,"c) 10-60 min",IF(AA895&lt;240,"d) 1-4 h","e) 4 h+"))))</f>
        <v>b) 1-10 min</v>
      </c>
      <c r="AC895" s="29" t="str">
        <f aca="false">IF(P895&lt;10,"a) &lt;10",IF(P895&lt;20,"b) 10-20",IF(P895&lt;40,"c) 20-40",IF(P895&lt;80,"d) 40-80","e) 80+"))))</f>
        <v>a) &lt;10</v>
      </c>
      <c r="AD895" s="31" t="n">
        <f aca="false">Summary!$C$5+SUM(X$2:X895)</f>
        <v>19535.27</v>
      </c>
      <c r="AE895" s="31" t="n">
        <f aca="false">MAX(AE894,AD895)</f>
        <v>19642.95</v>
      </c>
      <c r="AF895" s="31" t="n">
        <f aca="false">AE895-AD895</f>
        <v>107.68</v>
      </c>
      <c r="AG895" s="30" t="n">
        <f aca="false">IFERROR(AF895/AE895,0)</f>
        <v>0.00548186499482004</v>
      </c>
    </row>
    <row r="896" customFormat="false" ht="15" hidden="false" customHeight="false" outlineLevel="0" collapsed="false">
      <c r="A896" s="29" t="n">
        <v>895</v>
      </c>
      <c r="B896" s="44" t="n">
        <v>45937.6659722222</v>
      </c>
      <c r="C896" s="44" t="n">
        <v>45937.6672222222</v>
      </c>
      <c r="D896" s="43" t="n">
        <f aca="false">INT(C896)</f>
        <v>45937</v>
      </c>
      <c r="E896" s="43" t="n">
        <f aca="false">D896-WEEKDAY(D896,3)</f>
        <v>45936</v>
      </c>
      <c r="F896" s="29" t="s">
        <v>186</v>
      </c>
      <c r="G896" s="29" t="n">
        <v>2025</v>
      </c>
      <c r="H896" s="29" t="s">
        <v>248</v>
      </c>
      <c r="I896" s="29" t="n">
        <v>15</v>
      </c>
      <c r="J896" s="29" t="s">
        <v>246</v>
      </c>
      <c r="K896" s="29" t="s">
        <v>247</v>
      </c>
      <c r="L896" s="29" t="n">
        <v>0.03</v>
      </c>
      <c r="M896" s="32" t="n">
        <v>25045.68</v>
      </c>
      <c r="N896" s="32" t="n">
        <v>25040.27</v>
      </c>
      <c r="O896" s="32" t="n">
        <v>25058.93</v>
      </c>
      <c r="P896" s="45" t="n">
        <f aca="false">ABS(M896-N896)</f>
        <v>5.40999999999985</v>
      </c>
      <c r="Q896" s="45" t="n">
        <f aca="false">IF(O896="","",ABS(O896-M896))</f>
        <v>13.25</v>
      </c>
      <c r="R896" s="31" t="n">
        <f aca="false">P896*L896*Summary!$C$6</f>
        <v>16.2299999999996</v>
      </c>
      <c r="S896" s="32" t="n">
        <v>25045.45</v>
      </c>
      <c r="T896" s="29" t="s">
        <v>255</v>
      </c>
      <c r="U896" s="45" t="n">
        <f aca="false">IF(J896="BUY",S896-M896,M896-S896)</f>
        <v>-0.229999999999563</v>
      </c>
      <c r="V896" s="46" t="n">
        <v>0</v>
      </c>
      <c r="W896" s="46" t="n">
        <v>0</v>
      </c>
      <c r="X896" s="46" t="n">
        <v>-0.69</v>
      </c>
      <c r="Y896" s="33" t="n">
        <f aca="false">IFERROR(X896/R896,0)</f>
        <v>-0.0425138632162673</v>
      </c>
      <c r="Z896" s="29" t="str">
        <f aca="false">IF(X896&gt;0,"Win",IF(X896&lt;0,"Loss","Flat"))</f>
        <v>Loss</v>
      </c>
      <c r="AA896" s="29" t="n">
        <f aca="false">ROUND((C896-B896)*1440,1)</f>
        <v>1.8</v>
      </c>
      <c r="AB896" s="29" t="str">
        <f aca="false">IF(AA896&lt;1,"a) &lt;1 min",IF(AA896&lt;10,"b) 1-10 min",IF(AA896&lt;60,"c) 10-60 min",IF(AA896&lt;240,"d) 1-4 h","e) 4 h+"))))</f>
        <v>b) 1-10 min</v>
      </c>
      <c r="AC896" s="29" t="str">
        <f aca="false">IF(P896&lt;10,"a) &lt;10",IF(P896&lt;20,"b) 10-20",IF(P896&lt;40,"c) 20-40",IF(P896&lt;80,"d) 40-80","e) 80+"))))</f>
        <v>a) &lt;10</v>
      </c>
      <c r="AD896" s="31" t="n">
        <f aca="false">Summary!$C$5+SUM(X$2:X896)</f>
        <v>19534.58</v>
      </c>
      <c r="AE896" s="31" t="n">
        <f aca="false">MAX(AE895,AD896)</f>
        <v>19642.95</v>
      </c>
      <c r="AF896" s="31" t="n">
        <f aca="false">AE896-AD896</f>
        <v>108.369999999999</v>
      </c>
      <c r="AG896" s="30" t="n">
        <f aca="false">IFERROR(AF896/AE896,0)</f>
        <v>0.00551699210149183</v>
      </c>
    </row>
    <row r="897" customFormat="false" ht="15" hidden="false" customHeight="false" outlineLevel="0" collapsed="false">
      <c r="A897" s="29" t="n">
        <v>896</v>
      </c>
      <c r="B897" s="44" t="n">
        <v>45937.7833333333</v>
      </c>
      <c r="C897" s="44" t="n">
        <v>45937.786875</v>
      </c>
      <c r="D897" s="43" t="n">
        <f aca="false">INT(C897)</f>
        <v>45937</v>
      </c>
      <c r="E897" s="43" t="n">
        <f aca="false">D897-WEEKDAY(D897,3)</f>
        <v>45936</v>
      </c>
      <c r="F897" s="29" t="s">
        <v>186</v>
      </c>
      <c r="G897" s="29" t="n">
        <v>2025</v>
      </c>
      <c r="H897" s="29" t="s">
        <v>248</v>
      </c>
      <c r="I897" s="29" t="n">
        <v>18</v>
      </c>
      <c r="J897" s="29" t="s">
        <v>250</v>
      </c>
      <c r="K897" s="29" t="s">
        <v>251</v>
      </c>
      <c r="L897" s="29" t="n">
        <v>0.03</v>
      </c>
      <c r="M897" s="32" t="n">
        <v>24792.34</v>
      </c>
      <c r="N897" s="32" t="n">
        <v>24812.07</v>
      </c>
      <c r="O897" s="32" t="n">
        <v>24743.99</v>
      </c>
      <c r="P897" s="45" t="n">
        <f aca="false">ABS(M897-N897)</f>
        <v>19.7299999999996</v>
      </c>
      <c r="Q897" s="45" t="n">
        <f aca="false">IF(O897="","",ABS(O897-M897))</f>
        <v>48.3499999999985</v>
      </c>
      <c r="R897" s="31" t="n">
        <f aca="false">P897*L897*Summary!$C$6</f>
        <v>59.1899999999987</v>
      </c>
      <c r="S897" s="32" t="n">
        <v>24812.71</v>
      </c>
      <c r="T897" s="29" t="s">
        <v>249</v>
      </c>
      <c r="U897" s="45" t="n">
        <f aca="false">IF(J897="BUY",S897-M897,M897-S897)</f>
        <v>-20.369999999999</v>
      </c>
      <c r="V897" s="46" t="n">
        <v>0</v>
      </c>
      <c r="W897" s="46" t="n">
        <v>0</v>
      </c>
      <c r="X897" s="46" t="n">
        <v>-61.11</v>
      </c>
      <c r="Y897" s="33" t="n">
        <f aca="false">IFERROR(X897/R897,0)</f>
        <v>-1.03243791180945</v>
      </c>
      <c r="Z897" s="29" t="str">
        <f aca="false">IF(X897&gt;0,"Win",IF(X897&lt;0,"Loss","Flat"))</f>
        <v>Loss</v>
      </c>
      <c r="AA897" s="29" t="n">
        <f aca="false">ROUND((C897-B897)*1440,1)</f>
        <v>5.1</v>
      </c>
      <c r="AB897" s="29" t="str">
        <f aca="false">IF(AA897&lt;1,"a) &lt;1 min",IF(AA897&lt;10,"b) 1-10 min",IF(AA897&lt;60,"c) 10-60 min",IF(AA897&lt;240,"d) 1-4 h","e) 4 h+"))))</f>
        <v>b) 1-10 min</v>
      </c>
      <c r="AC897" s="29" t="str">
        <f aca="false">IF(P897&lt;10,"a) &lt;10",IF(P897&lt;20,"b) 10-20",IF(P897&lt;40,"c) 20-40",IF(P897&lt;80,"d) 40-80","e) 80+"))))</f>
        <v>b) 10-20</v>
      </c>
      <c r="AD897" s="31" t="n">
        <f aca="false">Summary!$C$5+SUM(X$2:X897)</f>
        <v>19473.47</v>
      </c>
      <c r="AE897" s="31" t="n">
        <f aca="false">MAX(AE896,AD897)</f>
        <v>19642.95</v>
      </c>
      <c r="AF897" s="31" t="n">
        <f aca="false">AE897-AD897</f>
        <v>169.48</v>
      </c>
      <c r="AG897" s="30" t="n">
        <f aca="false">IFERROR(AF897/AE897,0)</f>
        <v>0.00862803194021262</v>
      </c>
    </row>
    <row r="898" customFormat="false" ht="15" hidden="false" customHeight="false" outlineLevel="0" collapsed="false">
      <c r="A898" s="29" t="n">
        <v>897</v>
      </c>
      <c r="B898" s="44" t="n">
        <v>45938.8569444444</v>
      </c>
      <c r="C898" s="44" t="n">
        <v>45938.8572222222</v>
      </c>
      <c r="D898" s="43" t="n">
        <f aca="false">INT(C898)</f>
        <v>45938</v>
      </c>
      <c r="E898" s="43" t="n">
        <f aca="false">D898-WEEKDAY(D898,3)</f>
        <v>45936</v>
      </c>
      <c r="F898" s="29" t="s">
        <v>186</v>
      </c>
      <c r="G898" s="29" t="n">
        <v>2025</v>
      </c>
      <c r="H898" s="29" t="s">
        <v>252</v>
      </c>
      <c r="I898" s="29" t="n">
        <v>20</v>
      </c>
      <c r="J898" s="29" t="s">
        <v>246</v>
      </c>
      <c r="K898" s="29" t="s">
        <v>247</v>
      </c>
      <c r="L898" s="29" t="n">
        <v>0.03</v>
      </c>
      <c r="M898" s="32" t="n">
        <v>25067.27</v>
      </c>
      <c r="N898" s="32" t="n">
        <v>25062.71</v>
      </c>
      <c r="O898" s="32" t="n">
        <v>25078.45</v>
      </c>
      <c r="P898" s="45" t="n">
        <f aca="false">ABS(M898-N898)</f>
        <v>4.56000000000131</v>
      </c>
      <c r="Q898" s="45" t="n">
        <f aca="false">IF(O898="","",ABS(O898-M898))</f>
        <v>11.1800000000003</v>
      </c>
      <c r="R898" s="31" t="n">
        <f aca="false">P898*L898*Summary!$C$6</f>
        <v>13.6800000000039</v>
      </c>
      <c r="S898" s="32" t="n">
        <v>25062.6</v>
      </c>
      <c r="T898" s="29" t="s">
        <v>249</v>
      </c>
      <c r="U898" s="45" t="n">
        <f aca="false">IF(J898="BUY",S898-M898,M898-S898)</f>
        <v>-4.67000000000189</v>
      </c>
      <c r="V898" s="46" t="n">
        <v>0</v>
      </c>
      <c r="W898" s="46" t="n">
        <v>0</v>
      </c>
      <c r="X898" s="46" t="n">
        <v>-14.01</v>
      </c>
      <c r="Y898" s="33" t="n">
        <f aca="false">IFERROR(X898/R898,0)</f>
        <v>-1.02412280701725</v>
      </c>
      <c r="Z898" s="29" t="str">
        <f aca="false">IF(X898&gt;0,"Win",IF(X898&lt;0,"Loss","Flat"))</f>
        <v>Loss</v>
      </c>
      <c r="AA898" s="29" t="n">
        <f aca="false">ROUND((C898-B898)*1440,1)</f>
        <v>0.4</v>
      </c>
      <c r="AB898" s="29" t="str">
        <f aca="false">IF(AA898&lt;1,"a) &lt;1 min",IF(AA898&lt;10,"b) 1-10 min",IF(AA898&lt;60,"c) 10-60 min",IF(AA898&lt;240,"d) 1-4 h","e) 4 h+"))))</f>
        <v>a) &lt;1 min</v>
      </c>
      <c r="AC898" s="29" t="str">
        <f aca="false">IF(P898&lt;10,"a) &lt;10",IF(P898&lt;20,"b) 10-20",IF(P898&lt;40,"c) 20-40",IF(P898&lt;80,"d) 40-80","e) 80+"))))</f>
        <v>a) &lt;10</v>
      </c>
      <c r="AD898" s="31" t="n">
        <f aca="false">Summary!$C$5+SUM(X$2:X898)</f>
        <v>19459.46</v>
      </c>
      <c r="AE898" s="31" t="n">
        <f aca="false">MAX(AE897,AD898)</f>
        <v>19642.95</v>
      </c>
      <c r="AF898" s="31" t="n">
        <f aca="false">AE898-AD898</f>
        <v>183.490000000002</v>
      </c>
      <c r="AG898" s="30" t="n">
        <f aca="false">IFERROR(AF898/AE898,0)</f>
        <v>0.00934126493220222</v>
      </c>
    </row>
    <row r="899" customFormat="false" ht="15" hidden="false" customHeight="false" outlineLevel="0" collapsed="false">
      <c r="A899" s="29" t="n">
        <v>898</v>
      </c>
      <c r="B899" s="44" t="n">
        <v>45939.0423611111</v>
      </c>
      <c r="C899" s="44" t="n">
        <v>45939.0486574074</v>
      </c>
      <c r="D899" s="43" t="n">
        <f aca="false">INT(C899)</f>
        <v>45939</v>
      </c>
      <c r="E899" s="43" t="n">
        <f aca="false">D899-WEEKDAY(D899,3)</f>
        <v>45936</v>
      </c>
      <c r="F899" s="29" t="s">
        <v>186</v>
      </c>
      <c r="G899" s="29" t="n">
        <v>2025</v>
      </c>
      <c r="H899" s="29" t="s">
        <v>253</v>
      </c>
      <c r="I899" s="29" t="n">
        <v>1</v>
      </c>
      <c r="J899" s="29" t="s">
        <v>246</v>
      </c>
      <c r="K899" s="29" t="s">
        <v>247</v>
      </c>
      <c r="L899" s="29" t="n">
        <v>0.03</v>
      </c>
      <c r="M899" s="32" t="n">
        <v>25147.47</v>
      </c>
      <c r="N899" s="32" t="n">
        <v>25140.35</v>
      </c>
      <c r="O899" s="32" t="n">
        <v>25162.36</v>
      </c>
      <c r="P899" s="45" t="n">
        <f aca="false">ABS(M899-N899)</f>
        <v>7.12000000000262</v>
      </c>
      <c r="Q899" s="45" t="n">
        <f aca="false">IF(O899="","",ABS(O899-M899))</f>
        <v>14.8899999999994</v>
      </c>
      <c r="R899" s="31" t="n">
        <f aca="false">P899*L899*Summary!$C$6</f>
        <v>21.3600000000079</v>
      </c>
      <c r="S899" s="32" t="n">
        <v>25162.68</v>
      </c>
      <c r="T899" s="29" t="s">
        <v>227</v>
      </c>
      <c r="U899" s="45" t="n">
        <f aca="false">IF(J899="BUY",S899-M899,M899-S899)</f>
        <v>15.2099999999991</v>
      </c>
      <c r="V899" s="46" t="n">
        <v>0</v>
      </c>
      <c r="W899" s="46" t="n">
        <v>0</v>
      </c>
      <c r="X899" s="46" t="n">
        <v>45.63</v>
      </c>
      <c r="Y899" s="33" t="n">
        <f aca="false">IFERROR(X899/R899,0)</f>
        <v>2.13623595505539</v>
      </c>
      <c r="Z899" s="29" t="str">
        <f aca="false">IF(X899&gt;0,"Win",IF(X899&lt;0,"Loss","Flat"))</f>
        <v>Win</v>
      </c>
      <c r="AA899" s="29" t="n">
        <f aca="false">ROUND((C899-B899)*1440,1)</f>
        <v>9.1</v>
      </c>
      <c r="AB899" s="29" t="str">
        <f aca="false">IF(AA899&lt;1,"a) &lt;1 min",IF(AA899&lt;10,"b) 1-10 min",IF(AA899&lt;60,"c) 10-60 min",IF(AA899&lt;240,"d) 1-4 h","e) 4 h+"))))</f>
        <v>b) 1-10 min</v>
      </c>
      <c r="AC899" s="29" t="str">
        <f aca="false">IF(P899&lt;10,"a) &lt;10",IF(P899&lt;20,"b) 10-20",IF(P899&lt;40,"c) 20-40",IF(P899&lt;80,"d) 40-80","e) 80+"))))</f>
        <v>a) &lt;10</v>
      </c>
      <c r="AD899" s="31" t="n">
        <f aca="false">Summary!$C$5+SUM(X$2:X899)</f>
        <v>19505.09</v>
      </c>
      <c r="AE899" s="31" t="n">
        <f aca="false">MAX(AE898,AD899)</f>
        <v>19642.95</v>
      </c>
      <c r="AF899" s="31" t="n">
        <f aca="false">AE899-AD899</f>
        <v>137.860000000001</v>
      </c>
      <c r="AG899" s="30" t="n">
        <f aca="false">IFERROR(AF899/AE899,0)</f>
        <v>0.00701829409533703</v>
      </c>
    </row>
    <row r="900" customFormat="false" ht="15" hidden="false" customHeight="false" outlineLevel="0" collapsed="false">
      <c r="A900" s="29" t="n">
        <v>899</v>
      </c>
      <c r="B900" s="44" t="n">
        <v>45940.6986111111</v>
      </c>
      <c r="C900" s="44" t="n">
        <v>45940.7003472222</v>
      </c>
      <c r="D900" s="43" t="n">
        <f aca="false">INT(C900)</f>
        <v>45940</v>
      </c>
      <c r="E900" s="43" t="n">
        <f aca="false">D900-WEEKDAY(D900,3)</f>
        <v>45936</v>
      </c>
      <c r="F900" s="29" t="s">
        <v>186</v>
      </c>
      <c r="G900" s="29" t="n">
        <v>2025</v>
      </c>
      <c r="H900" s="29" t="s">
        <v>254</v>
      </c>
      <c r="I900" s="29" t="n">
        <v>16</v>
      </c>
      <c r="J900" s="29" t="s">
        <v>246</v>
      </c>
      <c r="K900" s="29" t="s">
        <v>247</v>
      </c>
      <c r="L900" s="29" t="n">
        <v>0.03</v>
      </c>
      <c r="M900" s="32" t="n">
        <v>25196.12</v>
      </c>
      <c r="N900" s="32" t="n">
        <v>25184.75</v>
      </c>
      <c r="O900" s="32" t="n">
        <v>25223.97</v>
      </c>
      <c r="P900" s="45" t="n">
        <f aca="false">ABS(M900-N900)</f>
        <v>11.369999999999</v>
      </c>
      <c r="Q900" s="45" t="n">
        <f aca="false">IF(O900="","",ABS(O900-M900))</f>
        <v>27.8500000000022</v>
      </c>
      <c r="R900" s="31" t="n">
        <f aca="false">P900*L900*Summary!$C$6</f>
        <v>34.1099999999969</v>
      </c>
      <c r="S900" s="32" t="n">
        <v>25184.53</v>
      </c>
      <c r="T900" s="29" t="s">
        <v>249</v>
      </c>
      <c r="U900" s="45" t="n">
        <f aca="false">IF(J900="BUY",S900-M900,M900-S900)</f>
        <v>-11.5900000000001</v>
      </c>
      <c r="V900" s="46" t="n">
        <v>0</v>
      </c>
      <c r="W900" s="46" t="n">
        <v>0</v>
      </c>
      <c r="X900" s="46" t="n">
        <v>-34.77</v>
      </c>
      <c r="Y900" s="33" t="n">
        <f aca="false">IFERROR(X900/R900,0)</f>
        <v>-1.01934916446799</v>
      </c>
      <c r="Z900" s="29" t="str">
        <f aca="false">IF(X900&gt;0,"Win",IF(X900&lt;0,"Loss","Flat"))</f>
        <v>Loss</v>
      </c>
      <c r="AA900" s="29" t="n">
        <f aca="false">ROUND((C900-B900)*1440,1)</f>
        <v>2.5</v>
      </c>
      <c r="AB900" s="29" t="str">
        <f aca="false">IF(AA900&lt;1,"a) &lt;1 min",IF(AA900&lt;10,"b) 1-10 min",IF(AA900&lt;60,"c) 10-60 min",IF(AA900&lt;240,"d) 1-4 h","e) 4 h+"))))</f>
        <v>b) 1-10 min</v>
      </c>
      <c r="AC900" s="29" t="str">
        <f aca="false">IF(P900&lt;10,"a) &lt;10",IF(P900&lt;20,"b) 10-20",IF(P900&lt;40,"c) 20-40",IF(P900&lt;80,"d) 40-80","e) 80+"))))</f>
        <v>b) 10-20</v>
      </c>
      <c r="AD900" s="31" t="n">
        <f aca="false">Summary!$C$5+SUM(X$2:X900)</f>
        <v>19470.32</v>
      </c>
      <c r="AE900" s="31" t="n">
        <f aca="false">MAX(AE899,AD900)</f>
        <v>19642.95</v>
      </c>
      <c r="AF900" s="31" t="n">
        <f aca="false">AE900-AD900</f>
        <v>172.630000000001</v>
      </c>
      <c r="AG900" s="30" t="n">
        <f aca="false">IFERROR(AF900/AE900,0)</f>
        <v>0.00878839481849727</v>
      </c>
    </row>
    <row r="901" customFormat="false" ht="15" hidden="false" customHeight="false" outlineLevel="0" collapsed="false">
      <c r="A901" s="29" t="n">
        <v>900</v>
      </c>
      <c r="B901" s="44" t="n">
        <v>45940.7506944445</v>
      </c>
      <c r="C901" s="44" t="n">
        <v>45940.7628472222</v>
      </c>
      <c r="D901" s="43" t="n">
        <f aca="false">INT(C901)</f>
        <v>45940</v>
      </c>
      <c r="E901" s="43" t="n">
        <f aca="false">D901-WEEKDAY(D901,3)</f>
        <v>45936</v>
      </c>
      <c r="F901" s="29" t="s">
        <v>186</v>
      </c>
      <c r="G901" s="29" t="n">
        <v>2025</v>
      </c>
      <c r="H901" s="29" t="s">
        <v>254</v>
      </c>
      <c r="I901" s="29" t="n">
        <v>18</v>
      </c>
      <c r="J901" s="29" t="s">
        <v>250</v>
      </c>
      <c r="K901" s="29" t="s">
        <v>251</v>
      </c>
      <c r="L901" s="29" t="n">
        <v>0.03</v>
      </c>
      <c r="M901" s="32" t="n">
        <v>24919.33</v>
      </c>
      <c r="N901" s="32" t="n">
        <v>24981.85</v>
      </c>
      <c r="O901" s="32" t="n">
        <v>24765.12</v>
      </c>
      <c r="P901" s="45" t="n">
        <f aca="false">ABS(M901-N901)</f>
        <v>62.5199999999968</v>
      </c>
      <c r="Q901" s="45" t="n">
        <f aca="false">IF(O901="","",ABS(O901-M901))</f>
        <v>154.210000000003</v>
      </c>
      <c r="R901" s="31" t="n">
        <f aca="false">P901*L901*Summary!$C$6</f>
        <v>187.55999999999</v>
      </c>
      <c r="S901" s="32" t="n">
        <v>24765.08</v>
      </c>
      <c r="T901" s="29" t="s">
        <v>227</v>
      </c>
      <c r="U901" s="45" t="n">
        <f aca="false">IF(J901="BUY",S901-M901,M901-S901)</f>
        <v>154.25</v>
      </c>
      <c r="V901" s="46" t="n">
        <v>0</v>
      </c>
      <c r="W901" s="46" t="n">
        <v>0</v>
      </c>
      <c r="X901" s="46" t="n">
        <v>462.75</v>
      </c>
      <c r="Y901" s="33" t="n">
        <f aca="false">IFERROR(X901/R901,0)</f>
        <v>2.46721049264248</v>
      </c>
      <c r="Z901" s="29" t="str">
        <f aca="false">IF(X901&gt;0,"Win",IF(X901&lt;0,"Loss","Flat"))</f>
        <v>Win</v>
      </c>
      <c r="AA901" s="29" t="n">
        <f aca="false">ROUND((C901-B901)*1440,1)</f>
        <v>17.5</v>
      </c>
      <c r="AB901" s="29" t="str">
        <f aca="false">IF(AA901&lt;1,"a) &lt;1 min",IF(AA901&lt;10,"b) 1-10 min",IF(AA901&lt;60,"c) 10-60 min",IF(AA901&lt;240,"d) 1-4 h","e) 4 h+"))))</f>
        <v>c) 10-60 min</v>
      </c>
      <c r="AC901" s="29" t="str">
        <f aca="false">IF(P901&lt;10,"a) &lt;10",IF(P901&lt;20,"b) 10-20",IF(P901&lt;40,"c) 20-40",IF(P901&lt;80,"d) 40-80","e) 80+"))))</f>
        <v>d) 40-80</v>
      </c>
      <c r="AD901" s="31" t="n">
        <f aca="false">Summary!$C$5+SUM(X$2:X901)</f>
        <v>19933.07</v>
      </c>
      <c r="AE901" s="31" t="n">
        <f aca="false">MAX(AE900,AD901)</f>
        <v>19933.07</v>
      </c>
      <c r="AF901" s="31" t="n">
        <f aca="false">AE901-AD901</f>
        <v>0</v>
      </c>
      <c r="AG901" s="30" t="n">
        <f aca="false">IFERROR(AF901/AE901,0)</f>
        <v>0</v>
      </c>
    </row>
    <row r="902" customFormat="false" ht="15" hidden="false" customHeight="false" outlineLevel="0" collapsed="false">
      <c r="A902" s="29" t="n">
        <v>901</v>
      </c>
      <c r="B902" s="44" t="n">
        <v>45944.1368055556</v>
      </c>
      <c r="C902" s="44" t="n">
        <v>45944.1431597222</v>
      </c>
      <c r="D902" s="43" t="n">
        <f aca="false">INT(C902)</f>
        <v>45944</v>
      </c>
      <c r="E902" s="43" t="n">
        <f aca="false">D902-WEEKDAY(D902,3)</f>
        <v>45943</v>
      </c>
      <c r="F902" s="29" t="s">
        <v>186</v>
      </c>
      <c r="G902" s="29" t="n">
        <v>2025</v>
      </c>
      <c r="H902" s="29" t="s">
        <v>248</v>
      </c>
      <c r="I902" s="29" t="n">
        <v>3</v>
      </c>
      <c r="J902" s="29" t="s">
        <v>246</v>
      </c>
      <c r="K902" s="29" t="s">
        <v>247</v>
      </c>
      <c r="L902" s="29" t="n">
        <v>0.04</v>
      </c>
      <c r="M902" s="32" t="n">
        <v>24790.71</v>
      </c>
      <c r="N902" s="32" t="n">
        <v>24780.97</v>
      </c>
      <c r="O902" s="32" t="n">
        <v>24816.08</v>
      </c>
      <c r="P902" s="45" t="n">
        <f aca="false">ABS(M902-N902)</f>
        <v>9.73999999999796</v>
      </c>
      <c r="Q902" s="45" t="n">
        <f aca="false">IF(O902="","",ABS(O902-M902))</f>
        <v>25.3700000000026</v>
      </c>
      <c r="R902" s="31" t="n">
        <f aca="false">P902*L902*Summary!$C$6</f>
        <v>38.9599999999919</v>
      </c>
      <c r="S902" s="32" t="n">
        <v>24816.53</v>
      </c>
      <c r="T902" s="29" t="s">
        <v>227</v>
      </c>
      <c r="U902" s="45" t="n">
        <f aca="false">IF(J902="BUY",S902-M902,M902-S902)</f>
        <v>25.8199999999997</v>
      </c>
      <c r="V902" s="46" t="n">
        <v>0</v>
      </c>
      <c r="W902" s="46" t="n">
        <v>0</v>
      </c>
      <c r="X902" s="46" t="n">
        <v>103.28</v>
      </c>
      <c r="Y902" s="33" t="n">
        <f aca="false">IFERROR(X902/R902,0)</f>
        <v>2.65092402464121</v>
      </c>
      <c r="Z902" s="29" t="str">
        <f aca="false">IF(X902&gt;0,"Win",IF(X902&lt;0,"Loss","Flat"))</f>
        <v>Win</v>
      </c>
      <c r="AA902" s="29" t="n">
        <f aca="false">ROUND((C902-B902)*1440,1)</f>
        <v>9.2</v>
      </c>
      <c r="AB902" s="29" t="str">
        <f aca="false">IF(AA902&lt;1,"a) &lt;1 min",IF(AA902&lt;10,"b) 1-10 min",IF(AA902&lt;60,"c) 10-60 min",IF(AA902&lt;240,"d) 1-4 h","e) 4 h+"))))</f>
        <v>b) 1-10 min</v>
      </c>
      <c r="AC902" s="29" t="str">
        <f aca="false">IF(P902&lt;10,"a) &lt;10",IF(P902&lt;20,"b) 10-20",IF(P902&lt;40,"c) 20-40",IF(P902&lt;80,"d) 40-80","e) 80+"))))</f>
        <v>a) &lt;10</v>
      </c>
      <c r="AD902" s="31" t="n">
        <f aca="false">Summary!$C$5+SUM(X$2:X902)</f>
        <v>20036.35</v>
      </c>
      <c r="AE902" s="31" t="n">
        <f aca="false">MAX(AE901,AD902)</f>
        <v>20036.35</v>
      </c>
      <c r="AF902" s="31" t="n">
        <f aca="false">AE902-AD902</f>
        <v>0</v>
      </c>
      <c r="AG902" s="30" t="n">
        <f aca="false">IFERROR(AF902/AE902,0)</f>
        <v>0</v>
      </c>
    </row>
    <row r="903" customFormat="false" ht="15" hidden="false" customHeight="false" outlineLevel="0" collapsed="false">
      <c r="A903" s="29" t="n">
        <v>902</v>
      </c>
      <c r="B903" s="44" t="n">
        <v>45944.5638888889</v>
      </c>
      <c r="C903" s="44" t="n">
        <v>45944.5668171296</v>
      </c>
      <c r="D903" s="43" t="n">
        <f aca="false">INT(C903)</f>
        <v>45944</v>
      </c>
      <c r="E903" s="43" t="n">
        <f aca="false">D903-WEEKDAY(D903,3)</f>
        <v>45943</v>
      </c>
      <c r="F903" s="29" t="s">
        <v>186</v>
      </c>
      <c r="G903" s="29" t="n">
        <v>2025</v>
      </c>
      <c r="H903" s="29" t="s">
        <v>248</v>
      </c>
      <c r="I903" s="29" t="n">
        <v>13</v>
      </c>
      <c r="J903" s="29" t="s">
        <v>250</v>
      </c>
      <c r="K903" s="29" t="s">
        <v>251</v>
      </c>
      <c r="L903" s="29" t="n">
        <v>0.04</v>
      </c>
      <c r="M903" s="32" t="n">
        <v>24378.15</v>
      </c>
      <c r="N903" s="32" t="n">
        <v>24397.86</v>
      </c>
      <c r="O903" s="32" t="n">
        <v>24333.49</v>
      </c>
      <c r="P903" s="45" t="n">
        <f aca="false">ABS(M903-N903)</f>
        <v>19.7099999999991</v>
      </c>
      <c r="Q903" s="45" t="n">
        <f aca="false">IF(O903="","",ABS(O903-M903))</f>
        <v>44.6599999999999</v>
      </c>
      <c r="R903" s="31" t="n">
        <f aca="false">P903*L903*Summary!$C$6</f>
        <v>78.8399999999965</v>
      </c>
      <c r="S903" s="32" t="n">
        <v>24399.53</v>
      </c>
      <c r="T903" s="29" t="s">
        <v>249</v>
      </c>
      <c r="U903" s="45" t="n">
        <f aca="false">IF(J903="BUY",S903-M903,M903-S903)</f>
        <v>-21.3799999999974</v>
      </c>
      <c r="V903" s="46" t="n">
        <v>0</v>
      </c>
      <c r="W903" s="46" t="n">
        <v>0</v>
      </c>
      <c r="X903" s="46" t="n">
        <v>-85.52</v>
      </c>
      <c r="Y903" s="33" t="n">
        <f aca="false">IFERROR(X903/R903,0)</f>
        <v>-1.08472856418067</v>
      </c>
      <c r="Z903" s="29" t="str">
        <f aca="false">IF(X903&gt;0,"Win",IF(X903&lt;0,"Loss","Flat"))</f>
        <v>Loss</v>
      </c>
      <c r="AA903" s="29" t="n">
        <f aca="false">ROUND((C903-B903)*1440,1)</f>
        <v>4.2</v>
      </c>
      <c r="AB903" s="29" t="str">
        <f aca="false">IF(AA903&lt;1,"a) &lt;1 min",IF(AA903&lt;10,"b) 1-10 min",IF(AA903&lt;60,"c) 10-60 min",IF(AA903&lt;240,"d) 1-4 h","e) 4 h+"))))</f>
        <v>b) 1-10 min</v>
      </c>
      <c r="AC903" s="29" t="str">
        <f aca="false">IF(P903&lt;10,"a) &lt;10",IF(P903&lt;20,"b) 10-20",IF(P903&lt;40,"c) 20-40",IF(P903&lt;80,"d) 40-80","e) 80+"))))</f>
        <v>b) 10-20</v>
      </c>
      <c r="AD903" s="31" t="n">
        <f aca="false">Summary!$C$5+SUM(X$2:X903)</f>
        <v>19950.83</v>
      </c>
      <c r="AE903" s="31" t="n">
        <f aca="false">MAX(AE902,AD903)</f>
        <v>20036.35</v>
      </c>
      <c r="AF903" s="31" t="n">
        <f aca="false">AE903-AD903</f>
        <v>85.5199999999968</v>
      </c>
      <c r="AG903" s="30" t="n">
        <f aca="false">IFERROR(AF903/AE903,0)</f>
        <v>0.00426824246931187</v>
      </c>
    </row>
    <row r="904" customFormat="false" ht="15" hidden="false" customHeight="false" outlineLevel="0" collapsed="false">
      <c r="A904" s="29" t="n">
        <v>903</v>
      </c>
      <c r="B904" s="44" t="n">
        <v>45945.7125</v>
      </c>
      <c r="C904" s="44" t="n">
        <v>45945.7135763889</v>
      </c>
      <c r="D904" s="43" t="n">
        <f aca="false">INT(C904)</f>
        <v>45945</v>
      </c>
      <c r="E904" s="43" t="n">
        <f aca="false">D904-WEEKDAY(D904,3)</f>
        <v>45943</v>
      </c>
      <c r="F904" s="29" t="s">
        <v>186</v>
      </c>
      <c r="G904" s="29" t="n">
        <v>2025</v>
      </c>
      <c r="H904" s="29" t="s">
        <v>252</v>
      </c>
      <c r="I904" s="29" t="n">
        <v>17</v>
      </c>
      <c r="J904" s="29" t="s">
        <v>246</v>
      </c>
      <c r="K904" s="29" t="s">
        <v>247</v>
      </c>
      <c r="L904" s="29" t="n">
        <v>0.04</v>
      </c>
      <c r="M904" s="32" t="n">
        <v>24881.43</v>
      </c>
      <c r="N904" s="32" t="n">
        <v>24868.33</v>
      </c>
      <c r="O904" s="32" t="n">
        <v>24912.67</v>
      </c>
      <c r="P904" s="45" t="n">
        <f aca="false">ABS(M904-N904)</f>
        <v>13.0999999999985</v>
      </c>
      <c r="Q904" s="45" t="n">
        <f aca="false">IF(O904="","",ABS(O904-M904))</f>
        <v>31.239999999998</v>
      </c>
      <c r="R904" s="31" t="n">
        <f aca="false">P904*L904*Summary!$C$6</f>
        <v>52.3999999999942</v>
      </c>
      <c r="S904" s="32" t="n">
        <v>24913.52</v>
      </c>
      <c r="T904" s="29" t="s">
        <v>227</v>
      </c>
      <c r="U904" s="45" t="n">
        <f aca="false">IF(J904="BUY",S904-M904,M904-S904)</f>
        <v>32.0900000000001</v>
      </c>
      <c r="V904" s="46" t="n">
        <v>0</v>
      </c>
      <c r="W904" s="46" t="n">
        <v>0</v>
      </c>
      <c r="X904" s="46" t="n">
        <v>128.36</v>
      </c>
      <c r="Y904" s="33" t="n">
        <f aca="false">IFERROR(X904/R904,0)</f>
        <v>2.44961832061096</v>
      </c>
      <c r="Z904" s="29" t="str">
        <f aca="false">IF(X904&gt;0,"Win",IF(X904&lt;0,"Loss","Flat"))</f>
        <v>Win</v>
      </c>
      <c r="AA904" s="29" t="n">
        <f aca="false">ROUND((C904-B904)*1440,1)</f>
        <v>1.6</v>
      </c>
      <c r="AB904" s="29" t="str">
        <f aca="false">IF(AA904&lt;1,"a) &lt;1 min",IF(AA904&lt;10,"b) 1-10 min",IF(AA904&lt;60,"c) 10-60 min",IF(AA904&lt;240,"d) 1-4 h","e) 4 h+"))))</f>
        <v>b) 1-10 min</v>
      </c>
      <c r="AC904" s="29" t="str">
        <f aca="false">IF(P904&lt;10,"a) &lt;10",IF(P904&lt;20,"b) 10-20",IF(P904&lt;40,"c) 20-40",IF(P904&lt;80,"d) 40-80","e) 80+"))))</f>
        <v>b) 10-20</v>
      </c>
      <c r="AD904" s="31" t="n">
        <f aca="false">Summary!$C$5+SUM(X$2:X904)</f>
        <v>20079.19</v>
      </c>
      <c r="AE904" s="31" t="n">
        <f aca="false">MAX(AE903,AD904)</f>
        <v>20079.19</v>
      </c>
      <c r="AF904" s="31" t="n">
        <f aca="false">AE904-AD904</f>
        <v>0</v>
      </c>
      <c r="AG904" s="30" t="n">
        <f aca="false">IFERROR(AF904/AE904,0)</f>
        <v>0</v>
      </c>
    </row>
    <row r="905" customFormat="false" ht="15" hidden="false" customHeight="false" outlineLevel="0" collapsed="false">
      <c r="A905" s="29" t="n">
        <v>904</v>
      </c>
      <c r="B905" s="44" t="n">
        <v>45946.6986111111</v>
      </c>
      <c r="C905" s="44" t="n">
        <v>45946.6995138889</v>
      </c>
      <c r="D905" s="43" t="n">
        <f aca="false">INT(C905)</f>
        <v>45946</v>
      </c>
      <c r="E905" s="43" t="n">
        <f aca="false">D905-WEEKDAY(D905,3)</f>
        <v>45943</v>
      </c>
      <c r="F905" s="29" t="s">
        <v>186</v>
      </c>
      <c r="G905" s="29" t="n">
        <v>2025</v>
      </c>
      <c r="H905" s="29" t="s">
        <v>253</v>
      </c>
      <c r="I905" s="29" t="n">
        <v>16</v>
      </c>
      <c r="J905" s="29" t="s">
        <v>246</v>
      </c>
      <c r="K905" s="29" t="s">
        <v>247</v>
      </c>
      <c r="L905" s="29" t="n">
        <v>0.04</v>
      </c>
      <c r="M905" s="32" t="n">
        <v>24950.21</v>
      </c>
      <c r="N905" s="32" t="n">
        <v>24925.6</v>
      </c>
      <c r="O905" s="32" t="n">
        <v>25010.51</v>
      </c>
      <c r="P905" s="45" t="n">
        <f aca="false">ABS(M905-N905)</f>
        <v>24.6100000000006</v>
      </c>
      <c r="Q905" s="45" t="n">
        <f aca="false">IF(O905="","",ABS(O905-M905))</f>
        <v>60.2999999999993</v>
      </c>
      <c r="R905" s="31" t="n">
        <f aca="false">P905*L905*Summary!$C$6</f>
        <v>98.4400000000023</v>
      </c>
      <c r="S905" s="32" t="n">
        <v>24923.59</v>
      </c>
      <c r="T905" s="29" t="s">
        <v>249</v>
      </c>
      <c r="U905" s="45" t="n">
        <f aca="false">IF(J905="BUY",S905-M905,M905-S905)</f>
        <v>-26.619999999999</v>
      </c>
      <c r="V905" s="46" t="n">
        <v>0</v>
      </c>
      <c r="W905" s="46" t="n">
        <v>0</v>
      </c>
      <c r="X905" s="46" t="n">
        <v>-106.48</v>
      </c>
      <c r="Y905" s="33" t="n">
        <f aca="false">IFERROR(X905/R905,0)</f>
        <v>-1.0816741162129</v>
      </c>
      <c r="Z905" s="29" t="str">
        <f aca="false">IF(X905&gt;0,"Win",IF(X905&lt;0,"Loss","Flat"))</f>
        <v>Loss</v>
      </c>
      <c r="AA905" s="29" t="n">
        <f aca="false">ROUND((C905-B905)*1440,1)</f>
        <v>1.3</v>
      </c>
      <c r="AB905" s="29" t="str">
        <f aca="false">IF(AA905&lt;1,"a) &lt;1 min",IF(AA905&lt;10,"b) 1-10 min",IF(AA905&lt;60,"c) 10-60 min",IF(AA905&lt;240,"d) 1-4 h","e) 4 h+"))))</f>
        <v>b) 1-10 min</v>
      </c>
      <c r="AC905" s="29" t="str">
        <f aca="false">IF(P905&lt;10,"a) &lt;10",IF(P905&lt;20,"b) 10-20",IF(P905&lt;40,"c) 20-40",IF(P905&lt;80,"d) 40-80","e) 80+"))))</f>
        <v>c) 20-40</v>
      </c>
      <c r="AD905" s="31" t="n">
        <f aca="false">Summary!$C$5+SUM(X$2:X905)</f>
        <v>19972.71</v>
      </c>
      <c r="AE905" s="31" t="n">
        <f aca="false">MAX(AE904,AD905)</f>
        <v>20079.19</v>
      </c>
      <c r="AF905" s="31" t="n">
        <f aca="false">AE905-AD905</f>
        <v>106.480000000003</v>
      </c>
      <c r="AG905" s="30" t="n">
        <f aca="false">IFERROR(AF905/AE905,0)</f>
        <v>0.00530300276056968</v>
      </c>
    </row>
    <row r="906" customFormat="false" ht="15" hidden="false" customHeight="false" outlineLevel="0" collapsed="false">
      <c r="A906" s="29" t="n">
        <v>905</v>
      </c>
      <c r="B906" s="44" t="n">
        <v>45946.8993055556</v>
      </c>
      <c r="C906" s="44" t="n">
        <v>45946.8995138889</v>
      </c>
      <c r="D906" s="43" t="n">
        <f aca="false">INT(C906)</f>
        <v>45946</v>
      </c>
      <c r="E906" s="43" t="n">
        <f aca="false">D906-WEEKDAY(D906,3)</f>
        <v>45943</v>
      </c>
      <c r="F906" s="29" t="s">
        <v>186</v>
      </c>
      <c r="G906" s="29" t="n">
        <v>2025</v>
      </c>
      <c r="H906" s="29" t="s">
        <v>253</v>
      </c>
      <c r="I906" s="29" t="n">
        <v>21</v>
      </c>
      <c r="J906" s="29" t="s">
        <v>250</v>
      </c>
      <c r="K906" s="29" t="s">
        <v>251</v>
      </c>
      <c r="L906" s="29" t="n">
        <v>0.04</v>
      </c>
      <c r="M906" s="32" t="n">
        <v>24483.78</v>
      </c>
      <c r="N906" s="32" t="n">
        <v>24506.19</v>
      </c>
      <c r="O906" s="32" t="n">
        <v>24425.22</v>
      </c>
      <c r="P906" s="45" t="n">
        <f aca="false">ABS(M906-N906)</f>
        <v>22.4099999999999</v>
      </c>
      <c r="Q906" s="45" t="n">
        <f aca="false">IF(O906="","",ABS(O906-M906))</f>
        <v>58.5599999999977</v>
      </c>
      <c r="R906" s="31" t="n">
        <f aca="false">P906*L906*Summary!$C$6</f>
        <v>89.6399999999994</v>
      </c>
      <c r="S906" s="32" t="n">
        <v>24506.89</v>
      </c>
      <c r="T906" s="29" t="s">
        <v>249</v>
      </c>
      <c r="U906" s="45" t="n">
        <f aca="false">IF(J906="BUY",S906-M906,M906-S906)</f>
        <v>-23.1100000000006</v>
      </c>
      <c r="V906" s="46" t="n">
        <v>0</v>
      </c>
      <c r="W906" s="46" t="n">
        <v>0</v>
      </c>
      <c r="X906" s="46" t="n">
        <v>-92.44</v>
      </c>
      <c r="Y906" s="33" t="n">
        <f aca="false">IFERROR(X906/R906,0)</f>
        <v>-1.03123605533245</v>
      </c>
      <c r="Z906" s="29" t="str">
        <f aca="false">IF(X906&gt;0,"Win",IF(X906&lt;0,"Loss","Flat"))</f>
        <v>Loss</v>
      </c>
      <c r="AA906" s="29" t="n">
        <f aca="false">ROUND((C906-B906)*1440,1)</f>
        <v>0.3</v>
      </c>
      <c r="AB906" s="29" t="str">
        <f aca="false">IF(AA906&lt;1,"a) &lt;1 min",IF(AA906&lt;10,"b) 1-10 min",IF(AA906&lt;60,"c) 10-60 min",IF(AA906&lt;240,"d) 1-4 h","e) 4 h+"))))</f>
        <v>a) &lt;1 min</v>
      </c>
      <c r="AC906" s="29" t="str">
        <f aca="false">IF(P906&lt;10,"a) &lt;10",IF(P906&lt;20,"b) 10-20",IF(P906&lt;40,"c) 20-40",IF(P906&lt;80,"d) 40-80","e) 80+"))))</f>
        <v>c) 20-40</v>
      </c>
      <c r="AD906" s="31" t="n">
        <f aca="false">Summary!$C$5+SUM(X$2:X906)</f>
        <v>19880.27</v>
      </c>
      <c r="AE906" s="31" t="n">
        <f aca="false">MAX(AE905,AD906)</f>
        <v>20079.19</v>
      </c>
      <c r="AF906" s="31" t="n">
        <f aca="false">AE906-AD906</f>
        <v>198.920000000002</v>
      </c>
      <c r="AG906" s="30" t="n">
        <f aca="false">IFERROR(AF906/AE906,0)</f>
        <v>0.00990677412784091</v>
      </c>
    </row>
    <row r="907" customFormat="false" ht="15" hidden="false" customHeight="false" outlineLevel="0" collapsed="false">
      <c r="A907" s="29" t="n">
        <v>906</v>
      </c>
      <c r="B907" s="44" t="n">
        <v>45947.3604166667</v>
      </c>
      <c r="C907" s="44" t="n">
        <v>45947.361712963</v>
      </c>
      <c r="D907" s="43" t="n">
        <f aca="false">INT(C907)</f>
        <v>45947</v>
      </c>
      <c r="E907" s="43" t="n">
        <f aca="false">D907-WEEKDAY(D907,3)</f>
        <v>45943</v>
      </c>
      <c r="F907" s="29" t="s">
        <v>186</v>
      </c>
      <c r="G907" s="29" t="n">
        <v>2025</v>
      </c>
      <c r="H907" s="29" t="s">
        <v>254</v>
      </c>
      <c r="I907" s="29" t="n">
        <v>8</v>
      </c>
      <c r="J907" s="29" t="s">
        <v>250</v>
      </c>
      <c r="K907" s="29" t="s">
        <v>251</v>
      </c>
      <c r="L907" s="29" t="n">
        <v>0.04</v>
      </c>
      <c r="M907" s="32" t="n">
        <v>24466.03</v>
      </c>
      <c r="N907" s="32" t="n">
        <v>24475.38</v>
      </c>
      <c r="O907" s="32" t="n">
        <v>24443.12</v>
      </c>
      <c r="P907" s="45" t="n">
        <f aca="false">ABS(M907-N907)</f>
        <v>9.35000000000218</v>
      </c>
      <c r="Q907" s="45" t="n">
        <f aca="false">IF(O907="","",ABS(O907-M907))</f>
        <v>22.9099999999999</v>
      </c>
      <c r="R907" s="31" t="n">
        <f aca="false">P907*L907*Summary!$C$6</f>
        <v>37.4000000000087</v>
      </c>
      <c r="S907" s="32" t="n">
        <v>24466.78</v>
      </c>
      <c r="T907" s="29" t="s">
        <v>255</v>
      </c>
      <c r="U907" s="45" t="n">
        <f aca="false">IF(J907="BUY",S907-M907,M907-S907)</f>
        <v>-0.75</v>
      </c>
      <c r="V907" s="46" t="n">
        <v>0</v>
      </c>
      <c r="W907" s="46" t="n">
        <v>0</v>
      </c>
      <c r="X907" s="46" t="n">
        <v>-3</v>
      </c>
      <c r="Y907" s="33" t="n">
        <f aca="false">IFERROR(X907/R907,0)</f>
        <v>-0.0802139037432968</v>
      </c>
      <c r="Z907" s="29" t="str">
        <f aca="false">IF(X907&gt;0,"Win",IF(X907&lt;0,"Loss","Flat"))</f>
        <v>Loss</v>
      </c>
      <c r="AA907" s="29" t="n">
        <f aca="false">ROUND((C907-B907)*1440,1)</f>
        <v>1.9</v>
      </c>
      <c r="AB907" s="29" t="str">
        <f aca="false">IF(AA907&lt;1,"a) &lt;1 min",IF(AA907&lt;10,"b) 1-10 min",IF(AA907&lt;60,"c) 10-60 min",IF(AA907&lt;240,"d) 1-4 h","e) 4 h+"))))</f>
        <v>b) 1-10 min</v>
      </c>
      <c r="AC907" s="29" t="str">
        <f aca="false">IF(P907&lt;10,"a) &lt;10",IF(P907&lt;20,"b) 10-20",IF(P907&lt;40,"c) 20-40",IF(P907&lt;80,"d) 40-80","e) 80+"))))</f>
        <v>a) &lt;10</v>
      </c>
      <c r="AD907" s="31" t="n">
        <f aca="false">Summary!$C$5+SUM(X$2:X907)</f>
        <v>19877.27</v>
      </c>
      <c r="AE907" s="31" t="n">
        <f aca="false">MAX(AE906,AD907)</f>
        <v>20079.19</v>
      </c>
      <c r="AF907" s="31" t="n">
        <f aca="false">AE907-AD907</f>
        <v>201.920000000002</v>
      </c>
      <c r="AG907" s="30" t="n">
        <f aca="false">IFERROR(AF907/AE907,0)</f>
        <v>0.0100561825452123</v>
      </c>
    </row>
    <row r="908" customFormat="false" ht="15" hidden="false" customHeight="false" outlineLevel="0" collapsed="false">
      <c r="A908" s="29" t="n">
        <v>907</v>
      </c>
      <c r="B908" s="44" t="n">
        <v>45950.0423611111</v>
      </c>
      <c r="C908" s="44" t="n">
        <v>45950.0440509259</v>
      </c>
      <c r="D908" s="43" t="n">
        <f aca="false">INT(C908)</f>
        <v>45950</v>
      </c>
      <c r="E908" s="43" t="n">
        <f aca="false">D908-WEEKDAY(D908,3)</f>
        <v>45950</v>
      </c>
      <c r="F908" s="29" t="s">
        <v>186</v>
      </c>
      <c r="G908" s="29" t="n">
        <v>2025</v>
      </c>
      <c r="H908" s="29" t="s">
        <v>245</v>
      </c>
      <c r="I908" s="29" t="n">
        <v>1</v>
      </c>
      <c r="J908" s="29" t="s">
        <v>246</v>
      </c>
      <c r="K908" s="29" t="s">
        <v>247</v>
      </c>
      <c r="L908" s="29" t="n">
        <v>0.03</v>
      </c>
      <c r="M908" s="32" t="n">
        <v>24911.5</v>
      </c>
      <c r="N908" s="32" t="n">
        <v>24889.8</v>
      </c>
      <c r="O908" s="32" t="n">
        <v>24964.66</v>
      </c>
      <c r="P908" s="45" t="n">
        <f aca="false">ABS(M908-N908)</f>
        <v>21.7000000000007</v>
      </c>
      <c r="Q908" s="45" t="n">
        <f aca="false">IF(O908="","",ABS(O908-M908))</f>
        <v>53.1599999999999</v>
      </c>
      <c r="R908" s="31" t="n">
        <f aca="false">P908*L908*Summary!$C$6</f>
        <v>65.1000000000022</v>
      </c>
      <c r="S908" s="32" t="n">
        <v>24889.47</v>
      </c>
      <c r="T908" s="29" t="s">
        <v>249</v>
      </c>
      <c r="U908" s="45" t="n">
        <f aca="false">IF(J908="BUY",S908-M908,M908-S908)</f>
        <v>-22.0299999999988</v>
      </c>
      <c r="V908" s="46" t="n">
        <v>0</v>
      </c>
      <c r="W908" s="46" t="n">
        <v>0</v>
      </c>
      <c r="X908" s="46" t="n">
        <v>-66.09</v>
      </c>
      <c r="Y908" s="33" t="n">
        <f aca="false">IFERROR(X908/R908,0)</f>
        <v>-1.01520737327186</v>
      </c>
      <c r="Z908" s="29" t="str">
        <f aca="false">IF(X908&gt;0,"Win",IF(X908&lt;0,"Loss","Flat"))</f>
        <v>Loss</v>
      </c>
      <c r="AA908" s="29" t="n">
        <f aca="false">ROUND((C908-B908)*1440,1)</f>
        <v>2.4</v>
      </c>
      <c r="AB908" s="29" t="str">
        <f aca="false">IF(AA908&lt;1,"a) &lt;1 min",IF(AA908&lt;10,"b) 1-10 min",IF(AA908&lt;60,"c) 10-60 min",IF(AA908&lt;240,"d) 1-4 h","e) 4 h+"))))</f>
        <v>b) 1-10 min</v>
      </c>
      <c r="AC908" s="29" t="str">
        <f aca="false">IF(P908&lt;10,"a) &lt;10",IF(P908&lt;20,"b) 10-20",IF(P908&lt;40,"c) 20-40",IF(P908&lt;80,"d) 40-80","e) 80+"))))</f>
        <v>c) 20-40</v>
      </c>
      <c r="AD908" s="31" t="n">
        <f aca="false">Summary!$C$5+SUM(X$2:X908)</f>
        <v>19811.18</v>
      </c>
      <c r="AE908" s="31" t="n">
        <f aca="false">MAX(AE907,AD908)</f>
        <v>20079.19</v>
      </c>
      <c r="AF908" s="31" t="n">
        <f aca="false">AE908-AD908</f>
        <v>268.010000000002</v>
      </c>
      <c r="AG908" s="30" t="n">
        <f aca="false">IFERROR(AF908/AE908,0)</f>
        <v>0.0133476499799047</v>
      </c>
    </row>
    <row r="909" customFormat="false" ht="15" hidden="false" customHeight="false" outlineLevel="0" collapsed="false">
      <c r="A909" s="29" t="n">
        <v>908</v>
      </c>
      <c r="B909" s="44" t="n">
        <v>45951.1680555556</v>
      </c>
      <c r="C909" s="44" t="n">
        <v>45951.1684143519</v>
      </c>
      <c r="D909" s="43" t="n">
        <f aca="false">INT(C909)</f>
        <v>45951</v>
      </c>
      <c r="E909" s="43" t="n">
        <f aca="false">D909-WEEKDAY(D909,3)</f>
        <v>45950</v>
      </c>
      <c r="F909" s="29" t="s">
        <v>186</v>
      </c>
      <c r="G909" s="29" t="n">
        <v>2025</v>
      </c>
      <c r="H909" s="29" t="s">
        <v>248</v>
      </c>
      <c r="I909" s="29" t="n">
        <v>4</v>
      </c>
      <c r="J909" s="29" t="s">
        <v>246</v>
      </c>
      <c r="K909" s="29" t="s">
        <v>247</v>
      </c>
      <c r="L909" s="29" t="n">
        <v>0.03</v>
      </c>
      <c r="M909" s="32" t="n">
        <v>25184.54</v>
      </c>
      <c r="N909" s="32" t="n">
        <v>25180.81</v>
      </c>
      <c r="O909" s="32" t="n">
        <v>25193.67</v>
      </c>
      <c r="P909" s="45" t="n">
        <f aca="false">ABS(M909-N909)</f>
        <v>3.72999999999956</v>
      </c>
      <c r="Q909" s="45" t="n">
        <f aca="false">IF(O909="","",ABS(O909-M909))</f>
        <v>9.12999999999738</v>
      </c>
      <c r="R909" s="31" t="n">
        <f aca="false">P909*L909*Summary!$C$6</f>
        <v>11.1899999999987</v>
      </c>
      <c r="S909" s="32" t="n">
        <v>25180.64</v>
      </c>
      <c r="T909" s="29" t="s">
        <v>249</v>
      </c>
      <c r="U909" s="45" t="n">
        <f aca="false">IF(J909="BUY",S909-M909,M909-S909)</f>
        <v>-3.90000000000146</v>
      </c>
      <c r="V909" s="46" t="n">
        <v>0</v>
      </c>
      <c r="W909" s="46" t="n">
        <v>0</v>
      </c>
      <c r="X909" s="46" t="n">
        <v>-11.7</v>
      </c>
      <c r="Y909" s="33" t="n">
        <f aca="false">IFERROR(X909/R909,0)</f>
        <v>-1.04557640750682</v>
      </c>
      <c r="Z909" s="29" t="str">
        <f aca="false">IF(X909&gt;0,"Win",IF(X909&lt;0,"Loss","Flat"))</f>
        <v>Loss</v>
      </c>
      <c r="AA909" s="29" t="n">
        <f aca="false">ROUND((C909-B909)*1440,1)</f>
        <v>0.5</v>
      </c>
      <c r="AB909" s="29" t="str">
        <f aca="false">IF(AA909&lt;1,"a) &lt;1 min",IF(AA909&lt;10,"b) 1-10 min",IF(AA909&lt;60,"c) 10-60 min",IF(AA909&lt;240,"d) 1-4 h","e) 4 h+"))))</f>
        <v>a) &lt;1 min</v>
      </c>
      <c r="AC909" s="29" t="str">
        <f aca="false">IF(P909&lt;10,"a) &lt;10",IF(P909&lt;20,"b) 10-20",IF(P909&lt;40,"c) 20-40",IF(P909&lt;80,"d) 40-80","e) 80+"))))</f>
        <v>a) &lt;10</v>
      </c>
      <c r="AD909" s="31" t="n">
        <f aca="false">Summary!$C$5+SUM(X$2:X909)</f>
        <v>19799.48</v>
      </c>
      <c r="AE909" s="31" t="n">
        <f aca="false">MAX(AE908,AD909)</f>
        <v>20079.19</v>
      </c>
      <c r="AF909" s="31" t="n">
        <f aca="false">AE909-AD909</f>
        <v>279.710000000003</v>
      </c>
      <c r="AG909" s="30" t="n">
        <f aca="false">IFERROR(AF909/AE909,0)</f>
        <v>0.0139303428076532</v>
      </c>
    </row>
    <row r="910" customFormat="false" ht="15" hidden="false" customHeight="false" outlineLevel="0" collapsed="false">
      <c r="A910" s="29" t="n">
        <v>909</v>
      </c>
      <c r="B910" s="44" t="n">
        <v>45952.6902777778</v>
      </c>
      <c r="C910" s="44" t="n">
        <v>45952.6943171296</v>
      </c>
      <c r="D910" s="43" t="n">
        <f aca="false">INT(C910)</f>
        <v>45952</v>
      </c>
      <c r="E910" s="43" t="n">
        <f aca="false">D910-WEEKDAY(D910,3)</f>
        <v>45950</v>
      </c>
      <c r="F910" s="29" t="s">
        <v>186</v>
      </c>
      <c r="G910" s="29" t="n">
        <v>2025</v>
      </c>
      <c r="H910" s="29" t="s">
        <v>252</v>
      </c>
      <c r="I910" s="29" t="n">
        <v>16</v>
      </c>
      <c r="J910" s="29" t="s">
        <v>250</v>
      </c>
      <c r="K910" s="29" t="s">
        <v>251</v>
      </c>
      <c r="L910" s="29" t="n">
        <v>0.03</v>
      </c>
      <c r="M910" s="32" t="n">
        <v>25035.38</v>
      </c>
      <c r="N910" s="32" t="n">
        <v>25060.02</v>
      </c>
      <c r="O910" s="32" t="n">
        <v>24975.01</v>
      </c>
      <c r="P910" s="45" t="n">
        <f aca="false">ABS(M910-N910)</f>
        <v>24.6399999999994</v>
      </c>
      <c r="Q910" s="45" t="n">
        <f aca="false">IF(O910="","",ABS(O910-M910))</f>
        <v>60.3700000000026</v>
      </c>
      <c r="R910" s="31" t="n">
        <f aca="false">P910*L910*Summary!$C$6</f>
        <v>73.9199999999983</v>
      </c>
      <c r="S910" s="32" t="n">
        <v>25060.96</v>
      </c>
      <c r="T910" s="29" t="s">
        <v>249</v>
      </c>
      <c r="U910" s="45" t="n">
        <f aca="false">IF(J910="BUY",S910-M910,M910-S910)</f>
        <v>-25.5799999999981</v>
      </c>
      <c r="V910" s="46" t="n">
        <v>0</v>
      </c>
      <c r="W910" s="46" t="n">
        <v>0</v>
      </c>
      <c r="X910" s="46" t="n">
        <v>-76.74</v>
      </c>
      <c r="Y910" s="33" t="n">
        <f aca="false">IFERROR(X910/R910,0)</f>
        <v>-1.03814935064938</v>
      </c>
      <c r="Z910" s="29" t="str">
        <f aca="false">IF(X910&gt;0,"Win",IF(X910&lt;0,"Loss","Flat"))</f>
        <v>Loss</v>
      </c>
      <c r="AA910" s="29" t="n">
        <f aca="false">ROUND((C910-B910)*1440,1)</f>
        <v>5.8</v>
      </c>
      <c r="AB910" s="29" t="str">
        <f aca="false">IF(AA910&lt;1,"a) &lt;1 min",IF(AA910&lt;10,"b) 1-10 min",IF(AA910&lt;60,"c) 10-60 min",IF(AA910&lt;240,"d) 1-4 h","e) 4 h+"))))</f>
        <v>b) 1-10 min</v>
      </c>
      <c r="AC910" s="29" t="str">
        <f aca="false">IF(P910&lt;10,"a) &lt;10",IF(P910&lt;20,"b) 10-20",IF(P910&lt;40,"c) 20-40",IF(P910&lt;80,"d) 40-80","e) 80+"))))</f>
        <v>c) 20-40</v>
      </c>
      <c r="AD910" s="31" t="n">
        <f aca="false">Summary!$C$5+SUM(X$2:X910)</f>
        <v>19722.74</v>
      </c>
      <c r="AE910" s="31" t="n">
        <f aca="false">MAX(AE909,AD910)</f>
        <v>20079.19</v>
      </c>
      <c r="AF910" s="31" t="n">
        <f aca="false">AE910-AD910</f>
        <v>356.450000000004</v>
      </c>
      <c r="AG910" s="30" t="n">
        <f aca="false">IFERROR(AF910/AE910,0)</f>
        <v>0.0177522101240142</v>
      </c>
    </row>
    <row r="911" customFormat="false" ht="15" hidden="false" customHeight="false" outlineLevel="0" collapsed="false">
      <c r="A911" s="29" t="n">
        <v>910</v>
      </c>
      <c r="B911" s="44" t="n">
        <v>45954.0423611111</v>
      </c>
      <c r="C911" s="44" t="n">
        <v>45954.0449074074</v>
      </c>
      <c r="D911" s="43" t="n">
        <f aca="false">INT(C911)</f>
        <v>45954</v>
      </c>
      <c r="E911" s="43" t="n">
        <f aca="false">D911-WEEKDAY(D911,3)</f>
        <v>45950</v>
      </c>
      <c r="F911" s="29" t="s">
        <v>186</v>
      </c>
      <c r="G911" s="29" t="n">
        <v>2025</v>
      </c>
      <c r="H911" s="29" t="s">
        <v>254</v>
      </c>
      <c r="I911" s="29" t="n">
        <v>1</v>
      </c>
      <c r="J911" s="29" t="s">
        <v>246</v>
      </c>
      <c r="K911" s="29" t="s">
        <v>247</v>
      </c>
      <c r="L911" s="29" t="n">
        <v>0.03</v>
      </c>
      <c r="M911" s="32" t="n">
        <v>25139.89</v>
      </c>
      <c r="N911" s="32" t="n">
        <v>25130.29</v>
      </c>
      <c r="O911" s="32" t="n">
        <v>25163.4</v>
      </c>
      <c r="P911" s="45" t="n">
        <f aca="false">ABS(M911-N911)</f>
        <v>9.59999999999855</v>
      </c>
      <c r="Q911" s="45" t="n">
        <f aca="false">IF(O911="","",ABS(O911-M911))</f>
        <v>23.510000000002</v>
      </c>
      <c r="R911" s="31" t="n">
        <f aca="false">P911*L911*Summary!$C$6</f>
        <v>28.7999999999956</v>
      </c>
      <c r="S911" s="32" t="n">
        <v>25139.65</v>
      </c>
      <c r="T911" s="29" t="s">
        <v>255</v>
      </c>
      <c r="U911" s="45" t="n">
        <f aca="false">IF(J911="BUY",S911-M911,M911-S911)</f>
        <v>-0.239999999997963</v>
      </c>
      <c r="V911" s="46" t="n">
        <v>0</v>
      </c>
      <c r="W911" s="46" t="n">
        <v>0</v>
      </c>
      <c r="X911" s="46" t="n">
        <v>-0.72</v>
      </c>
      <c r="Y911" s="33" t="n">
        <f aca="false">IFERROR(X911/R911,0)</f>
        <v>-0.0250000000000038</v>
      </c>
      <c r="Z911" s="29" t="str">
        <f aca="false">IF(X911&gt;0,"Win",IF(X911&lt;0,"Loss","Flat"))</f>
        <v>Loss</v>
      </c>
      <c r="AA911" s="29" t="n">
        <f aca="false">ROUND((C911-B911)*1440,1)</f>
        <v>3.7</v>
      </c>
      <c r="AB911" s="29" t="str">
        <f aca="false">IF(AA911&lt;1,"a) &lt;1 min",IF(AA911&lt;10,"b) 1-10 min",IF(AA911&lt;60,"c) 10-60 min",IF(AA911&lt;240,"d) 1-4 h","e) 4 h+"))))</f>
        <v>b) 1-10 min</v>
      </c>
      <c r="AC911" s="29" t="str">
        <f aca="false">IF(P911&lt;10,"a) &lt;10",IF(P911&lt;20,"b) 10-20",IF(P911&lt;40,"c) 20-40",IF(P911&lt;80,"d) 40-80","e) 80+"))))</f>
        <v>a) &lt;10</v>
      </c>
      <c r="AD911" s="31" t="n">
        <f aca="false">Summary!$C$5+SUM(X$2:X911)</f>
        <v>19722.02</v>
      </c>
      <c r="AE911" s="31" t="n">
        <f aca="false">MAX(AE910,AD911)</f>
        <v>20079.19</v>
      </c>
      <c r="AF911" s="31" t="n">
        <f aca="false">AE911-AD911</f>
        <v>357.170000000002</v>
      </c>
      <c r="AG911" s="30" t="n">
        <f aca="false">IFERROR(AF911/AE911,0)</f>
        <v>0.0177880681441832</v>
      </c>
    </row>
    <row r="912" customFormat="false" ht="15" hidden="false" customHeight="false" outlineLevel="0" collapsed="false">
      <c r="A912" s="29" t="n">
        <v>911</v>
      </c>
      <c r="B912" s="44" t="n">
        <v>45957.0423611111</v>
      </c>
      <c r="C912" s="44" t="n">
        <v>45957.6883449074</v>
      </c>
      <c r="D912" s="43" t="n">
        <f aca="false">INT(C912)</f>
        <v>45957</v>
      </c>
      <c r="E912" s="43" t="n">
        <f aca="false">D912-WEEKDAY(D912,3)</f>
        <v>45957</v>
      </c>
      <c r="F912" s="29" t="s">
        <v>186</v>
      </c>
      <c r="G912" s="29" t="n">
        <v>2025</v>
      </c>
      <c r="H912" s="29" t="s">
        <v>245</v>
      </c>
      <c r="I912" s="29" t="n">
        <v>1</v>
      </c>
      <c r="J912" s="29" t="s">
        <v>246</v>
      </c>
      <c r="K912" s="29" t="s">
        <v>247</v>
      </c>
      <c r="L912" s="29" t="n">
        <v>0.03</v>
      </c>
      <c r="M912" s="32" t="n">
        <v>25578.66</v>
      </c>
      <c r="N912" s="32" t="n">
        <v>25523.64</v>
      </c>
      <c r="O912" s="32" t="n">
        <v>25711.64</v>
      </c>
      <c r="P912" s="45" t="n">
        <f aca="false">ABS(M912-N912)</f>
        <v>55.0200000000004</v>
      </c>
      <c r="Q912" s="45" t="n">
        <f aca="false">IF(O912="","",ABS(O912-M912))</f>
        <v>132.98</v>
      </c>
      <c r="R912" s="31" t="n">
        <f aca="false">P912*L912*Summary!$C$6</f>
        <v>165.060000000001</v>
      </c>
      <c r="S912" s="32" t="n">
        <v>25712.05</v>
      </c>
      <c r="T912" s="29" t="s">
        <v>227</v>
      </c>
      <c r="U912" s="45" t="n">
        <f aca="false">IF(J912="BUY",S912-M912,M912-S912)</f>
        <v>133.389999999999</v>
      </c>
      <c r="V912" s="46" t="n">
        <v>0</v>
      </c>
      <c r="W912" s="46" t="n">
        <v>0</v>
      </c>
      <c r="X912" s="46" t="n">
        <v>400.17</v>
      </c>
      <c r="Y912" s="33" t="n">
        <f aca="false">IFERROR(X912/R912,0)</f>
        <v>2.42439113049798</v>
      </c>
      <c r="Z912" s="29" t="str">
        <f aca="false">IF(X912&gt;0,"Win",IF(X912&lt;0,"Loss","Flat"))</f>
        <v>Win</v>
      </c>
      <c r="AA912" s="29" t="n">
        <f aca="false">ROUND((C912-B912)*1440,1)</f>
        <v>930.2</v>
      </c>
      <c r="AB912" s="29" t="str">
        <f aca="false">IF(AA912&lt;1,"a) &lt;1 min",IF(AA912&lt;10,"b) 1-10 min",IF(AA912&lt;60,"c) 10-60 min",IF(AA912&lt;240,"d) 1-4 h","e) 4 h+"))))</f>
        <v>e) 4 h+</v>
      </c>
      <c r="AC912" s="29" t="str">
        <f aca="false">IF(P912&lt;10,"a) &lt;10",IF(P912&lt;20,"b) 10-20",IF(P912&lt;40,"c) 20-40",IF(P912&lt;80,"d) 40-80","e) 80+"))))</f>
        <v>d) 40-80</v>
      </c>
      <c r="AD912" s="31" t="n">
        <f aca="false">Summary!$C$5+SUM(X$2:X912)</f>
        <v>20122.19</v>
      </c>
      <c r="AE912" s="31" t="n">
        <f aca="false">MAX(AE911,AD912)</f>
        <v>20122.19</v>
      </c>
      <c r="AF912" s="31" t="n">
        <f aca="false">AE912-AD912</f>
        <v>0</v>
      </c>
      <c r="AG912" s="30" t="n">
        <f aca="false">IFERROR(AF912/AE912,0)</f>
        <v>0</v>
      </c>
    </row>
    <row r="913" customFormat="false" ht="15" hidden="false" customHeight="false" outlineLevel="0" collapsed="false">
      <c r="A913" s="29" t="n">
        <v>912</v>
      </c>
      <c r="B913" s="44" t="n">
        <v>45958.0423611111</v>
      </c>
      <c r="C913" s="44" t="n">
        <v>45958.1011111111</v>
      </c>
      <c r="D913" s="43" t="n">
        <f aca="false">INT(C913)</f>
        <v>45958</v>
      </c>
      <c r="E913" s="43" t="n">
        <f aca="false">D913-WEEKDAY(D913,3)</f>
        <v>45957</v>
      </c>
      <c r="F913" s="29" t="s">
        <v>186</v>
      </c>
      <c r="G913" s="29" t="n">
        <v>2025</v>
      </c>
      <c r="H913" s="29" t="s">
        <v>248</v>
      </c>
      <c r="I913" s="29" t="n">
        <v>1</v>
      </c>
      <c r="J913" s="29" t="s">
        <v>246</v>
      </c>
      <c r="K913" s="29" t="s">
        <v>247</v>
      </c>
      <c r="L913" s="29" t="n">
        <v>0.03</v>
      </c>
      <c r="M913" s="32" t="n">
        <v>25850.91</v>
      </c>
      <c r="N913" s="32" t="n">
        <v>25842.14</v>
      </c>
      <c r="O913" s="32" t="n">
        <v>25872.39</v>
      </c>
      <c r="P913" s="45" t="n">
        <f aca="false">ABS(M913-N913)</f>
        <v>8.77000000000044</v>
      </c>
      <c r="Q913" s="45" t="n">
        <f aca="false">IF(O913="","",ABS(O913-M913))</f>
        <v>21.4799999999996</v>
      </c>
      <c r="R913" s="31" t="n">
        <f aca="false">P913*L913*Summary!$C$6</f>
        <v>26.3100000000013</v>
      </c>
      <c r="S913" s="32" t="n">
        <v>25874.03</v>
      </c>
      <c r="T913" s="29" t="s">
        <v>227</v>
      </c>
      <c r="U913" s="45" t="n">
        <f aca="false">IF(J913="BUY",S913-M913,M913-S913)</f>
        <v>23.119999999999</v>
      </c>
      <c r="V913" s="46" t="n">
        <v>0</v>
      </c>
      <c r="W913" s="46" t="n">
        <v>0</v>
      </c>
      <c r="X913" s="46" t="n">
        <v>69.36</v>
      </c>
      <c r="Y913" s="33" t="n">
        <f aca="false">IFERROR(X913/R913,0)</f>
        <v>2.63625997719485</v>
      </c>
      <c r="Z913" s="29" t="str">
        <f aca="false">IF(X913&gt;0,"Win",IF(X913&lt;0,"Loss","Flat"))</f>
        <v>Win</v>
      </c>
      <c r="AA913" s="29" t="n">
        <f aca="false">ROUND((C913-B913)*1440,1)</f>
        <v>84.6</v>
      </c>
      <c r="AB913" s="29" t="str">
        <f aca="false">IF(AA913&lt;1,"a) &lt;1 min",IF(AA913&lt;10,"b) 1-10 min",IF(AA913&lt;60,"c) 10-60 min",IF(AA913&lt;240,"d) 1-4 h","e) 4 h+"))))</f>
        <v>d) 1-4 h</v>
      </c>
      <c r="AC913" s="29" t="str">
        <f aca="false">IF(P913&lt;10,"a) &lt;10",IF(P913&lt;20,"b) 10-20",IF(P913&lt;40,"c) 20-40",IF(P913&lt;80,"d) 40-80","e) 80+"))))</f>
        <v>a) &lt;10</v>
      </c>
      <c r="AD913" s="31" t="n">
        <f aca="false">Summary!$C$5+SUM(X$2:X913)</f>
        <v>20191.55</v>
      </c>
      <c r="AE913" s="31" t="n">
        <f aca="false">MAX(AE912,AD913)</f>
        <v>20191.55</v>
      </c>
      <c r="AF913" s="31" t="n">
        <f aca="false">AE913-AD913</f>
        <v>0</v>
      </c>
      <c r="AG913" s="30" t="n">
        <f aca="false">IFERROR(AF913/AE913,0)</f>
        <v>0</v>
      </c>
    </row>
    <row r="914" customFormat="false" ht="15" hidden="false" customHeight="false" outlineLevel="0" collapsed="false">
      <c r="A914" s="29" t="n">
        <v>913</v>
      </c>
      <c r="B914" s="44" t="n">
        <v>45959.2104166667</v>
      </c>
      <c r="C914" s="44" t="n">
        <v>45959.2128935185</v>
      </c>
      <c r="D914" s="43" t="n">
        <f aca="false">INT(C914)</f>
        <v>45959</v>
      </c>
      <c r="E914" s="43" t="n">
        <f aca="false">D914-WEEKDAY(D914,3)</f>
        <v>45957</v>
      </c>
      <c r="F914" s="29" t="s">
        <v>186</v>
      </c>
      <c r="G914" s="29" t="n">
        <v>2025</v>
      </c>
      <c r="H914" s="29" t="s">
        <v>252</v>
      </c>
      <c r="I914" s="29" t="n">
        <v>5</v>
      </c>
      <c r="J914" s="29" t="s">
        <v>246</v>
      </c>
      <c r="K914" s="29" t="s">
        <v>247</v>
      </c>
      <c r="L914" s="29" t="n">
        <v>0.03</v>
      </c>
      <c r="M914" s="32" t="n">
        <v>26087.64</v>
      </c>
      <c r="N914" s="32" t="n">
        <v>26081.25</v>
      </c>
      <c r="O914" s="32" t="n">
        <v>26103.29</v>
      </c>
      <c r="P914" s="45" t="n">
        <f aca="false">ABS(M914-N914)</f>
        <v>6.38999999999942</v>
      </c>
      <c r="Q914" s="45" t="n">
        <f aca="false">IF(O914="","",ABS(O914-M914))</f>
        <v>15.6500000000015</v>
      </c>
      <c r="R914" s="31" t="n">
        <f aca="false">P914*L914*Summary!$C$6</f>
        <v>19.1699999999983</v>
      </c>
      <c r="S914" s="32" t="n">
        <v>26081.12</v>
      </c>
      <c r="T914" s="29" t="s">
        <v>249</v>
      </c>
      <c r="U914" s="45" t="n">
        <f aca="false">IF(J914="BUY",S914-M914,M914-S914)</f>
        <v>-6.52000000000044</v>
      </c>
      <c r="V914" s="46" t="n">
        <v>0</v>
      </c>
      <c r="W914" s="46" t="n">
        <v>0</v>
      </c>
      <c r="X914" s="46" t="n">
        <v>-19.56</v>
      </c>
      <c r="Y914" s="33" t="n">
        <f aca="false">IFERROR(X914/R914,0)</f>
        <v>-1.02034428795001</v>
      </c>
      <c r="Z914" s="29" t="str">
        <f aca="false">IF(X914&gt;0,"Win",IF(X914&lt;0,"Loss","Flat"))</f>
        <v>Loss</v>
      </c>
      <c r="AA914" s="29" t="n">
        <f aca="false">ROUND((C914-B914)*1440,1)</f>
        <v>3.6</v>
      </c>
      <c r="AB914" s="29" t="str">
        <f aca="false">IF(AA914&lt;1,"a) &lt;1 min",IF(AA914&lt;10,"b) 1-10 min",IF(AA914&lt;60,"c) 10-60 min",IF(AA914&lt;240,"d) 1-4 h","e) 4 h+"))))</f>
        <v>b) 1-10 min</v>
      </c>
      <c r="AC914" s="29" t="str">
        <f aca="false">IF(P914&lt;10,"a) &lt;10",IF(P914&lt;20,"b) 10-20",IF(P914&lt;40,"c) 20-40",IF(P914&lt;80,"d) 40-80","e) 80+"))))</f>
        <v>a) &lt;10</v>
      </c>
      <c r="AD914" s="31" t="n">
        <f aca="false">Summary!$C$5+SUM(X$2:X914)</f>
        <v>20171.99</v>
      </c>
      <c r="AE914" s="31" t="n">
        <f aca="false">MAX(AE913,AD914)</f>
        <v>20191.55</v>
      </c>
      <c r="AF914" s="31" t="n">
        <f aca="false">AE914-AD914</f>
        <v>19.5600000000013</v>
      </c>
      <c r="AG914" s="30" t="n">
        <f aca="false">IFERROR(AF914/AE914,0)</f>
        <v>0.000968722064428006</v>
      </c>
    </row>
    <row r="915" customFormat="false" ht="15" hidden="false" customHeight="false" outlineLevel="0" collapsed="false">
      <c r="A915" s="29" t="n">
        <v>914</v>
      </c>
      <c r="B915" s="44" t="n">
        <v>45960.2548611111</v>
      </c>
      <c r="C915" s="44" t="n">
        <v>45960.2569675926</v>
      </c>
      <c r="D915" s="43" t="n">
        <f aca="false">INT(C915)</f>
        <v>45960</v>
      </c>
      <c r="E915" s="43" t="n">
        <f aca="false">D915-WEEKDAY(D915,3)</f>
        <v>45957</v>
      </c>
      <c r="F915" s="29" t="s">
        <v>186</v>
      </c>
      <c r="G915" s="29" t="n">
        <v>2025</v>
      </c>
      <c r="H915" s="29" t="s">
        <v>253</v>
      </c>
      <c r="I915" s="29" t="n">
        <v>6</v>
      </c>
      <c r="J915" s="29" t="s">
        <v>246</v>
      </c>
      <c r="K915" s="29" t="s">
        <v>247</v>
      </c>
      <c r="L915" s="29" t="n">
        <v>0.03</v>
      </c>
      <c r="M915" s="32" t="n">
        <v>26230.37</v>
      </c>
      <c r="N915" s="32" t="n">
        <v>26224.54</v>
      </c>
      <c r="O915" s="32" t="n">
        <v>26244.66</v>
      </c>
      <c r="P915" s="45" t="n">
        <f aca="false">ABS(M915-N915)</f>
        <v>5.82999999999811</v>
      </c>
      <c r="Q915" s="45" t="n">
        <f aca="false">IF(O915="","",ABS(O915-M915))</f>
        <v>14.2900000000009</v>
      </c>
      <c r="R915" s="31" t="n">
        <f aca="false">P915*L915*Summary!$C$6</f>
        <v>17.4899999999943</v>
      </c>
      <c r="S915" s="32" t="n">
        <v>26224.09</v>
      </c>
      <c r="T915" s="29" t="s">
        <v>249</v>
      </c>
      <c r="U915" s="45" t="n">
        <f aca="false">IF(J915="BUY",S915-M915,M915-S915)</f>
        <v>-6.27999999999884</v>
      </c>
      <c r="V915" s="46" t="n">
        <v>0</v>
      </c>
      <c r="W915" s="46" t="n">
        <v>0</v>
      </c>
      <c r="X915" s="46" t="n">
        <v>-18.84</v>
      </c>
      <c r="Y915" s="33" t="n">
        <f aca="false">IFERROR(X915/R915,0)</f>
        <v>-1.07718696397977</v>
      </c>
      <c r="Z915" s="29" t="str">
        <f aca="false">IF(X915&gt;0,"Win",IF(X915&lt;0,"Loss","Flat"))</f>
        <v>Loss</v>
      </c>
      <c r="AA915" s="29" t="n">
        <f aca="false">ROUND((C915-B915)*1440,1)</f>
        <v>3</v>
      </c>
      <c r="AB915" s="29" t="str">
        <f aca="false">IF(AA915&lt;1,"a) &lt;1 min",IF(AA915&lt;10,"b) 1-10 min",IF(AA915&lt;60,"c) 10-60 min",IF(AA915&lt;240,"d) 1-4 h","e) 4 h+"))))</f>
        <v>b) 1-10 min</v>
      </c>
      <c r="AC915" s="29" t="str">
        <f aca="false">IF(P915&lt;10,"a) &lt;10",IF(P915&lt;20,"b) 10-20",IF(P915&lt;40,"c) 20-40",IF(P915&lt;80,"d) 40-80","e) 80+"))))</f>
        <v>a) &lt;10</v>
      </c>
      <c r="AD915" s="31" t="n">
        <f aca="false">Summary!$C$5+SUM(X$2:X915)</f>
        <v>20153.15</v>
      </c>
      <c r="AE915" s="31" t="n">
        <f aca="false">MAX(AE914,AD915)</f>
        <v>20191.55</v>
      </c>
      <c r="AF915" s="31" t="n">
        <f aca="false">AE915-AD915</f>
        <v>38.3999999999978</v>
      </c>
      <c r="AG915" s="30" t="n">
        <f aca="false">IFERROR(AF915/AE915,0)</f>
        <v>0.00190178564795659</v>
      </c>
    </row>
    <row r="916" customFormat="false" ht="15" hidden="false" customHeight="false" outlineLevel="0" collapsed="false">
      <c r="A916" s="29" t="n">
        <v>915</v>
      </c>
      <c r="B916" s="44" t="n">
        <v>45960.6909722222</v>
      </c>
      <c r="C916" s="44" t="n">
        <v>45960.6930902778</v>
      </c>
      <c r="D916" s="43" t="n">
        <f aca="false">INT(C916)</f>
        <v>45960</v>
      </c>
      <c r="E916" s="43" t="n">
        <f aca="false">D916-WEEKDAY(D916,3)</f>
        <v>45957</v>
      </c>
      <c r="F916" s="29" t="s">
        <v>186</v>
      </c>
      <c r="G916" s="29" t="n">
        <v>2025</v>
      </c>
      <c r="H916" s="29" t="s">
        <v>253</v>
      </c>
      <c r="I916" s="29" t="n">
        <v>16</v>
      </c>
      <c r="J916" s="29" t="s">
        <v>250</v>
      </c>
      <c r="K916" s="29" t="s">
        <v>251</v>
      </c>
      <c r="L916" s="29" t="n">
        <v>0.03</v>
      </c>
      <c r="M916" s="32" t="n">
        <v>25902.09</v>
      </c>
      <c r="N916" s="32" t="n">
        <v>25934.1</v>
      </c>
      <c r="O916" s="32" t="n">
        <v>25823.68</v>
      </c>
      <c r="P916" s="45" t="n">
        <f aca="false">ABS(M916-N916)</f>
        <v>32.0099999999984</v>
      </c>
      <c r="Q916" s="45" t="n">
        <f aca="false">IF(O916="","",ABS(O916-M916))</f>
        <v>78.4099999999999</v>
      </c>
      <c r="R916" s="31" t="n">
        <f aca="false">P916*L916*Summary!$C$6</f>
        <v>96.0299999999952</v>
      </c>
      <c r="S916" s="32" t="n">
        <v>25823.37</v>
      </c>
      <c r="T916" s="29" t="s">
        <v>227</v>
      </c>
      <c r="U916" s="45" t="n">
        <f aca="false">IF(J916="BUY",S916-M916,M916-S916)</f>
        <v>78.7200000000012</v>
      </c>
      <c r="V916" s="46" t="n">
        <v>0</v>
      </c>
      <c r="W916" s="46" t="n">
        <v>0</v>
      </c>
      <c r="X916" s="46" t="n">
        <v>236.16</v>
      </c>
      <c r="Y916" s="33" t="n">
        <f aca="false">IFERROR(X916/R916,0)</f>
        <v>2.45923149015945</v>
      </c>
      <c r="Z916" s="29" t="str">
        <f aca="false">IF(X916&gt;0,"Win",IF(X916&lt;0,"Loss","Flat"))</f>
        <v>Win</v>
      </c>
      <c r="AA916" s="29" t="n">
        <f aca="false">ROUND((C916-B916)*1440,1)</f>
        <v>3.1</v>
      </c>
      <c r="AB916" s="29" t="str">
        <f aca="false">IF(AA916&lt;1,"a) &lt;1 min",IF(AA916&lt;10,"b) 1-10 min",IF(AA916&lt;60,"c) 10-60 min",IF(AA916&lt;240,"d) 1-4 h","e) 4 h+"))))</f>
        <v>b) 1-10 min</v>
      </c>
      <c r="AC916" s="29" t="str">
        <f aca="false">IF(P916&lt;10,"a) &lt;10",IF(P916&lt;20,"b) 10-20",IF(P916&lt;40,"c) 20-40",IF(P916&lt;80,"d) 40-80","e) 80+"))))</f>
        <v>c) 20-40</v>
      </c>
      <c r="AD916" s="31" t="n">
        <f aca="false">Summary!$C$5+SUM(X$2:X916)</f>
        <v>20389.31</v>
      </c>
      <c r="AE916" s="31" t="n">
        <f aca="false">MAX(AE915,AD916)</f>
        <v>20389.31</v>
      </c>
      <c r="AF916" s="31" t="n">
        <f aca="false">AE916-AD916</f>
        <v>0</v>
      </c>
      <c r="AG916" s="30" t="n">
        <f aca="false">IFERROR(AF916/AE916,0)</f>
        <v>0</v>
      </c>
    </row>
    <row r="917" customFormat="false" ht="15" hidden="false" customHeight="false" outlineLevel="0" collapsed="false">
      <c r="A917" s="29" t="n">
        <v>916</v>
      </c>
      <c r="B917" s="44" t="n">
        <v>45965.0965277778</v>
      </c>
      <c r="C917" s="44" t="n">
        <v>45965.1041435185</v>
      </c>
      <c r="D917" s="43" t="n">
        <f aca="false">INT(C917)</f>
        <v>45965</v>
      </c>
      <c r="E917" s="43" t="n">
        <f aca="false">D917-WEEKDAY(D917,3)</f>
        <v>45964</v>
      </c>
      <c r="F917" s="29" t="s">
        <v>187</v>
      </c>
      <c r="G917" s="29" t="n">
        <v>2025</v>
      </c>
      <c r="H917" s="29" t="s">
        <v>248</v>
      </c>
      <c r="I917" s="29" t="n">
        <v>2</v>
      </c>
      <c r="J917" s="29" t="s">
        <v>250</v>
      </c>
      <c r="K917" s="29" t="s">
        <v>251</v>
      </c>
      <c r="L917" s="29" t="n">
        <v>0.03</v>
      </c>
      <c r="M917" s="32" t="n">
        <v>25877.16</v>
      </c>
      <c r="N917" s="32" t="n">
        <v>25888.04</v>
      </c>
      <c r="O917" s="32" t="n">
        <v>25854.54</v>
      </c>
      <c r="P917" s="45" t="n">
        <f aca="false">ABS(M917-N917)</f>
        <v>10.880000000001</v>
      </c>
      <c r="Q917" s="45" t="n">
        <f aca="false">IF(O917="","",ABS(O917-M917))</f>
        <v>22.619999999999</v>
      </c>
      <c r="R917" s="31" t="n">
        <f aca="false">P917*L917*Summary!$C$6</f>
        <v>32.6400000000031</v>
      </c>
      <c r="S917" s="32" t="n">
        <v>25854.27</v>
      </c>
      <c r="T917" s="29" t="s">
        <v>227</v>
      </c>
      <c r="U917" s="45" t="n">
        <f aca="false">IF(J917="BUY",S917-M917,M917-S917)</f>
        <v>22.8899999999994</v>
      </c>
      <c r="V917" s="46" t="n">
        <v>0</v>
      </c>
      <c r="W917" s="46" t="n">
        <v>0</v>
      </c>
      <c r="X917" s="46" t="n">
        <v>68.67</v>
      </c>
      <c r="Y917" s="33" t="n">
        <f aca="false">IFERROR(X917/R917,0)</f>
        <v>2.10386029411745</v>
      </c>
      <c r="Z917" s="29" t="str">
        <f aca="false">IF(X917&gt;0,"Win",IF(X917&lt;0,"Loss","Flat"))</f>
        <v>Win</v>
      </c>
      <c r="AA917" s="29" t="n">
        <f aca="false">ROUND((C917-B917)*1440,1)</f>
        <v>11</v>
      </c>
      <c r="AB917" s="29" t="str">
        <f aca="false">IF(AA917&lt;1,"a) &lt;1 min",IF(AA917&lt;10,"b) 1-10 min",IF(AA917&lt;60,"c) 10-60 min",IF(AA917&lt;240,"d) 1-4 h","e) 4 h+"))))</f>
        <v>c) 10-60 min</v>
      </c>
      <c r="AC917" s="29" t="str">
        <f aca="false">IF(P917&lt;10,"a) &lt;10",IF(P917&lt;20,"b) 10-20",IF(P917&lt;40,"c) 20-40",IF(P917&lt;80,"d) 40-80","e) 80+"))))</f>
        <v>b) 10-20</v>
      </c>
      <c r="AD917" s="31" t="n">
        <f aca="false">Summary!$C$5+SUM(X$2:X917)</f>
        <v>20457.98</v>
      </c>
      <c r="AE917" s="31" t="n">
        <f aca="false">MAX(AE916,AD917)</f>
        <v>20457.98</v>
      </c>
      <c r="AF917" s="31" t="n">
        <f aca="false">AE917-AD917</f>
        <v>0</v>
      </c>
      <c r="AG917" s="30" t="n">
        <f aca="false">IFERROR(AF917/AE917,0)</f>
        <v>0</v>
      </c>
    </row>
    <row r="918" customFormat="false" ht="15" hidden="false" customHeight="false" outlineLevel="0" collapsed="false">
      <c r="A918" s="29" t="n">
        <v>917</v>
      </c>
      <c r="B918" s="44" t="n">
        <v>45966.0444444444</v>
      </c>
      <c r="C918" s="44" t="n">
        <v>45966.0833333333</v>
      </c>
      <c r="D918" s="43" t="n">
        <f aca="false">INT(C918)</f>
        <v>45966</v>
      </c>
      <c r="E918" s="43" t="n">
        <f aca="false">D918-WEEKDAY(D918,3)</f>
        <v>45964</v>
      </c>
      <c r="F918" s="29" t="s">
        <v>187</v>
      </c>
      <c r="G918" s="29" t="n">
        <v>2025</v>
      </c>
      <c r="H918" s="29" t="s">
        <v>252</v>
      </c>
      <c r="I918" s="29" t="n">
        <v>1</v>
      </c>
      <c r="J918" s="29" t="s">
        <v>250</v>
      </c>
      <c r="K918" s="29" t="s">
        <v>251</v>
      </c>
      <c r="L918" s="29" t="n">
        <v>0.04</v>
      </c>
      <c r="M918" s="32" t="n">
        <v>25415.82</v>
      </c>
      <c r="N918" s="32" t="n">
        <v>25432.33</v>
      </c>
      <c r="O918" s="32" t="n">
        <v>25375.37</v>
      </c>
      <c r="P918" s="45" t="n">
        <f aca="false">ABS(M918-N918)</f>
        <v>16.510000000002</v>
      </c>
      <c r="Q918" s="45" t="n">
        <f aca="false">IF(O918="","",ABS(O918-M918))</f>
        <v>40.4500000000007</v>
      </c>
      <c r="R918" s="31" t="n">
        <f aca="false">P918*L918*Summary!$C$6</f>
        <v>66.0400000000082</v>
      </c>
      <c r="S918" s="32" t="n">
        <v>25374.95</v>
      </c>
      <c r="T918" s="29" t="s">
        <v>227</v>
      </c>
      <c r="U918" s="45" t="n">
        <f aca="false">IF(J918="BUY",S918-M918,M918-S918)</f>
        <v>40.869999999999</v>
      </c>
      <c r="V918" s="46" t="n">
        <v>0</v>
      </c>
      <c r="W918" s="46" t="n">
        <v>0</v>
      </c>
      <c r="X918" s="46" t="n">
        <v>163.48</v>
      </c>
      <c r="Y918" s="33" t="n">
        <f aca="false">IFERROR(X918/R918,0)</f>
        <v>2.47546941247698</v>
      </c>
      <c r="Z918" s="29" t="str">
        <f aca="false">IF(X918&gt;0,"Win",IF(X918&lt;0,"Loss","Flat"))</f>
        <v>Win</v>
      </c>
      <c r="AA918" s="29" t="n">
        <f aca="false">ROUND((C918-B918)*1440,1)</f>
        <v>56</v>
      </c>
      <c r="AB918" s="29" t="str">
        <f aca="false">IF(AA918&lt;1,"a) &lt;1 min",IF(AA918&lt;10,"b) 1-10 min",IF(AA918&lt;60,"c) 10-60 min",IF(AA918&lt;240,"d) 1-4 h","e) 4 h+"))))</f>
        <v>c) 10-60 min</v>
      </c>
      <c r="AC918" s="29" t="str">
        <f aca="false">IF(P918&lt;10,"a) &lt;10",IF(P918&lt;20,"b) 10-20",IF(P918&lt;40,"c) 20-40",IF(P918&lt;80,"d) 40-80","e) 80+"))))</f>
        <v>b) 10-20</v>
      </c>
      <c r="AD918" s="31" t="n">
        <f aca="false">Summary!$C$5+SUM(X$2:X918)</f>
        <v>20621.46</v>
      </c>
      <c r="AE918" s="31" t="n">
        <f aca="false">MAX(AE917,AD918)</f>
        <v>20621.46</v>
      </c>
      <c r="AF918" s="31" t="n">
        <f aca="false">AE918-AD918</f>
        <v>0</v>
      </c>
      <c r="AG918" s="30" t="n">
        <f aca="false">IFERROR(AF918/AE918,0)</f>
        <v>0</v>
      </c>
    </row>
    <row r="919" customFormat="false" ht="15" hidden="false" customHeight="false" outlineLevel="0" collapsed="false">
      <c r="A919" s="29" t="n">
        <v>918</v>
      </c>
      <c r="B919" s="44" t="n">
        <v>45967.775</v>
      </c>
      <c r="C919" s="44" t="n">
        <v>45967.7757407407</v>
      </c>
      <c r="D919" s="43" t="n">
        <f aca="false">INT(C919)</f>
        <v>45967</v>
      </c>
      <c r="E919" s="43" t="n">
        <f aca="false">D919-WEEKDAY(D919,3)</f>
        <v>45964</v>
      </c>
      <c r="F919" s="29" t="s">
        <v>187</v>
      </c>
      <c r="G919" s="29" t="n">
        <v>2025</v>
      </c>
      <c r="H919" s="29" t="s">
        <v>253</v>
      </c>
      <c r="I919" s="29" t="n">
        <v>18</v>
      </c>
      <c r="J919" s="29" t="s">
        <v>250</v>
      </c>
      <c r="K919" s="29" t="s">
        <v>251</v>
      </c>
      <c r="L919" s="29" t="n">
        <v>0.04</v>
      </c>
      <c r="M919" s="32" t="n">
        <v>25133.74</v>
      </c>
      <c r="N919" s="32" t="n">
        <v>25160.86</v>
      </c>
      <c r="O919" s="32" t="n">
        <v>25067.3</v>
      </c>
      <c r="P919" s="45" t="n">
        <f aca="false">ABS(M919-N919)</f>
        <v>27.119999999999</v>
      </c>
      <c r="Q919" s="45" t="n">
        <f aca="false">IF(O919="","",ABS(O919-M919))</f>
        <v>66.4400000000023</v>
      </c>
      <c r="R919" s="31" t="n">
        <f aca="false">P919*L919*Summary!$C$6</f>
        <v>108.479999999996</v>
      </c>
      <c r="S919" s="32" t="n">
        <v>25161.33</v>
      </c>
      <c r="T919" s="29" t="s">
        <v>249</v>
      </c>
      <c r="U919" s="45" t="n">
        <f aca="false">IF(J919="BUY",S919-M919,M919-S919)</f>
        <v>-27.5900000000001</v>
      </c>
      <c r="V919" s="46" t="n">
        <v>0</v>
      </c>
      <c r="W919" s="46" t="n">
        <v>0</v>
      </c>
      <c r="X919" s="46" t="n">
        <v>-110.36</v>
      </c>
      <c r="Y919" s="33" t="n">
        <f aca="false">IFERROR(X919/R919,0)</f>
        <v>-1.01733038348086</v>
      </c>
      <c r="Z919" s="29" t="str">
        <f aca="false">IF(X919&gt;0,"Win",IF(X919&lt;0,"Loss","Flat"))</f>
        <v>Loss</v>
      </c>
      <c r="AA919" s="29" t="n">
        <f aca="false">ROUND((C919-B919)*1440,1)</f>
        <v>1.1</v>
      </c>
      <c r="AB919" s="29" t="str">
        <f aca="false">IF(AA919&lt;1,"a) &lt;1 min",IF(AA919&lt;10,"b) 1-10 min",IF(AA919&lt;60,"c) 10-60 min",IF(AA919&lt;240,"d) 1-4 h","e) 4 h+"))))</f>
        <v>b) 1-10 min</v>
      </c>
      <c r="AC919" s="29" t="str">
        <f aca="false">IF(P919&lt;10,"a) &lt;10",IF(P919&lt;20,"b) 10-20",IF(P919&lt;40,"c) 20-40",IF(P919&lt;80,"d) 40-80","e) 80+"))))</f>
        <v>c) 20-40</v>
      </c>
      <c r="AD919" s="31" t="n">
        <f aca="false">Summary!$C$5+SUM(X$2:X919)</f>
        <v>20511.1</v>
      </c>
      <c r="AE919" s="31" t="n">
        <f aca="false">MAX(AE918,AD919)</f>
        <v>20621.46</v>
      </c>
      <c r="AF919" s="31" t="n">
        <f aca="false">AE919-AD919</f>
        <v>110.360000000001</v>
      </c>
      <c r="AG919" s="30" t="n">
        <f aca="false">IFERROR(AF919/AE919,0)</f>
        <v>0.00535170642621815</v>
      </c>
    </row>
    <row r="920" customFormat="false" ht="15" hidden="false" customHeight="false" outlineLevel="0" collapsed="false">
      <c r="A920" s="29" t="n">
        <v>919</v>
      </c>
      <c r="B920" s="44" t="n">
        <v>45968.2520833333</v>
      </c>
      <c r="C920" s="44" t="n">
        <v>45968.2562962963</v>
      </c>
      <c r="D920" s="43" t="n">
        <f aca="false">INT(C920)</f>
        <v>45968</v>
      </c>
      <c r="E920" s="43" t="n">
        <f aca="false">D920-WEEKDAY(D920,3)</f>
        <v>45964</v>
      </c>
      <c r="F920" s="29" t="s">
        <v>187</v>
      </c>
      <c r="G920" s="29" t="n">
        <v>2025</v>
      </c>
      <c r="H920" s="29" t="s">
        <v>254</v>
      </c>
      <c r="I920" s="29" t="n">
        <v>6</v>
      </c>
      <c r="J920" s="29" t="s">
        <v>250</v>
      </c>
      <c r="K920" s="29" t="s">
        <v>251</v>
      </c>
      <c r="L920" s="29" t="n">
        <v>0.04</v>
      </c>
      <c r="M920" s="32" t="n">
        <v>25062.71</v>
      </c>
      <c r="N920" s="32" t="n">
        <v>25079.62</v>
      </c>
      <c r="O920" s="32" t="n">
        <v>25026.14</v>
      </c>
      <c r="P920" s="45" t="n">
        <f aca="false">ABS(M920-N920)</f>
        <v>16.9099999999999</v>
      </c>
      <c r="Q920" s="45" t="n">
        <f aca="false">IF(O920="","",ABS(O920-M920))</f>
        <v>36.5699999999997</v>
      </c>
      <c r="R920" s="31" t="n">
        <f aca="false">P920*L920*Summary!$C$6</f>
        <v>67.6399999999994</v>
      </c>
      <c r="S920" s="32" t="n">
        <v>25080.12</v>
      </c>
      <c r="T920" s="29" t="s">
        <v>249</v>
      </c>
      <c r="U920" s="45" t="n">
        <f aca="false">IF(J920="BUY",S920-M920,M920-S920)</f>
        <v>-17.4099999999999</v>
      </c>
      <c r="V920" s="46" t="n">
        <v>0</v>
      </c>
      <c r="W920" s="46" t="n">
        <v>0</v>
      </c>
      <c r="X920" s="46" t="n">
        <v>-69.64</v>
      </c>
      <c r="Y920" s="33" t="n">
        <f aca="false">IFERROR(X920/R920,0)</f>
        <v>-1.02956830277943</v>
      </c>
      <c r="Z920" s="29" t="str">
        <f aca="false">IF(X920&gt;0,"Win",IF(X920&lt;0,"Loss","Flat"))</f>
        <v>Loss</v>
      </c>
      <c r="AA920" s="29" t="n">
        <f aca="false">ROUND((C920-B920)*1440,1)</f>
        <v>6.1</v>
      </c>
      <c r="AB920" s="29" t="str">
        <f aca="false">IF(AA920&lt;1,"a) &lt;1 min",IF(AA920&lt;10,"b) 1-10 min",IF(AA920&lt;60,"c) 10-60 min",IF(AA920&lt;240,"d) 1-4 h","e) 4 h+"))))</f>
        <v>b) 1-10 min</v>
      </c>
      <c r="AC920" s="29" t="str">
        <f aca="false">IF(P920&lt;10,"a) &lt;10",IF(P920&lt;20,"b) 10-20",IF(P920&lt;40,"c) 20-40",IF(P920&lt;80,"d) 40-80","e) 80+"))))</f>
        <v>b) 10-20</v>
      </c>
      <c r="AD920" s="31" t="n">
        <f aca="false">Summary!$C$5+SUM(X$2:X920)</f>
        <v>20441.46</v>
      </c>
      <c r="AE920" s="31" t="n">
        <f aca="false">MAX(AE919,AD920)</f>
        <v>20621.46</v>
      </c>
      <c r="AF920" s="31" t="n">
        <f aca="false">AE920-AD920</f>
        <v>180</v>
      </c>
      <c r="AG920" s="30" t="n">
        <f aca="false">IFERROR(AF920/AE920,0)</f>
        <v>0.00872877090176932</v>
      </c>
    </row>
    <row r="921" customFormat="false" ht="15" hidden="false" customHeight="false" outlineLevel="0" collapsed="false">
      <c r="A921" s="29" t="n">
        <v>920</v>
      </c>
      <c r="B921" s="44" t="n">
        <v>45971.0423611111</v>
      </c>
      <c r="C921" s="44" t="n">
        <v>45971.055625</v>
      </c>
      <c r="D921" s="43" t="n">
        <f aca="false">INT(C921)</f>
        <v>45971</v>
      </c>
      <c r="E921" s="43" t="n">
        <f aca="false">D921-WEEKDAY(D921,3)</f>
        <v>45971</v>
      </c>
      <c r="F921" s="29" t="s">
        <v>187</v>
      </c>
      <c r="G921" s="29" t="n">
        <v>2025</v>
      </c>
      <c r="H921" s="29" t="s">
        <v>245</v>
      </c>
      <c r="I921" s="29" t="n">
        <v>1</v>
      </c>
      <c r="J921" s="29" t="s">
        <v>246</v>
      </c>
      <c r="K921" s="29" t="s">
        <v>247</v>
      </c>
      <c r="L921" s="29" t="n">
        <v>0.04</v>
      </c>
      <c r="M921" s="32" t="n">
        <v>25246.25</v>
      </c>
      <c r="N921" s="32" t="n">
        <v>25205.02</v>
      </c>
      <c r="O921" s="32" t="n">
        <v>25354.06</v>
      </c>
      <c r="P921" s="45" t="n">
        <f aca="false">ABS(M921-N921)</f>
        <v>41.2299999999996</v>
      </c>
      <c r="Q921" s="45" t="n">
        <f aca="false">IF(O921="","",ABS(O921-M921))</f>
        <v>107.810000000001</v>
      </c>
      <c r="R921" s="31" t="n">
        <f aca="false">P921*L921*Summary!$C$6</f>
        <v>164.919999999998</v>
      </c>
      <c r="S921" s="32" t="n">
        <v>25203.75</v>
      </c>
      <c r="T921" s="29" t="s">
        <v>249</v>
      </c>
      <c r="U921" s="45" t="n">
        <f aca="false">IF(J921="BUY",S921-M921,M921-S921)</f>
        <v>-42.5</v>
      </c>
      <c r="V921" s="46" t="n">
        <v>0</v>
      </c>
      <c r="W921" s="46" t="n">
        <v>0</v>
      </c>
      <c r="X921" s="46" t="n">
        <v>-170</v>
      </c>
      <c r="Y921" s="33" t="n">
        <f aca="false">IFERROR(X921/R921,0)</f>
        <v>-1.03080281348534</v>
      </c>
      <c r="Z921" s="29" t="str">
        <f aca="false">IF(X921&gt;0,"Win",IF(X921&lt;0,"Loss","Flat"))</f>
        <v>Loss</v>
      </c>
      <c r="AA921" s="29" t="n">
        <f aca="false">ROUND((C921-B921)*1440,1)</f>
        <v>19.1</v>
      </c>
      <c r="AB921" s="29" t="str">
        <f aca="false">IF(AA921&lt;1,"a) &lt;1 min",IF(AA921&lt;10,"b) 1-10 min",IF(AA921&lt;60,"c) 10-60 min",IF(AA921&lt;240,"d) 1-4 h","e) 4 h+"))))</f>
        <v>c) 10-60 min</v>
      </c>
      <c r="AC921" s="29" t="str">
        <f aca="false">IF(P921&lt;10,"a) &lt;10",IF(P921&lt;20,"b) 10-20",IF(P921&lt;40,"c) 20-40",IF(P921&lt;80,"d) 40-80","e) 80+"))))</f>
        <v>d) 40-80</v>
      </c>
      <c r="AD921" s="31" t="n">
        <f aca="false">Summary!$C$5+SUM(X$2:X921)</f>
        <v>20271.46</v>
      </c>
      <c r="AE921" s="31" t="n">
        <f aca="false">MAX(AE920,AD921)</f>
        <v>20621.46</v>
      </c>
      <c r="AF921" s="31" t="n">
        <f aca="false">AE921-AD921</f>
        <v>350</v>
      </c>
      <c r="AG921" s="30" t="n">
        <f aca="false">IFERROR(AF921/AE921,0)</f>
        <v>0.0169726100867737</v>
      </c>
    </row>
    <row r="922" customFormat="false" ht="15" hidden="false" customHeight="false" outlineLevel="0" collapsed="false">
      <c r="A922" s="29" t="n">
        <v>921</v>
      </c>
      <c r="B922" s="44" t="n">
        <v>45972.0868055556</v>
      </c>
      <c r="C922" s="44" t="n">
        <v>45972.0871527778</v>
      </c>
      <c r="D922" s="43" t="n">
        <f aca="false">INT(C922)</f>
        <v>45972</v>
      </c>
      <c r="E922" s="43" t="n">
        <f aca="false">D922-WEEKDAY(D922,3)</f>
        <v>45971</v>
      </c>
      <c r="F922" s="29" t="s">
        <v>187</v>
      </c>
      <c r="G922" s="29" t="n">
        <v>2025</v>
      </c>
      <c r="H922" s="29" t="s">
        <v>248</v>
      </c>
      <c r="I922" s="29" t="n">
        <v>2</v>
      </c>
      <c r="J922" s="29" t="s">
        <v>246</v>
      </c>
      <c r="K922" s="29" t="s">
        <v>247</v>
      </c>
      <c r="L922" s="29" t="n">
        <v>0.03</v>
      </c>
      <c r="M922" s="32" t="n">
        <v>25665.76</v>
      </c>
      <c r="N922" s="32" t="n">
        <v>25657.44</v>
      </c>
      <c r="O922" s="32" t="n">
        <v>25688.05</v>
      </c>
      <c r="P922" s="45" t="n">
        <f aca="false">ABS(M922-N922)</f>
        <v>8.31999999999971</v>
      </c>
      <c r="Q922" s="45" t="n">
        <f aca="false">IF(O922="","",ABS(O922-M922))</f>
        <v>22.2900000000009</v>
      </c>
      <c r="R922" s="31" t="n">
        <f aca="false">P922*L922*Summary!$C$6</f>
        <v>24.9599999999991</v>
      </c>
      <c r="S922" s="32" t="n">
        <v>25656.94</v>
      </c>
      <c r="T922" s="29" t="s">
        <v>249</v>
      </c>
      <c r="U922" s="45" t="n">
        <f aca="false">IF(J922="BUY",S922-M922,M922-S922)</f>
        <v>-8.81999999999971</v>
      </c>
      <c r="V922" s="46" t="n">
        <v>0</v>
      </c>
      <c r="W922" s="46" t="n">
        <v>0</v>
      </c>
      <c r="X922" s="46" t="n">
        <v>-26.46</v>
      </c>
      <c r="Y922" s="33" t="n">
        <f aca="false">IFERROR(X922/R922,0)</f>
        <v>-1.06009615384619</v>
      </c>
      <c r="Z922" s="29" t="str">
        <f aca="false">IF(X922&gt;0,"Win",IF(X922&lt;0,"Loss","Flat"))</f>
        <v>Loss</v>
      </c>
      <c r="AA922" s="29" t="n">
        <f aca="false">ROUND((C922-B922)*1440,1)</f>
        <v>0.5</v>
      </c>
      <c r="AB922" s="29" t="str">
        <f aca="false">IF(AA922&lt;1,"a) &lt;1 min",IF(AA922&lt;10,"b) 1-10 min",IF(AA922&lt;60,"c) 10-60 min",IF(AA922&lt;240,"d) 1-4 h","e) 4 h+"))))</f>
        <v>a) &lt;1 min</v>
      </c>
      <c r="AC922" s="29" t="str">
        <f aca="false">IF(P922&lt;10,"a) &lt;10",IF(P922&lt;20,"b) 10-20",IF(P922&lt;40,"c) 20-40",IF(P922&lt;80,"d) 40-80","e) 80+"))))</f>
        <v>a) &lt;10</v>
      </c>
      <c r="AD922" s="31" t="n">
        <f aca="false">Summary!$C$5+SUM(X$2:X922)</f>
        <v>20245</v>
      </c>
      <c r="AE922" s="31" t="n">
        <f aca="false">MAX(AE921,AD922)</f>
        <v>20621.46</v>
      </c>
      <c r="AF922" s="31" t="n">
        <f aca="false">AE922-AD922</f>
        <v>376.459999999999</v>
      </c>
      <c r="AG922" s="30" t="n">
        <f aca="false">IFERROR(AF922/AE922,0)</f>
        <v>0.0182557394093337</v>
      </c>
    </row>
    <row r="923" customFormat="false" ht="15" hidden="false" customHeight="false" outlineLevel="0" collapsed="false">
      <c r="A923" s="29" t="n">
        <v>922</v>
      </c>
      <c r="B923" s="44" t="n">
        <v>45973.3659722222</v>
      </c>
      <c r="C923" s="44" t="n">
        <v>45973.3669675926</v>
      </c>
      <c r="D923" s="43" t="n">
        <f aca="false">INT(C923)</f>
        <v>45973</v>
      </c>
      <c r="E923" s="43" t="n">
        <f aca="false">D923-WEEKDAY(D923,3)</f>
        <v>45971</v>
      </c>
      <c r="F923" s="29" t="s">
        <v>187</v>
      </c>
      <c r="G923" s="29" t="n">
        <v>2025</v>
      </c>
      <c r="H923" s="29" t="s">
        <v>252</v>
      </c>
      <c r="I923" s="29" t="n">
        <v>8</v>
      </c>
      <c r="J923" s="29" t="s">
        <v>246</v>
      </c>
      <c r="K923" s="29" t="s">
        <v>247</v>
      </c>
      <c r="L923" s="29" t="n">
        <v>0.03</v>
      </c>
      <c r="M923" s="32" t="n">
        <v>25669.62</v>
      </c>
      <c r="N923" s="32" t="n">
        <v>25666.29</v>
      </c>
      <c r="O923" s="32" t="n">
        <v>25677.77</v>
      </c>
      <c r="P923" s="45" t="n">
        <f aca="false">ABS(M923-N923)</f>
        <v>3.32999999999811</v>
      </c>
      <c r="Q923" s="45" t="n">
        <f aca="false">IF(O923="","",ABS(O923-M923))</f>
        <v>8.15000000000146</v>
      </c>
      <c r="R923" s="31" t="n">
        <f aca="false">P923*L923*Summary!$C$6</f>
        <v>9.98999999999433</v>
      </c>
      <c r="S923" s="32" t="n">
        <v>25666.23</v>
      </c>
      <c r="T923" s="29" t="s">
        <v>249</v>
      </c>
      <c r="U923" s="45" t="n">
        <f aca="false">IF(J923="BUY",S923-M923,M923-S923)</f>
        <v>-3.38999999999942</v>
      </c>
      <c r="V923" s="46" t="n">
        <v>0</v>
      </c>
      <c r="W923" s="46" t="n">
        <v>0</v>
      </c>
      <c r="X923" s="46" t="n">
        <v>-10.17</v>
      </c>
      <c r="Y923" s="33" t="n">
        <f aca="false">IFERROR(X923/R923,0)</f>
        <v>-1.0180180180186</v>
      </c>
      <c r="Z923" s="29" t="str">
        <f aca="false">IF(X923&gt;0,"Win",IF(X923&lt;0,"Loss","Flat"))</f>
        <v>Loss</v>
      </c>
      <c r="AA923" s="29" t="n">
        <f aca="false">ROUND((C923-B923)*1440,1)</f>
        <v>1.4</v>
      </c>
      <c r="AB923" s="29" t="str">
        <f aca="false">IF(AA923&lt;1,"a) &lt;1 min",IF(AA923&lt;10,"b) 1-10 min",IF(AA923&lt;60,"c) 10-60 min",IF(AA923&lt;240,"d) 1-4 h","e) 4 h+"))))</f>
        <v>b) 1-10 min</v>
      </c>
      <c r="AC923" s="29" t="str">
        <f aca="false">IF(P923&lt;10,"a) &lt;10",IF(P923&lt;20,"b) 10-20",IF(P923&lt;40,"c) 20-40",IF(P923&lt;80,"d) 40-80","e) 80+"))))</f>
        <v>a) &lt;10</v>
      </c>
      <c r="AD923" s="31" t="n">
        <f aca="false">Summary!$C$5+SUM(X$2:X923)</f>
        <v>20234.83</v>
      </c>
      <c r="AE923" s="31" t="n">
        <f aca="false">MAX(AE922,AD923)</f>
        <v>20621.46</v>
      </c>
      <c r="AF923" s="31" t="n">
        <f aca="false">AE923-AD923</f>
        <v>386.629999999997</v>
      </c>
      <c r="AG923" s="30" t="n">
        <f aca="false">IFERROR(AF923/AE923,0)</f>
        <v>0.0187489149652836</v>
      </c>
    </row>
    <row r="924" customFormat="false" ht="15" hidden="false" customHeight="false" outlineLevel="0" collapsed="false">
      <c r="A924" s="29" t="n">
        <v>923</v>
      </c>
      <c r="B924" s="44" t="n">
        <v>45974.6715277778</v>
      </c>
      <c r="C924" s="44" t="n">
        <v>45974.6733101852</v>
      </c>
      <c r="D924" s="43" t="n">
        <f aca="false">INT(C924)</f>
        <v>45974</v>
      </c>
      <c r="E924" s="43" t="n">
        <f aca="false">D924-WEEKDAY(D924,3)</f>
        <v>45971</v>
      </c>
      <c r="F924" s="29" t="s">
        <v>187</v>
      </c>
      <c r="G924" s="29" t="n">
        <v>2025</v>
      </c>
      <c r="H924" s="29" t="s">
        <v>253</v>
      </c>
      <c r="I924" s="29" t="n">
        <v>16</v>
      </c>
      <c r="J924" s="29" t="s">
        <v>250</v>
      </c>
      <c r="K924" s="29" t="s">
        <v>251</v>
      </c>
      <c r="L924" s="29" t="n">
        <v>0.03</v>
      </c>
      <c r="M924" s="32" t="n">
        <v>25372.35</v>
      </c>
      <c r="N924" s="32" t="n">
        <v>25383.65</v>
      </c>
      <c r="O924" s="32" t="n">
        <v>25340.96</v>
      </c>
      <c r="P924" s="45" t="n">
        <f aca="false">ABS(M924-N924)</f>
        <v>11.3000000000029</v>
      </c>
      <c r="Q924" s="45" t="n">
        <f aca="false">IF(O924="","",ABS(O924-M924))</f>
        <v>31.3899999999994</v>
      </c>
      <c r="R924" s="31" t="n">
        <f aca="false">P924*L924*Summary!$C$6</f>
        <v>33.9000000000087</v>
      </c>
      <c r="S924" s="32" t="n">
        <v>25340.48</v>
      </c>
      <c r="T924" s="29" t="s">
        <v>227</v>
      </c>
      <c r="U924" s="45" t="n">
        <f aca="false">IF(J924="BUY",S924-M924,M924-S924)</f>
        <v>31.869999999999</v>
      </c>
      <c r="V924" s="46" t="n">
        <v>0</v>
      </c>
      <c r="W924" s="46" t="n">
        <v>0</v>
      </c>
      <c r="X924" s="46" t="n">
        <v>95.61</v>
      </c>
      <c r="Y924" s="33" t="n">
        <f aca="false">IFERROR(X924/R924,0)</f>
        <v>2.82035398230016</v>
      </c>
      <c r="Z924" s="29" t="str">
        <f aca="false">IF(X924&gt;0,"Win",IF(X924&lt;0,"Loss","Flat"))</f>
        <v>Win</v>
      </c>
      <c r="AA924" s="29" t="n">
        <f aca="false">ROUND((C924-B924)*1440,1)</f>
        <v>2.6</v>
      </c>
      <c r="AB924" s="29" t="str">
        <f aca="false">IF(AA924&lt;1,"a) &lt;1 min",IF(AA924&lt;10,"b) 1-10 min",IF(AA924&lt;60,"c) 10-60 min",IF(AA924&lt;240,"d) 1-4 h","e) 4 h+"))))</f>
        <v>b) 1-10 min</v>
      </c>
      <c r="AC924" s="29" t="str">
        <f aca="false">IF(P924&lt;10,"a) &lt;10",IF(P924&lt;20,"b) 10-20",IF(P924&lt;40,"c) 20-40",IF(P924&lt;80,"d) 40-80","e) 80+"))))</f>
        <v>b) 10-20</v>
      </c>
      <c r="AD924" s="31" t="n">
        <f aca="false">Summary!$C$5+SUM(X$2:X924)</f>
        <v>20330.44</v>
      </c>
      <c r="AE924" s="31" t="n">
        <f aca="false">MAX(AE923,AD924)</f>
        <v>20621.46</v>
      </c>
      <c r="AF924" s="31" t="n">
        <f aca="false">AE924-AD924</f>
        <v>291.019999999997</v>
      </c>
      <c r="AG924" s="30" t="n">
        <f aca="false">IFERROR(AF924/AE924,0)</f>
        <v>0.0141124828212938</v>
      </c>
    </row>
    <row r="925" customFormat="false" ht="15" hidden="false" customHeight="false" outlineLevel="0" collapsed="false">
      <c r="A925" s="29" t="n">
        <v>924</v>
      </c>
      <c r="B925" s="44" t="n">
        <v>45975.3027777778</v>
      </c>
      <c r="C925" s="44" t="n">
        <v>45975.3036226852</v>
      </c>
      <c r="D925" s="43" t="n">
        <f aca="false">INT(C925)</f>
        <v>45975</v>
      </c>
      <c r="E925" s="43" t="n">
        <f aca="false">D925-WEEKDAY(D925,3)</f>
        <v>45971</v>
      </c>
      <c r="F925" s="29" t="s">
        <v>187</v>
      </c>
      <c r="G925" s="29" t="n">
        <v>2025</v>
      </c>
      <c r="H925" s="29" t="s">
        <v>254</v>
      </c>
      <c r="I925" s="29" t="n">
        <v>7</v>
      </c>
      <c r="J925" s="29" t="s">
        <v>250</v>
      </c>
      <c r="K925" s="29" t="s">
        <v>251</v>
      </c>
      <c r="L925" s="29" t="n">
        <v>0.04</v>
      </c>
      <c r="M925" s="32" t="n">
        <v>24889.79</v>
      </c>
      <c r="N925" s="32" t="n">
        <v>24902.85</v>
      </c>
      <c r="O925" s="32" t="n">
        <v>24857.78</v>
      </c>
      <c r="P925" s="45" t="n">
        <f aca="false">ABS(M925-N925)</f>
        <v>13.0599999999977</v>
      </c>
      <c r="Q925" s="45" t="n">
        <f aca="false">IF(O925="","",ABS(O925-M925))</f>
        <v>32.010000000002</v>
      </c>
      <c r="R925" s="31" t="n">
        <f aca="false">P925*L925*Summary!$C$6</f>
        <v>52.2399999999907</v>
      </c>
      <c r="S925" s="32" t="n">
        <v>24902.91</v>
      </c>
      <c r="T925" s="29" t="s">
        <v>249</v>
      </c>
      <c r="U925" s="45" t="n">
        <f aca="false">IF(J925="BUY",S925-M925,M925-S925)</f>
        <v>-13.119999999999</v>
      </c>
      <c r="V925" s="46" t="n">
        <v>0</v>
      </c>
      <c r="W925" s="46" t="n">
        <v>0</v>
      </c>
      <c r="X925" s="46" t="n">
        <v>-52.48</v>
      </c>
      <c r="Y925" s="33" t="n">
        <f aca="false">IFERROR(X925/R925,0)</f>
        <v>-1.00459418070462</v>
      </c>
      <c r="Z925" s="29" t="str">
        <f aca="false">IF(X925&gt;0,"Win",IF(X925&lt;0,"Loss","Flat"))</f>
        <v>Loss</v>
      </c>
      <c r="AA925" s="29" t="n">
        <f aca="false">ROUND((C925-B925)*1440,1)</f>
        <v>1.2</v>
      </c>
      <c r="AB925" s="29" t="str">
        <f aca="false">IF(AA925&lt;1,"a) &lt;1 min",IF(AA925&lt;10,"b) 1-10 min",IF(AA925&lt;60,"c) 10-60 min",IF(AA925&lt;240,"d) 1-4 h","e) 4 h+"))))</f>
        <v>b) 1-10 min</v>
      </c>
      <c r="AC925" s="29" t="str">
        <f aca="false">IF(P925&lt;10,"a) &lt;10",IF(P925&lt;20,"b) 10-20",IF(P925&lt;40,"c) 20-40",IF(P925&lt;80,"d) 40-80","e) 80+"))))</f>
        <v>b) 10-20</v>
      </c>
      <c r="AD925" s="31" t="n">
        <f aca="false">Summary!$C$5+SUM(X$2:X925)</f>
        <v>20277.96</v>
      </c>
      <c r="AE925" s="31" t="n">
        <f aca="false">MAX(AE924,AD925)</f>
        <v>20621.46</v>
      </c>
      <c r="AF925" s="31" t="n">
        <f aca="false">AE925-AD925</f>
        <v>343.5</v>
      </c>
      <c r="AG925" s="30" t="n">
        <f aca="false">IFERROR(AF925/AE925,0)</f>
        <v>0.0166574044708765</v>
      </c>
    </row>
    <row r="926" customFormat="false" ht="15" hidden="false" customHeight="false" outlineLevel="0" collapsed="false">
      <c r="A926" s="29" t="n">
        <v>925</v>
      </c>
      <c r="B926" s="44" t="n">
        <v>45978.3861111111</v>
      </c>
      <c r="C926" s="44" t="n">
        <v>45978.3915046296</v>
      </c>
      <c r="D926" s="43" t="n">
        <f aca="false">INT(C926)</f>
        <v>45978</v>
      </c>
      <c r="E926" s="43" t="n">
        <f aca="false">D926-WEEKDAY(D926,3)</f>
        <v>45978</v>
      </c>
      <c r="F926" s="29" t="s">
        <v>187</v>
      </c>
      <c r="G926" s="29" t="n">
        <v>2025</v>
      </c>
      <c r="H926" s="29" t="s">
        <v>245</v>
      </c>
      <c r="I926" s="29" t="n">
        <v>9</v>
      </c>
      <c r="J926" s="29" t="s">
        <v>246</v>
      </c>
      <c r="K926" s="29" t="s">
        <v>247</v>
      </c>
      <c r="L926" s="29" t="n">
        <v>0.04</v>
      </c>
      <c r="M926" s="32" t="n">
        <v>25202.59</v>
      </c>
      <c r="N926" s="32" t="n">
        <v>25193.01</v>
      </c>
      <c r="O926" s="32" t="n">
        <v>25226.05</v>
      </c>
      <c r="P926" s="45" t="n">
        <f aca="false">ABS(M926-N926)</f>
        <v>9.58000000000175</v>
      </c>
      <c r="Q926" s="45" t="n">
        <f aca="false">IF(O926="","",ABS(O926-M926))</f>
        <v>23.4599999999991</v>
      </c>
      <c r="R926" s="31" t="n">
        <f aca="false">P926*L926*Summary!$C$6</f>
        <v>38.320000000007</v>
      </c>
      <c r="S926" s="32" t="n">
        <v>25226.64</v>
      </c>
      <c r="T926" s="29" t="s">
        <v>227</v>
      </c>
      <c r="U926" s="45" t="n">
        <f aca="false">IF(J926="BUY",S926-M926,M926-S926)</f>
        <v>24.0499999999993</v>
      </c>
      <c r="V926" s="46" t="n">
        <v>0</v>
      </c>
      <c r="W926" s="46" t="n">
        <v>0</v>
      </c>
      <c r="X926" s="46" t="n">
        <v>96.2</v>
      </c>
      <c r="Y926" s="33" t="n">
        <f aca="false">IFERROR(X926/R926,0)</f>
        <v>2.51043841336071</v>
      </c>
      <c r="Z926" s="29" t="str">
        <f aca="false">IF(X926&gt;0,"Win",IF(X926&lt;0,"Loss","Flat"))</f>
        <v>Win</v>
      </c>
      <c r="AA926" s="29" t="n">
        <f aca="false">ROUND((C926-B926)*1440,1)</f>
        <v>7.8</v>
      </c>
      <c r="AB926" s="29" t="str">
        <f aca="false">IF(AA926&lt;1,"a) &lt;1 min",IF(AA926&lt;10,"b) 1-10 min",IF(AA926&lt;60,"c) 10-60 min",IF(AA926&lt;240,"d) 1-4 h","e) 4 h+"))))</f>
        <v>b) 1-10 min</v>
      </c>
      <c r="AC926" s="29" t="str">
        <f aca="false">IF(P926&lt;10,"a) &lt;10",IF(P926&lt;20,"b) 10-20",IF(P926&lt;40,"c) 20-40",IF(P926&lt;80,"d) 40-80","e) 80+"))))</f>
        <v>a) &lt;10</v>
      </c>
      <c r="AD926" s="31" t="n">
        <f aca="false">Summary!$C$5+SUM(X$2:X926)</f>
        <v>20374.16</v>
      </c>
      <c r="AE926" s="31" t="n">
        <f aca="false">MAX(AE925,AD926)</f>
        <v>20621.46</v>
      </c>
      <c r="AF926" s="31" t="n">
        <f aca="false">AE926-AD926</f>
        <v>247.299999999999</v>
      </c>
      <c r="AG926" s="30" t="n">
        <f aca="false">IFERROR(AF926/AE926,0)</f>
        <v>0.0119923613555975</v>
      </c>
    </row>
    <row r="927" customFormat="false" ht="15" hidden="false" customHeight="false" outlineLevel="0" collapsed="false">
      <c r="A927" s="29" t="n">
        <v>926</v>
      </c>
      <c r="B927" s="44" t="n">
        <v>45979.2583333333</v>
      </c>
      <c r="C927" s="44" t="n">
        <v>45979.2586111111</v>
      </c>
      <c r="D927" s="43" t="n">
        <f aca="false">INT(C927)</f>
        <v>45979</v>
      </c>
      <c r="E927" s="43" t="n">
        <f aca="false">D927-WEEKDAY(D927,3)</f>
        <v>45978</v>
      </c>
      <c r="F927" s="29" t="s">
        <v>187</v>
      </c>
      <c r="G927" s="29" t="n">
        <v>2025</v>
      </c>
      <c r="H927" s="29" t="s">
        <v>248</v>
      </c>
      <c r="I927" s="29" t="n">
        <v>6</v>
      </c>
      <c r="J927" s="29" t="s">
        <v>250</v>
      </c>
      <c r="K927" s="29" t="s">
        <v>251</v>
      </c>
      <c r="L927" s="29" t="n">
        <v>0.04</v>
      </c>
      <c r="M927" s="32" t="n">
        <v>24643.14</v>
      </c>
      <c r="N927" s="32" t="n">
        <v>24653.64</v>
      </c>
      <c r="O927" s="32" t="n">
        <v>24611.82</v>
      </c>
      <c r="P927" s="45" t="n">
        <f aca="false">ABS(M927-N927)</f>
        <v>10.5</v>
      </c>
      <c r="Q927" s="45" t="n">
        <f aca="false">IF(O927="","",ABS(O927-M927))</f>
        <v>31.3199999999997</v>
      </c>
      <c r="R927" s="31" t="n">
        <f aca="false">P927*L927*Summary!$C$6</f>
        <v>42</v>
      </c>
      <c r="S927" s="32" t="n">
        <v>24654</v>
      </c>
      <c r="T927" s="29" t="s">
        <v>249</v>
      </c>
      <c r="U927" s="45" t="n">
        <f aca="false">IF(J927="BUY",S927-M927,M927-S927)</f>
        <v>-10.8600000000006</v>
      </c>
      <c r="V927" s="46" t="n">
        <v>0</v>
      </c>
      <c r="W927" s="46" t="n">
        <v>0</v>
      </c>
      <c r="X927" s="46" t="n">
        <v>-43.44</v>
      </c>
      <c r="Y927" s="33" t="n">
        <f aca="false">IFERROR(X927/R927,0)</f>
        <v>-1.03428571428571</v>
      </c>
      <c r="Z927" s="29" t="str">
        <f aca="false">IF(X927&gt;0,"Win",IF(X927&lt;0,"Loss","Flat"))</f>
        <v>Loss</v>
      </c>
      <c r="AA927" s="29" t="n">
        <f aca="false">ROUND((C927-B927)*1440,1)</f>
        <v>0.4</v>
      </c>
      <c r="AB927" s="29" t="str">
        <f aca="false">IF(AA927&lt;1,"a) &lt;1 min",IF(AA927&lt;10,"b) 1-10 min",IF(AA927&lt;60,"c) 10-60 min",IF(AA927&lt;240,"d) 1-4 h","e) 4 h+"))))</f>
        <v>a) &lt;1 min</v>
      </c>
      <c r="AC927" s="29" t="str">
        <f aca="false">IF(P927&lt;10,"a) &lt;10",IF(P927&lt;20,"b) 10-20",IF(P927&lt;40,"c) 20-40",IF(P927&lt;80,"d) 40-80","e) 80+"))))</f>
        <v>b) 10-20</v>
      </c>
      <c r="AD927" s="31" t="n">
        <f aca="false">Summary!$C$5+SUM(X$2:X927)</f>
        <v>20330.72</v>
      </c>
      <c r="AE927" s="31" t="n">
        <f aca="false">MAX(AE926,AD927)</f>
        <v>20621.46</v>
      </c>
      <c r="AF927" s="31" t="n">
        <f aca="false">AE927-AD927</f>
        <v>290.739999999998</v>
      </c>
      <c r="AG927" s="30" t="n">
        <f aca="false">IFERROR(AF927/AE927,0)</f>
        <v>0.0140989047332244</v>
      </c>
    </row>
    <row r="928" customFormat="false" ht="15" hidden="false" customHeight="false" outlineLevel="0" collapsed="false">
      <c r="A928" s="29" t="n">
        <v>927</v>
      </c>
      <c r="B928" s="44" t="n">
        <v>45980.7194444445</v>
      </c>
      <c r="C928" s="44" t="n">
        <v>45980.7211574074</v>
      </c>
      <c r="D928" s="43" t="n">
        <f aca="false">INT(C928)</f>
        <v>45980</v>
      </c>
      <c r="E928" s="43" t="n">
        <f aca="false">D928-WEEKDAY(D928,3)</f>
        <v>45978</v>
      </c>
      <c r="F928" s="29" t="s">
        <v>187</v>
      </c>
      <c r="G928" s="29" t="n">
        <v>2025</v>
      </c>
      <c r="H928" s="29" t="s">
        <v>252</v>
      </c>
      <c r="I928" s="29" t="n">
        <v>17</v>
      </c>
      <c r="J928" s="29" t="s">
        <v>246</v>
      </c>
      <c r="K928" s="29" t="s">
        <v>247</v>
      </c>
      <c r="L928" s="29" t="n">
        <v>0.04</v>
      </c>
      <c r="M928" s="32" t="n">
        <v>24892.2</v>
      </c>
      <c r="N928" s="32" t="n">
        <v>24868.9</v>
      </c>
      <c r="O928" s="32" t="n">
        <v>24948.67</v>
      </c>
      <c r="P928" s="45" t="n">
        <f aca="false">ABS(M928-N928)</f>
        <v>23.2999999999993</v>
      </c>
      <c r="Q928" s="45" t="n">
        <f aca="false">IF(O928="","",ABS(O928-M928))</f>
        <v>56.4699999999975</v>
      </c>
      <c r="R928" s="31" t="n">
        <f aca="false">P928*L928*Summary!$C$6</f>
        <v>93.1999999999971</v>
      </c>
      <c r="S928" s="32" t="n">
        <v>24868.04</v>
      </c>
      <c r="T928" s="29" t="s">
        <v>249</v>
      </c>
      <c r="U928" s="45" t="n">
        <f aca="false">IF(J928="BUY",S928-M928,M928-S928)</f>
        <v>-24.1599999999999</v>
      </c>
      <c r="V928" s="46" t="n">
        <v>0</v>
      </c>
      <c r="W928" s="46" t="n">
        <v>0</v>
      </c>
      <c r="X928" s="46" t="n">
        <v>-96.64</v>
      </c>
      <c r="Y928" s="33" t="n">
        <f aca="false">IFERROR(X928/R928,0)</f>
        <v>-1.03690987124467</v>
      </c>
      <c r="Z928" s="29" t="str">
        <f aca="false">IF(X928&gt;0,"Win",IF(X928&lt;0,"Loss","Flat"))</f>
        <v>Loss</v>
      </c>
      <c r="AA928" s="29" t="n">
        <f aca="false">ROUND((C928-B928)*1440,1)</f>
        <v>2.5</v>
      </c>
      <c r="AB928" s="29" t="str">
        <f aca="false">IF(AA928&lt;1,"a) &lt;1 min",IF(AA928&lt;10,"b) 1-10 min",IF(AA928&lt;60,"c) 10-60 min",IF(AA928&lt;240,"d) 1-4 h","e) 4 h+"))))</f>
        <v>b) 1-10 min</v>
      </c>
      <c r="AC928" s="29" t="str">
        <f aca="false">IF(P928&lt;10,"a) &lt;10",IF(P928&lt;20,"b) 10-20",IF(P928&lt;40,"c) 20-40",IF(P928&lt;80,"d) 40-80","e) 80+"))))</f>
        <v>c) 20-40</v>
      </c>
      <c r="AD928" s="31" t="n">
        <f aca="false">Summary!$C$5+SUM(X$2:X928)</f>
        <v>20234.08</v>
      </c>
      <c r="AE928" s="31" t="n">
        <f aca="false">MAX(AE927,AD928)</f>
        <v>20621.46</v>
      </c>
      <c r="AF928" s="31" t="n">
        <f aca="false">AE928-AD928</f>
        <v>387.379999999997</v>
      </c>
      <c r="AG928" s="30" t="n">
        <f aca="false">IFERROR(AF928/AE928,0)</f>
        <v>0.018785284844041</v>
      </c>
    </row>
    <row r="929" customFormat="false" ht="15" hidden="false" customHeight="false" outlineLevel="0" collapsed="false">
      <c r="A929" s="29" t="n">
        <v>928</v>
      </c>
      <c r="B929" s="44" t="n">
        <v>45981.0430555556</v>
      </c>
      <c r="C929" s="44" t="n">
        <v>45981.2107407407</v>
      </c>
      <c r="D929" s="43" t="n">
        <f aca="false">INT(C929)</f>
        <v>45981</v>
      </c>
      <c r="E929" s="43" t="n">
        <f aca="false">D929-WEEKDAY(D929,3)</f>
        <v>45978</v>
      </c>
      <c r="F929" s="29" t="s">
        <v>187</v>
      </c>
      <c r="G929" s="29" t="n">
        <v>2025</v>
      </c>
      <c r="H929" s="29" t="s">
        <v>253</v>
      </c>
      <c r="I929" s="29" t="n">
        <v>1</v>
      </c>
      <c r="J929" s="29" t="s">
        <v>246</v>
      </c>
      <c r="K929" s="29" t="s">
        <v>247</v>
      </c>
      <c r="L929" s="29" t="n">
        <v>0.04</v>
      </c>
      <c r="M929" s="32" t="n">
        <v>24933.48</v>
      </c>
      <c r="N929" s="32" t="n">
        <v>24864.02</v>
      </c>
      <c r="O929" s="32" t="n">
        <v>25103.65</v>
      </c>
      <c r="P929" s="45" t="n">
        <f aca="false">ABS(M929-N929)</f>
        <v>69.4599999999991</v>
      </c>
      <c r="Q929" s="45" t="n">
        <f aca="false">IF(O929="","",ABS(O929-M929))</f>
        <v>170.170000000002</v>
      </c>
      <c r="R929" s="31" t="n">
        <f aca="false">P929*L929*Summary!$C$6</f>
        <v>277.839999999997</v>
      </c>
      <c r="S929" s="32" t="n">
        <v>25103.69</v>
      </c>
      <c r="T929" s="29" t="s">
        <v>227</v>
      </c>
      <c r="U929" s="45" t="n">
        <f aca="false">IF(J929="BUY",S929-M929,M929-S929)</f>
        <v>170.209999999999</v>
      </c>
      <c r="V929" s="46" t="n">
        <v>0</v>
      </c>
      <c r="W929" s="46" t="n">
        <v>0</v>
      </c>
      <c r="X929" s="46" t="n">
        <v>680.84</v>
      </c>
      <c r="Y929" s="33" t="n">
        <f aca="false">IFERROR(X929/R929,0)</f>
        <v>2.45047509357907</v>
      </c>
      <c r="Z929" s="29" t="str">
        <f aca="false">IF(X929&gt;0,"Win",IF(X929&lt;0,"Loss","Flat"))</f>
        <v>Win</v>
      </c>
      <c r="AA929" s="29" t="n">
        <f aca="false">ROUND((C929-B929)*1440,1)</f>
        <v>241.5</v>
      </c>
      <c r="AB929" s="29" t="str">
        <f aca="false">IF(AA929&lt;1,"a) &lt;1 min",IF(AA929&lt;10,"b) 1-10 min",IF(AA929&lt;60,"c) 10-60 min",IF(AA929&lt;240,"d) 1-4 h","e) 4 h+"))))</f>
        <v>e) 4 h+</v>
      </c>
      <c r="AC929" s="29" t="str">
        <f aca="false">IF(P929&lt;10,"a) &lt;10",IF(P929&lt;20,"b) 10-20",IF(P929&lt;40,"c) 20-40",IF(P929&lt;80,"d) 40-80","e) 80+"))))</f>
        <v>d) 40-80</v>
      </c>
      <c r="AD929" s="31" t="n">
        <f aca="false">Summary!$C$5+SUM(X$2:X929)</f>
        <v>20914.92</v>
      </c>
      <c r="AE929" s="31" t="n">
        <f aca="false">MAX(AE928,AD929)</f>
        <v>20914.92</v>
      </c>
      <c r="AF929" s="31" t="n">
        <f aca="false">AE929-AD929</f>
        <v>0</v>
      </c>
      <c r="AG929" s="30" t="n">
        <f aca="false">IFERROR(AF929/AE929,0)</f>
        <v>0</v>
      </c>
    </row>
    <row r="930" customFormat="false" ht="15" hidden="false" customHeight="false" outlineLevel="0" collapsed="false">
      <c r="A930" s="29" t="n">
        <v>929</v>
      </c>
      <c r="B930" s="44" t="n">
        <v>45981.8013888889</v>
      </c>
      <c r="C930" s="44" t="n">
        <v>45981.8016550926</v>
      </c>
      <c r="D930" s="43" t="n">
        <f aca="false">INT(C930)</f>
        <v>45981</v>
      </c>
      <c r="E930" s="43" t="n">
        <f aca="false">D930-WEEKDAY(D930,3)</f>
        <v>45978</v>
      </c>
      <c r="F930" s="29" t="s">
        <v>187</v>
      </c>
      <c r="G930" s="29" t="n">
        <v>2025</v>
      </c>
      <c r="H930" s="29" t="s">
        <v>253</v>
      </c>
      <c r="I930" s="29" t="n">
        <v>19</v>
      </c>
      <c r="J930" s="29" t="s">
        <v>250</v>
      </c>
      <c r="K930" s="29" t="s">
        <v>251</v>
      </c>
      <c r="L930" s="29" t="n">
        <v>0.04</v>
      </c>
      <c r="M930" s="32" t="n">
        <v>24355.73</v>
      </c>
      <c r="N930" s="32" t="n">
        <v>24404.61</v>
      </c>
      <c r="O930" s="32" t="n">
        <v>24230.71</v>
      </c>
      <c r="P930" s="45" t="n">
        <f aca="false">ABS(M930-N930)</f>
        <v>48.880000000001</v>
      </c>
      <c r="Q930" s="45" t="n">
        <f aca="false">IF(O930="","",ABS(O930-M930))</f>
        <v>125.02</v>
      </c>
      <c r="R930" s="31" t="n">
        <f aca="false">P930*L930*Summary!$C$6</f>
        <v>195.520000000004</v>
      </c>
      <c r="S930" s="32" t="n">
        <v>24404.72</v>
      </c>
      <c r="T930" s="29" t="s">
        <v>249</v>
      </c>
      <c r="U930" s="45" t="n">
        <f aca="false">IF(J930="BUY",S930-M930,M930-S930)</f>
        <v>-48.9900000000016</v>
      </c>
      <c r="V930" s="46" t="n">
        <v>0</v>
      </c>
      <c r="W930" s="46" t="n">
        <v>0</v>
      </c>
      <c r="X930" s="46" t="n">
        <v>-195.96</v>
      </c>
      <c r="Y930" s="33" t="n">
        <f aca="false">IFERROR(X930/R930,0)</f>
        <v>-1.00225040916528</v>
      </c>
      <c r="Z930" s="29" t="str">
        <f aca="false">IF(X930&gt;0,"Win",IF(X930&lt;0,"Loss","Flat"))</f>
        <v>Loss</v>
      </c>
      <c r="AA930" s="29" t="n">
        <f aca="false">ROUND((C930-B930)*1440,1)</f>
        <v>0.4</v>
      </c>
      <c r="AB930" s="29" t="str">
        <f aca="false">IF(AA930&lt;1,"a) &lt;1 min",IF(AA930&lt;10,"b) 1-10 min",IF(AA930&lt;60,"c) 10-60 min",IF(AA930&lt;240,"d) 1-4 h","e) 4 h+"))))</f>
        <v>a) &lt;1 min</v>
      </c>
      <c r="AC930" s="29" t="str">
        <f aca="false">IF(P930&lt;10,"a) &lt;10",IF(P930&lt;20,"b) 10-20",IF(P930&lt;40,"c) 20-40",IF(P930&lt;80,"d) 40-80","e) 80+"))))</f>
        <v>d) 40-80</v>
      </c>
      <c r="AD930" s="31" t="n">
        <f aca="false">Summary!$C$5+SUM(X$2:X930)</f>
        <v>20718.96</v>
      </c>
      <c r="AE930" s="31" t="n">
        <f aca="false">MAX(AE929,AD930)</f>
        <v>20914.92</v>
      </c>
      <c r="AF930" s="31" t="n">
        <f aca="false">AE930-AD930</f>
        <v>195.959999999999</v>
      </c>
      <c r="AG930" s="30" t="n">
        <f aca="false">IFERROR(AF930/AE930,0)</f>
        <v>0.00936938797757769</v>
      </c>
    </row>
    <row r="931" customFormat="false" ht="15" hidden="false" customHeight="false" outlineLevel="0" collapsed="false">
      <c r="A931" s="29" t="n">
        <v>930</v>
      </c>
      <c r="B931" s="44" t="n">
        <v>45982.04375</v>
      </c>
      <c r="C931" s="44" t="n">
        <v>45982.0450462963</v>
      </c>
      <c r="D931" s="43" t="n">
        <f aca="false">INT(C931)</f>
        <v>45982</v>
      </c>
      <c r="E931" s="43" t="n">
        <f aca="false">D931-WEEKDAY(D931,3)</f>
        <v>45978</v>
      </c>
      <c r="F931" s="29" t="s">
        <v>187</v>
      </c>
      <c r="G931" s="29" t="n">
        <v>2025</v>
      </c>
      <c r="H931" s="29" t="s">
        <v>254</v>
      </c>
      <c r="I931" s="29" t="n">
        <v>1</v>
      </c>
      <c r="J931" s="29" t="s">
        <v>250</v>
      </c>
      <c r="K931" s="29" t="s">
        <v>251</v>
      </c>
      <c r="L931" s="29" t="n">
        <v>0.04</v>
      </c>
      <c r="M931" s="32" t="n">
        <v>23986.57</v>
      </c>
      <c r="N931" s="32" t="n">
        <v>24018.67</v>
      </c>
      <c r="O931" s="32" t="n">
        <v>23907.92</v>
      </c>
      <c r="P931" s="45" t="n">
        <f aca="false">ABS(M931-N931)</f>
        <v>32.0999999999985</v>
      </c>
      <c r="Q931" s="45" t="n">
        <f aca="false">IF(O931="","",ABS(O931-M931))</f>
        <v>78.6500000000015</v>
      </c>
      <c r="R931" s="31" t="n">
        <f aca="false">P931*L931*Summary!$C$6</f>
        <v>128.399999999994</v>
      </c>
      <c r="S931" s="32" t="n">
        <v>24019.1</v>
      </c>
      <c r="T931" s="29" t="s">
        <v>249</v>
      </c>
      <c r="U931" s="45" t="n">
        <f aca="false">IF(J931="BUY",S931-M931,M931-S931)</f>
        <v>-32.5299999999988</v>
      </c>
      <c r="V931" s="46" t="n">
        <v>0</v>
      </c>
      <c r="W931" s="46" t="n">
        <v>0</v>
      </c>
      <c r="X931" s="46" t="n">
        <v>-130.12</v>
      </c>
      <c r="Y931" s="33" t="n">
        <f aca="false">IFERROR(X931/R931,0)</f>
        <v>-1.01339563862933</v>
      </c>
      <c r="Z931" s="29" t="str">
        <f aca="false">IF(X931&gt;0,"Win",IF(X931&lt;0,"Loss","Flat"))</f>
        <v>Loss</v>
      </c>
      <c r="AA931" s="29" t="n">
        <f aca="false">ROUND((C931-B931)*1440,1)</f>
        <v>1.9</v>
      </c>
      <c r="AB931" s="29" t="str">
        <f aca="false">IF(AA931&lt;1,"a) &lt;1 min",IF(AA931&lt;10,"b) 1-10 min",IF(AA931&lt;60,"c) 10-60 min",IF(AA931&lt;240,"d) 1-4 h","e) 4 h+"))))</f>
        <v>b) 1-10 min</v>
      </c>
      <c r="AC931" s="29" t="str">
        <f aca="false">IF(P931&lt;10,"a) &lt;10",IF(P931&lt;20,"b) 10-20",IF(P931&lt;40,"c) 20-40",IF(P931&lt;80,"d) 40-80","e) 80+"))))</f>
        <v>c) 20-40</v>
      </c>
      <c r="AD931" s="31" t="n">
        <f aca="false">Summary!$C$5+SUM(X$2:X931)</f>
        <v>20588.84</v>
      </c>
      <c r="AE931" s="31" t="n">
        <f aca="false">MAX(AE930,AD931)</f>
        <v>20914.92</v>
      </c>
      <c r="AF931" s="31" t="n">
        <f aca="false">AE931-AD931</f>
        <v>326.079999999998</v>
      </c>
      <c r="AG931" s="30" t="n">
        <f aca="false">IFERROR(AF931/AE931,0)</f>
        <v>0.0155907839953487</v>
      </c>
    </row>
    <row r="932" customFormat="false" ht="15" hidden="false" customHeight="false" outlineLevel="0" collapsed="false">
      <c r="A932" s="29" t="n">
        <v>931</v>
      </c>
      <c r="B932" s="44" t="n">
        <v>45985.6895833333</v>
      </c>
      <c r="C932" s="44" t="n">
        <v>45985.6913194444</v>
      </c>
      <c r="D932" s="43" t="n">
        <f aca="false">INT(C932)</f>
        <v>45985</v>
      </c>
      <c r="E932" s="43" t="n">
        <f aca="false">D932-WEEKDAY(D932,3)</f>
        <v>45985</v>
      </c>
      <c r="F932" s="29" t="s">
        <v>187</v>
      </c>
      <c r="G932" s="29" t="n">
        <v>2025</v>
      </c>
      <c r="H932" s="29" t="s">
        <v>245</v>
      </c>
      <c r="I932" s="29" t="n">
        <v>16</v>
      </c>
      <c r="J932" s="29" t="s">
        <v>246</v>
      </c>
      <c r="K932" s="29" t="s">
        <v>247</v>
      </c>
      <c r="L932" s="29" t="n">
        <v>0.04</v>
      </c>
      <c r="M932" s="32" t="n">
        <v>24567.52</v>
      </c>
      <c r="N932" s="32" t="n">
        <v>24538.32</v>
      </c>
      <c r="O932" s="32" t="n">
        <v>24640</v>
      </c>
      <c r="P932" s="45" t="n">
        <f aca="false">ABS(M932-N932)</f>
        <v>29.2000000000007</v>
      </c>
      <c r="Q932" s="45" t="n">
        <f aca="false">IF(O932="","",ABS(O932-M932))</f>
        <v>72.4799999999996</v>
      </c>
      <c r="R932" s="31" t="n">
        <f aca="false">P932*L932*Summary!$C$6</f>
        <v>116.800000000003</v>
      </c>
      <c r="S932" s="32" t="n">
        <v>24640.15</v>
      </c>
      <c r="T932" s="29" t="s">
        <v>227</v>
      </c>
      <c r="U932" s="45" t="n">
        <f aca="false">IF(J932="BUY",S932-M932,M932-S932)</f>
        <v>72.630000000001</v>
      </c>
      <c r="V932" s="46" t="n">
        <v>0</v>
      </c>
      <c r="W932" s="46" t="n">
        <v>0</v>
      </c>
      <c r="X932" s="46" t="n">
        <v>290.52</v>
      </c>
      <c r="Y932" s="33" t="n">
        <f aca="false">IFERROR(X932/R932,0)</f>
        <v>2.48732876712323</v>
      </c>
      <c r="Z932" s="29" t="str">
        <f aca="false">IF(X932&gt;0,"Win",IF(X932&lt;0,"Loss","Flat"))</f>
        <v>Win</v>
      </c>
      <c r="AA932" s="29" t="n">
        <f aca="false">ROUND((C932-B932)*1440,1)</f>
        <v>2.5</v>
      </c>
      <c r="AB932" s="29" t="str">
        <f aca="false">IF(AA932&lt;1,"a) &lt;1 min",IF(AA932&lt;10,"b) 1-10 min",IF(AA932&lt;60,"c) 10-60 min",IF(AA932&lt;240,"d) 1-4 h","e) 4 h+"))))</f>
        <v>b) 1-10 min</v>
      </c>
      <c r="AC932" s="29" t="str">
        <f aca="false">IF(P932&lt;10,"a) &lt;10",IF(P932&lt;20,"b) 10-20",IF(P932&lt;40,"c) 20-40",IF(P932&lt;80,"d) 40-80","e) 80+"))))</f>
        <v>c) 20-40</v>
      </c>
      <c r="AD932" s="31" t="n">
        <f aca="false">Summary!$C$5+SUM(X$2:X932)</f>
        <v>20879.36</v>
      </c>
      <c r="AE932" s="31" t="n">
        <f aca="false">MAX(AE931,AD932)</f>
        <v>20914.92</v>
      </c>
      <c r="AF932" s="31" t="n">
        <f aca="false">AE932-AD932</f>
        <v>35.5599999999977</v>
      </c>
      <c r="AG932" s="30" t="n">
        <f aca="false">IFERROR(AF932/AE932,0)</f>
        <v>0.00170022165994408</v>
      </c>
    </row>
    <row r="933" customFormat="false" ht="15" hidden="false" customHeight="false" outlineLevel="0" collapsed="false">
      <c r="A933" s="29" t="n">
        <v>932</v>
      </c>
      <c r="B933" s="44" t="n">
        <v>45986.8083333333</v>
      </c>
      <c r="C933" s="44" t="n">
        <v>45986.8113310185</v>
      </c>
      <c r="D933" s="43" t="n">
        <f aca="false">INT(C933)</f>
        <v>45986</v>
      </c>
      <c r="E933" s="43" t="n">
        <f aca="false">D933-WEEKDAY(D933,3)</f>
        <v>45985</v>
      </c>
      <c r="F933" s="29" t="s">
        <v>187</v>
      </c>
      <c r="G933" s="29" t="n">
        <v>2025</v>
      </c>
      <c r="H933" s="29" t="s">
        <v>248</v>
      </c>
      <c r="I933" s="29" t="n">
        <v>19</v>
      </c>
      <c r="J933" s="29" t="s">
        <v>246</v>
      </c>
      <c r="K933" s="29" t="s">
        <v>247</v>
      </c>
      <c r="L933" s="29" t="n">
        <v>0.04</v>
      </c>
      <c r="M933" s="32" t="n">
        <v>24928.69</v>
      </c>
      <c r="N933" s="32" t="n">
        <v>24915.19</v>
      </c>
      <c r="O933" s="32" t="n">
        <v>24961.76</v>
      </c>
      <c r="P933" s="45" t="n">
        <f aca="false">ABS(M933-N933)</f>
        <v>13.5</v>
      </c>
      <c r="Q933" s="45" t="n">
        <f aca="false">IF(O933="","",ABS(O933-M933))</f>
        <v>33.0699999999997</v>
      </c>
      <c r="R933" s="31" t="n">
        <f aca="false">P933*L933*Summary!$C$6</f>
        <v>54</v>
      </c>
      <c r="S933" s="32" t="n">
        <v>24925.6</v>
      </c>
      <c r="T933" s="29" t="s">
        <v>255</v>
      </c>
      <c r="U933" s="45" t="n">
        <f aca="false">IF(J933="BUY",S933-M933,M933-S933)</f>
        <v>-3.09000000000015</v>
      </c>
      <c r="V933" s="46" t="n">
        <v>0</v>
      </c>
      <c r="W933" s="46" t="n">
        <v>0</v>
      </c>
      <c r="X933" s="46" t="n">
        <v>-12.36</v>
      </c>
      <c r="Y933" s="33" t="n">
        <f aca="false">IFERROR(X933/R933,0)</f>
        <v>-0.228888888888889</v>
      </c>
      <c r="Z933" s="29" t="str">
        <f aca="false">IF(X933&gt;0,"Win",IF(X933&lt;0,"Loss","Flat"))</f>
        <v>Loss</v>
      </c>
      <c r="AA933" s="29" t="n">
        <f aca="false">ROUND((C933-B933)*1440,1)</f>
        <v>4.3</v>
      </c>
      <c r="AB933" s="29" t="str">
        <f aca="false">IF(AA933&lt;1,"a) &lt;1 min",IF(AA933&lt;10,"b) 1-10 min",IF(AA933&lt;60,"c) 10-60 min",IF(AA933&lt;240,"d) 1-4 h","e) 4 h+"))))</f>
        <v>b) 1-10 min</v>
      </c>
      <c r="AC933" s="29" t="str">
        <f aca="false">IF(P933&lt;10,"a) &lt;10",IF(P933&lt;20,"b) 10-20",IF(P933&lt;40,"c) 20-40",IF(P933&lt;80,"d) 40-80","e) 80+"))))</f>
        <v>b) 10-20</v>
      </c>
      <c r="AD933" s="31" t="n">
        <f aca="false">Summary!$C$5+SUM(X$2:X933)</f>
        <v>20867</v>
      </c>
      <c r="AE933" s="31" t="n">
        <f aca="false">MAX(AE932,AD933)</f>
        <v>20914.92</v>
      </c>
      <c r="AF933" s="31" t="n">
        <f aca="false">AE933-AD933</f>
        <v>47.9199999999983</v>
      </c>
      <c r="AG933" s="30" t="n">
        <f aca="false">IFERROR(AF933/AE933,0)</f>
        <v>0.00229118734377173</v>
      </c>
    </row>
    <row r="934" customFormat="false" ht="15" hidden="false" customHeight="false" outlineLevel="0" collapsed="false">
      <c r="A934" s="29" t="n">
        <v>933</v>
      </c>
      <c r="B934" s="44" t="n">
        <v>45987.1326388889</v>
      </c>
      <c r="C934" s="44" t="n">
        <v>45987.1334027778</v>
      </c>
      <c r="D934" s="43" t="n">
        <f aca="false">INT(C934)</f>
        <v>45987</v>
      </c>
      <c r="E934" s="43" t="n">
        <f aca="false">D934-WEEKDAY(D934,3)</f>
        <v>45985</v>
      </c>
      <c r="F934" s="29" t="s">
        <v>187</v>
      </c>
      <c r="G934" s="29" t="n">
        <v>2025</v>
      </c>
      <c r="H934" s="29" t="s">
        <v>252</v>
      </c>
      <c r="I934" s="29" t="n">
        <v>3</v>
      </c>
      <c r="J934" s="29" t="s">
        <v>246</v>
      </c>
      <c r="K934" s="29" t="s">
        <v>247</v>
      </c>
      <c r="L934" s="29" t="n">
        <v>0.04</v>
      </c>
      <c r="M934" s="32" t="n">
        <v>25067.58</v>
      </c>
      <c r="N934" s="32" t="n">
        <v>25062.55</v>
      </c>
      <c r="O934" s="32" t="n">
        <v>25079.9</v>
      </c>
      <c r="P934" s="45" t="n">
        <f aca="false">ABS(M934-N934)</f>
        <v>5.03000000000247</v>
      </c>
      <c r="Q934" s="45" t="n">
        <f aca="false">IF(O934="","",ABS(O934-M934))</f>
        <v>12.3199999999997</v>
      </c>
      <c r="R934" s="31" t="n">
        <f aca="false">P934*L934*Summary!$C$6</f>
        <v>20.1200000000099</v>
      </c>
      <c r="S934" s="32" t="n">
        <v>25080.15</v>
      </c>
      <c r="T934" s="29" t="s">
        <v>227</v>
      </c>
      <c r="U934" s="45" t="n">
        <f aca="false">IF(J934="BUY",S934-M934,M934-S934)</f>
        <v>12.5699999999997</v>
      </c>
      <c r="V934" s="46" t="n">
        <v>0</v>
      </c>
      <c r="W934" s="46" t="n">
        <v>0</v>
      </c>
      <c r="X934" s="46" t="n">
        <v>50.28</v>
      </c>
      <c r="Y934" s="33" t="n">
        <f aca="false">IFERROR(X934/R934,0)</f>
        <v>2.49900596421348</v>
      </c>
      <c r="Z934" s="29" t="str">
        <f aca="false">IF(X934&gt;0,"Win",IF(X934&lt;0,"Loss","Flat"))</f>
        <v>Win</v>
      </c>
      <c r="AA934" s="29" t="n">
        <f aca="false">ROUND((C934-B934)*1440,1)</f>
        <v>1.1</v>
      </c>
      <c r="AB934" s="29" t="str">
        <f aca="false">IF(AA934&lt;1,"a) &lt;1 min",IF(AA934&lt;10,"b) 1-10 min",IF(AA934&lt;60,"c) 10-60 min",IF(AA934&lt;240,"d) 1-4 h","e) 4 h+"))))</f>
        <v>b) 1-10 min</v>
      </c>
      <c r="AC934" s="29" t="str">
        <f aca="false">IF(P934&lt;10,"a) &lt;10",IF(P934&lt;20,"b) 10-20",IF(P934&lt;40,"c) 20-40",IF(P934&lt;80,"d) 40-80","e) 80+"))))</f>
        <v>a) &lt;10</v>
      </c>
      <c r="AD934" s="31" t="n">
        <f aca="false">Summary!$C$5+SUM(X$2:X934)</f>
        <v>20917.28</v>
      </c>
      <c r="AE934" s="31" t="n">
        <f aca="false">MAX(AE933,AD934)</f>
        <v>20917.28</v>
      </c>
      <c r="AF934" s="31" t="n">
        <f aca="false">AE934-AD934</f>
        <v>0</v>
      </c>
      <c r="AG934" s="30" t="n">
        <f aca="false">IFERROR(AF934/AE934,0)</f>
        <v>0</v>
      </c>
    </row>
    <row r="935" customFormat="false" ht="15" hidden="false" customHeight="false" outlineLevel="0" collapsed="false">
      <c r="A935" s="29" t="n">
        <v>934</v>
      </c>
      <c r="B935" s="44" t="n">
        <v>45989.0847222222</v>
      </c>
      <c r="C935" s="44" t="n">
        <v>45989.0910648148</v>
      </c>
      <c r="D935" s="43" t="n">
        <f aca="false">INT(C935)</f>
        <v>45989</v>
      </c>
      <c r="E935" s="43" t="n">
        <f aca="false">D935-WEEKDAY(D935,3)</f>
        <v>45985</v>
      </c>
      <c r="F935" s="29" t="s">
        <v>187</v>
      </c>
      <c r="G935" s="29" t="n">
        <v>2025</v>
      </c>
      <c r="H935" s="29" t="s">
        <v>254</v>
      </c>
      <c r="I935" s="29" t="n">
        <v>2</v>
      </c>
      <c r="J935" s="29" t="s">
        <v>246</v>
      </c>
      <c r="K935" s="29" t="s">
        <v>247</v>
      </c>
      <c r="L935" s="29" t="n">
        <v>0.04</v>
      </c>
      <c r="M935" s="32" t="n">
        <v>25278.77</v>
      </c>
      <c r="N935" s="32" t="n">
        <v>25274.69</v>
      </c>
      <c r="O935" s="32" t="n">
        <v>25288.77</v>
      </c>
      <c r="P935" s="45" t="n">
        <f aca="false">ABS(M935-N935)</f>
        <v>4.08000000000175</v>
      </c>
      <c r="Q935" s="45" t="n">
        <f aca="false">IF(O935="","",ABS(O935-M935))</f>
        <v>10</v>
      </c>
      <c r="R935" s="31" t="n">
        <f aca="false">P935*L935*Summary!$C$6</f>
        <v>16.320000000007</v>
      </c>
      <c r="S935" s="32" t="n">
        <v>25288.93</v>
      </c>
      <c r="T935" s="29" t="s">
        <v>227</v>
      </c>
      <c r="U935" s="45" t="n">
        <f aca="false">IF(J935="BUY",S935-M935,M935-S935)</f>
        <v>10.1599999999999</v>
      </c>
      <c r="V935" s="46" t="n">
        <v>0</v>
      </c>
      <c r="W935" s="46" t="n">
        <v>0</v>
      </c>
      <c r="X935" s="46" t="n">
        <v>40.64</v>
      </c>
      <c r="Y935" s="33" t="n">
        <f aca="false">IFERROR(X935/R935,0)</f>
        <v>2.49019607843031</v>
      </c>
      <c r="Z935" s="29" t="str">
        <f aca="false">IF(X935&gt;0,"Win",IF(X935&lt;0,"Loss","Flat"))</f>
        <v>Win</v>
      </c>
      <c r="AA935" s="29" t="n">
        <f aca="false">ROUND((C935-B935)*1440,1)</f>
        <v>9.1</v>
      </c>
      <c r="AB935" s="29" t="str">
        <f aca="false">IF(AA935&lt;1,"a) &lt;1 min",IF(AA935&lt;10,"b) 1-10 min",IF(AA935&lt;60,"c) 10-60 min",IF(AA935&lt;240,"d) 1-4 h","e) 4 h+"))))</f>
        <v>b) 1-10 min</v>
      </c>
      <c r="AC935" s="29" t="str">
        <f aca="false">IF(P935&lt;10,"a) &lt;10",IF(P935&lt;20,"b) 10-20",IF(P935&lt;40,"c) 20-40",IF(P935&lt;80,"d) 40-80","e) 80+"))))</f>
        <v>a) &lt;10</v>
      </c>
      <c r="AD935" s="31" t="n">
        <f aca="false">Summary!$C$5+SUM(X$2:X935)</f>
        <v>20957.92</v>
      </c>
      <c r="AE935" s="31" t="n">
        <f aca="false">MAX(AE934,AD935)</f>
        <v>20957.92</v>
      </c>
      <c r="AF935" s="31" t="n">
        <f aca="false">AE935-AD935</f>
        <v>0</v>
      </c>
      <c r="AG935" s="30" t="n">
        <f aca="false">IFERROR(AF935/AE935,0)</f>
        <v>0</v>
      </c>
    </row>
    <row r="936" customFormat="false" ht="15" hidden="false" customHeight="false" outlineLevel="0" collapsed="false">
      <c r="A936" s="29" t="n">
        <v>935</v>
      </c>
      <c r="B936" s="44" t="n">
        <v>45992.0423611111</v>
      </c>
      <c r="C936" s="44" t="n">
        <v>45992.0429050926</v>
      </c>
      <c r="D936" s="43" t="n">
        <f aca="false">INT(C936)</f>
        <v>45992</v>
      </c>
      <c r="E936" s="43" t="n">
        <f aca="false">D936-WEEKDAY(D936,3)</f>
        <v>45992</v>
      </c>
      <c r="F936" s="29" t="s">
        <v>188</v>
      </c>
      <c r="G936" s="29" t="n">
        <v>2025</v>
      </c>
      <c r="H936" s="29" t="s">
        <v>245</v>
      </c>
      <c r="I936" s="29" t="n">
        <v>1</v>
      </c>
      <c r="J936" s="29" t="s">
        <v>246</v>
      </c>
      <c r="K936" s="29" t="s">
        <v>247</v>
      </c>
      <c r="L936" s="29" t="n">
        <v>0.04</v>
      </c>
      <c r="M936" s="32" t="n">
        <v>25462.77</v>
      </c>
      <c r="N936" s="32" t="n">
        <v>25445.29</v>
      </c>
      <c r="O936" s="32" t="n">
        <v>25505.6</v>
      </c>
      <c r="P936" s="45" t="n">
        <f aca="false">ABS(M936-N936)</f>
        <v>17.4799999999996</v>
      </c>
      <c r="Q936" s="45" t="n">
        <f aca="false">IF(O936="","",ABS(O936-M936))</f>
        <v>42.8299999999981</v>
      </c>
      <c r="R936" s="31" t="n">
        <f aca="false">P936*L936*Summary!$C$6</f>
        <v>69.9199999999983</v>
      </c>
      <c r="S936" s="32" t="n">
        <v>25444.72</v>
      </c>
      <c r="T936" s="29" t="s">
        <v>249</v>
      </c>
      <c r="U936" s="45" t="n">
        <f aca="false">IF(J936="BUY",S936-M936,M936-S936)</f>
        <v>-18.0499999999993</v>
      </c>
      <c r="V936" s="46" t="n">
        <v>0</v>
      </c>
      <c r="W936" s="46" t="n">
        <v>0</v>
      </c>
      <c r="X936" s="46" t="n">
        <v>-72.2</v>
      </c>
      <c r="Y936" s="33" t="n">
        <f aca="false">IFERROR(X936/R936,0)</f>
        <v>-1.0326086956522</v>
      </c>
      <c r="Z936" s="29" t="str">
        <f aca="false">IF(X936&gt;0,"Win",IF(X936&lt;0,"Loss","Flat"))</f>
        <v>Loss</v>
      </c>
      <c r="AA936" s="29" t="n">
        <f aca="false">ROUND((C936-B936)*1440,1)</f>
        <v>0.8</v>
      </c>
      <c r="AB936" s="29" t="str">
        <f aca="false">IF(AA936&lt;1,"a) &lt;1 min",IF(AA936&lt;10,"b) 1-10 min",IF(AA936&lt;60,"c) 10-60 min",IF(AA936&lt;240,"d) 1-4 h","e) 4 h+"))))</f>
        <v>a) &lt;1 min</v>
      </c>
      <c r="AC936" s="29" t="str">
        <f aca="false">IF(P936&lt;10,"a) &lt;10",IF(P936&lt;20,"b) 10-20",IF(P936&lt;40,"c) 20-40",IF(P936&lt;80,"d) 40-80","e) 80+"))))</f>
        <v>b) 10-20</v>
      </c>
      <c r="AD936" s="31" t="n">
        <f aca="false">Summary!$C$5+SUM(X$2:X936)</f>
        <v>20885.72</v>
      </c>
      <c r="AE936" s="31" t="n">
        <f aca="false">MAX(AE935,AD936)</f>
        <v>20957.92</v>
      </c>
      <c r="AF936" s="31" t="n">
        <f aca="false">AE936-AD936</f>
        <v>72.1999999999971</v>
      </c>
      <c r="AG936" s="30" t="n">
        <f aca="false">IFERROR(AF936/AE936,0)</f>
        <v>0.0034449983586156</v>
      </c>
    </row>
    <row r="937" customFormat="false" ht="15" hidden="false" customHeight="false" outlineLevel="0" collapsed="false">
      <c r="A937" s="29" t="n">
        <v>936</v>
      </c>
      <c r="B937" s="44" t="n">
        <v>45992.1326388889</v>
      </c>
      <c r="C937" s="44" t="n">
        <v>45992.1341203704</v>
      </c>
      <c r="D937" s="43" t="n">
        <f aca="false">INT(C937)</f>
        <v>45992</v>
      </c>
      <c r="E937" s="43" t="n">
        <f aca="false">D937-WEEKDAY(D937,3)</f>
        <v>45992</v>
      </c>
      <c r="F937" s="29" t="s">
        <v>188</v>
      </c>
      <c r="G937" s="29" t="n">
        <v>2025</v>
      </c>
      <c r="H937" s="29" t="s">
        <v>245</v>
      </c>
      <c r="I937" s="29" t="n">
        <v>3</v>
      </c>
      <c r="J937" s="29" t="s">
        <v>250</v>
      </c>
      <c r="K937" s="29" t="s">
        <v>251</v>
      </c>
      <c r="L937" s="29" t="n">
        <v>0.04</v>
      </c>
      <c r="M937" s="32" t="n">
        <v>25241.56</v>
      </c>
      <c r="N937" s="32" t="n">
        <v>25257.06</v>
      </c>
      <c r="O937" s="32" t="n">
        <v>25203.59</v>
      </c>
      <c r="P937" s="45" t="n">
        <f aca="false">ABS(M937-N937)</f>
        <v>15.5</v>
      </c>
      <c r="Q937" s="45" t="n">
        <f aca="false">IF(O937="","",ABS(O937-M937))</f>
        <v>37.9700000000012</v>
      </c>
      <c r="R937" s="31" t="n">
        <f aca="false">P937*L937*Summary!$C$6</f>
        <v>62</v>
      </c>
      <c r="S937" s="32" t="n">
        <v>25257.16</v>
      </c>
      <c r="T937" s="29" t="s">
        <v>249</v>
      </c>
      <c r="U937" s="45" t="n">
        <f aca="false">IF(J937="BUY",S937-M937,M937-S937)</f>
        <v>-15.5999999999985</v>
      </c>
      <c r="V937" s="46" t="n">
        <v>0</v>
      </c>
      <c r="W937" s="46" t="n">
        <v>0</v>
      </c>
      <c r="X937" s="46" t="n">
        <v>-62.4</v>
      </c>
      <c r="Y937" s="33" t="n">
        <f aca="false">IFERROR(X937/R937,0)</f>
        <v>-1.00645161290323</v>
      </c>
      <c r="Z937" s="29" t="str">
        <f aca="false">IF(X937&gt;0,"Win",IF(X937&lt;0,"Loss","Flat"))</f>
        <v>Loss</v>
      </c>
      <c r="AA937" s="29" t="n">
        <f aca="false">ROUND((C937-B937)*1440,1)</f>
        <v>2.1</v>
      </c>
      <c r="AB937" s="29" t="str">
        <f aca="false">IF(AA937&lt;1,"a) &lt;1 min",IF(AA937&lt;10,"b) 1-10 min",IF(AA937&lt;60,"c) 10-60 min",IF(AA937&lt;240,"d) 1-4 h","e) 4 h+"))))</f>
        <v>b) 1-10 min</v>
      </c>
      <c r="AC937" s="29" t="str">
        <f aca="false">IF(P937&lt;10,"a) &lt;10",IF(P937&lt;20,"b) 10-20",IF(P937&lt;40,"c) 20-40",IF(P937&lt;80,"d) 40-80","e) 80+"))))</f>
        <v>b) 10-20</v>
      </c>
      <c r="AD937" s="31" t="n">
        <f aca="false">Summary!$C$5+SUM(X$2:X937)</f>
        <v>20823.32</v>
      </c>
      <c r="AE937" s="31" t="n">
        <f aca="false">MAX(AE936,AD937)</f>
        <v>20957.92</v>
      </c>
      <c r="AF937" s="31" t="n">
        <f aca="false">AE937-AD937</f>
        <v>134.599999999999</v>
      </c>
      <c r="AG937" s="30" t="n">
        <f aca="false">IFERROR(AF937/AE937,0)</f>
        <v>0.00642239306190684</v>
      </c>
    </row>
    <row r="938" customFormat="false" ht="15" hidden="false" customHeight="false" outlineLevel="0" collapsed="false">
      <c r="A938" s="29" t="n">
        <v>937</v>
      </c>
      <c r="B938" s="44" t="n">
        <v>45993.6916666667</v>
      </c>
      <c r="C938" s="44" t="n">
        <v>45993.6926736111</v>
      </c>
      <c r="D938" s="43" t="n">
        <f aca="false">INT(C938)</f>
        <v>45993</v>
      </c>
      <c r="E938" s="43" t="n">
        <f aca="false">D938-WEEKDAY(D938,3)</f>
        <v>45992</v>
      </c>
      <c r="F938" s="29" t="s">
        <v>188</v>
      </c>
      <c r="G938" s="29" t="n">
        <v>2025</v>
      </c>
      <c r="H938" s="29" t="s">
        <v>248</v>
      </c>
      <c r="I938" s="29" t="n">
        <v>16</v>
      </c>
      <c r="J938" s="29" t="s">
        <v>246</v>
      </c>
      <c r="K938" s="29" t="s">
        <v>247</v>
      </c>
      <c r="L938" s="29" t="n">
        <v>0.04</v>
      </c>
      <c r="M938" s="32" t="n">
        <v>25493.06</v>
      </c>
      <c r="N938" s="32" t="n">
        <v>25468.32</v>
      </c>
      <c r="O938" s="32" t="n">
        <v>25552.63</v>
      </c>
      <c r="P938" s="45" t="n">
        <f aca="false">ABS(M938-N938)</f>
        <v>24.7400000000016</v>
      </c>
      <c r="Q938" s="45" t="n">
        <f aca="false">IF(O938="","",ABS(O938-M938))</f>
        <v>59.5699999999997</v>
      </c>
      <c r="R938" s="31" t="n">
        <f aca="false">P938*L938*Summary!$C$6</f>
        <v>98.9600000000064</v>
      </c>
      <c r="S938" s="32" t="n">
        <v>25552.63</v>
      </c>
      <c r="T938" s="29" t="s">
        <v>227</v>
      </c>
      <c r="U938" s="45" t="n">
        <f aca="false">IF(J938="BUY",S938-M938,M938-S938)</f>
        <v>59.5699999999997</v>
      </c>
      <c r="V938" s="46" t="n">
        <v>0</v>
      </c>
      <c r="W938" s="46" t="n">
        <v>0</v>
      </c>
      <c r="X938" s="46" t="n">
        <v>238.28</v>
      </c>
      <c r="Y938" s="33" t="n">
        <f aca="false">IFERROR(X938/R938,0)</f>
        <v>2.40784155214212</v>
      </c>
      <c r="Z938" s="29" t="str">
        <f aca="false">IF(X938&gt;0,"Win",IF(X938&lt;0,"Loss","Flat"))</f>
        <v>Win</v>
      </c>
      <c r="AA938" s="29" t="n">
        <f aca="false">ROUND((C938-B938)*1440,1)</f>
        <v>1.5</v>
      </c>
      <c r="AB938" s="29" t="str">
        <f aca="false">IF(AA938&lt;1,"a) &lt;1 min",IF(AA938&lt;10,"b) 1-10 min",IF(AA938&lt;60,"c) 10-60 min",IF(AA938&lt;240,"d) 1-4 h","e) 4 h+"))))</f>
        <v>b) 1-10 min</v>
      </c>
      <c r="AC938" s="29" t="str">
        <f aca="false">IF(P938&lt;10,"a) &lt;10",IF(P938&lt;20,"b) 10-20",IF(P938&lt;40,"c) 20-40",IF(P938&lt;80,"d) 40-80","e) 80+"))))</f>
        <v>c) 20-40</v>
      </c>
      <c r="AD938" s="31" t="n">
        <f aca="false">Summary!$C$5+SUM(X$2:X938)</f>
        <v>21061.6</v>
      </c>
      <c r="AE938" s="31" t="n">
        <f aca="false">MAX(AE937,AD938)</f>
        <v>21061.6</v>
      </c>
      <c r="AF938" s="31" t="n">
        <f aca="false">AE938-AD938</f>
        <v>0</v>
      </c>
      <c r="AG938" s="30" t="n">
        <f aca="false">IFERROR(AF938/AE938,0)</f>
        <v>0</v>
      </c>
    </row>
    <row r="939" customFormat="false" ht="15" hidden="false" customHeight="false" outlineLevel="0" collapsed="false">
      <c r="A939" s="29" t="n">
        <v>938</v>
      </c>
      <c r="B939" s="44" t="n">
        <v>45994.1854166667</v>
      </c>
      <c r="C939" s="44" t="n">
        <v>45994.1863888889</v>
      </c>
      <c r="D939" s="43" t="n">
        <f aca="false">INT(C939)</f>
        <v>45994</v>
      </c>
      <c r="E939" s="43" t="n">
        <f aca="false">D939-WEEKDAY(D939,3)</f>
        <v>45992</v>
      </c>
      <c r="F939" s="29" t="s">
        <v>188</v>
      </c>
      <c r="G939" s="29" t="n">
        <v>2025</v>
      </c>
      <c r="H939" s="29" t="s">
        <v>252</v>
      </c>
      <c r="I939" s="29" t="n">
        <v>4</v>
      </c>
      <c r="J939" s="29" t="s">
        <v>246</v>
      </c>
      <c r="K939" s="29" t="s">
        <v>247</v>
      </c>
      <c r="L939" s="29" t="n">
        <v>0.04</v>
      </c>
      <c r="M939" s="32" t="n">
        <v>25622.1</v>
      </c>
      <c r="N939" s="32" t="n">
        <v>25618.37</v>
      </c>
      <c r="O939" s="32" t="n">
        <v>25631.24</v>
      </c>
      <c r="P939" s="45" t="n">
        <f aca="false">ABS(M939-N939)</f>
        <v>3.72999999999956</v>
      </c>
      <c r="Q939" s="45" t="n">
        <f aca="false">IF(O939="","",ABS(O939-M939))</f>
        <v>9.14000000000306</v>
      </c>
      <c r="R939" s="31" t="n">
        <f aca="false">P939*L939*Summary!$C$6</f>
        <v>14.9199999999983</v>
      </c>
      <c r="S939" s="32" t="n">
        <v>25622.06</v>
      </c>
      <c r="T939" s="29" t="s">
        <v>255</v>
      </c>
      <c r="U939" s="45" t="n">
        <f aca="false">IF(J939="BUY",S939-M939,M939-S939)</f>
        <v>-0.0399999999972351</v>
      </c>
      <c r="V939" s="46" t="n">
        <v>0</v>
      </c>
      <c r="W939" s="46" t="n">
        <v>0</v>
      </c>
      <c r="X939" s="46" t="n">
        <v>-0.16</v>
      </c>
      <c r="Y939" s="33" t="n">
        <f aca="false">IFERROR(X939/R939,0)</f>
        <v>-0.0107238605898136</v>
      </c>
      <c r="Z939" s="29" t="str">
        <f aca="false">IF(X939&gt;0,"Win",IF(X939&lt;0,"Loss","Flat"))</f>
        <v>Loss</v>
      </c>
      <c r="AA939" s="29" t="n">
        <f aca="false">ROUND((C939-B939)*1440,1)</f>
        <v>1.4</v>
      </c>
      <c r="AB939" s="29" t="str">
        <f aca="false">IF(AA939&lt;1,"a) &lt;1 min",IF(AA939&lt;10,"b) 1-10 min",IF(AA939&lt;60,"c) 10-60 min",IF(AA939&lt;240,"d) 1-4 h","e) 4 h+"))))</f>
        <v>b) 1-10 min</v>
      </c>
      <c r="AC939" s="29" t="str">
        <f aca="false">IF(P939&lt;10,"a) &lt;10",IF(P939&lt;20,"b) 10-20",IF(P939&lt;40,"c) 20-40",IF(P939&lt;80,"d) 40-80","e) 80+"))))</f>
        <v>a) &lt;10</v>
      </c>
      <c r="AD939" s="31" t="n">
        <f aca="false">Summary!$C$5+SUM(X$2:X939)</f>
        <v>21061.44</v>
      </c>
      <c r="AE939" s="31" t="n">
        <f aca="false">MAX(AE938,AD939)</f>
        <v>21061.6</v>
      </c>
      <c r="AF939" s="31" t="n">
        <f aca="false">AE939-AD939</f>
        <v>0.159999999996217</v>
      </c>
      <c r="AG939" s="30" t="n">
        <f aca="false">IFERROR(AF939/AE939,0)</f>
        <v>7.59676377845066E-006</v>
      </c>
    </row>
    <row r="940" customFormat="false" ht="15" hidden="false" customHeight="false" outlineLevel="0" collapsed="false">
      <c r="A940" s="29" t="n">
        <v>939</v>
      </c>
      <c r="B940" s="44" t="n">
        <v>45995.4868055556</v>
      </c>
      <c r="C940" s="44" t="n">
        <v>45995.4912615741</v>
      </c>
      <c r="D940" s="43" t="n">
        <f aca="false">INT(C940)</f>
        <v>45995</v>
      </c>
      <c r="E940" s="43" t="n">
        <f aca="false">D940-WEEKDAY(D940,3)</f>
        <v>45992</v>
      </c>
      <c r="F940" s="29" t="s">
        <v>188</v>
      </c>
      <c r="G940" s="29" t="n">
        <v>2025</v>
      </c>
      <c r="H940" s="29" t="s">
        <v>253</v>
      </c>
      <c r="I940" s="29" t="n">
        <v>11</v>
      </c>
      <c r="J940" s="29" t="s">
        <v>246</v>
      </c>
      <c r="K940" s="29" t="s">
        <v>247</v>
      </c>
      <c r="L940" s="29" t="n">
        <v>0.04</v>
      </c>
      <c r="M940" s="32" t="n">
        <v>25642.72</v>
      </c>
      <c r="N940" s="32" t="n">
        <v>25635.42</v>
      </c>
      <c r="O940" s="32" t="n">
        <v>25658.63</v>
      </c>
      <c r="P940" s="45" t="n">
        <f aca="false">ABS(M940-N940)</f>
        <v>7.30000000000291</v>
      </c>
      <c r="Q940" s="45" t="n">
        <f aca="false">IF(O940="","",ABS(O940-M940))</f>
        <v>15.9099999999999</v>
      </c>
      <c r="R940" s="31" t="n">
        <f aca="false">P940*L940*Summary!$C$6</f>
        <v>29.2000000000116</v>
      </c>
      <c r="S940" s="32" t="n">
        <v>25635.35</v>
      </c>
      <c r="T940" s="29" t="s">
        <v>249</v>
      </c>
      <c r="U940" s="45" t="n">
        <f aca="false">IF(J940="BUY",S940-M940,M940-S940)</f>
        <v>-7.37000000000262</v>
      </c>
      <c r="V940" s="46" t="n">
        <v>0</v>
      </c>
      <c r="W940" s="46" t="n">
        <v>0</v>
      </c>
      <c r="X940" s="46" t="n">
        <v>-29.48</v>
      </c>
      <c r="Y940" s="33" t="n">
        <f aca="false">IFERROR(X940/R940,0)</f>
        <v>-1.00958904109549</v>
      </c>
      <c r="Z940" s="29" t="str">
        <f aca="false">IF(X940&gt;0,"Win",IF(X940&lt;0,"Loss","Flat"))</f>
        <v>Loss</v>
      </c>
      <c r="AA940" s="29" t="n">
        <f aca="false">ROUND((C940-B940)*1440,1)</f>
        <v>6.4</v>
      </c>
      <c r="AB940" s="29" t="str">
        <f aca="false">IF(AA940&lt;1,"a) &lt;1 min",IF(AA940&lt;10,"b) 1-10 min",IF(AA940&lt;60,"c) 10-60 min",IF(AA940&lt;240,"d) 1-4 h","e) 4 h+"))))</f>
        <v>b) 1-10 min</v>
      </c>
      <c r="AC940" s="29" t="str">
        <f aca="false">IF(P940&lt;10,"a) &lt;10",IF(P940&lt;20,"b) 10-20",IF(P940&lt;40,"c) 20-40",IF(P940&lt;80,"d) 40-80","e) 80+"))))</f>
        <v>a) &lt;10</v>
      </c>
      <c r="AD940" s="31" t="n">
        <f aca="false">Summary!$C$5+SUM(X$2:X940)</f>
        <v>21031.96</v>
      </c>
      <c r="AE940" s="31" t="n">
        <f aca="false">MAX(AE939,AD940)</f>
        <v>21061.6</v>
      </c>
      <c r="AF940" s="31" t="n">
        <f aca="false">AE940-AD940</f>
        <v>29.6399999999994</v>
      </c>
      <c r="AG940" s="30" t="n">
        <f aca="false">IFERROR(AF940/AE940,0)</f>
        <v>0.00140730048999124</v>
      </c>
    </row>
    <row r="941" customFormat="false" ht="15" hidden="false" customHeight="false" outlineLevel="0" collapsed="false">
      <c r="A941" s="29" t="n">
        <v>940</v>
      </c>
      <c r="B941" s="44" t="n">
        <v>45996.3416666667</v>
      </c>
      <c r="C941" s="44" t="n">
        <v>45996.3420601852</v>
      </c>
      <c r="D941" s="43" t="n">
        <f aca="false">INT(C941)</f>
        <v>45996</v>
      </c>
      <c r="E941" s="43" t="n">
        <f aca="false">D941-WEEKDAY(D941,3)</f>
        <v>45992</v>
      </c>
      <c r="F941" s="29" t="s">
        <v>188</v>
      </c>
      <c r="G941" s="29" t="n">
        <v>2025</v>
      </c>
      <c r="H941" s="29" t="s">
        <v>254</v>
      </c>
      <c r="I941" s="29" t="n">
        <v>8</v>
      </c>
      <c r="J941" s="29" t="s">
        <v>246</v>
      </c>
      <c r="K941" s="29" t="s">
        <v>247</v>
      </c>
      <c r="L941" s="29" t="n">
        <v>0.04</v>
      </c>
      <c r="M941" s="32" t="n">
        <v>25688.25</v>
      </c>
      <c r="N941" s="32" t="n">
        <v>25684.41</v>
      </c>
      <c r="O941" s="32" t="n">
        <v>25698.18</v>
      </c>
      <c r="P941" s="45" t="n">
        <f aca="false">ABS(M941-N941)</f>
        <v>3.84000000000015</v>
      </c>
      <c r="Q941" s="45" t="n">
        <f aca="false">IF(O941="","",ABS(O941-M941))</f>
        <v>9.93000000000029</v>
      </c>
      <c r="R941" s="31" t="n">
        <f aca="false">P941*L941*Summary!$C$6</f>
        <v>15.3600000000006</v>
      </c>
      <c r="S941" s="32" t="n">
        <v>25684.39</v>
      </c>
      <c r="T941" s="29" t="s">
        <v>249</v>
      </c>
      <c r="U941" s="45" t="n">
        <f aca="false">IF(J941="BUY",S941-M941,M941-S941)</f>
        <v>-3.86000000000058</v>
      </c>
      <c r="V941" s="46" t="n">
        <v>0</v>
      </c>
      <c r="W941" s="46" t="n">
        <v>0</v>
      </c>
      <c r="X941" s="46" t="n">
        <v>-15.44</v>
      </c>
      <c r="Y941" s="33" t="n">
        <f aca="false">IFERROR(X941/R941,0)</f>
        <v>-1.0052083333333</v>
      </c>
      <c r="Z941" s="29" t="str">
        <f aca="false">IF(X941&gt;0,"Win",IF(X941&lt;0,"Loss","Flat"))</f>
        <v>Loss</v>
      </c>
      <c r="AA941" s="29" t="n">
        <f aca="false">ROUND((C941-B941)*1440,1)</f>
        <v>0.6</v>
      </c>
      <c r="AB941" s="29" t="str">
        <f aca="false">IF(AA941&lt;1,"a) &lt;1 min",IF(AA941&lt;10,"b) 1-10 min",IF(AA941&lt;60,"c) 10-60 min",IF(AA941&lt;240,"d) 1-4 h","e) 4 h+"))))</f>
        <v>a) &lt;1 min</v>
      </c>
      <c r="AC941" s="29" t="str">
        <f aca="false">IF(P941&lt;10,"a) &lt;10",IF(P941&lt;20,"b) 10-20",IF(P941&lt;40,"c) 20-40",IF(P941&lt;80,"d) 40-80","e) 80+"))))</f>
        <v>a) &lt;10</v>
      </c>
      <c r="AD941" s="31" t="n">
        <f aca="false">Summary!$C$5+SUM(X$2:X941)</f>
        <v>21016.52</v>
      </c>
      <c r="AE941" s="31" t="n">
        <f aca="false">MAX(AE940,AD941)</f>
        <v>21061.6</v>
      </c>
      <c r="AF941" s="31" t="n">
        <f aca="false">AE941-AD941</f>
        <v>45.0799999999981</v>
      </c>
      <c r="AG941" s="30" t="n">
        <f aca="false">IFERROR(AF941/AE941,0)</f>
        <v>0.002140388194629</v>
      </c>
    </row>
    <row r="942" customFormat="false" ht="15" hidden="false" customHeight="false" outlineLevel="0" collapsed="false">
      <c r="A942" s="29" t="n">
        <v>941</v>
      </c>
      <c r="B942" s="44" t="n">
        <v>45999.8743055556</v>
      </c>
      <c r="C942" s="44" t="n">
        <v>45999.8749074074</v>
      </c>
      <c r="D942" s="43" t="n">
        <f aca="false">INT(C942)</f>
        <v>45999</v>
      </c>
      <c r="E942" s="43" t="n">
        <f aca="false">D942-WEEKDAY(D942,3)</f>
        <v>45999</v>
      </c>
      <c r="F942" s="29" t="s">
        <v>188</v>
      </c>
      <c r="G942" s="29" t="n">
        <v>2025</v>
      </c>
      <c r="H942" s="29" t="s">
        <v>245</v>
      </c>
      <c r="I942" s="29" t="n">
        <v>20</v>
      </c>
      <c r="J942" s="29" t="s">
        <v>250</v>
      </c>
      <c r="K942" s="29" t="s">
        <v>251</v>
      </c>
      <c r="L942" s="29" t="n">
        <v>0.04</v>
      </c>
      <c r="M942" s="32" t="n">
        <v>25539.67</v>
      </c>
      <c r="N942" s="32" t="n">
        <v>25556.16</v>
      </c>
      <c r="O942" s="32" t="n">
        <v>25494.43</v>
      </c>
      <c r="P942" s="45" t="n">
        <f aca="false">ABS(M942-N942)</f>
        <v>16.4900000000016</v>
      </c>
      <c r="Q942" s="45" t="n">
        <f aca="false">IF(O942="","",ABS(O942-M942))</f>
        <v>45.239999999998</v>
      </c>
      <c r="R942" s="31" t="n">
        <f aca="false">P942*L942*Summary!$C$6</f>
        <v>65.9600000000064</v>
      </c>
      <c r="S942" s="32" t="n">
        <v>25556.58</v>
      </c>
      <c r="T942" s="29" t="s">
        <v>249</v>
      </c>
      <c r="U942" s="45" t="n">
        <f aca="false">IF(J942="BUY",S942-M942,M942-S942)</f>
        <v>-16.9100000000035</v>
      </c>
      <c r="V942" s="46" t="n">
        <v>0</v>
      </c>
      <c r="W942" s="46" t="n">
        <v>0</v>
      </c>
      <c r="X942" s="46" t="n">
        <v>-67.64</v>
      </c>
      <c r="Y942" s="33" t="n">
        <f aca="false">IFERROR(X942/R942,0)</f>
        <v>-1.02546998180706</v>
      </c>
      <c r="Z942" s="29" t="str">
        <f aca="false">IF(X942&gt;0,"Win",IF(X942&lt;0,"Loss","Flat"))</f>
        <v>Loss</v>
      </c>
      <c r="AA942" s="29" t="n">
        <f aca="false">ROUND((C942-B942)*1440,1)</f>
        <v>0.9</v>
      </c>
      <c r="AB942" s="29" t="str">
        <f aca="false">IF(AA942&lt;1,"a) &lt;1 min",IF(AA942&lt;10,"b) 1-10 min",IF(AA942&lt;60,"c) 10-60 min",IF(AA942&lt;240,"d) 1-4 h","e) 4 h+"))))</f>
        <v>a) &lt;1 min</v>
      </c>
      <c r="AC942" s="29" t="str">
        <f aca="false">IF(P942&lt;10,"a) &lt;10",IF(P942&lt;20,"b) 10-20",IF(P942&lt;40,"c) 20-40",IF(P942&lt;80,"d) 40-80","e) 80+"))))</f>
        <v>b) 10-20</v>
      </c>
      <c r="AD942" s="31" t="n">
        <f aca="false">Summary!$C$5+SUM(X$2:X942)</f>
        <v>20948.88</v>
      </c>
      <c r="AE942" s="31" t="n">
        <f aca="false">MAX(AE941,AD942)</f>
        <v>21061.6</v>
      </c>
      <c r="AF942" s="31" t="n">
        <f aca="false">AE942-AD942</f>
        <v>112.720000000001</v>
      </c>
      <c r="AG942" s="30" t="n">
        <f aca="false">IFERROR(AF942/AE942,0)</f>
        <v>0.00535192008204511</v>
      </c>
    </row>
    <row r="943" customFormat="false" ht="15" hidden="false" customHeight="false" outlineLevel="0" collapsed="false">
      <c r="A943" s="29" t="n">
        <v>942</v>
      </c>
      <c r="B943" s="44" t="n">
        <v>46001.4215277778</v>
      </c>
      <c r="C943" s="44" t="n">
        <v>46001.4262037037</v>
      </c>
      <c r="D943" s="43" t="n">
        <f aca="false">INT(C943)</f>
        <v>46001</v>
      </c>
      <c r="E943" s="43" t="n">
        <f aca="false">D943-WEEKDAY(D943,3)</f>
        <v>45999</v>
      </c>
      <c r="F943" s="29" t="s">
        <v>188</v>
      </c>
      <c r="G943" s="29" t="n">
        <v>2025</v>
      </c>
      <c r="H943" s="29" t="s">
        <v>252</v>
      </c>
      <c r="I943" s="29" t="n">
        <v>10</v>
      </c>
      <c r="J943" s="29" t="s">
        <v>246</v>
      </c>
      <c r="K943" s="29" t="s">
        <v>247</v>
      </c>
      <c r="L943" s="29" t="n">
        <v>0.04</v>
      </c>
      <c r="M943" s="32" t="n">
        <v>25703.77</v>
      </c>
      <c r="N943" s="32" t="n">
        <v>25698.53</v>
      </c>
      <c r="O943" s="32" t="n">
        <v>25716.98</v>
      </c>
      <c r="P943" s="45" t="n">
        <f aca="false">ABS(M943-N943)</f>
        <v>5.2400000000016</v>
      </c>
      <c r="Q943" s="45" t="n">
        <f aca="false">IF(O943="","",ABS(O943-M943))</f>
        <v>13.2099999999991</v>
      </c>
      <c r="R943" s="31" t="n">
        <f aca="false">P943*L943*Summary!$C$6</f>
        <v>20.9600000000064</v>
      </c>
      <c r="S943" s="32" t="n">
        <v>25703.71</v>
      </c>
      <c r="T943" s="29" t="s">
        <v>255</v>
      </c>
      <c r="U943" s="45" t="n">
        <f aca="false">IF(J943="BUY",S943-M943,M943-S943)</f>
        <v>-0.0600000000013097</v>
      </c>
      <c r="V943" s="46" t="n">
        <v>0</v>
      </c>
      <c r="W943" s="46" t="n">
        <v>0</v>
      </c>
      <c r="X943" s="46" t="n">
        <v>-0.24</v>
      </c>
      <c r="Y943" s="33" t="n">
        <f aca="false">IFERROR(X943/R943,0)</f>
        <v>-0.0114503816793858</v>
      </c>
      <c r="Z943" s="29" t="str">
        <f aca="false">IF(X943&gt;0,"Win",IF(X943&lt;0,"Loss","Flat"))</f>
        <v>Loss</v>
      </c>
      <c r="AA943" s="29" t="n">
        <f aca="false">ROUND((C943-B943)*1440,1)</f>
        <v>6.7</v>
      </c>
      <c r="AB943" s="29" t="str">
        <f aca="false">IF(AA943&lt;1,"a) &lt;1 min",IF(AA943&lt;10,"b) 1-10 min",IF(AA943&lt;60,"c) 10-60 min",IF(AA943&lt;240,"d) 1-4 h","e) 4 h+"))))</f>
        <v>b) 1-10 min</v>
      </c>
      <c r="AC943" s="29" t="str">
        <f aca="false">IF(P943&lt;10,"a) &lt;10",IF(P943&lt;20,"b) 10-20",IF(P943&lt;40,"c) 20-40",IF(P943&lt;80,"d) 40-80","e) 80+"))))</f>
        <v>a) &lt;10</v>
      </c>
      <c r="AD943" s="31" t="n">
        <f aca="false">Summary!$C$5+SUM(X$2:X943)</f>
        <v>20948.64</v>
      </c>
      <c r="AE943" s="31" t="n">
        <f aca="false">MAX(AE942,AD943)</f>
        <v>21061.6</v>
      </c>
      <c r="AF943" s="31" t="n">
        <f aca="false">AE943-AD943</f>
        <v>112.959999999999</v>
      </c>
      <c r="AG943" s="30" t="n">
        <f aca="false">IFERROR(AF943/AE943,0)</f>
        <v>0.00536331522771295</v>
      </c>
    </row>
    <row r="944" customFormat="false" ht="15" hidden="false" customHeight="false" outlineLevel="0" collapsed="false">
      <c r="A944" s="29" t="n">
        <v>943</v>
      </c>
      <c r="B944" s="44" t="n">
        <v>46001.7472222222</v>
      </c>
      <c r="C944" s="44" t="n">
        <v>46001.7483217593</v>
      </c>
      <c r="D944" s="43" t="n">
        <f aca="false">INT(C944)</f>
        <v>46001</v>
      </c>
      <c r="E944" s="43" t="n">
        <f aca="false">D944-WEEKDAY(D944,3)</f>
        <v>45999</v>
      </c>
      <c r="F944" s="29" t="s">
        <v>188</v>
      </c>
      <c r="G944" s="29" t="n">
        <v>2025</v>
      </c>
      <c r="H944" s="29" t="s">
        <v>252</v>
      </c>
      <c r="I944" s="29" t="n">
        <v>17</v>
      </c>
      <c r="J944" s="29" t="s">
        <v>250</v>
      </c>
      <c r="K944" s="29" t="s">
        <v>251</v>
      </c>
      <c r="L944" s="29" t="n">
        <v>0.04</v>
      </c>
      <c r="M944" s="32" t="n">
        <v>25523.6</v>
      </c>
      <c r="N944" s="32" t="n">
        <v>25540.93</v>
      </c>
      <c r="O944" s="32" t="n">
        <v>25480.27</v>
      </c>
      <c r="P944" s="45" t="n">
        <f aca="false">ABS(M944-N944)</f>
        <v>17.3300000000017</v>
      </c>
      <c r="Q944" s="45" t="n">
        <f aca="false">IF(O944="","",ABS(O944-M944))</f>
        <v>43.3299999999981</v>
      </c>
      <c r="R944" s="31" t="n">
        <f aca="false">P944*L944*Summary!$C$6</f>
        <v>69.320000000007</v>
      </c>
      <c r="S944" s="32" t="n">
        <v>25541.03</v>
      </c>
      <c r="T944" s="29" t="s">
        <v>249</v>
      </c>
      <c r="U944" s="45" t="n">
        <f aca="false">IF(J944="BUY",S944-M944,M944-S944)</f>
        <v>-17.4300000000003</v>
      </c>
      <c r="V944" s="46" t="n">
        <v>0</v>
      </c>
      <c r="W944" s="46" t="n">
        <v>0</v>
      </c>
      <c r="X944" s="46" t="n">
        <v>-69.72</v>
      </c>
      <c r="Y944" s="33" t="n">
        <f aca="false">IFERROR(X944/R944,0)</f>
        <v>-1.00577034044999</v>
      </c>
      <c r="Z944" s="29" t="str">
        <f aca="false">IF(X944&gt;0,"Win",IF(X944&lt;0,"Loss","Flat"))</f>
        <v>Loss</v>
      </c>
      <c r="AA944" s="29" t="n">
        <f aca="false">ROUND((C944-B944)*1440,1)</f>
        <v>1.6</v>
      </c>
      <c r="AB944" s="29" t="str">
        <f aca="false">IF(AA944&lt;1,"a) &lt;1 min",IF(AA944&lt;10,"b) 1-10 min",IF(AA944&lt;60,"c) 10-60 min",IF(AA944&lt;240,"d) 1-4 h","e) 4 h+"))))</f>
        <v>b) 1-10 min</v>
      </c>
      <c r="AC944" s="29" t="str">
        <f aca="false">IF(P944&lt;10,"a) &lt;10",IF(P944&lt;20,"b) 10-20",IF(P944&lt;40,"c) 20-40",IF(P944&lt;80,"d) 40-80","e) 80+"))))</f>
        <v>b) 10-20</v>
      </c>
      <c r="AD944" s="31" t="n">
        <f aca="false">Summary!$C$5+SUM(X$2:X944)</f>
        <v>20878.92</v>
      </c>
      <c r="AE944" s="31" t="n">
        <f aca="false">MAX(AE943,AD944)</f>
        <v>21061.6</v>
      </c>
      <c r="AF944" s="31" t="n">
        <f aca="false">AE944-AD944</f>
        <v>182.68</v>
      </c>
      <c r="AG944" s="30" t="n">
        <f aca="false">IFERROR(AF944/AE944,0)</f>
        <v>0.00867360504425116</v>
      </c>
    </row>
    <row r="945" customFormat="false" ht="15" hidden="false" customHeight="false" outlineLevel="0" collapsed="false">
      <c r="A945" s="29" t="n">
        <v>944</v>
      </c>
      <c r="B945" s="44" t="n">
        <v>46002.2097222222</v>
      </c>
      <c r="C945" s="44" t="n">
        <v>46002.2103587963</v>
      </c>
      <c r="D945" s="43" t="n">
        <f aca="false">INT(C945)</f>
        <v>46002</v>
      </c>
      <c r="E945" s="43" t="n">
        <f aca="false">D945-WEEKDAY(D945,3)</f>
        <v>45999</v>
      </c>
      <c r="F945" s="29" t="s">
        <v>188</v>
      </c>
      <c r="G945" s="29" t="n">
        <v>2025</v>
      </c>
      <c r="H945" s="29" t="s">
        <v>253</v>
      </c>
      <c r="I945" s="29" t="n">
        <v>5</v>
      </c>
      <c r="J945" s="29" t="s">
        <v>250</v>
      </c>
      <c r="K945" s="29" t="s">
        <v>251</v>
      </c>
      <c r="L945" s="29" t="n">
        <v>0.04</v>
      </c>
      <c r="M945" s="32" t="n">
        <v>25495.58</v>
      </c>
      <c r="N945" s="32" t="n">
        <v>25507.54</v>
      </c>
      <c r="O945" s="32" t="n">
        <v>25467.82</v>
      </c>
      <c r="P945" s="45" t="n">
        <f aca="false">ABS(M945-N945)</f>
        <v>11.9599999999991</v>
      </c>
      <c r="Q945" s="45" t="n">
        <f aca="false">IF(O945="","",ABS(O945-M945))</f>
        <v>27.760000000002</v>
      </c>
      <c r="R945" s="31" t="n">
        <f aca="false">P945*L945*Summary!$C$6</f>
        <v>47.8399999999965</v>
      </c>
      <c r="S945" s="32" t="n">
        <v>25449.72</v>
      </c>
      <c r="T945" s="29" t="s">
        <v>227</v>
      </c>
      <c r="U945" s="45" t="n">
        <f aca="false">IF(J945="BUY",S945-M945,M945-S945)</f>
        <v>45.8600000000006</v>
      </c>
      <c r="V945" s="46" t="n">
        <v>0</v>
      </c>
      <c r="W945" s="46" t="n">
        <v>0</v>
      </c>
      <c r="X945" s="46" t="n">
        <v>183.44</v>
      </c>
      <c r="Y945" s="33" t="n">
        <f aca="false">IFERROR(X945/R945,0)</f>
        <v>3.8344481605354</v>
      </c>
      <c r="Z945" s="29" t="str">
        <f aca="false">IF(X945&gt;0,"Win",IF(X945&lt;0,"Loss","Flat"))</f>
        <v>Win</v>
      </c>
      <c r="AA945" s="29" t="n">
        <f aca="false">ROUND((C945-B945)*1440,1)</f>
        <v>0.9</v>
      </c>
      <c r="AB945" s="29" t="str">
        <f aca="false">IF(AA945&lt;1,"a) &lt;1 min",IF(AA945&lt;10,"b) 1-10 min",IF(AA945&lt;60,"c) 10-60 min",IF(AA945&lt;240,"d) 1-4 h","e) 4 h+"))))</f>
        <v>a) &lt;1 min</v>
      </c>
      <c r="AC945" s="29" t="str">
        <f aca="false">IF(P945&lt;10,"a) &lt;10",IF(P945&lt;20,"b) 10-20",IF(P945&lt;40,"c) 20-40",IF(P945&lt;80,"d) 40-80","e) 80+"))))</f>
        <v>b) 10-20</v>
      </c>
      <c r="AD945" s="31" t="n">
        <f aca="false">Summary!$C$5+SUM(X$2:X945)</f>
        <v>21062.36</v>
      </c>
      <c r="AE945" s="31" t="n">
        <f aca="false">MAX(AE944,AD945)</f>
        <v>21062.36</v>
      </c>
      <c r="AF945" s="31" t="n">
        <f aca="false">AE945-AD945</f>
        <v>0</v>
      </c>
      <c r="AG945" s="30" t="n">
        <f aca="false">IFERROR(AF945/AE945,0)</f>
        <v>0</v>
      </c>
    </row>
    <row r="946" customFormat="false" ht="15" hidden="false" customHeight="false" outlineLevel="0" collapsed="false">
      <c r="A946" s="29" t="n">
        <v>945</v>
      </c>
      <c r="B946" s="44" t="n">
        <v>46003.7263888889</v>
      </c>
      <c r="C946" s="44" t="n">
        <v>46003.7292013889</v>
      </c>
      <c r="D946" s="43" t="n">
        <f aca="false">INT(C946)</f>
        <v>46003</v>
      </c>
      <c r="E946" s="43" t="n">
        <f aca="false">D946-WEEKDAY(D946,3)</f>
        <v>45999</v>
      </c>
      <c r="F946" s="29" t="s">
        <v>188</v>
      </c>
      <c r="G946" s="29" t="n">
        <v>2025</v>
      </c>
      <c r="H946" s="29" t="s">
        <v>254</v>
      </c>
      <c r="I946" s="29" t="n">
        <v>17</v>
      </c>
      <c r="J946" s="29" t="s">
        <v>250</v>
      </c>
      <c r="K946" s="29" t="s">
        <v>251</v>
      </c>
      <c r="L946" s="29" t="n">
        <v>0.04</v>
      </c>
      <c r="M946" s="32" t="n">
        <v>25354.97</v>
      </c>
      <c r="N946" s="32" t="n">
        <v>25382.47</v>
      </c>
      <c r="O946" s="32" t="n">
        <v>25287.59</v>
      </c>
      <c r="P946" s="45" t="n">
        <f aca="false">ABS(M946-N946)</f>
        <v>27.5</v>
      </c>
      <c r="Q946" s="45" t="n">
        <f aca="false">IF(O946="","",ABS(O946-M946))</f>
        <v>67.380000000001</v>
      </c>
      <c r="R946" s="31" t="n">
        <f aca="false">P946*L946*Summary!$C$6</f>
        <v>110</v>
      </c>
      <c r="S946" s="32" t="n">
        <v>25286.35</v>
      </c>
      <c r="T946" s="29" t="s">
        <v>227</v>
      </c>
      <c r="U946" s="45" t="n">
        <f aca="false">IF(J946="BUY",S946-M946,M946-S946)</f>
        <v>68.6200000000026</v>
      </c>
      <c r="V946" s="46" t="n">
        <v>0</v>
      </c>
      <c r="W946" s="46" t="n">
        <v>0</v>
      </c>
      <c r="X946" s="46" t="n">
        <v>274.48</v>
      </c>
      <c r="Y946" s="33" t="n">
        <f aca="false">IFERROR(X946/R946,0)</f>
        <v>2.49527272727273</v>
      </c>
      <c r="Z946" s="29" t="str">
        <f aca="false">IF(X946&gt;0,"Win",IF(X946&lt;0,"Loss","Flat"))</f>
        <v>Win</v>
      </c>
      <c r="AA946" s="29" t="n">
        <f aca="false">ROUND((C946-B946)*1440,1)</f>
        <v>4.1</v>
      </c>
      <c r="AB946" s="29" t="str">
        <f aca="false">IF(AA946&lt;1,"a) &lt;1 min",IF(AA946&lt;10,"b) 1-10 min",IF(AA946&lt;60,"c) 10-60 min",IF(AA946&lt;240,"d) 1-4 h","e) 4 h+"))))</f>
        <v>b) 1-10 min</v>
      </c>
      <c r="AC946" s="29" t="str">
        <f aca="false">IF(P946&lt;10,"a) &lt;10",IF(P946&lt;20,"b) 10-20",IF(P946&lt;40,"c) 20-40",IF(P946&lt;80,"d) 40-80","e) 80+"))))</f>
        <v>c) 20-40</v>
      </c>
      <c r="AD946" s="31" t="n">
        <f aca="false">Summary!$C$5+SUM(X$2:X946)</f>
        <v>21336.84</v>
      </c>
      <c r="AE946" s="31" t="n">
        <f aca="false">MAX(AE945,AD946)</f>
        <v>21336.84</v>
      </c>
      <c r="AF946" s="31" t="n">
        <f aca="false">AE946-AD946</f>
        <v>0</v>
      </c>
      <c r="AG946" s="30" t="n">
        <f aca="false">IFERROR(AF946/AE946,0)</f>
        <v>0</v>
      </c>
    </row>
    <row r="947" customFormat="false" ht="15" hidden="false" customHeight="false" outlineLevel="0" collapsed="false">
      <c r="A947" s="29" t="n">
        <v>946</v>
      </c>
      <c r="B947" s="44" t="n">
        <v>46006.7256944445</v>
      </c>
      <c r="C947" s="44" t="n">
        <v>46006.7295138889</v>
      </c>
      <c r="D947" s="43" t="n">
        <f aca="false">INT(C947)</f>
        <v>46006</v>
      </c>
      <c r="E947" s="43" t="n">
        <f aca="false">D947-WEEKDAY(D947,3)</f>
        <v>46006</v>
      </c>
      <c r="F947" s="29" t="s">
        <v>188</v>
      </c>
      <c r="G947" s="29" t="n">
        <v>2025</v>
      </c>
      <c r="H947" s="29" t="s">
        <v>245</v>
      </c>
      <c r="I947" s="29" t="n">
        <v>17</v>
      </c>
      <c r="J947" s="29" t="s">
        <v>250</v>
      </c>
      <c r="K947" s="29" t="s">
        <v>251</v>
      </c>
      <c r="L947" s="29" t="n">
        <v>0.04</v>
      </c>
      <c r="M947" s="32" t="n">
        <v>25059.32</v>
      </c>
      <c r="N947" s="32" t="n">
        <v>25092.8</v>
      </c>
      <c r="O947" s="32" t="n">
        <v>24981.71</v>
      </c>
      <c r="P947" s="45" t="n">
        <f aca="false">ABS(M947-N947)</f>
        <v>33.4799999999996</v>
      </c>
      <c r="Q947" s="45" t="n">
        <f aca="false">IF(O947="","",ABS(O947-M947))</f>
        <v>77.6100000000006</v>
      </c>
      <c r="R947" s="31" t="n">
        <f aca="false">P947*L947*Summary!$C$6</f>
        <v>133.919999999998</v>
      </c>
      <c r="S947" s="32" t="n">
        <v>25060.56</v>
      </c>
      <c r="T947" s="29" t="s">
        <v>255</v>
      </c>
      <c r="U947" s="45" t="n">
        <f aca="false">IF(J947="BUY",S947-M947,M947-S947)</f>
        <v>-1.2400000000016</v>
      </c>
      <c r="V947" s="46" t="n">
        <v>0</v>
      </c>
      <c r="W947" s="46" t="n">
        <v>0</v>
      </c>
      <c r="X947" s="46" t="n">
        <v>-4.96</v>
      </c>
      <c r="Y947" s="33" t="n">
        <f aca="false">IFERROR(X947/R947,0)</f>
        <v>-0.0370370370370375</v>
      </c>
      <c r="Z947" s="29" t="str">
        <f aca="false">IF(X947&gt;0,"Win",IF(X947&lt;0,"Loss","Flat"))</f>
        <v>Loss</v>
      </c>
      <c r="AA947" s="29" t="n">
        <f aca="false">ROUND((C947-B947)*1440,1)</f>
        <v>5.5</v>
      </c>
      <c r="AB947" s="29" t="str">
        <f aca="false">IF(AA947&lt;1,"a) &lt;1 min",IF(AA947&lt;10,"b) 1-10 min",IF(AA947&lt;60,"c) 10-60 min",IF(AA947&lt;240,"d) 1-4 h","e) 4 h+"))))</f>
        <v>b) 1-10 min</v>
      </c>
      <c r="AC947" s="29" t="str">
        <f aca="false">IF(P947&lt;10,"a) &lt;10",IF(P947&lt;20,"b) 10-20",IF(P947&lt;40,"c) 20-40",IF(P947&lt;80,"d) 40-80","e) 80+"))))</f>
        <v>c) 20-40</v>
      </c>
      <c r="AD947" s="31" t="n">
        <f aca="false">Summary!$C$5+SUM(X$2:X947)</f>
        <v>21331.88</v>
      </c>
      <c r="AE947" s="31" t="n">
        <f aca="false">MAX(AE946,AD947)</f>
        <v>21336.84</v>
      </c>
      <c r="AF947" s="31" t="n">
        <f aca="false">AE947-AD947</f>
        <v>4.96000000000277</v>
      </c>
      <c r="AG947" s="30" t="n">
        <f aca="false">IFERROR(AF947/AE947,0)</f>
        <v>0.000232461789093547</v>
      </c>
    </row>
    <row r="948" customFormat="false" ht="15" hidden="false" customHeight="false" outlineLevel="0" collapsed="false">
      <c r="A948" s="29" t="n">
        <v>947</v>
      </c>
      <c r="B948" s="44" t="n">
        <v>46007.0902777778</v>
      </c>
      <c r="C948" s="44" t="n">
        <v>46007.0944560185</v>
      </c>
      <c r="D948" s="43" t="n">
        <f aca="false">INT(C948)</f>
        <v>46007</v>
      </c>
      <c r="E948" s="43" t="n">
        <f aca="false">D948-WEEKDAY(D948,3)</f>
        <v>46006</v>
      </c>
      <c r="F948" s="29" t="s">
        <v>188</v>
      </c>
      <c r="G948" s="29" t="n">
        <v>2025</v>
      </c>
      <c r="H948" s="29" t="s">
        <v>248</v>
      </c>
      <c r="I948" s="29" t="n">
        <v>2</v>
      </c>
      <c r="J948" s="29" t="s">
        <v>250</v>
      </c>
      <c r="K948" s="29" t="s">
        <v>251</v>
      </c>
      <c r="L948" s="29" t="n">
        <v>0.04</v>
      </c>
      <c r="M948" s="32" t="n">
        <v>25008.34</v>
      </c>
      <c r="N948" s="32" t="n">
        <v>25020.36</v>
      </c>
      <c r="O948" s="32" t="n">
        <v>24978.9</v>
      </c>
      <c r="P948" s="45" t="n">
        <f aca="false">ABS(M948-N948)</f>
        <v>12.0200000000004</v>
      </c>
      <c r="Q948" s="45" t="n">
        <f aca="false">IF(O948="","",ABS(O948-M948))</f>
        <v>29.4399999999987</v>
      </c>
      <c r="R948" s="31" t="n">
        <f aca="false">P948*L948*Summary!$C$6</f>
        <v>48.0800000000017</v>
      </c>
      <c r="S948" s="32" t="n">
        <v>24978.16</v>
      </c>
      <c r="T948" s="29" t="s">
        <v>227</v>
      </c>
      <c r="U948" s="45" t="n">
        <f aca="false">IF(J948="BUY",S948-M948,M948-S948)</f>
        <v>30.1800000000003</v>
      </c>
      <c r="V948" s="46" t="n">
        <v>0</v>
      </c>
      <c r="W948" s="46" t="n">
        <v>0</v>
      </c>
      <c r="X948" s="46" t="n">
        <v>120.72</v>
      </c>
      <c r="Y948" s="33" t="n">
        <f aca="false">IFERROR(X948/R948,0)</f>
        <v>2.51081530782021</v>
      </c>
      <c r="Z948" s="29" t="str">
        <f aca="false">IF(X948&gt;0,"Win",IF(X948&lt;0,"Loss","Flat"))</f>
        <v>Win</v>
      </c>
      <c r="AA948" s="29" t="n">
        <f aca="false">ROUND((C948-B948)*1440,1)</f>
        <v>6</v>
      </c>
      <c r="AB948" s="29" t="str">
        <f aca="false">IF(AA948&lt;1,"a) &lt;1 min",IF(AA948&lt;10,"b) 1-10 min",IF(AA948&lt;60,"c) 10-60 min",IF(AA948&lt;240,"d) 1-4 h","e) 4 h+"))))</f>
        <v>b) 1-10 min</v>
      </c>
      <c r="AC948" s="29" t="str">
        <f aca="false">IF(P948&lt;10,"a) &lt;10",IF(P948&lt;20,"b) 10-20",IF(P948&lt;40,"c) 20-40",IF(P948&lt;80,"d) 40-80","e) 80+"))))</f>
        <v>b) 10-20</v>
      </c>
      <c r="AD948" s="31" t="n">
        <f aca="false">Summary!$C$5+SUM(X$2:X948)</f>
        <v>21452.6</v>
      </c>
      <c r="AE948" s="31" t="n">
        <f aca="false">MAX(AE947,AD948)</f>
        <v>21452.6</v>
      </c>
      <c r="AF948" s="31" t="n">
        <f aca="false">AE948-AD948</f>
        <v>0</v>
      </c>
      <c r="AG948" s="30" t="n">
        <f aca="false">IFERROR(AF948/AE948,0)</f>
        <v>0</v>
      </c>
    </row>
    <row r="949" customFormat="false" ht="15" hidden="false" customHeight="false" outlineLevel="0" collapsed="false">
      <c r="A949" s="29" t="n">
        <v>948</v>
      </c>
      <c r="B949" s="44" t="n">
        <v>46008.4743055556</v>
      </c>
      <c r="C949" s="44" t="n">
        <v>46008.4766898148</v>
      </c>
      <c r="D949" s="43" t="n">
        <f aca="false">INT(C949)</f>
        <v>46008</v>
      </c>
      <c r="E949" s="43" t="n">
        <f aca="false">D949-WEEKDAY(D949,3)</f>
        <v>46006</v>
      </c>
      <c r="F949" s="29" t="s">
        <v>188</v>
      </c>
      <c r="G949" s="29" t="n">
        <v>2025</v>
      </c>
      <c r="H949" s="29" t="s">
        <v>252</v>
      </c>
      <c r="I949" s="29" t="n">
        <v>11</v>
      </c>
      <c r="J949" s="29" t="s">
        <v>246</v>
      </c>
      <c r="K949" s="29" t="s">
        <v>247</v>
      </c>
      <c r="L949" s="29" t="n">
        <v>0.04</v>
      </c>
      <c r="M949" s="32" t="n">
        <v>25190.14</v>
      </c>
      <c r="N949" s="32" t="n">
        <v>25181.39</v>
      </c>
      <c r="O949" s="32" t="n">
        <v>25211.59</v>
      </c>
      <c r="P949" s="45" t="n">
        <f aca="false">ABS(M949-N949)</f>
        <v>8.75</v>
      </c>
      <c r="Q949" s="45" t="n">
        <f aca="false">IF(O949="","",ABS(O949-M949))</f>
        <v>21.4500000000007</v>
      </c>
      <c r="R949" s="31" t="n">
        <f aca="false">P949*L949*Summary!$C$6</f>
        <v>35</v>
      </c>
      <c r="S949" s="32" t="n">
        <v>25181.26</v>
      </c>
      <c r="T949" s="29" t="s">
        <v>249</v>
      </c>
      <c r="U949" s="45" t="n">
        <f aca="false">IF(J949="BUY",S949-M949,M949-S949)</f>
        <v>-8.88000000000102</v>
      </c>
      <c r="V949" s="46" t="n">
        <v>0</v>
      </c>
      <c r="W949" s="46" t="n">
        <v>0</v>
      </c>
      <c r="X949" s="46" t="n">
        <v>-35.52</v>
      </c>
      <c r="Y949" s="33" t="n">
        <f aca="false">IFERROR(X949/R949,0)</f>
        <v>-1.01485714285714</v>
      </c>
      <c r="Z949" s="29" t="str">
        <f aca="false">IF(X949&gt;0,"Win",IF(X949&lt;0,"Loss","Flat"))</f>
        <v>Loss</v>
      </c>
      <c r="AA949" s="29" t="n">
        <f aca="false">ROUND((C949-B949)*1440,1)</f>
        <v>3.4</v>
      </c>
      <c r="AB949" s="29" t="str">
        <f aca="false">IF(AA949&lt;1,"a) &lt;1 min",IF(AA949&lt;10,"b) 1-10 min",IF(AA949&lt;60,"c) 10-60 min",IF(AA949&lt;240,"d) 1-4 h","e) 4 h+"))))</f>
        <v>b) 1-10 min</v>
      </c>
      <c r="AC949" s="29" t="str">
        <f aca="false">IF(P949&lt;10,"a) &lt;10",IF(P949&lt;20,"b) 10-20",IF(P949&lt;40,"c) 20-40",IF(P949&lt;80,"d) 40-80","e) 80+"))))</f>
        <v>a) &lt;10</v>
      </c>
      <c r="AD949" s="31" t="n">
        <f aca="false">Summary!$C$5+SUM(X$2:X949)</f>
        <v>21417.08</v>
      </c>
      <c r="AE949" s="31" t="n">
        <f aca="false">MAX(AE948,AD949)</f>
        <v>21452.6</v>
      </c>
      <c r="AF949" s="31" t="n">
        <f aca="false">AE949-AD949</f>
        <v>35.5199999999968</v>
      </c>
      <c r="AG949" s="30" t="n">
        <f aca="false">IFERROR(AF949/AE949,0)</f>
        <v>0.00165574335977909</v>
      </c>
    </row>
    <row r="950" customFormat="false" ht="15" hidden="false" customHeight="false" outlineLevel="0" collapsed="false">
      <c r="A950" s="29" t="n">
        <v>949</v>
      </c>
      <c r="B950" s="44" t="n">
        <v>46008.7493055556</v>
      </c>
      <c r="C950" s="44" t="n">
        <v>46008.750150463</v>
      </c>
      <c r="D950" s="43" t="n">
        <f aca="false">INT(C950)</f>
        <v>46008</v>
      </c>
      <c r="E950" s="43" t="n">
        <f aca="false">D950-WEEKDAY(D950,3)</f>
        <v>46006</v>
      </c>
      <c r="F950" s="29" t="s">
        <v>188</v>
      </c>
      <c r="G950" s="29" t="n">
        <v>2025</v>
      </c>
      <c r="H950" s="29" t="s">
        <v>252</v>
      </c>
      <c r="I950" s="29" t="n">
        <v>17</v>
      </c>
      <c r="J950" s="29" t="s">
        <v>250</v>
      </c>
      <c r="K950" s="29" t="s">
        <v>251</v>
      </c>
      <c r="L950" s="29" t="n">
        <v>0.04</v>
      </c>
      <c r="M950" s="32" t="n">
        <v>24806.46</v>
      </c>
      <c r="N950" s="32" t="n">
        <v>24837.64</v>
      </c>
      <c r="O950" s="32" t="n">
        <v>24733.9</v>
      </c>
      <c r="P950" s="45" t="n">
        <f aca="false">ABS(M950-N950)</f>
        <v>31.1800000000003</v>
      </c>
      <c r="Q950" s="45" t="n">
        <f aca="false">IF(O950="","",ABS(O950-M950))</f>
        <v>72.5599999999977</v>
      </c>
      <c r="R950" s="31" t="n">
        <f aca="false">P950*L950*Summary!$C$6</f>
        <v>124.720000000001</v>
      </c>
      <c r="S950" s="32" t="n">
        <v>24837.7</v>
      </c>
      <c r="T950" s="29" t="s">
        <v>249</v>
      </c>
      <c r="U950" s="45" t="n">
        <f aca="false">IF(J950="BUY",S950-M950,M950-S950)</f>
        <v>-31.2400000000016</v>
      </c>
      <c r="V950" s="46" t="n">
        <v>0</v>
      </c>
      <c r="W950" s="46" t="n">
        <v>0</v>
      </c>
      <c r="X950" s="46" t="n">
        <v>-124.96</v>
      </c>
      <c r="Y950" s="33" t="n">
        <f aca="false">IFERROR(X950/R950,0)</f>
        <v>-1.00192431045541</v>
      </c>
      <c r="Z950" s="29" t="str">
        <f aca="false">IF(X950&gt;0,"Win",IF(X950&lt;0,"Loss","Flat"))</f>
        <v>Loss</v>
      </c>
      <c r="AA950" s="29" t="n">
        <f aca="false">ROUND((C950-B950)*1440,1)</f>
        <v>1.2</v>
      </c>
      <c r="AB950" s="29" t="str">
        <f aca="false">IF(AA950&lt;1,"a) &lt;1 min",IF(AA950&lt;10,"b) 1-10 min",IF(AA950&lt;60,"c) 10-60 min",IF(AA950&lt;240,"d) 1-4 h","e) 4 h+"))))</f>
        <v>b) 1-10 min</v>
      </c>
      <c r="AC950" s="29" t="str">
        <f aca="false">IF(P950&lt;10,"a) &lt;10",IF(P950&lt;20,"b) 10-20",IF(P950&lt;40,"c) 20-40",IF(P950&lt;80,"d) 40-80","e) 80+"))))</f>
        <v>c) 20-40</v>
      </c>
      <c r="AD950" s="31" t="n">
        <f aca="false">Summary!$C$5+SUM(X$2:X950)</f>
        <v>21292.12</v>
      </c>
      <c r="AE950" s="31" t="n">
        <f aca="false">MAX(AE949,AD950)</f>
        <v>21452.6</v>
      </c>
      <c r="AF950" s="31" t="n">
        <f aca="false">AE950-AD950</f>
        <v>160.479999999996</v>
      </c>
      <c r="AG950" s="30" t="n">
        <f aca="false">IFERROR(AF950/AE950,0)</f>
        <v>0.00748067833269608</v>
      </c>
    </row>
    <row r="951" customFormat="false" ht="15" hidden="false" customHeight="false" outlineLevel="0" collapsed="false">
      <c r="A951" s="29" t="n">
        <v>950</v>
      </c>
      <c r="B951" s="44" t="n">
        <v>46010.6888888889</v>
      </c>
      <c r="C951" s="44" t="n">
        <v>46010.6924074074</v>
      </c>
      <c r="D951" s="43" t="n">
        <f aca="false">INT(C951)</f>
        <v>46010</v>
      </c>
      <c r="E951" s="43" t="n">
        <f aca="false">D951-WEEKDAY(D951,3)</f>
        <v>46006</v>
      </c>
      <c r="F951" s="29" t="s">
        <v>188</v>
      </c>
      <c r="G951" s="29" t="n">
        <v>2025</v>
      </c>
      <c r="H951" s="29" t="s">
        <v>254</v>
      </c>
      <c r="I951" s="29" t="n">
        <v>16</v>
      </c>
      <c r="J951" s="29" t="s">
        <v>246</v>
      </c>
      <c r="K951" s="29" t="s">
        <v>247</v>
      </c>
      <c r="L951" s="29" t="n">
        <v>0.04</v>
      </c>
      <c r="M951" s="32" t="n">
        <v>25184.97</v>
      </c>
      <c r="N951" s="32" t="n">
        <v>25156.59</v>
      </c>
      <c r="O951" s="32" t="n">
        <v>25262.43</v>
      </c>
      <c r="P951" s="45" t="n">
        <f aca="false">ABS(M951-N951)</f>
        <v>28.380000000001</v>
      </c>
      <c r="Q951" s="45" t="n">
        <f aca="false">IF(O951="","",ABS(O951-M951))</f>
        <v>77.4599999999991</v>
      </c>
      <c r="R951" s="31" t="n">
        <f aca="false">P951*L951*Summary!$C$6</f>
        <v>113.520000000004</v>
      </c>
      <c r="S951" s="32" t="n">
        <v>25184.04</v>
      </c>
      <c r="T951" s="29" t="s">
        <v>255</v>
      </c>
      <c r="U951" s="45" t="n">
        <f aca="false">IF(J951="BUY",S951-M951,M951-S951)</f>
        <v>-0.930000000000291</v>
      </c>
      <c r="V951" s="46" t="n">
        <v>0</v>
      </c>
      <c r="W951" s="46" t="n">
        <v>0</v>
      </c>
      <c r="X951" s="46" t="n">
        <v>-3.72</v>
      </c>
      <c r="Y951" s="33" t="n">
        <f aca="false">IFERROR(X951/R951,0)</f>
        <v>-0.0327695560253688</v>
      </c>
      <c r="Z951" s="29" t="str">
        <f aca="false">IF(X951&gt;0,"Win",IF(X951&lt;0,"Loss","Flat"))</f>
        <v>Loss</v>
      </c>
      <c r="AA951" s="29" t="n">
        <f aca="false">ROUND((C951-B951)*1440,1)</f>
        <v>5.1</v>
      </c>
      <c r="AB951" s="29" t="str">
        <f aca="false">IF(AA951&lt;1,"a) &lt;1 min",IF(AA951&lt;10,"b) 1-10 min",IF(AA951&lt;60,"c) 10-60 min",IF(AA951&lt;240,"d) 1-4 h","e) 4 h+"))))</f>
        <v>b) 1-10 min</v>
      </c>
      <c r="AC951" s="29" t="str">
        <f aca="false">IF(P951&lt;10,"a) &lt;10",IF(P951&lt;20,"b) 10-20",IF(P951&lt;40,"c) 20-40",IF(P951&lt;80,"d) 40-80","e) 80+"))))</f>
        <v>c) 20-40</v>
      </c>
      <c r="AD951" s="31" t="n">
        <f aca="false">Summary!$C$5+SUM(X$2:X951)</f>
        <v>21288.4</v>
      </c>
      <c r="AE951" s="31" t="n">
        <f aca="false">MAX(AE950,AD951)</f>
        <v>21452.6</v>
      </c>
      <c r="AF951" s="31" t="n">
        <f aca="false">AE951-AD951</f>
        <v>164.199999999997</v>
      </c>
      <c r="AG951" s="30" t="n">
        <f aca="false">IFERROR(AF951/AE951,0)</f>
        <v>0.00765408388726761</v>
      </c>
    </row>
    <row r="952" customFormat="false" ht="15" hidden="false" customHeight="false" outlineLevel="0" collapsed="false">
      <c r="A952" s="29" t="n">
        <v>951</v>
      </c>
      <c r="B952" s="44" t="n">
        <v>46013.0423611111</v>
      </c>
      <c r="C952" s="44" t="n">
        <v>46013.0494097222</v>
      </c>
      <c r="D952" s="43" t="n">
        <f aca="false">INT(C952)</f>
        <v>46013</v>
      </c>
      <c r="E952" s="43" t="n">
        <f aca="false">D952-WEEKDAY(D952,3)</f>
        <v>46013</v>
      </c>
      <c r="F952" s="29" t="s">
        <v>188</v>
      </c>
      <c r="G952" s="29" t="n">
        <v>2025</v>
      </c>
      <c r="H952" s="29" t="s">
        <v>245</v>
      </c>
      <c r="I952" s="29" t="n">
        <v>1</v>
      </c>
      <c r="J952" s="29" t="s">
        <v>246</v>
      </c>
      <c r="K952" s="29" t="s">
        <v>247</v>
      </c>
      <c r="L952" s="29" t="n">
        <v>0.04</v>
      </c>
      <c r="M952" s="32" t="n">
        <v>25421.71</v>
      </c>
      <c r="N952" s="32" t="n">
        <v>25400.14</v>
      </c>
      <c r="O952" s="32" t="n">
        <v>25471.34</v>
      </c>
      <c r="P952" s="45" t="n">
        <f aca="false">ABS(M952-N952)</f>
        <v>21.5699999999997</v>
      </c>
      <c r="Q952" s="45" t="n">
        <f aca="false">IF(O952="","",ABS(O952-M952))</f>
        <v>49.630000000001</v>
      </c>
      <c r="R952" s="31" t="n">
        <f aca="false">P952*L952*Summary!$C$6</f>
        <v>86.2799999999988</v>
      </c>
      <c r="S952" s="32" t="n">
        <v>25399.93</v>
      </c>
      <c r="T952" s="29" t="s">
        <v>249</v>
      </c>
      <c r="U952" s="45" t="n">
        <f aca="false">IF(J952="BUY",S952-M952,M952-S952)</f>
        <v>-21.7799999999988</v>
      </c>
      <c r="V952" s="46" t="n">
        <v>0</v>
      </c>
      <c r="W952" s="46" t="n">
        <v>0</v>
      </c>
      <c r="X952" s="46" t="n">
        <v>-87.12</v>
      </c>
      <c r="Y952" s="33" t="n">
        <f aca="false">IFERROR(X952/R952,0)</f>
        <v>-1.00973574408903</v>
      </c>
      <c r="Z952" s="29" t="str">
        <f aca="false">IF(X952&gt;0,"Win",IF(X952&lt;0,"Loss","Flat"))</f>
        <v>Loss</v>
      </c>
      <c r="AA952" s="29" t="n">
        <f aca="false">ROUND((C952-B952)*1440,1)</f>
        <v>10.2</v>
      </c>
      <c r="AB952" s="29" t="str">
        <f aca="false">IF(AA952&lt;1,"a) &lt;1 min",IF(AA952&lt;10,"b) 1-10 min",IF(AA952&lt;60,"c) 10-60 min",IF(AA952&lt;240,"d) 1-4 h","e) 4 h+"))))</f>
        <v>c) 10-60 min</v>
      </c>
      <c r="AC952" s="29" t="str">
        <f aca="false">IF(P952&lt;10,"a) &lt;10",IF(P952&lt;20,"b) 10-20",IF(P952&lt;40,"c) 20-40",IF(P952&lt;80,"d) 40-80","e) 80+"))))</f>
        <v>c) 20-40</v>
      </c>
      <c r="AD952" s="31" t="n">
        <f aca="false">Summary!$C$5+SUM(X$2:X952)</f>
        <v>21201.28</v>
      </c>
      <c r="AE952" s="31" t="n">
        <f aca="false">MAX(AE951,AD952)</f>
        <v>21452.6</v>
      </c>
      <c r="AF952" s="31" t="n">
        <f aca="false">AE952-AD952</f>
        <v>251.32</v>
      </c>
      <c r="AG952" s="30" t="n">
        <f aca="false">IFERROR(AF952/AE952,0)</f>
        <v>0.0117151301007803</v>
      </c>
    </row>
    <row r="953" customFormat="false" ht="15" hidden="false" customHeight="false" outlineLevel="0" collapsed="false">
      <c r="A953" s="29" t="n">
        <v>952</v>
      </c>
      <c r="B953" s="44" t="n">
        <v>46014.6527777778</v>
      </c>
      <c r="C953" s="44" t="n">
        <v>46014.6549537037</v>
      </c>
      <c r="D953" s="43" t="n">
        <f aca="false">INT(C953)</f>
        <v>46014</v>
      </c>
      <c r="E953" s="43" t="n">
        <f aca="false">D953-WEEKDAY(D953,3)</f>
        <v>46013</v>
      </c>
      <c r="F953" s="29" t="s">
        <v>188</v>
      </c>
      <c r="G953" s="29" t="n">
        <v>2025</v>
      </c>
      <c r="H953" s="29" t="s">
        <v>248</v>
      </c>
      <c r="I953" s="29" t="n">
        <v>15</v>
      </c>
      <c r="J953" s="29" t="s">
        <v>250</v>
      </c>
      <c r="K953" s="29" t="s">
        <v>251</v>
      </c>
      <c r="L953" s="29" t="n">
        <v>0.04</v>
      </c>
      <c r="M953" s="32" t="n">
        <v>25381.84</v>
      </c>
      <c r="N953" s="32" t="n">
        <v>25399.3</v>
      </c>
      <c r="O953" s="32" t="n">
        <v>25341.92</v>
      </c>
      <c r="P953" s="45" t="n">
        <f aca="false">ABS(M953-N953)</f>
        <v>17.4599999999991</v>
      </c>
      <c r="Q953" s="45" t="n">
        <f aca="false">IF(O953="","",ABS(O953-M953))</f>
        <v>39.9200000000019</v>
      </c>
      <c r="R953" s="31" t="n">
        <f aca="false">P953*L953*Summary!$C$6</f>
        <v>69.8399999999965</v>
      </c>
      <c r="S953" s="32" t="n">
        <v>25399.41</v>
      </c>
      <c r="T953" s="29" t="s">
        <v>249</v>
      </c>
      <c r="U953" s="45" t="n">
        <f aca="false">IF(J953="BUY",S953-M953,M953-S953)</f>
        <v>-17.5699999999997</v>
      </c>
      <c r="V953" s="46" t="n">
        <v>0</v>
      </c>
      <c r="W953" s="46" t="n">
        <v>0</v>
      </c>
      <c r="X953" s="46" t="n">
        <v>-70.28</v>
      </c>
      <c r="Y953" s="33" t="n">
        <f aca="false">IFERROR(X953/R953,0)</f>
        <v>-1.00630011454759</v>
      </c>
      <c r="Z953" s="29" t="str">
        <f aca="false">IF(X953&gt;0,"Win",IF(X953&lt;0,"Loss","Flat"))</f>
        <v>Loss</v>
      </c>
      <c r="AA953" s="29" t="n">
        <f aca="false">ROUND((C953-B953)*1440,1)</f>
        <v>3.1</v>
      </c>
      <c r="AB953" s="29" t="str">
        <f aca="false">IF(AA953&lt;1,"a) &lt;1 min",IF(AA953&lt;10,"b) 1-10 min",IF(AA953&lt;60,"c) 10-60 min",IF(AA953&lt;240,"d) 1-4 h","e) 4 h+"))))</f>
        <v>b) 1-10 min</v>
      </c>
      <c r="AC953" s="29" t="str">
        <f aca="false">IF(P953&lt;10,"a) &lt;10",IF(P953&lt;20,"b) 10-20",IF(P953&lt;40,"c) 20-40",IF(P953&lt;80,"d) 40-80","e) 80+"))))</f>
        <v>b) 10-20</v>
      </c>
      <c r="AD953" s="31" t="n">
        <f aca="false">Summary!$C$5+SUM(X$2:X953)</f>
        <v>21131</v>
      </c>
      <c r="AE953" s="31" t="n">
        <f aca="false">MAX(AE952,AD953)</f>
        <v>21452.6</v>
      </c>
      <c r="AF953" s="31" t="n">
        <f aca="false">AE953-AD953</f>
        <v>321.599999999999</v>
      </c>
      <c r="AG953" s="30" t="n">
        <f aca="false">IFERROR(AF953/AE953,0)</f>
        <v>0.0149911898790822</v>
      </c>
    </row>
    <row r="954" customFormat="false" ht="15" hidden="false" customHeight="false" outlineLevel="0" collapsed="false">
      <c r="A954" s="29" t="n">
        <v>953</v>
      </c>
      <c r="B954" s="44" t="n">
        <v>46014.9111111111</v>
      </c>
      <c r="C954" s="44" t="n">
        <v>46014.9146064815</v>
      </c>
      <c r="D954" s="43" t="n">
        <f aca="false">INT(C954)</f>
        <v>46014</v>
      </c>
      <c r="E954" s="43" t="n">
        <f aca="false">D954-WEEKDAY(D954,3)</f>
        <v>46013</v>
      </c>
      <c r="F954" s="29" t="s">
        <v>188</v>
      </c>
      <c r="G954" s="29" t="n">
        <v>2025</v>
      </c>
      <c r="H954" s="29" t="s">
        <v>248</v>
      </c>
      <c r="I954" s="29" t="n">
        <v>21</v>
      </c>
      <c r="J954" s="29" t="s">
        <v>246</v>
      </c>
      <c r="K954" s="29" t="s">
        <v>247</v>
      </c>
      <c r="L954" s="29" t="n">
        <v>0.04</v>
      </c>
      <c r="M954" s="32" t="n">
        <v>25558.45</v>
      </c>
      <c r="N954" s="32" t="n">
        <v>25555.33</v>
      </c>
      <c r="O954" s="32" t="n">
        <v>25566.1</v>
      </c>
      <c r="P954" s="45" t="n">
        <f aca="false">ABS(M954-N954)</f>
        <v>3.11999999999898</v>
      </c>
      <c r="Q954" s="45" t="n">
        <f aca="false">IF(O954="","",ABS(O954-M954))</f>
        <v>7.64999999999782</v>
      </c>
      <c r="R954" s="31" t="n">
        <f aca="false">P954*L954*Summary!$C$6</f>
        <v>12.4799999999959</v>
      </c>
      <c r="S954" s="32" t="n">
        <v>25566.11</v>
      </c>
      <c r="T954" s="29" t="s">
        <v>227</v>
      </c>
      <c r="U954" s="45" t="n">
        <f aca="false">IF(J954="BUY",S954-M954,M954-S954)</f>
        <v>7.65999999999985</v>
      </c>
      <c r="V954" s="46" t="n">
        <v>0</v>
      </c>
      <c r="W954" s="46" t="n">
        <v>0</v>
      </c>
      <c r="X954" s="46" t="n">
        <v>30.64</v>
      </c>
      <c r="Y954" s="33" t="n">
        <f aca="false">IFERROR(X954/R954,0)</f>
        <v>2.45512820512901</v>
      </c>
      <c r="Z954" s="29" t="str">
        <f aca="false">IF(X954&gt;0,"Win",IF(X954&lt;0,"Loss","Flat"))</f>
        <v>Win</v>
      </c>
      <c r="AA954" s="29" t="n">
        <f aca="false">ROUND((C954-B954)*1440,1)</f>
        <v>5</v>
      </c>
      <c r="AB954" s="29" t="str">
        <f aca="false">IF(AA954&lt;1,"a) &lt;1 min",IF(AA954&lt;10,"b) 1-10 min",IF(AA954&lt;60,"c) 10-60 min",IF(AA954&lt;240,"d) 1-4 h","e) 4 h+"))))</f>
        <v>b) 1-10 min</v>
      </c>
      <c r="AC954" s="29" t="str">
        <f aca="false">IF(P954&lt;10,"a) &lt;10",IF(P954&lt;20,"b) 10-20",IF(P954&lt;40,"c) 20-40",IF(P954&lt;80,"d) 40-80","e) 80+"))))</f>
        <v>a) &lt;10</v>
      </c>
      <c r="AD954" s="31" t="n">
        <f aca="false">Summary!$C$5+SUM(X$2:X954)</f>
        <v>21161.64</v>
      </c>
      <c r="AE954" s="31" t="n">
        <f aca="false">MAX(AE953,AD954)</f>
        <v>21452.6</v>
      </c>
      <c r="AF954" s="31" t="n">
        <f aca="false">AE954-AD954</f>
        <v>290.959999999999</v>
      </c>
      <c r="AG954" s="30" t="n">
        <f aca="false">IFERROR(AF954/AE954,0)</f>
        <v>0.0135629247736871</v>
      </c>
    </row>
    <row r="955" customFormat="false" ht="15" hidden="false" customHeight="false" outlineLevel="0" collapsed="false">
      <c r="A955" s="29" t="n">
        <v>954</v>
      </c>
      <c r="B955" s="44" t="n">
        <v>46015.0861111111</v>
      </c>
      <c r="C955" s="44" t="n">
        <v>46015.0887962963</v>
      </c>
      <c r="D955" s="43" t="n">
        <f aca="false">INT(C955)</f>
        <v>46015</v>
      </c>
      <c r="E955" s="43" t="n">
        <f aca="false">D955-WEEKDAY(D955,3)</f>
        <v>46013</v>
      </c>
      <c r="F955" s="29" t="s">
        <v>188</v>
      </c>
      <c r="G955" s="29" t="n">
        <v>2025</v>
      </c>
      <c r="H955" s="29" t="s">
        <v>252</v>
      </c>
      <c r="I955" s="29" t="n">
        <v>2</v>
      </c>
      <c r="J955" s="29" t="s">
        <v>246</v>
      </c>
      <c r="K955" s="29" t="s">
        <v>247</v>
      </c>
      <c r="L955" s="29" t="n">
        <v>0.04</v>
      </c>
      <c r="M955" s="32" t="n">
        <v>25591.41</v>
      </c>
      <c r="N955" s="32" t="n">
        <v>25586.25</v>
      </c>
      <c r="O955" s="32" t="n">
        <v>25604.06</v>
      </c>
      <c r="P955" s="45" t="n">
        <f aca="false">ABS(M955-N955)</f>
        <v>5.15999999999985</v>
      </c>
      <c r="Q955" s="45" t="n">
        <f aca="false">IF(O955="","",ABS(O955-M955))</f>
        <v>12.6500000000015</v>
      </c>
      <c r="R955" s="31" t="n">
        <f aca="false">P955*L955*Summary!$C$6</f>
        <v>20.6399999999994</v>
      </c>
      <c r="S955" s="32" t="n">
        <v>25591.14</v>
      </c>
      <c r="T955" s="29" t="s">
        <v>255</v>
      </c>
      <c r="U955" s="45" t="n">
        <f aca="false">IF(J955="BUY",S955-M955,M955-S955)</f>
        <v>-0.270000000000437</v>
      </c>
      <c r="V955" s="46" t="n">
        <v>0</v>
      </c>
      <c r="W955" s="46" t="n">
        <v>0</v>
      </c>
      <c r="X955" s="46" t="n">
        <v>-1.08</v>
      </c>
      <c r="Y955" s="33" t="n">
        <f aca="false">IFERROR(X955/R955,0)</f>
        <v>-0.0523255813953503</v>
      </c>
      <c r="Z955" s="29" t="str">
        <f aca="false">IF(X955&gt;0,"Win",IF(X955&lt;0,"Loss","Flat"))</f>
        <v>Loss</v>
      </c>
      <c r="AA955" s="29" t="n">
        <f aca="false">ROUND((C955-B955)*1440,1)</f>
        <v>3.9</v>
      </c>
      <c r="AB955" s="29" t="str">
        <f aca="false">IF(AA955&lt;1,"a) &lt;1 min",IF(AA955&lt;10,"b) 1-10 min",IF(AA955&lt;60,"c) 10-60 min",IF(AA955&lt;240,"d) 1-4 h","e) 4 h+"))))</f>
        <v>b) 1-10 min</v>
      </c>
      <c r="AC955" s="29" t="str">
        <f aca="false">IF(P955&lt;10,"a) &lt;10",IF(P955&lt;20,"b) 10-20",IF(P955&lt;40,"c) 20-40",IF(P955&lt;80,"d) 40-80","e) 80+"))))</f>
        <v>a) &lt;10</v>
      </c>
      <c r="AD955" s="31" t="n">
        <f aca="false">Summary!$C$5+SUM(X$2:X955)</f>
        <v>21160.56</v>
      </c>
      <c r="AE955" s="31" t="n">
        <f aca="false">MAX(AE954,AD955)</f>
        <v>21452.6</v>
      </c>
      <c r="AF955" s="31" t="n">
        <f aca="false">AE955-AD955</f>
        <v>292.040000000001</v>
      </c>
      <c r="AG955" s="30" t="n">
        <f aca="false">IFERROR(AF955/AE955,0)</f>
        <v>0.0136132683217885</v>
      </c>
    </row>
    <row r="956" customFormat="false" ht="15" hidden="false" customHeight="false" outlineLevel="0" collapsed="false">
      <c r="A956" s="29" t="n">
        <v>955</v>
      </c>
      <c r="B956" s="44" t="n">
        <v>46017.0465277778</v>
      </c>
      <c r="C956" s="44" t="n">
        <v>46017.0474768519</v>
      </c>
      <c r="D956" s="43" t="n">
        <f aca="false">INT(C956)</f>
        <v>46017</v>
      </c>
      <c r="E956" s="43" t="n">
        <f aca="false">D956-WEEKDAY(D956,3)</f>
        <v>46013</v>
      </c>
      <c r="F956" s="29" t="s">
        <v>188</v>
      </c>
      <c r="G956" s="29" t="n">
        <v>2025</v>
      </c>
      <c r="H956" s="29" t="s">
        <v>254</v>
      </c>
      <c r="I956" s="29" t="n">
        <v>1</v>
      </c>
      <c r="J956" s="29" t="s">
        <v>246</v>
      </c>
      <c r="K956" s="29" t="s">
        <v>247</v>
      </c>
      <c r="L956" s="29" t="n">
        <v>0.04</v>
      </c>
      <c r="M956" s="32" t="n">
        <v>25668.5</v>
      </c>
      <c r="N956" s="32" t="n">
        <v>25661.42</v>
      </c>
      <c r="O956" s="32" t="n">
        <v>25685.86</v>
      </c>
      <c r="P956" s="45" t="n">
        <f aca="false">ABS(M956-N956)</f>
        <v>7.08000000000175</v>
      </c>
      <c r="Q956" s="45" t="n">
        <f aca="false">IF(O956="","",ABS(O956-M956))</f>
        <v>17.3600000000006</v>
      </c>
      <c r="R956" s="31" t="n">
        <f aca="false">P956*L956*Summary!$C$6</f>
        <v>28.320000000007</v>
      </c>
      <c r="S956" s="32" t="n">
        <v>25661.37</v>
      </c>
      <c r="T956" s="29" t="s">
        <v>249</v>
      </c>
      <c r="U956" s="45" t="n">
        <f aca="false">IF(J956="BUY",S956-M956,M956-S956)</f>
        <v>-7.13000000000102</v>
      </c>
      <c r="V956" s="46" t="n">
        <v>0</v>
      </c>
      <c r="W956" s="46" t="n">
        <v>0</v>
      </c>
      <c r="X956" s="46" t="n">
        <v>-28.52</v>
      </c>
      <c r="Y956" s="33" t="n">
        <f aca="false">IFERROR(X956/R956,0)</f>
        <v>-1.00706214689241</v>
      </c>
      <c r="Z956" s="29" t="str">
        <f aca="false">IF(X956&gt;0,"Win",IF(X956&lt;0,"Loss","Flat"))</f>
        <v>Loss</v>
      </c>
      <c r="AA956" s="29" t="n">
        <f aca="false">ROUND((C956-B956)*1440,1)</f>
        <v>1.4</v>
      </c>
      <c r="AB956" s="29" t="str">
        <f aca="false">IF(AA956&lt;1,"a) &lt;1 min",IF(AA956&lt;10,"b) 1-10 min",IF(AA956&lt;60,"c) 10-60 min",IF(AA956&lt;240,"d) 1-4 h","e) 4 h+"))))</f>
        <v>b) 1-10 min</v>
      </c>
      <c r="AC956" s="29" t="str">
        <f aca="false">IF(P956&lt;10,"a) &lt;10",IF(P956&lt;20,"b) 10-20",IF(P956&lt;40,"c) 20-40",IF(P956&lt;80,"d) 40-80","e) 80+"))))</f>
        <v>a) &lt;10</v>
      </c>
      <c r="AD956" s="31" t="n">
        <f aca="false">Summary!$C$5+SUM(X$2:X956)</f>
        <v>21132.04</v>
      </c>
      <c r="AE956" s="31" t="n">
        <f aca="false">MAX(AE955,AD956)</f>
        <v>21452.6</v>
      </c>
      <c r="AF956" s="31" t="n">
        <f aca="false">AE956-AD956</f>
        <v>320.559999999998</v>
      </c>
      <c r="AG956" s="30" t="n">
        <f aca="false">IFERROR(AF956/AE956,0)</f>
        <v>0.0149427109068364</v>
      </c>
    </row>
    <row r="957" customFormat="false" ht="15" hidden="false" customHeight="false" outlineLevel="0" collapsed="false">
      <c r="A957" s="29" t="n">
        <v>956</v>
      </c>
      <c r="B957" s="44" t="n">
        <v>46020.1923611111</v>
      </c>
      <c r="C957" s="44" t="n">
        <v>46020.1924652778</v>
      </c>
      <c r="D957" s="43" t="n">
        <f aca="false">INT(C957)</f>
        <v>46020</v>
      </c>
      <c r="E957" s="43" t="n">
        <f aca="false">D957-WEEKDAY(D957,3)</f>
        <v>46020</v>
      </c>
      <c r="F957" s="29" t="s">
        <v>188</v>
      </c>
      <c r="G957" s="29" t="n">
        <v>2025</v>
      </c>
      <c r="H957" s="29" t="s">
        <v>245</v>
      </c>
      <c r="I957" s="29" t="n">
        <v>4</v>
      </c>
      <c r="J957" s="29" t="s">
        <v>250</v>
      </c>
      <c r="K957" s="29" t="s">
        <v>251</v>
      </c>
      <c r="L957" s="29" t="n">
        <v>0.04</v>
      </c>
      <c r="M957" s="32" t="n">
        <v>25611.64</v>
      </c>
      <c r="N957" s="32" t="n">
        <v>25617.14</v>
      </c>
      <c r="O957" s="32" t="n">
        <v>25598.17</v>
      </c>
      <c r="P957" s="45" t="n">
        <f aca="false">ABS(M957-N957)</f>
        <v>5.5</v>
      </c>
      <c r="Q957" s="45" t="n">
        <f aca="false">IF(O957="","",ABS(O957-M957))</f>
        <v>13.4700000000012</v>
      </c>
      <c r="R957" s="31" t="n">
        <f aca="false">P957*L957*Summary!$C$6</f>
        <v>22</v>
      </c>
      <c r="S957" s="32" t="n">
        <v>25617.53</v>
      </c>
      <c r="T957" s="29" t="s">
        <v>249</v>
      </c>
      <c r="U957" s="45" t="n">
        <f aca="false">IF(J957="BUY",S957-M957,M957-S957)</f>
        <v>-5.88999999999942</v>
      </c>
      <c r="V957" s="46" t="n">
        <v>0</v>
      </c>
      <c r="W957" s="46" t="n">
        <v>0</v>
      </c>
      <c r="X957" s="46" t="n">
        <v>-23.56</v>
      </c>
      <c r="Y957" s="33" t="n">
        <f aca="false">IFERROR(X957/R957,0)</f>
        <v>-1.07090909090909</v>
      </c>
      <c r="Z957" s="29" t="str">
        <f aca="false">IF(X957&gt;0,"Win",IF(X957&lt;0,"Loss","Flat"))</f>
        <v>Loss</v>
      </c>
      <c r="AA957" s="29" t="n">
        <f aca="false">ROUND((C957-B957)*1440,1)</f>
        <v>0.1</v>
      </c>
      <c r="AB957" s="29" t="str">
        <f aca="false">IF(AA957&lt;1,"a) &lt;1 min",IF(AA957&lt;10,"b) 1-10 min",IF(AA957&lt;60,"c) 10-60 min",IF(AA957&lt;240,"d) 1-4 h","e) 4 h+"))))</f>
        <v>a) &lt;1 min</v>
      </c>
      <c r="AC957" s="29" t="str">
        <f aca="false">IF(P957&lt;10,"a) &lt;10",IF(P957&lt;20,"b) 10-20",IF(P957&lt;40,"c) 20-40",IF(P957&lt;80,"d) 40-80","e) 80+"))))</f>
        <v>a) &lt;10</v>
      </c>
      <c r="AD957" s="31" t="n">
        <f aca="false">Summary!$C$5+SUM(X$2:X957)</f>
        <v>21108.48</v>
      </c>
      <c r="AE957" s="31" t="n">
        <f aca="false">MAX(AE956,AD957)</f>
        <v>21452.6</v>
      </c>
      <c r="AF957" s="31" t="n">
        <f aca="false">AE957-AD957</f>
        <v>344.119999999999</v>
      </c>
      <c r="AG957" s="30" t="n">
        <f aca="false">IFERROR(AF957/AE957,0)</f>
        <v>0.0160409460857891</v>
      </c>
    </row>
    <row r="958" customFormat="false" ht="15" hidden="false" customHeight="false" outlineLevel="0" collapsed="false">
      <c r="A958" s="29" t="n">
        <v>957</v>
      </c>
      <c r="B958" s="44" t="n">
        <v>46022.0513888889</v>
      </c>
      <c r="C958" s="44" t="n">
        <v>46022.054375</v>
      </c>
      <c r="D958" s="43" t="n">
        <f aca="false">INT(C958)</f>
        <v>46022</v>
      </c>
      <c r="E958" s="43" t="n">
        <f aca="false">D958-WEEKDAY(D958,3)</f>
        <v>46020</v>
      </c>
      <c r="F958" s="29" t="s">
        <v>188</v>
      </c>
      <c r="G958" s="29" t="n">
        <v>2025</v>
      </c>
      <c r="H958" s="29" t="s">
        <v>252</v>
      </c>
      <c r="I958" s="29" t="n">
        <v>1</v>
      </c>
      <c r="J958" s="29" t="s">
        <v>250</v>
      </c>
      <c r="K958" s="29" t="s">
        <v>251</v>
      </c>
      <c r="L958" s="29" t="n">
        <v>0.04</v>
      </c>
      <c r="M958" s="32" t="n">
        <v>25452.06</v>
      </c>
      <c r="N958" s="32" t="n">
        <v>25460.34</v>
      </c>
      <c r="O958" s="32" t="n">
        <v>25431.77</v>
      </c>
      <c r="P958" s="45" t="n">
        <f aca="false">ABS(M958-N958)</f>
        <v>8.27999999999884</v>
      </c>
      <c r="Q958" s="45" t="n">
        <f aca="false">IF(O958="","",ABS(O958-M958))</f>
        <v>20.2900000000009</v>
      </c>
      <c r="R958" s="31" t="n">
        <f aca="false">P958*L958*Summary!$C$6</f>
        <v>33.1199999999953</v>
      </c>
      <c r="S958" s="32" t="n">
        <v>25460.53</v>
      </c>
      <c r="T958" s="29" t="s">
        <v>249</v>
      </c>
      <c r="U958" s="45" t="n">
        <f aca="false">IF(J958="BUY",S958-M958,M958-S958)</f>
        <v>-8.46999999999753</v>
      </c>
      <c r="V958" s="46" t="n">
        <v>0</v>
      </c>
      <c r="W958" s="46" t="n">
        <v>0</v>
      </c>
      <c r="X958" s="46" t="n">
        <v>-33.88</v>
      </c>
      <c r="Y958" s="33" t="n">
        <f aca="false">IFERROR(X958/R958,0)</f>
        <v>-1.02294685990353</v>
      </c>
      <c r="Z958" s="29" t="str">
        <f aca="false">IF(X958&gt;0,"Win",IF(X958&lt;0,"Loss","Flat"))</f>
        <v>Loss</v>
      </c>
      <c r="AA958" s="29" t="n">
        <f aca="false">ROUND((C958-B958)*1440,1)</f>
        <v>4.3</v>
      </c>
      <c r="AB958" s="29" t="str">
        <f aca="false">IF(AA958&lt;1,"a) &lt;1 min",IF(AA958&lt;10,"b) 1-10 min",IF(AA958&lt;60,"c) 10-60 min",IF(AA958&lt;240,"d) 1-4 h","e) 4 h+"))))</f>
        <v>b) 1-10 min</v>
      </c>
      <c r="AC958" s="29" t="str">
        <f aca="false">IF(P958&lt;10,"a) &lt;10",IF(P958&lt;20,"b) 10-20",IF(P958&lt;40,"c) 20-40",IF(P958&lt;80,"d) 40-80","e) 80+"))))</f>
        <v>a) &lt;10</v>
      </c>
      <c r="AD958" s="31" t="n">
        <f aca="false">Summary!$C$5+SUM(X$2:X958)</f>
        <v>21074.6</v>
      </c>
      <c r="AE958" s="31" t="n">
        <f aca="false">MAX(AE957,AD958)</f>
        <v>21452.6</v>
      </c>
      <c r="AF958" s="31" t="n">
        <f aca="false">AE958-AD958</f>
        <v>378</v>
      </c>
      <c r="AG958" s="30" t="n">
        <f aca="false">IFERROR(AF958/AE958,0)</f>
        <v>0.0176202418354885</v>
      </c>
    </row>
    <row r="959" customFormat="false" ht="15" hidden="false" customHeight="false" outlineLevel="0" collapsed="false">
      <c r="A959" s="29" t="n">
        <v>958</v>
      </c>
      <c r="B959" s="44" t="n">
        <v>46024.4534722222</v>
      </c>
      <c r="C959" s="44" t="n">
        <v>46024.4608101852</v>
      </c>
      <c r="D959" s="43" t="n">
        <f aca="false">INT(C959)</f>
        <v>46024</v>
      </c>
      <c r="E959" s="43" t="n">
        <f aca="false">D959-WEEKDAY(D959,3)</f>
        <v>46020</v>
      </c>
      <c r="F959" s="29" t="s">
        <v>189</v>
      </c>
      <c r="G959" s="29" t="n">
        <v>2026</v>
      </c>
      <c r="H959" s="29" t="s">
        <v>254</v>
      </c>
      <c r="I959" s="29" t="n">
        <v>10</v>
      </c>
      <c r="J959" s="29" t="s">
        <v>246</v>
      </c>
      <c r="K959" s="29" t="s">
        <v>247</v>
      </c>
      <c r="L959" s="29" t="n">
        <v>0.04</v>
      </c>
      <c r="M959" s="32" t="n">
        <v>25510.4</v>
      </c>
      <c r="N959" s="32" t="n">
        <v>25503.49</v>
      </c>
      <c r="O959" s="32" t="n">
        <v>25527.33</v>
      </c>
      <c r="P959" s="45" t="n">
        <f aca="false">ABS(M959-N959)</f>
        <v>6.90999999999985</v>
      </c>
      <c r="Q959" s="45" t="n">
        <f aca="false">IF(O959="","",ABS(O959-M959))</f>
        <v>16.9300000000003</v>
      </c>
      <c r="R959" s="31" t="n">
        <f aca="false">P959*L959*Summary!$C$6</f>
        <v>27.6399999999994</v>
      </c>
      <c r="S959" s="32" t="n">
        <v>25510</v>
      </c>
      <c r="T959" s="29" t="s">
        <v>255</v>
      </c>
      <c r="U959" s="45" t="n">
        <f aca="false">IF(J959="BUY",S959-M959,M959-S959)</f>
        <v>-0.400000000001455</v>
      </c>
      <c r="V959" s="46" t="n">
        <v>0</v>
      </c>
      <c r="W959" s="46" t="n">
        <v>0</v>
      </c>
      <c r="X959" s="46" t="n">
        <v>-1.6</v>
      </c>
      <c r="Y959" s="33" t="n">
        <f aca="false">IFERROR(X959/R959,0)</f>
        <v>-0.0578871201157755</v>
      </c>
      <c r="Z959" s="29" t="str">
        <f aca="false">IF(X959&gt;0,"Win",IF(X959&lt;0,"Loss","Flat"))</f>
        <v>Loss</v>
      </c>
      <c r="AA959" s="29" t="n">
        <f aca="false">ROUND((C959-B959)*1440,1)</f>
        <v>10.6</v>
      </c>
      <c r="AB959" s="29" t="str">
        <f aca="false">IF(AA959&lt;1,"a) &lt;1 min",IF(AA959&lt;10,"b) 1-10 min",IF(AA959&lt;60,"c) 10-60 min",IF(AA959&lt;240,"d) 1-4 h","e) 4 h+"))))</f>
        <v>c) 10-60 min</v>
      </c>
      <c r="AC959" s="29" t="str">
        <f aca="false">IF(P959&lt;10,"a) &lt;10",IF(P959&lt;20,"b) 10-20",IF(P959&lt;40,"c) 20-40",IF(P959&lt;80,"d) 40-80","e) 80+"))))</f>
        <v>a) &lt;10</v>
      </c>
      <c r="AD959" s="31" t="n">
        <f aca="false">Summary!$C$5+SUM(X$2:X959)</f>
        <v>21073</v>
      </c>
      <c r="AE959" s="31" t="n">
        <f aca="false">MAX(AE958,AD959)</f>
        <v>21452.6</v>
      </c>
      <c r="AF959" s="31" t="n">
        <f aca="false">AE959-AD959</f>
        <v>379.599999999999</v>
      </c>
      <c r="AG959" s="30" t="n">
        <f aca="false">IFERROR(AF959/AE959,0)</f>
        <v>0.0176948248697127</v>
      </c>
    </row>
    <row r="960" customFormat="false" ht="15" hidden="false" customHeight="false" outlineLevel="0" collapsed="false">
      <c r="A960" s="29" t="n">
        <v>959</v>
      </c>
      <c r="B960" s="44" t="n">
        <v>46024.7486111111</v>
      </c>
      <c r="C960" s="44" t="n">
        <v>46024.7584027778</v>
      </c>
      <c r="D960" s="43" t="n">
        <f aca="false">INT(C960)</f>
        <v>46024</v>
      </c>
      <c r="E960" s="43" t="n">
        <f aca="false">D960-WEEKDAY(D960,3)</f>
        <v>46020</v>
      </c>
      <c r="F960" s="29" t="s">
        <v>189</v>
      </c>
      <c r="G960" s="29" t="n">
        <v>2026</v>
      </c>
      <c r="H960" s="29" t="s">
        <v>254</v>
      </c>
      <c r="I960" s="29" t="n">
        <v>17</v>
      </c>
      <c r="J960" s="29" t="s">
        <v>250</v>
      </c>
      <c r="K960" s="29" t="s">
        <v>251</v>
      </c>
      <c r="L960" s="29" t="n">
        <v>0.04</v>
      </c>
      <c r="M960" s="32" t="n">
        <v>25198.08</v>
      </c>
      <c r="N960" s="32" t="n">
        <v>25235.62</v>
      </c>
      <c r="O960" s="32" t="n">
        <v>25113.51</v>
      </c>
      <c r="P960" s="45" t="n">
        <f aca="false">ABS(M960-N960)</f>
        <v>37.5399999999972</v>
      </c>
      <c r="Q960" s="45" t="n">
        <f aca="false">IF(O960="","",ABS(O960-M960))</f>
        <v>84.5700000000034</v>
      </c>
      <c r="R960" s="31" t="n">
        <f aca="false">P960*L960*Summary!$C$6</f>
        <v>150.159999999989</v>
      </c>
      <c r="S960" s="32" t="n">
        <v>25112.04</v>
      </c>
      <c r="T960" s="29" t="s">
        <v>227</v>
      </c>
      <c r="U960" s="45" t="n">
        <f aca="false">IF(J960="BUY",S960-M960,M960-S960)</f>
        <v>86.0400000000009</v>
      </c>
      <c r="V960" s="46" t="n">
        <v>0</v>
      </c>
      <c r="W960" s="46" t="n">
        <v>0</v>
      </c>
      <c r="X960" s="46" t="n">
        <v>344.16</v>
      </c>
      <c r="Y960" s="33" t="n">
        <f aca="false">IFERROR(X960/R960,0)</f>
        <v>2.29195524773592</v>
      </c>
      <c r="Z960" s="29" t="str">
        <f aca="false">IF(X960&gt;0,"Win",IF(X960&lt;0,"Loss","Flat"))</f>
        <v>Win</v>
      </c>
      <c r="AA960" s="29" t="n">
        <f aca="false">ROUND((C960-B960)*1440,1)</f>
        <v>14.1</v>
      </c>
      <c r="AB960" s="29" t="str">
        <f aca="false">IF(AA960&lt;1,"a) &lt;1 min",IF(AA960&lt;10,"b) 1-10 min",IF(AA960&lt;60,"c) 10-60 min",IF(AA960&lt;240,"d) 1-4 h","e) 4 h+"))))</f>
        <v>c) 10-60 min</v>
      </c>
      <c r="AC960" s="29" t="str">
        <f aca="false">IF(P960&lt;10,"a) &lt;10",IF(P960&lt;20,"b) 10-20",IF(P960&lt;40,"c) 20-40",IF(P960&lt;80,"d) 40-80","e) 80+"))))</f>
        <v>c) 20-40</v>
      </c>
      <c r="AD960" s="31" t="n">
        <f aca="false">Summary!$C$5+SUM(X$2:X960)</f>
        <v>21417.16</v>
      </c>
      <c r="AE960" s="31" t="n">
        <f aca="false">MAX(AE959,AD960)</f>
        <v>21452.6</v>
      </c>
      <c r="AF960" s="31" t="n">
        <f aca="false">AE960-AD960</f>
        <v>35.4399999999987</v>
      </c>
      <c r="AG960" s="30" t="n">
        <f aca="false">IFERROR(AF960/AE960,0)</f>
        <v>0.00165201420806796</v>
      </c>
    </row>
    <row r="961" customFormat="false" ht="15" hidden="false" customHeight="false" outlineLevel="0" collapsed="false">
      <c r="A961" s="29" t="n">
        <v>960</v>
      </c>
      <c r="B961" s="44" t="n">
        <v>46028.7</v>
      </c>
      <c r="C961" s="44" t="n">
        <v>46028.7007407407</v>
      </c>
      <c r="D961" s="43" t="n">
        <f aca="false">INT(C961)</f>
        <v>46028</v>
      </c>
      <c r="E961" s="43" t="n">
        <f aca="false">D961-WEEKDAY(D961,3)</f>
        <v>46027</v>
      </c>
      <c r="F961" s="29" t="s">
        <v>189</v>
      </c>
      <c r="G961" s="29" t="n">
        <v>2026</v>
      </c>
      <c r="H961" s="29" t="s">
        <v>248</v>
      </c>
      <c r="I961" s="29" t="n">
        <v>16</v>
      </c>
      <c r="J961" s="29" t="s">
        <v>246</v>
      </c>
      <c r="K961" s="29" t="s">
        <v>247</v>
      </c>
      <c r="L961" s="29" t="n">
        <v>0.04</v>
      </c>
      <c r="M961" s="32" t="n">
        <v>25527.53</v>
      </c>
      <c r="N961" s="32" t="n">
        <v>25505.64</v>
      </c>
      <c r="O961" s="32" t="n">
        <v>25583.53</v>
      </c>
      <c r="P961" s="45" t="n">
        <f aca="false">ABS(M961-N961)</f>
        <v>21.8899999999994</v>
      </c>
      <c r="Q961" s="45" t="n">
        <f aca="false">IF(O961="","",ABS(O961-M961))</f>
        <v>56</v>
      </c>
      <c r="R961" s="31" t="n">
        <f aca="false">P961*L961*Summary!$C$6</f>
        <v>87.5599999999977</v>
      </c>
      <c r="S961" s="32" t="n">
        <v>25505.12</v>
      </c>
      <c r="T961" s="29" t="s">
        <v>249</v>
      </c>
      <c r="U961" s="45" t="n">
        <f aca="false">IF(J961="BUY",S961-M961,M961-S961)</f>
        <v>-22.4099999999999</v>
      </c>
      <c r="V961" s="46" t="n">
        <v>0</v>
      </c>
      <c r="W961" s="46" t="n">
        <v>0</v>
      </c>
      <c r="X961" s="46" t="n">
        <v>-89.64</v>
      </c>
      <c r="Y961" s="33" t="n">
        <f aca="false">IFERROR(X961/R961,0)</f>
        <v>-1.02375513933306</v>
      </c>
      <c r="Z961" s="29" t="str">
        <f aca="false">IF(X961&gt;0,"Win",IF(X961&lt;0,"Loss","Flat"))</f>
        <v>Loss</v>
      </c>
      <c r="AA961" s="29" t="n">
        <f aca="false">ROUND((C961-B961)*1440,1)</f>
        <v>1.1</v>
      </c>
      <c r="AB961" s="29" t="str">
        <f aca="false">IF(AA961&lt;1,"a) &lt;1 min",IF(AA961&lt;10,"b) 1-10 min",IF(AA961&lt;60,"c) 10-60 min",IF(AA961&lt;240,"d) 1-4 h","e) 4 h+"))))</f>
        <v>b) 1-10 min</v>
      </c>
      <c r="AC961" s="29" t="str">
        <f aca="false">IF(P961&lt;10,"a) &lt;10",IF(P961&lt;20,"b) 10-20",IF(P961&lt;40,"c) 20-40",IF(P961&lt;80,"d) 40-80","e) 80+"))))</f>
        <v>c) 20-40</v>
      </c>
      <c r="AD961" s="31" t="n">
        <f aca="false">Summary!$C$5+SUM(X$2:X961)</f>
        <v>21327.52</v>
      </c>
      <c r="AE961" s="31" t="n">
        <f aca="false">MAX(AE960,AD961)</f>
        <v>21452.6</v>
      </c>
      <c r="AF961" s="31" t="n">
        <f aca="false">AE961-AD961</f>
        <v>125.079999999998</v>
      </c>
      <c r="AG961" s="30" t="n">
        <f aca="false">IFERROR(AF961/AE961,0)</f>
        <v>0.00583052870048377</v>
      </c>
    </row>
    <row r="962" customFormat="false" ht="15" hidden="false" customHeight="false" outlineLevel="0" collapsed="false">
      <c r="A962" s="29" t="n">
        <v>961</v>
      </c>
      <c r="B962" s="44" t="n">
        <v>46029.0430555556</v>
      </c>
      <c r="C962" s="44" t="n">
        <v>46029.0459490741</v>
      </c>
      <c r="D962" s="43" t="n">
        <f aca="false">INT(C962)</f>
        <v>46029</v>
      </c>
      <c r="E962" s="43" t="n">
        <f aca="false">D962-WEEKDAY(D962,3)</f>
        <v>46027</v>
      </c>
      <c r="F962" s="29" t="s">
        <v>189</v>
      </c>
      <c r="G962" s="29" t="n">
        <v>2026</v>
      </c>
      <c r="H962" s="29" t="s">
        <v>252</v>
      </c>
      <c r="I962" s="29" t="n">
        <v>1</v>
      </c>
      <c r="J962" s="29" t="s">
        <v>246</v>
      </c>
      <c r="K962" s="29" t="s">
        <v>247</v>
      </c>
      <c r="L962" s="29" t="n">
        <v>0.04</v>
      </c>
      <c r="M962" s="32" t="n">
        <v>25658.5</v>
      </c>
      <c r="N962" s="32" t="n">
        <v>25649.75</v>
      </c>
      <c r="O962" s="32" t="n">
        <v>25676.29</v>
      </c>
      <c r="P962" s="45" t="n">
        <f aca="false">ABS(M962-N962)</f>
        <v>8.75</v>
      </c>
      <c r="Q962" s="45" t="n">
        <f aca="false">IF(O962="","",ABS(O962-M962))</f>
        <v>17.7900000000009</v>
      </c>
      <c r="R962" s="31" t="n">
        <f aca="false">P962*L962*Summary!$C$6</f>
        <v>35</v>
      </c>
      <c r="S962" s="32" t="n">
        <v>25649.57</v>
      </c>
      <c r="T962" s="29" t="s">
        <v>249</v>
      </c>
      <c r="U962" s="45" t="n">
        <f aca="false">IF(J962="BUY",S962-M962,M962-S962)</f>
        <v>-8.93000000000029</v>
      </c>
      <c r="V962" s="46" t="n">
        <v>0</v>
      </c>
      <c r="W962" s="46" t="n">
        <v>0</v>
      </c>
      <c r="X962" s="46" t="n">
        <v>-35.72</v>
      </c>
      <c r="Y962" s="33" t="n">
        <f aca="false">IFERROR(X962/R962,0)</f>
        <v>-1.02057142857143</v>
      </c>
      <c r="Z962" s="29" t="str">
        <f aca="false">IF(X962&gt;0,"Win",IF(X962&lt;0,"Loss","Flat"))</f>
        <v>Loss</v>
      </c>
      <c r="AA962" s="29" t="n">
        <f aca="false">ROUND((C962-B962)*1440,1)</f>
        <v>4.2</v>
      </c>
      <c r="AB962" s="29" t="str">
        <f aca="false">IF(AA962&lt;1,"a) &lt;1 min",IF(AA962&lt;10,"b) 1-10 min",IF(AA962&lt;60,"c) 10-60 min",IF(AA962&lt;240,"d) 1-4 h","e) 4 h+"))))</f>
        <v>b) 1-10 min</v>
      </c>
      <c r="AC962" s="29" t="str">
        <f aca="false">IF(P962&lt;10,"a) &lt;10",IF(P962&lt;20,"b) 10-20",IF(P962&lt;40,"c) 20-40",IF(P962&lt;80,"d) 40-80","e) 80+"))))</f>
        <v>a) &lt;10</v>
      </c>
      <c r="AD962" s="31" t="n">
        <f aca="false">Summary!$C$5+SUM(X$2:X962)</f>
        <v>21291.8</v>
      </c>
      <c r="AE962" s="31" t="n">
        <f aca="false">MAX(AE961,AD962)</f>
        <v>21452.6</v>
      </c>
      <c r="AF962" s="31" t="n">
        <f aca="false">AE962-AD962</f>
        <v>160.799999999999</v>
      </c>
      <c r="AG962" s="30" t="n">
        <f aca="false">IFERROR(AF962/AE962,0)</f>
        <v>0.0074955949395411</v>
      </c>
    </row>
    <row r="963" customFormat="false" ht="15" hidden="false" customHeight="false" outlineLevel="0" collapsed="false">
      <c r="A963" s="29" t="n">
        <v>962</v>
      </c>
      <c r="B963" s="44" t="n">
        <v>46030.3347222222</v>
      </c>
      <c r="C963" s="44" t="n">
        <v>46030.3372453704</v>
      </c>
      <c r="D963" s="43" t="n">
        <f aca="false">INT(C963)</f>
        <v>46030</v>
      </c>
      <c r="E963" s="43" t="n">
        <f aca="false">D963-WEEKDAY(D963,3)</f>
        <v>46027</v>
      </c>
      <c r="F963" s="29" t="s">
        <v>189</v>
      </c>
      <c r="G963" s="29" t="n">
        <v>2026</v>
      </c>
      <c r="H963" s="29" t="s">
        <v>253</v>
      </c>
      <c r="I963" s="29" t="n">
        <v>8</v>
      </c>
      <c r="J963" s="29" t="s">
        <v>250</v>
      </c>
      <c r="K963" s="29" t="s">
        <v>251</v>
      </c>
      <c r="L963" s="29" t="n">
        <v>0.04</v>
      </c>
      <c r="M963" s="32" t="n">
        <v>25544.55</v>
      </c>
      <c r="N963" s="32" t="n">
        <v>25551.98</v>
      </c>
      <c r="O963" s="32" t="n">
        <v>25526.35</v>
      </c>
      <c r="P963" s="45" t="n">
        <f aca="false">ABS(M963-N963)</f>
        <v>7.43000000000029</v>
      </c>
      <c r="Q963" s="45" t="n">
        <f aca="false">IF(O963="","",ABS(O963-M963))</f>
        <v>18.2000000000007</v>
      </c>
      <c r="R963" s="31" t="n">
        <f aca="false">P963*L963*Summary!$C$6</f>
        <v>29.7200000000012</v>
      </c>
      <c r="S963" s="32" t="n">
        <v>25519.59</v>
      </c>
      <c r="T963" s="29" t="s">
        <v>227</v>
      </c>
      <c r="U963" s="45" t="n">
        <f aca="false">IF(J963="BUY",S963-M963,M963-S963)</f>
        <v>24.9599999999991</v>
      </c>
      <c r="V963" s="46" t="n">
        <v>0</v>
      </c>
      <c r="W963" s="46" t="n">
        <v>0</v>
      </c>
      <c r="X963" s="46" t="n">
        <v>99.84</v>
      </c>
      <c r="Y963" s="33" t="n">
        <f aca="false">IFERROR(X963/R963,0)</f>
        <v>3.35935397039018</v>
      </c>
      <c r="Z963" s="29" t="str">
        <f aca="false">IF(X963&gt;0,"Win",IF(X963&lt;0,"Loss","Flat"))</f>
        <v>Win</v>
      </c>
      <c r="AA963" s="29" t="n">
        <f aca="false">ROUND((C963-B963)*1440,1)</f>
        <v>3.6</v>
      </c>
      <c r="AB963" s="29" t="str">
        <f aca="false">IF(AA963&lt;1,"a) &lt;1 min",IF(AA963&lt;10,"b) 1-10 min",IF(AA963&lt;60,"c) 10-60 min",IF(AA963&lt;240,"d) 1-4 h","e) 4 h+"))))</f>
        <v>b) 1-10 min</v>
      </c>
      <c r="AC963" s="29" t="str">
        <f aca="false">IF(P963&lt;10,"a) &lt;10",IF(P963&lt;20,"b) 10-20",IF(P963&lt;40,"c) 20-40",IF(P963&lt;80,"d) 40-80","e) 80+"))))</f>
        <v>a) &lt;10</v>
      </c>
      <c r="AD963" s="31" t="n">
        <f aca="false">Summary!$C$5+SUM(X$2:X963)</f>
        <v>21391.64</v>
      </c>
      <c r="AE963" s="31" t="n">
        <f aca="false">MAX(AE962,AD963)</f>
        <v>21452.6</v>
      </c>
      <c r="AF963" s="31" t="n">
        <f aca="false">AE963-AD963</f>
        <v>60.9599999999991</v>
      </c>
      <c r="AG963" s="30" t="n">
        <f aca="false">IFERROR(AF963/AE963,0)</f>
        <v>0.0028416136039454</v>
      </c>
    </row>
    <row r="964" customFormat="false" ht="15" hidden="false" customHeight="false" outlineLevel="0" collapsed="false">
      <c r="A964" s="29" t="n">
        <v>963</v>
      </c>
      <c r="B964" s="44" t="n">
        <v>46031.7284722222</v>
      </c>
      <c r="C964" s="44" t="n">
        <v>46031.7294560185</v>
      </c>
      <c r="D964" s="43" t="n">
        <f aca="false">INT(C964)</f>
        <v>46031</v>
      </c>
      <c r="E964" s="43" t="n">
        <f aca="false">D964-WEEKDAY(D964,3)</f>
        <v>46027</v>
      </c>
      <c r="F964" s="29" t="s">
        <v>189</v>
      </c>
      <c r="G964" s="29" t="n">
        <v>2026</v>
      </c>
      <c r="H964" s="29" t="s">
        <v>254</v>
      </c>
      <c r="I964" s="29" t="n">
        <v>17</v>
      </c>
      <c r="J964" s="29" t="s">
        <v>246</v>
      </c>
      <c r="K964" s="29" t="s">
        <v>247</v>
      </c>
      <c r="L964" s="29" t="n">
        <v>0.04</v>
      </c>
      <c r="M964" s="32" t="n">
        <v>25680.58</v>
      </c>
      <c r="N964" s="32" t="n">
        <v>25661.86</v>
      </c>
      <c r="O964" s="32" t="n">
        <v>25723.81</v>
      </c>
      <c r="P964" s="45" t="n">
        <f aca="false">ABS(M964-N964)</f>
        <v>18.7200000000012</v>
      </c>
      <c r="Q964" s="45" t="n">
        <f aca="false">IF(O964="","",ABS(O964-M964))</f>
        <v>43.2299999999996</v>
      </c>
      <c r="R964" s="31" t="n">
        <f aca="false">P964*L964*Summary!$C$6</f>
        <v>74.8800000000047</v>
      </c>
      <c r="S964" s="32" t="n">
        <v>25661.78</v>
      </c>
      <c r="T964" s="29" t="s">
        <v>249</v>
      </c>
      <c r="U964" s="45" t="n">
        <f aca="false">IF(J964="BUY",S964-M964,M964-S964)</f>
        <v>-18.8000000000029</v>
      </c>
      <c r="V964" s="46" t="n">
        <v>0</v>
      </c>
      <c r="W964" s="46" t="n">
        <v>0</v>
      </c>
      <c r="X964" s="46" t="n">
        <v>-75.2</v>
      </c>
      <c r="Y964" s="33" t="n">
        <f aca="false">IFERROR(X964/R964,0)</f>
        <v>-1.00427350427344</v>
      </c>
      <c r="Z964" s="29" t="str">
        <f aca="false">IF(X964&gt;0,"Win",IF(X964&lt;0,"Loss","Flat"))</f>
        <v>Loss</v>
      </c>
      <c r="AA964" s="29" t="n">
        <f aca="false">ROUND((C964-B964)*1440,1)</f>
        <v>1.4</v>
      </c>
      <c r="AB964" s="29" t="str">
        <f aca="false">IF(AA964&lt;1,"a) &lt;1 min",IF(AA964&lt;10,"b) 1-10 min",IF(AA964&lt;60,"c) 10-60 min",IF(AA964&lt;240,"d) 1-4 h","e) 4 h+"))))</f>
        <v>b) 1-10 min</v>
      </c>
      <c r="AC964" s="29" t="str">
        <f aca="false">IF(P964&lt;10,"a) &lt;10",IF(P964&lt;20,"b) 10-20",IF(P964&lt;40,"c) 20-40",IF(P964&lt;80,"d) 40-80","e) 80+"))))</f>
        <v>b) 10-20</v>
      </c>
      <c r="AD964" s="31" t="n">
        <f aca="false">Summary!$C$5+SUM(X$2:X964)</f>
        <v>21316.44</v>
      </c>
      <c r="AE964" s="31" t="n">
        <f aca="false">MAX(AE963,AD964)</f>
        <v>21452.6</v>
      </c>
      <c r="AF964" s="31" t="n">
        <f aca="false">AE964-AD964</f>
        <v>136.159999999996</v>
      </c>
      <c r="AG964" s="30" t="n">
        <f aca="false">IFERROR(AF964/AE964,0)</f>
        <v>0.00634701621248689</v>
      </c>
    </row>
    <row r="965" customFormat="false" ht="15" hidden="false" customHeight="false" outlineLevel="0" collapsed="false">
      <c r="A965" s="29" t="n">
        <v>964</v>
      </c>
      <c r="B965" s="44" t="n">
        <v>46034.8375</v>
      </c>
      <c r="C965" s="44" t="n">
        <v>46034.8388888889</v>
      </c>
      <c r="D965" s="43" t="n">
        <f aca="false">INT(C965)</f>
        <v>46034</v>
      </c>
      <c r="E965" s="43" t="n">
        <f aca="false">D965-WEEKDAY(D965,3)</f>
        <v>46034</v>
      </c>
      <c r="F965" s="29" t="s">
        <v>189</v>
      </c>
      <c r="G965" s="29" t="n">
        <v>2026</v>
      </c>
      <c r="H965" s="29" t="s">
        <v>245</v>
      </c>
      <c r="I965" s="29" t="n">
        <v>20</v>
      </c>
      <c r="J965" s="29" t="s">
        <v>246</v>
      </c>
      <c r="K965" s="29" t="s">
        <v>247</v>
      </c>
      <c r="L965" s="29" t="n">
        <v>0.04</v>
      </c>
      <c r="M965" s="32" t="n">
        <v>25816.12</v>
      </c>
      <c r="N965" s="32" t="n">
        <v>25810.08</v>
      </c>
      <c r="O965" s="32" t="n">
        <v>25830.61</v>
      </c>
      <c r="P965" s="45" t="n">
        <f aca="false">ABS(M965-N965)</f>
        <v>6.03999999999724</v>
      </c>
      <c r="Q965" s="45" t="n">
        <f aca="false">IF(O965="","",ABS(O965-M965))</f>
        <v>14.4900000000016</v>
      </c>
      <c r="R965" s="31" t="n">
        <f aca="false">P965*L965*Summary!$C$6</f>
        <v>24.1599999999889</v>
      </c>
      <c r="S965" s="32" t="n">
        <v>25815.49</v>
      </c>
      <c r="T965" s="29" t="s">
        <v>255</v>
      </c>
      <c r="U965" s="45" t="n">
        <f aca="false">IF(J965="BUY",S965-M965,M965-S965)</f>
        <v>-0.629999999997381</v>
      </c>
      <c r="V965" s="46" t="n">
        <v>0</v>
      </c>
      <c r="W965" s="46" t="n">
        <v>0</v>
      </c>
      <c r="X965" s="46" t="n">
        <v>-2.52</v>
      </c>
      <c r="Y965" s="33" t="n">
        <f aca="false">IFERROR(X965/R965,0)</f>
        <v>-0.104304635761637</v>
      </c>
      <c r="Z965" s="29" t="str">
        <f aca="false">IF(X965&gt;0,"Win",IF(X965&lt;0,"Loss","Flat"))</f>
        <v>Loss</v>
      </c>
      <c r="AA965" s="29" t="n">
        <f aca="false">ROUND((C965-B965)*1440,1)</f>
        <v>2</v>
      </c>
      <c r="AB965" s="29" t="str">
        <f aca="false">IF(AA965&lt;1,"a) &lt;1 min",IF(AA965&lt;10,"b) 1-10 min",IF(AA965&lt;60,"c) 10-60 min",IF(AA965&lt;240,"d) 1-4 h","e) 4 h+"))))</f>
        <v>b) 1-10 min</v>
      </c>
      <c r="AC965" s="29" t="str">
        <f aca="false">IF(P965&lt;10,"a) &lt;10",IF(P965&lt;20,"b) 10-20",IF(P965&lt;40,"c) 20-40",IF(P965&lt;80,"d) 40-80","e) 80+"))))</f>
        <v>a) &lt;10</v>
      </c>
      <c r="AD965" s="31" t="n">
        <f aca="false">Summary!$C$5+SUM(X$2:X965)</f>
        <v>21313.92</v>
      </c>
      <c r="AE965" s="31" t="n">
        <f aca="false">MAX(AE964,AD965)</f>
        <v>21452.6</v>
      </c>
      <c r="AF965" s="31" t="n">
        <f aca="false">AE965-AD965</f>
        <v>138.68</v>
      </c>
      <c r="AG965" s="30" t="n">
        <f aca="false">IFERROR(AF965/AE965,0)</f>
        <v>0.00646448449139034</v>
      </c>
    </row>
    <row r="966" customFormat="false" ht="15" hidden="false" customHeight="false" outlineLevel="0" collapsed="false">
      <c r="A966" s="29" t="n">
        <v>965</v>
      </c>
      <c r="B966" s="44" t="n">
        <v>46035.6472222222</v>
      </c>
      <c r="C966" s="44" t="n">
        <v>46035.6487962963</v>
      </c>
      <c r="D966" s="43" t="n">
        <f aca="false">INT(C966)</f>
        <v>46035</v>
      </c>
      <c r="E966" s="43" t="n">
        <f aca="false">D966-WEEKDAY(D966,3)</f>
        <v>46034</v>
      </c>
      <c r="F966" s="29" t="s">
        <v>189</v>
      </c>
      <c r="G966" s="29" t="n">
        <v>2026</v>
      </c>
      <c r="H966" s="29" t="s">
        <v>248</v>
      </c>
      <c r="I966" s="29" t="n">
        <v>15</v>
      </c>
      <c r="J966" s="29" t="s">
        <v>246</v>
      </c>
      <c r="K966" s="29" t="s">
        <v>247</v>
      </c>
      <c r="L966" s="29" t="n">
        <v>0.04</v>
      </c>
      <c r="M966" s="32" t="n">
        <v>25871.18</v>
      </c>
      <c r="N966" s="32" t="n">
        <v>25837.27</v>
      </c>
      <c r="O966" s="32" t="n">
        <v>25954.27</v>
      </c>
      <c r="P966" s="45" t="n">
        <f aca="false">ABS(M966-N966)</f>
        <v>33.9099999999999</v>
      </c>
      <c r="Q966" s="45" t="n">
        <f aca="false">IF(O966="","",ABS(O966-M966))</f>
        <v>83.0900000000002</v>
      </c>
      <c r="R966" s="31" t="n">
        <f aca="false">P966*L966*Summary!$C$6</f>
        <v>135.639999999999</v>
      </c>
      <c r="S966" s="32" t="n">
        <v>25836.54</v>
      </c>
      <c r="T966" s="29" t="s">
        <v>249</v>
      </c>
      <c r="U966" s="45" t="n">
        <f aca="false">IF(J966="BUY",S966-M966,M966-S966)</f>
        <v>-34.6399999999994</v>
      </c>
      <c r="V966" s="46" t="n">
        <v>0</v>
      </c>
      <c r="W966" s="46" t="n">
        <v>0</v>
      </c>
      <c r="X966" s="46" t="n">
        <v>-138.56</v>
      </c>
      <c r="Y966" s="33" t="n">
        <f aca="false">IFERROR(X966/R966,0)</f>
        <v>-1.02152757298732</v>
      </c>
      <c r="Z966" s="29" t="str">
        <f aca="false">IF(X966&gt;0,"Win",IF(X966&lt;0,"Loss","Flat"))</f>
        <v>Loss</v>
      </c>
      <c r="AA966" s="29" t="n">
        <f aca="false">ROUND((C966-B966)*1440,1)</f>
        <v>2.3</v>
      </c>
      <c r="AB966" s="29" t="str">
        <f aca="false">IF(AA966&lt;1,"a) &lt;1 min",IF(AA966&lt;10,"b) 1-10 min",IF(AA966&lt;60,"c) 10-60 min",IF(AA966&lt;240,"d) 1-4 h","e) 4 h+"))))</f>
        <v>b) 1-10 min</v>
      </c>
      <c r="AC966" s="29" t="str">
        <f aca="false">IF(P966&lt;10,"a) &lt;10",IF(P966&lt;20,"b) 10-20",IF(P966&lt;40,"c) 20-40",IF(P966&lt;80,"d) 40-80","e) 80+"))))</f>
        <v>c) 20-40</v>
      </c>
      <c r="AD966" s="31" t="n">
        <f aca="false">Summary!$C$5+SUM(X$2:X966)</f>
        <v>21175.36</v>
      </c>
      <c r="AE966" s="31" t="n">
        <f aca="false">MAX(AE965,AD966)</f>
        <v>21452.6</v>
      </c>
      <c r="AF966" s="31" t="n">
        <f aca="false">AE966-AD966</f>
        <v>277.239999999998</v>
      </c>
      <c r="AG966" s="30" t="n">
        <f aca="false">IFERROR(AF966/AE966,0)</f>
        <v>0.0129233752552137</v>
      </c>
    </row>
    <row r="967" customFormat="false" ht="15" hidden="false" customHeight="false" outlineLevel="0" collapsed="false">
      <c r="A967" s="29" t="n">
        <v>966</v>
      </c>
      <c r="B967" s="44" t="n">
        <v>46036.5152777778</v>
      </c>
      <c r="C967" s="44" t="n">
        <v>46036.5165162037</v>
      </c>
      <c r="D967" s="43" t="n">
        <f aca="false">INT(C967)</f>
        <v>46036</v>
      </c>
      <c r="E967" s="43" t="n">
        <f aca="false">D967-WEEKDAY(D967,3)</f>
        <v>46034</v>
      </c>
      <c r="F967" s="29" t="s">
        <v>189</v>
      </c>
      <c r="G967" s="29" t="n">
        <v>2026</v>
      </c>
      <c r="H967" s="29" t="s">
        <v>252</v>
      </c>
      <c r="I967" s="29" t="n">
        <v>12</v>
      </c>
      <c r="J967" s="29" t="s">
        <v>250</v>
      </c>
      <c r="K967" s="29" t="s">
        <v>251</v>
      </c>
      <c r="L967" s="29" t="n">
        <v>0.04</v>
      </c>
      <c r="M967" s="32" t="n">
        <v>25626.95</v>
      </c>
      <c r="N967" s="32" t="n">
        <v>25639.18</v>
      </c>
      <c r="O967" s="32" t="n">
        <v>25601.27</v>
      </c>
      <c r="P967" s="45" t="n">
        <f aca="false">ABS(M967-N967)</f>
        <v>12.2299999999996</v>
      </c>
      <c r="Q967" s="45" t="n">
        <f aca="false">IF(O967="","",ABS(O967-M967))</f>
        <v>25.6800000000003</v>
      </c>
      <c r="R967" s="31" t="n">
        <f aca="false">P967*L967*Summary!$C$6</f>
        <v>48.9199999999983</v>
      </c>
      <c r="S967" s="32" t="n">
        <v>25601</v>
      </c>
      <c r="T967" s="29" t="s">
        <v>227</v>
      </c>
      <c r="U967" s="45" t="n">
        <f aca="false">IF(J967="BUY",S967-M967,M967-S967)</f>
        <v>25.9500000000007</v>
      </c>
      <c r="V967" s="46" t="n">
        <v>0</v>
      </c>
      <c r="W967" s="46" t="n">
        <v>0</v>
      </c>
      <c r="X967" s="46" t="n">
        <v>103.8</v>
      </c>
      <c r="Y967" s="33" t="n">
        <f aca="false">IFERROR(X967/R967,0)</f>
        <v>2.12183156173352</v>
      </c>
      <c r="Z967" s="29" t="str">
        <f aca="false">IF(X967&gt;0,"Win",IF(X967&lt;0,"Loss","Flat"))</f>
        <v>Win</v>
      </c>
      <c r="AA967" s="29" t="n">
        <f aca="false">ROUND((C967-B967)*1440,1)</f>
        <v>1.8</v>
      </c>
      <c r="AB967" s="29" t="str">
        <f aca="false">IF(AA967&lt;1,"a) &lt;1 min",IF(AA967&lt;10,"b) 1-10 min",IF(AA967&lt;60,"c) 10-60 min",IF(AA967&lt;240,"d) 1-4 h","e) 4 h+"))))</f>
        <v>b) 1-10 min</v>
      </c>
      <c r="AC967" s="29" t="str">
        <f aca="false">IF(P967&lt;10,"a) &lt;10",IF(P967&lt;20,"b) 10-20",IF(P967&lt;40,"c) 20-40",IF(P967&lt;80,"d) 40-80","e) 80+"))))</f>
        <v>b) 10-20</v>
      </c>
      <c r="AD967" s="31" t="n">
        <f aca="false">Summary!$C$5+SUM(X$2:X967)</f>
        <v>21279.16</v>
      </c>
      <c r="AE967" s="31" t="n">
        <f aca="false">MAX(AE966,AD967)</f>
        <v>21452.6</v>
      </c>
      <c r="AF967" s="31" t="n">
        <f aca="false">AE967-AD967</f>
        <v>173.439999999999</v>
      </c>
      <c r="AG967" s="30" t="n">
        <f aca="false">IFERROR(AF967/AE967,0)</f>
        <v>0.00808480090991296</v>
      </c>
    </row>
    <row r="968" customFormat="false" ht="15" hidden="false" customHeight="false" outlineLevel="0" collapsed="false">
      <c r="A968" s="29" t="n">
        <v>967</v>
      </c>
      <c r="B968" s="44" t="n">
        <v>46037.6826388889</v>
      </c>
      <c r="C968" s="44" t="n">
        <v>46037.6861111111</v>
      </c>
      <c r="D968" s="43" t="n">
        <f aca="false">INT(C968)</f>
        <v>46037</v>
      </c>
      <c r="E968" s="43" t="n">
        <f aca="false">D968-WEEKDAY(D968,3)</f>
        <v>46034</v>
      </c>
      <c r="F968" s="29" t="s">
        <v>189</v>
      </c>
      <c r="G968" s="29" t="n">
        <v>2026</v>
      </c>
      <c r="H968" s="29" t="s">
        <v>253</v>
      </c>
      <c r="I968" s="29" t="n">
        <v>16</v>
      </c>
      <c r="J968" s="29" t="s">
        <v>246</v>
      </c>
      <c r="K968" s="29" t="s">
        <v>247</v>
      </c>
      <c r="L968" s="29" t="n">
        <v>0.04</v>
      </c>
      <c r="M968" s="32" t="n">
        <v>25765.87</v>
      </c>
      <c r="N968" s="32" t="n">
        <v>25757.13</v>
      </c>
      <c r="O968" s="32" t="n">
        <v>25787.29</v>
      </c>
      <c r="P968" s="45" t="n">
        <f aca="false">ABS(M968-N968)</f>
        <v>8.73999999999796</v>
      </c>
      <c r="Q968" s="45" t="n">
        <f aca="false">IF(O968="","",ABS(O968-M968))</f>
        <v>21.4200000000019</v>
      </c>
      <c r="R968" s="31" t="n">
        <f aca="false">P968*L968*Summary!$C$6</f>
        <v>34.9599999999919</v>
      </c>
      <c r="S968" s="32" t="n">
        <v>25788.84</v>
      </c>
      <c r="T968" s="29" t="s">
        <v>227</v>
      </c>
      <c r="U968" s="45" t="n">
        <f aca="false">IF(J968="BUY",S968-M968,M968-S968)</f>
        <v>22.9700000000012</v>
      </c>
      <c r="V968" s="46" t="n">
        <v>0</v>
      </c>
      <c r="W968" s="46" t="n">
        <v>0</v>
      </c>
      <c r="X968" s="46" t="n">
        <v>91.88</v>
      </c>
      <c r="Y968" s="33" t="n">
        <f aca="false">IFERROR(X968/R968,0)</f>
        <v>2.62814645308986</v>
      </c>
      <c r="Z968" s="29" t="str">
        <f aca="false">IF(X968&gt;0,"Win",IF(X968&lt;0,"Loss","Flat"))</f>
        <v>Win</v>
      </c>
      <c r="AA968" s="29" t="n">
        <f aca="false">ROUND((C968-B968)*1440,1)</f>
        <v>5</v>
      </c>
      <c r="AB968" s="29" t="str">
        <f aca="false">IF(AA968&lt;1,"a) &lt;1 min",IF(AA968&lt;10,"b) 1-10 min",IF(AA968&lt;60,"c) 10-60 min",IF(AA968&lt;240,"d) 1-4 h","e) 4 h+"))))</f>
        <v>b) 1-10 min</v>
      </c>
      <c r="AC968" s="29" t="str">
        <f aca="false">IF(P968&lt;10,"a) &lt;10",IF(P968&lt;20,"b) 10-20",IF(P968&lt;40,"c) 20-40",IF(P968&lt;80,"d) 40-80","e) 80+"))))</f>
        <v>a) &lt;10</v>
      </c>
      <c r="AD968" s="31" t="n">
        <f aca="false">Summary!$C$5+SUM(X$2:X968)</f>
        <v>21371.04</v>
      </c>
      <c r="AE968" s="31" t="n">
        <f aca="false">MAX(AE967,AD968)</f>
        <v>21452.6</v>
      </c>
      <c r="AF968" s="31" t="n">
        <f aca="false">AE968-AD968</f>
        <v>81.5599999999977</v>
      </c>
      <c r="AG968" s="30" t="n">
        <f aca="false">IFERROR(AF968/AE968,0)</f>
        <v>0.00380187016958307</v>
      </c>
    </row>
    <row r="969" customFormat="false" ht="15" hidden="false" customHeight="false" outlineLevel="0" collapsed="false">
      <c r="A969" s="29" t="n">
        <v>968</v>
      </c>
      <c r="B969" s="44" t="n">
        <v>46041.0423611111</v>
      </c>
      <c r="C969" s="44" t="n">
        <v>46041.4763078704</v>
      </c>
      <c r="D969" s="43" t="n">
        <f aca="false">INT(C969)</f>
        <v>46041</v>
      </c>
      <c r="E969" s="43" t="n">
        <f aca="false">D969-WEEKDAY(D969,3)</f>
        <v>46041</v>
      </c>
      <c r="F969" s="29" t="s">
        <v>189</v>
      </c>
      <c r="G969" s="29" t="n">
        <v>2026</v>
      </c>
      <c r="H969" s="29" t="s">
        <v>245</v>
      </c>
      <c r="I969" s="29" t="n">
        <v>1</v>
      </c>
      <c r="J969" s="29" t="s">
        <v>250</v>
      </c>
      <c r="K969" s="29" t="s">
        <v>251</v>
      </c>
      <c r="L969" s="29" t="n">
        <v>0.04</v>
      </c>
      <c r="M969" s="32" t="n">
        <v>25293.76</v>
      </c>
      <c r="N969" s="32" t="n">
        <v>25354.68</v>
      </c>
      <c r="O969" s="32" t="n">
        <v>25145.61</v>
      </c>
      <c r="P969" s="45" t="n">
        <f aca="false">ABS(M969-N969)</f>
        <v>60.9200000000019</v>
      </c>
      <c r="Q969" s="45" t="n">
        <f aca="false">IF(O969="","",ABS(O969-M969))</f>
        <v>148.149999999998</v>
      </c>
      <c r="R969" s="31" t="n">
        <f aca="false">P969*L969*Summary!$C$6</f>
        <v>243.680000000008</v>
      </c>
      <c r="S969" s="32" t="n">
        <v>25145.16</v>
      </c>
      <c r="T969" s="29" t="s">
        <v>227</v>
      </c>
      <c r="U969" s="45" t="n">
        <f aca="false">IF(J969="BUY",S969-M969,M969-S969)</f>
        <v>148.599999999999</v>
      </c>
      <c r="V969" s="46" t="n">
        <v>0</v>
      </c>
      <c r="W969" s="46" t="n">
        <v>0</v>
      </c>
      <c r="X969" s="46" t="n">
        <v>594.4</v>
      </c>
      <c r="Y969" s="33" t="n">
        <f aca="false">IFERROR(X969/R969,0)</f>
        <v>2.43926460932363</v>
      </c>
      <c r="Z969" s="29" t="str">
        <f aca="false">IF(X969&gt;0,"Win",IF(X969&lt;0,"Loss","Flat"))</f>
        <v>Win</v>
      </c>
      <c r="AA969" s="29" t="n">
        <f aca="false">ROUND((C969-B969)*1440,1)</f>
        <v>624.9</v>
      </c>
      <c r="AB969" s="29" t="str">
        <f aca="false">IF(AA969&lt;1,"a) &lt;1 min",IF(AA969&lt;10,"b) 1-10 min",IF(AA969&lt;60,"c) 10-60 min",IF(AA969&lt;240,"d) 1-4 h","e) 4 h+"))))</f>
        <v>e) 4 h+</v>
      </c>
      <c r="AC969" s="29" t="str">
        <f aca="false">IF(P969&lt;10,"a) &lt;10",IF(P969&lt;20,"b) 10-20",IF(P969&lt;40,"c) 20-40",IF(P969&lt;80,"d) 40-80","e) 80+"))))</f>
        <v>d) 40-80</v>
      </c>
      <c r="AD969" s="31" t="n">
        <f aca="false">Summary!$C$5+SUM(X$2:X969)</f>
        <v>21965.44</v>
      </c>
      <c r="AE969" s="31" t="n">
        <f aca="false">MAX(AE968,AD969)</f>
        <v>21965.44</v>
      </c>
      <c r="AF969" s="31" t="n">
        <f aca="false">AE969-AD969</f>
        <v>0</v>
      </c>
      <c r="AG969" s="30" t="n">
        <f aca="false">IFERROR(AF969/AE969,0)</f>
        <v>0</v>
      </c>
    </row>
    <row r="970" customFormat="false" ht="15" hidden="false" customHeight="false" outlineLevel="0" collapsed="false">
      <c r="A970" s="29" t="n">
        <v>969</v>
      </c>
      <c r="B970" s="44" t="n">
        <v>46042.4215277778</v>
      </c>
      <c r="C970" s="44" t="n">
        <v>46042.4228125</v>
      </c>
      <c r="D970" s="43" t="n">
        <f aca="false">INT(C970)</f>
        <v>46042</v>
      </c>
      <c r="E970" s="43" t="n">
        <f aca="false">D970-WEEKDAY(D970,3)</f>
        <v>46041</v>
      </c>
      <c r="F970" s="29" t="s">
        <v>189</v>
      </c>
      <c r="G970" s="29" t="n">
        <v>2026</v>
      </c>
      <c r="H970" s="29" t="s">
        <v>248</v>
      </c>
      <c r="I970" s="29" t="n">
        <v>10</v>
      </c>
      <c r="J970" s="29" t="s">
        <v>250</v>
      </c>
      <c r="K970" s="29" t="s">
        <v>251</v>
      </c>
      <c r="L970" s="29" t="n">
        <v>0.04</v>
      </c>
      <c r="M970" s="32" t="n">
        <v>25076.83</v>
      </c>
      <c r="N970" s="32" t="n">
        <v>25096.86</v>
      </c>
      <c r="O970" s="32" t="n">
        <v>25028.87</v>
      </c>
      <c r="P970" s="45" t="n">
        <f aca="false">ABS(M970-N970)</f>
        <v>20.0299999999988</v>
      </c>
      <c r="Q970" s="45" t="n">
        <f aca="false">IF(O970="","",ABS(O970-M970))</f>
        <v>47.9600000000028</v>
      </c>
      <c r="R970" s="31" t="n">
        <f aca="false">P970*L970*Summary!$C$6</f>
        <v>80.1199999999953</v>
      </c>
      <c r="S970" s="32" t="n">
        <v>25096.88</v>
      </c>
      <c r="T970" s="29" t="s">
        <v>249</v>
      </c>
      <c r="U970" s="45" t="n">
        <f aca="false">IF(J970="BUY",S970-M970,M970-S970)</f>
        <v>-20.0499999999993</v>
      </c>
      <c r="V970" s="46" t="n">
        <v>0</v>
      </c>
      <c r="W970" s="46" t="n">
        <v>0</v>
      </c>
      <c r="X970" s="46" t="n">
        <v>-80.2</v>
      </c>
      <c r="Y970" s="33" t="n">
        <f aca="false">IFERROR(X970/R970,0)</f>
        <v>-1.00099850224669</v>
      </c>
      <c r="Z970" s="29" t="str">
        <f aca="false">IF(X970&gt;0,"Win",IF(X970&lt;0,"Loss","Flat"))</f>
        <v>Loss</v>
      </c>
      <c r="AA970" s="29" t="n">
        <f aca="false">ROUND((C970-B970)*1440,1)</f>
        <v>1.9</v>
      </c>
      <c r="AB970" s="29" t="str">
        <f aca="false">IF(AA970&lt;1,"a) &lt;1 min",IF(AA970&lt;10,"b) 1-10 min",IF(AA970&lt;60,"c) 10-60 min",IF(AA970&lt;240,"d) 1-4 h","e) 4 h+"))))</f>
        <v>b) 1-10 min</v>
      </c>
      <c r="AC970" s="29" t="str">
        <f aca="false">IF(P970&lt;10,"a) &lt;10",IF(P970&lt;20,"b) 10-20",IF(P970&lt;40,"c) 20-40",IF(P970&lt;80,"d) 40-80","e) 80+"))))</f>
        <v>c) 20-40</v>
      </c>
      <c r="AD970" s="31" t="n">
        <f aca="false">Summary!$C$5+SUM(X$2:X970)</f>
        <v>21885.24</v>
      </c>
      <c r="AE970" s="31" t="n">
        <f aca="false">MAX(AE969,AD970)</f>
        <v>21965.44</v>
      </c>
      <c r="AF970" s="31" t="n">
        <f aca="false">AE970-AD970</f>
        <v>80.2000000000044</v>
      </c>
      <c r="AG970" s="30" t="n">
        <f aca="false">IFERROR(AF970/AE970,0)</f>
        <v>0.00365119023338501</v>
      </c>
    </row>
    <row r="971" customFormat="false" ht="15" hidden="false" customHeight="false" outlineLevel="0" collapsed="false">
      <c r="A971" s="29" t="n">
        <v>970</v>
      </c>
      <c r="B971" s="44" t="n">
        <v>46043.5777777778</v>
      </c>
      <c r="C971" s="44" t="n">
        <v>46043.5812037037</v>
      </c>
      <c r="D971" s="43" t="n">
        <f aca="false">INT(C971)</f>
        <v>46043</v>
      </c>
      <c r="E971" s="43" t="n">
        <f aca="false">D971-WEEKDAY(D971,3)</f>
        <v>46041</v>
      </c>
      <c r="F971" s="29" t="s">
        <v>189</v>
      </c>
      <c r="G971" s="29" t="n">
        <v>2026</v>
      </c>
      <c r="H971" s="29" t="s">
        <v>252</v>
      </c>
      <c r="I971" s="29" t="n">
        <v>13</v>
      </c>
      <c r="J971" s="29" t="s">
        <v>250</v>
      </c>
      <c r="K971" s="29" t="s">
        <v>251</v>
      </c>
      <c r="L971" s="29" t="n">
        <v>0.04</v>
      </c>
      <c r="M971" s="32" t="n">
        <v>24942.75</v>
      </c>
      <c r="N971" s="32" t="n">
        <v>24956.78</v>
      </c>
      <c r="O971" s="32" t="n">
        <v>24908.37</v>
      </c>
      <c r="P971" s="45" t="n">
        <f aca="false">ABS(M971-N971)</f>
        <v>14.0299999999988</v>
      </c>
      <c r="Q971" s="45" t="n">
        <f aca="false">IF(O971="","",ABS(O971-M971))</f>
        <v>34.380000000001</v>
      </c>
      <c r="R971" s="31" t="n">
        <f aca="false">P971*L971*Summary!$C$6</f>
        <v>56.1199999999953</v>
      </c>
      <c r="S971" s="32" t="n">
        <v>24907.86</v>
      </c>
      <c r="T971" s="29" t="s">
        <v>227</v>
      </c>
      <c r="U971" s="45" t="n">
        <f aca="false">IF(J971="BUY",S971-M971,M971-S971)</f>
        <v>34.8899999999994</v>
      </c>
      <c r="V971" s="46" t="n">
        <v>0</v>
      </c>
      <c r="W971" s="46" t="n">
        <v>0</v>
      </c>
      <c r="X971" s="46" t="n">
        <v>139.56</v>
      </c>
      <c r="Y971" s="33" t="n">
        <f aca="false">IFERROR(X971/R971,0)</f>
        <v>2.48681397006436</v>
      </c>
      <c r="Z971" s="29" t="str">
        <f aca="false">IF(X971&gt;0,"Win",IF(X971&lt;0,"Loss","Flat"))</f>
        <v>Win</v>
      </c>
      <c r="AA971" s="29" t="n">
        <f aca="false">ROUND((C971-B971)*1440,1)</f>
        <v>4.9</v>
      </c>
      <c r="AB971" s="29" t="str">
        <f aca="false">IF(AA971&lt;1,"a) &lt;1 min",IF(AA971&lt;10,"b) 1-10 min",IF(AA971&lt;60,"c) 10-60 min",IF(AA971&lt;240,"d) 1-4 h","e) 4 h+"))))</f>
        <v>b) 1-10 min</v>
      </c>
      <c r="AC971" s="29" t="str">
        <f aca="false">IF(P971&lt;10,"a) &lt;10",IF(P971&lt;20,"b) 10-20",IF(P971&lt;40,"c) 20-40",IF(P971&lt;80,"d) 40-80","e) 80+"))))</f>
        <v>b) 10-20</v>
      </c>
      <c r="AD971" s="31" t="n">
        <f aca="false">Summary!$C$5+SUM(X$2:X971)</f>
        <v>22024.8</v>
      </c>
      <c r="AE971" s="31" t="n">
        <f aca="false">MAX(AE970,AD971)</f>
        <v>22024.8</v>
      </c>
      <c r="AF971" s="31" t="n">
        <f aca="false">AE971-AD971</f>
        <v>0</v>
      </c>
      <c r="AG971" s="30" t="n">
        <f aca="false">IFERROR(AF971/AE971,0)</f>
        <v>0</v>
      </c>
    </row>
    <row r="972" customFormat="false" ht="15" hidden="false" customHeight="false" outlineLevel="0" collapsed="false">
      <c r="A972" s="29" t="n">
        <v>971</v>
      </c>
      <c r="B972" s="44" t="n">
        <v>46043.7333333333</v>
      </c>
      <c r="C972" s="44" t="n">
        <v>46043.7441203704</v>
      </c>
      <c r="D972" s="43" t="n">
        <f aca="false">INT(C972)</f>
        <v>46043</v>
      </c>
      <c r="E972" s="43" t="n">
        <f aca="false">D972-WEEKDAY(D972,3)</f>
        <v>46041</v>
      </c>
      <c r="F972" s="29" t="s">
        <v>189</v>
      </c>
      <c r="G972" s="29" t="n">
        <v>2026</v>
      </c>
      <c r="H972" s="29" t="s">
        <v>252</v>
      </c>
      <c r="I972" s="29" t="n">
        <v>17</v>
      </c>
      <c r="J972" s="29" t="s">
        <v>246</v>
      </c>
      <c r="K972" s="29" t="s">
        <v>247</v>
      </c>
      <c r="L972" s="29" t="n">
        <v>0.04</v>
      </c>
      <c r="M972" s="32" t="n">
        <v>25294.9</v>
      </c>
      <c r="N972" s="32" t="n">
        <v>25276.52</v>
      </c>
      <c r="O972" s="32" t="n">
        <v>25339.25</v>
      </c>
      <c r="P972" s="45" t="n">
        <f aca="false">ABS(M972-N972)</f>
        <v>18.380000000001</v>
      </c>
      <c r="Q972" s="45" t="n">
        <f aca="false">IF(O972="","",ABS(O972-M972))</f>
        <v>44.3499999999985</v>
      </c>
      <c r="R972" s="31" t="n">
        <f aca="false">P972*L972*Summary!$C$6</f>
        <v>73.5200000000041</v>
      </c>
      <c r="S972" s="32" t="n">
        <v>25339.38</v>
      </c>
      <c r="T972" s="29" t="s">
        <v>227</v>
      </c>
      <c r="U972" s="45" t="n">
        <f aca="false">IF(J972="BUY",S972-M972,M972-S972)</f>
        <v>44.4799999999996</v>
      </c>
      <c r="V972" s="46" t="n">
        <v>0</v>
      </c>
      <c r="W972" s="46" t="n">
        <v>0</v>
      </c>
      <c r="X972" s="46" t="n">
        <v>177.92</v>
      </c>
      <c r="Y972" s="33" t="n">
        <f aca="false">IFERROR(X972/R972,0)</f>
        <v>2.4200217627855</v>
      </c>
      <c r="Z972" s="29" t="str">
        <f aca="false">IF(X972&gt;0,"Win",IF(X972&lt;0,"Loss","Flat"))</f>
        <v>Win</v>
      </c>
      <c r="AA972" s="29" t="n">
        <f aca="false">ROUND((C972-B972)*1440,1)</f>
        <v>15.5</v>
      </c>
      <c r="AB972" s="29" t="str">
        <f aca="false">IF(AA972&lt;1,"a) &lt;1 min",IF(AA972&lt;10,"b) 1-10 min",IF(AA972&lt;60,"c) 10-60 min",IF(AA972&lt;240,"d) 1-4 h","e) 4 h+"))))</f>
        <v>c) 10-60 min</v>
      </c>
      <c r="AC972" s="29" t="str">
        <f aca="false">IF(P972&lt;10,"a) &lt;10",IF(P972&lt;20,"b) 10-20",IF(P972&lt;40,"c) 20-40",IF(P972&lt;80,"d) 40-80","e) 80+"))))</f>
        <v>b) 10-20</v>
      </c>
      <c r="AD972" s="31" t="n">
        <f aca="false">Summary!$C$5+SUM(X$2:X972)</f>
        <v>22202.72</v>
      </c>
      <c r="AE972" s="31" t="n">
        <f aca="false">MAX(AE971,AD972)</f>
        <v>22202.72</v>
      </c>
      <c r="AF972" s="31" t="n">
        <f aca="false">AE972-AD972</f>
        <v>0</v>
      </c>
      <c r="AG972" s="30" t="n">
        <f aca="false">IFERROR(AF972/AE972,0)</f>
        <v>0</v>
      </c>
    </row>
    <row r="973" customFormat="false" ht="15" hidden="false" customHeight="false" outlineLevel="0" collapsed="false">
      <c r="A973" s="29" t="n">
        <v>972</v>
      </c>
      <c r="B973" s="44" t="n">
        <v>46044.4361111111</v>
      </c>
      <c r="C973" s="44" t="n">
        <v>46044.4368055556</v>
      </c>
      <c r="D973" s="43" t="n">
        <f aca="false">INT(C973)</f>
        <v>46044</v>
      </c>
      <c r="E973" s="43" t="n">
        <f aca="false">D973-WEEKDAY(D973,3)</f>
        <v>46041</v>
      </c>
      <c r="F973" s="29" t="s">
        <v>189</v>
      </c>
      <c r="G973" s="29" t="n">
        <v>2026</v>
      </c>
      <c r="H973" s="29" t="s">
        <v>253</v>
      </c>
      <c r="I973" s="29" t="n">
        <v>10</v>
      </c>
      <c r="J973" s="29" t="s">
        <v>246</v>
      </c>
      <c r="K973" s="29" t="s">
        <v>247</v>
      </c>
      <c r="L973" s="29" t="n">
        <v>0.04</v>
      </c>
      <c r="M973" s="32" t="n">
        <v>25523.4</v>
      </c>
      <c r="N973" s="32" t="n">
        <v>25512.67</v>
      </c>
      <c r="O973" s="32" t="n">
        <v>25549.69</v>
      </c>
      <c r="P973" s="45" t="n">
        <f aca="false">ABS(M973-N973)</f>
        <v>10.7300000000032</v>
      </c>
      <c r="Q973" s="45" t="n">
        <f aca="false">IF(O973="","",ABS(O973-M973))</f>
        <v>26.2899999999972</v>
      </c>
      <c r="R973" s="31" t="n">
        <f aca="false">P973*L973*Summary!$C$6</f>
        <v>42.9200000000128</v>
      </c>
      <c r="S973" s="32" t="n">
        <v>25512.35</v>
      </c>
      <c r="T973" s="29" t="s">
        <v>249</v>
      </c>
      <c r="U973" s="45" t="n">
        <f aca="false">IF(J973="BUY",S973-M973,M973-S973)</f>
        <v>-11.0500000000029</v>
      </c>
      <c r="V973" s="46" t="n">
        <v>0</v>
      </c>
      <c r="W973" s="46" t="n">
        <v>0</v>
      </c>
      <c r="X973" s="46" t="n">
        <v>-44.2</v>
      </c>
      <c r="Y973" s="33" t="n">
        <f aca="false">IFERROR(X973/R973,0)</f>
        <v>-1.02982292637434</v>
      </c>
      <c r="Z973" s="29" t="str">
        <f aca="false">IF(X973&gt;0,"Win",IF(X973&lt;0,"Loss","Flat"))</f>
        <v>Loss</v>
      </c>
      <c r="AA973" s="29" t="n">
        <f aca="false">ROUND((C973-B973)*1440,1)</f>
        <v>1</v>
      </c>
      <c r="AB973" s="29" t="str">
        <f aca="false">IF(AA973&lt;1,"a) &lt;1 min",IF(AA973&lt;10,"b) 1-10 min",IF(AA973&lt;60,"c) 10-60 min",IF(AA973&lt;240,"d) 1-4 h","e) 4 h+"))))</f>
        <v>b) 1-10 min</v>
      </c>
      <c r="AC973" s="29" t="str">
        <f aca="false">IF(P973&lt;10,"a) &lt;10",IF(P973&lt;20,"b) 10-20",IF(P973&lt;40,"c) 20-40",IF(P973&lt;80,"d) 40-80","e) 80+"))))</f>
        <v>b) 10-20</v>
      </c>
      <c r="AD973" s="31" t="n">
        <f aca="false">Summary!$C$5+SUM(X$2:X973)</f>
        <v>22158.52</v>
      </c>
      <c r="AE973" s="31" t="n">
        <f aca="false">MAX(AE972,AD973)</f>
        <v>22202.72</v>
      </c>
      <c r="AF973" s="31" t="n">
        <f aca="false">AE973-AD973</f>
        <v>44.2000000000007</v>
      </c>
      <c r="AG973" s="30" t="n">
        <f aca="false">IFERROR(AF973/AE973,0)</f>
        <v>0.00199074707963712</v>
      </c>
    </row>
    <row r="974" customFormat="false" ht="15" hidden="false" customHeight="false" outlineLevel="0" collapsed="false">
      <c r="A974" s="29" t="n">
        <v>973</v>
      </c>
      <c r="B974" s="44" t="n">
        <v>46045.7243055556</v>
      </c>
      <c r="C974" s="44" t="n">
        <v>46045.7427546296</v>
      </c>
      <c r="D974" s="43" t="n">
        <f aca="false">INT(C974)</f>
        <v>46045</v>
      </c>
      <c r="E974" s="43" t="n">
        <f aca="false">D974-WEEKDAY(D974,3)</f>
        <v>46041</v>
      </c>
      <c r="F974" s="29" t="s">
        <v>189</v>
      </c>
      <c r="G974" s="29" t="n">
        <v>2026</v>
      </c>
      <c r="H974" s="29" t="s">
        <v>254</v>
      </c>
      <c r="I974" s="29" t="n">
        <v>17</v>
      </c>
      <c r="J974" s="29" t="s">
        <v>246</v>
      </c>
      <c r="K974" s="29" t="s">
        <v>247</v>
      </c>
      <c r="L974" s="29" t="n">
        <v>0.04</v>
      </c>
      <c r="M974" s="32" t="n">
        <v>25617.42</v>
      </c>
      <c r="N974" s="32" t="n">
        <v>25594.01</v>
      </c>
      <c r="O974" s="32" t="n">
        <v>25676.2</v>
      </c>
      <c r="P974" s="45" t="n">
        <f aca="false">ABS(M974-N974)</f>
        <v>23.4099999999999</v>
      </c>
      <c r="Q974" s="45" t="n">
        <f aca="false">IF(O974="","",ABS(O974-M974))</f>
        <v>58.7800000000025</v>
      </c>
      <c r="R974" s="31" t="n">
        <f aca="false">P974*L974*Summary!$C$6</f>
        <v>93.6399999999994</v>
      </c>
      <c r="S974" s="32" t="n">
        <v>25676.29</v>
      </c>
      <c r="T974" s="29" t="s">
        <v>227</v>
      </c>
      <c r="U974" s="45" t="n">
        <f aca="false">IF(J974="BUY",S974-M974,M974-S974)</f>
        <v>58.8700000000026</v>
      </c>
      <c r="V974" s="46" t="n">
        <v>0</v>
      </c>
      <c r="W974" s="46" t="n">
        <v>0</v>
      </c>
      <c r="X974" s="46" t="n">
        <v>235.48</v>
      </c>
      <c r="Y974" s="33" t="n">
        <f aca="false">IFERROR(X974/R974,0)</f>
        <v>2.51473729175568</v>
      </c>
      <c r="Z974" s="29" t="str">
        <f aca="false">IF(X974&gt;0,"Win",IF(X974&lt;0,"Loss","Flat"))</f>
        <v>Win</v>
      </c>
      <c r="AA974" s="29" t="n">
        <f aca="false">ROUND((C974-B974)*1440,1)</f>
        <v>26.6</v>
      </c>
      <c r="AB974" s="29" t="str">
        <f aca="false">IF(AA974&lt;1,"a) &lt;1 min",IF(AA974&lt;10,"b) 1-10 min",IF(AA974&lt;60,"c) 10-60 min",IF(AA974&lt;240,"d) 1-4 h","e) 4 h+"))))</f>
        <v>c) 10-60 min</v>
      </c>
      <c r="AC974" s="29" t="str">
        <f aca="false">IF(P974&lt;10,"a) &lt;10",IF(P974&lt;20,"b) 10-20",IF(P974&lt;40,"c) 20-40",IF(P974&lt;80,"d) 40-80","e) 80+"))))</f>
        <v>c) 20-40</v>
      </c>
      <c r="AD974" s="31" t="n">
        <f aca="false">Summary!$C$5+SUM(X$2:X974)</f>
        <v>22394</v>
      </c>
      <c r="AE974" s="31" t="n">
        <f aca="false">MAX(AE973,AD974)</f>
        <v>22394</v>
      </c>
      <c r="AF974" s="31" t="n">
        <f aca="false">AE974-AD974</f>
        <v>0</v>
      </c>
      <c r="AG974" s="30" t="n">
        <f aca="false">IFERROR(AF974/AE974,0)</f>
        <v>0</v>
      </c>
    </row>
    <row r="975" customFormat="false" ht="15" hidden="false" customHeight="false" outlineLevel="0" collapsed="false">
      <c r="A975" s="29" t="n">
        <v>974</v>
      </c>
      <c r="B975" s="44" t="n">
        <v>46048.0423611111</v>
      </c>
      <c r="C975" s="44" t="n">
        <v>46048.0571412037</v>
      </c>
      <c r="D975" s="43" t="n">
        <f aca="false">INT(C975)</f>
        <v>46048</v>
      </c>
      <c r="E975" s="43" t="n">
        <f aca="false">D975-WEEKDAY(D975,3)</f>
        <v>46048</v>
      </c>
      <c r="F975" s="29" t="s">
        <v>189</v>
      </c>
      <c r="G975" s="29" t="n">
        <v>2026</v>
      </c>
      <c r="H975" s="29" t="s">
        <v>245</v>
      </c>
      <c r="I975" s="29" t="n">
        <v>1</v>
      </c>
      <c r="J975" s="29" t="s">
        <v>250</v>
      </c>
      <c r="K975" s="29" t="s">
        <v>251</v>
      </c>
      <c r="L975" s="29" t="n">
        <v>0.04</v>
      </c>
      <c r="M975" s="32" t="n">
        <v>25347.26</v>
      </c>
      <c r="N975" s="32" t="n">
        <v>25409.06</v>
      </c>
      <c r="O975" s="32" t="n">
        <v>25177.92</v>
      </c>
      <c r="P975" s="45" t="n">
        <f aca="false">ABS(M975-N975)</f>
        <v>61.8000000000029</v>
      </c>
      <c r="Q975" s="45" t="n">
        <f aca="false">IF(O975="","",ABS(O975-M975))</f>
        <v>169.34</v>
      </c>
      <c r="R975" s="31" t="n">
        <f aca="false">P975*L975*Summary!$C$6</f>
        <v>247.200000000012</v>
      </c>
      <c r="S975" s="32" t="n">
        <v>25409.28</v>
      </c>
      <c r="T975" s="29" t="s">
        <v>249</v>
      </c>
      <c r="U975" s="45" t="n">
        <f aca="false">IF(J975="BUY",S975-M975,M975-S975)</f>
        <v>-62.0200000000004</v>
      </c>
      <c r="V975" s="46" t="n">
        <v>0</v>
      </c>
      <c r="W975" s="46" t="n">
        <v>0</v>
      </c>
      <c r="X975" s="46" t="n">
        <v>-248.08</v>
      </c>
      <c r="Y975" s="33" t="n">
        <f aca="false">IFERROR(X975/R975,0)</f>
        <v>-1.00355987055011</v>
      </c>
      <c r="Z975" s="29" t="str">
        <f aca="false">IF(X975&gt;0,"Win",IF(X975&lt;0,"Loss","Flat"))</f>
        <v>Loss</v>
      </c>
      <c r="AA975" s="29" t="n">
        <f aca="false">ROUND((C975-B975)*1440,1)</f>
        <v>21.3</v>
      </c>
      <c r="AB975" s="29" t="str">
        <f aca="false">IF(AA975&lt;1,"a) &lt;1 min",IF(AA975&lt;10,"b) 1-10 min",IF(AA975&lt;60,"c) 10-60 min",IF(AA975&lt;240,"d) 1-4 h","e) 4 h+"))))</f>
        <v>c) 10-60 min</v>
      </c>
      <c r="AC975" s="29" t="str">
        <f aca="false">IF(P975&lt;10,"a) &lt;10",IF(P975&lt;20,"b) 10-20",IF(P975&lt;40,"c) 20-40",IF(P975&lt;80,"d) 40-80","e) 80+"))))</f>
        <v>d) 40-80</v>
      </c>
      <c r="AD975" s="31" t="n">
        <f aca="false">Summary!$C$5+SUM(X$2:X975)</f>
        <v>22145.92</v>
      </c>
      <c r="AE975" s="31" t="n">
        <f aca="false">MAX(AE974,AD975)</f>
        <v>22394</v>
      </c>
      <c r="AF975" s="31" t="n">
        <f aca="false">AE975-AD975</f>
        <v>248.080000000002</v>
      </c>
      <c r="AG975" s="30" t="n">
        <f aca="false">IFERROR(AF975/AE975,0)</f>
        <v>0.0110779673126731</v>
      </c>
    </row>
    <row r="976" customFormat="false" ht="15" hidden="false" customHeight="false" outlineLevel="0" collapsed="false">
      <c r="A976" s="29" t="n">
        <v>975</v>
      </c>
      <c r="B976" s="44" t="n">
        <v>46048.7069444444</v>
      </c>
      <c r="C976" s="44" t="n">
        <v>46048.7081134259</v>
      </c>
      <c r="D976" s="43" t="n">
        <f aca="false">INT(C976)</f>
        <v>46048</v>
      </c>
      <c r="E976" s="43" t="n">
        <f aca="false">D976-WEEKDAY(D976,3)</f>
        <v>46048</v>
      </c>
      <c r="F976" s="29" t="s">
        <v>189</v>
      </c>
      <c r="G976" s="29" t="n">
        <v>2026</v>
      </c>
      <c r="H976" s="29" t="s">
        <v>245</v>
      </c>
      <c r="I976" s="29" t="n">
        <v>16</v>
      </c>
      <c r="J976" s="29" t="s">
        <v>246</v>
      </c>
      <c r="K976" s="29" t="s">
        <v>247</v>
      </c>
      <c r="L976" s="29" t="n">
        <v>0.04</v>
      </c>
      <c r="M976" s="32" t="n">
        <v>25719.16</v>
      </c>
      <c r="N976" s="32" t="n">
        <v>25701.39</v>
      </c>
      <c r="O976" s="32" t="n">
        <v>25762.7</v>
      </c>
      <c r="P976" s="45" t="n">
        <f aca="false">ABS(M976-N976)</f>
        <v>17.7700000000004</v>
      </c>
      <c r="Q976" s="45" t="n">
        <f aca="false">IF(O976="","",ABS(O976-M976))</f>
        <v>43.5400000000009</v>
      </c>
      <c r="R976" s="31" t="n">
        <f aca="false">P976*L976*Summary!$C$6</f>
        <v>71.0800000000018</v>
      </c>
      <c r="S976" s="32" t="n">
        <v>25701.02</v>
      </c>
      <c r="T976" s="29" t="s">
        <v>249</v>
      </c>
      <c r="U976" s="45" t="n">
        <f aca="false">IF(J976="BUY",S976-M976,M976-S976)</f>
        <v>-18.1399999999994</v>
      </c>
      <c r="V976" s="46" t="n">
        <v>0</v>
      </c>
      <c r="W976" s="46" t="n">
        <v>0</v>
      </c>
      <c r="X976" s="46" t="n">
        <v>-72.56</v>
      </c>
      <c r="Y976" s="33" t="n">
        <f aca="false">IFERROR(X976/R976,0)</f>
        <v>-1.02082160945411</v>
      </c>
      <c r="Z976" s="29" t="str">
        <f aca="false">IF(X976&gt;0,"Win",IF(X976&lt;0,"Loss","Flat"))</f>
        <v>Loss</v>
      </c>
      <c r="AA976" s="29" t="n">
        <f aca="false">ROUND((C976-B976)*1440,1)</f>
        <v>1.7</v>
      </c>
      <c r="AB976" s="29" t="str">
        <f aca="false">IF(AA976&lt;1,"a) &lt;1 min",IF(AA976&lt;10,"b) 1-10 min",IF(AA976&lt;60,"c) 10-60 min",IF(AA976&lt;240,"d) 1-4 h","e) 4 h+"))))</f>
        <v>b) 1-10 min</v>
      </c>
      <c r="AC976" s="29" t="str">
        <f aca="false">IF(P976&lt;10,"a) &lt;10",IF(P976&lt;20,"b) 10-20",IF(P976&lt;40,"c) 20-40",IF(P976&lt;80,"d) 40-80","e) 80+"))))</f>
        <v>b) 10-20</v>
      </c>
      <c r="AD976" s="31" t="n">
        <f aca="false">Summary!$C$5+SUM(X$2:X976)</f>
        <v>22073.36</v>
      </c>
      <c r="AE976" s="31" t="n">
        <f aca="false">MAX(AE975,AD976)</f>
        <v>22394</v>
      </c>
      <c r="AF976" s="31" t="n">
        <f aca="false">AE976-AD976</f>
        <v>320.639999999999</v>
      </c>
      <c r="AG976" s="30" t="n">
        <f aca="false">IFERROR(AF976/AE976,0)</f>
        <v>0.0143181209252478</v>
      </c>
    </row>
    <row r="977" customFormat="false" ht="15" hidden="false" customHeight="false" outlineLevel="0" collapsed="false">
      <c r="A977" s="29" t="n">
        <v>976</v>
      </c>
      <c r="B977" s="44" t="n">
        <v>46049.1673611111</v>
      </c>
      <c r="C977" s="44" t="n">
        <v>46049.1701736111</v>
      </c>
      <c r="D977" s="43" t="n">
        <f aca="false">INT(C977)</f>
        <v>46049</v>
      </c>
      <c r="E977" s="43" t="n">
        <f aca="false">D977-WEEKDAY(D977,3)</f>
        <v>46048</v>
      </c>
      <c r="F977" s="29" t="s">
        <v>189</v>
      </c>
      <c r="G977" s="29" t="n">
        <v>2026</v>
      </c>
      <c r="H977" s="29" t="s">
        <v>248</v>
      </c>
      <c r="I977" s="29" t="n">
        <v>4</v>
      </c>
      <c r="J977" s="29" t="s">
        <v>246</v>
      </c>
      <c r="K977" s="29" t="s">
        <v>247</v>
      </c>
      <c r="L977" s="29" t="n">
        <v>0.04</v>
      </c>
      <c r="M977" s="32" t="n">
        <v>25798.82</v>
      </c>
      <c r="N977" s="32" t="n">
        <v>25795.85</v>
      </c>
      <c r="O977" s="32" t="n">
        <v>25806.1</v>
      </c>
      <c r="P977" s="45" t="n">
        <f aca="false">ABS(M977-N977)</f>
        <v>2.97000000000116</v>
      </c>
      <c r="Q977" s="45" t="n">
        <f aca="false">IF(O977="","",ABS(O977-M977))</f>
        <v>7.27999999999884</v>
      </c>
      <c r="R977" s="31" t="n">
        <f aca="false">P977*L977*Summary!$C$6</f>
        <v>11.8800000000047</v>
      </c>
      <c r="S977" s="32" t="n">
        <v>25807.68</v>
      </c>
      <c r="T977" s="29" t="s">
        <v>227</v>
      </c>
      <c r="U977" s="45" t="n">
        <f aca="false">IF(J977="BUY",S977-M977,M977-S977)</f>
        <v>8.86000000000058</v>
      </c>
      <c r="V977" s="46" t="n">
        <v>0</v>
      </c>
      <c r="W977" s="46" t="n">
        <v>0</v>
      </c>
      <c r="X977" s="46" t="n">
        <v>35.44</v>
      </c>
      <c r="Y977" s="33" t="n">
        <f aca="false">IFERROR(X977/R977,0)</f>
        <v>2.98316498316381</v>
      </c>
      <c r="Z977" s="29" t="str">
        <f aca="false">IF(X977&gt;0,"Win",IF(X977&lt;0,"Loss","Flat"))</f>
        <v>Win</v>
      </c>
      <c r="AA977" s="29" t="n">
        <f aca="false">ROUND((C977-B977)*1440,1)</f>
        <v>4.1</v>
      </c>
      <c r="AB977" s="29" t="str">
        <f aca="false">IF(AA977&lt;1,"a) &lt;1 min",IF(AA977&lt;10,"b) 1-10 min",IF(AA977&lt;60,"c) 10-60 min",IF(AA977&lt;240,"d) 1-4 h","e) 4 h+"))))</f>
        <v>b) 1-10 min</v>
      </c>
      <c r="AC977" s="29" t="str">
        <f aca="false">IF(P977&lt;10,"a) &lt;10",IF(P977&lt;20,"b) 10-20",IF(P977&lt;40,"c) 20-40",IF(P977&lt;80,"d) 40-80","e) 80+"))))</f>
        <v>a) &lt;10</v>
      </c>
      <c r="AD977" s="31" t="n">
        <f aca="false">Summary!$C$5+SUM(X$2:X977)</f>
        <v>22108.8</v>
      </c>
      <c r="AE977" s="31" t="n">
        <f aca="false">MAX(AE976,AD977)</f>
        <v>22394</v>
      </c>
      <c r="AF977" s="31" t="n">
        <f aca="false">AE977-AD977</f>
        <v>285.200000000001</v>
      </c>
      <c r="AG977" s="30" t="n">
        <f aca="false">IFERROR(AF977/AE977,0)</f>
        <v>0.0127355541662946</v>
      </c>
    </row>
    <row r="978" customFormat="false" ht="15" hidden="false" customHeight="false" outlineLevel="0" collapsed="false">
      <c r="A978" s="29" t="n">
        <v>977</v>
      </c>
      <c r="B978" s="44" t="n">
        <v>46050.0423611111</v>
      </c>
      <c r="C978" s="44" t="n">
        <v>46050.1032175926</v>
      </c>
      <c r="D978" s="43" t="n">
        <f aca="false">INT(C978)</f>
        <v>46050</v>
      </c>
      <c r="E978" s="43" t="n">
        <f aca="false">D978-WEEKDAY(D978,3)</f>
        <v>46048</v>
      </c>
      <c r="F978" s="29" t="s">
        <v>189</v>
      </c>
      <c r="G978" s="29" t="n">
        <v>2026</v>
      </c>
      <c r="H978" s="29" t="s">
        <v>252</v>
      </c>
      <c r="I978" s="29" t="n">
        <v>1</v>
      </c>
      <c r="J978" s="29" t="s">
        <v>246</v>
      </c>
      <c r="K978" s="29" t="s">
        <v>247</v>
      </c>
      <c r="L978" s="29" t="n">
        <v>0.04</v>
      </c>
      <c r="M978" s="32" t="n">
        <v>26003.81</v>
      </c>
      <c r="N978" s="32" t="n">
        <v>25988.67</v>
      </c>
      <c r="O978" s="32" t="n">
        <v>26040.9</v>
      </c>
      <c r="P978" s="45" t="n">
        <f aca="false">ABS(M978-N978)</f>
        <v>15.1400000000031</v>
      </c>
      <c r="Q978" s="45" t="n">
        <f aca="false">IF(O978="","",ABS(O978-M978))</f>
        <v>37.0900000000001</v>
      </c>
      <c r="R978" s="31" t="n">
        <f aca="false">P978*L978*Summary!$C$6</f>
        <v>60.5600000000122</v>
      </c>
      <c r="S978" s="32" t="n">
        <v>26041</v>
      </c>
      <c r="T978" s="29" t="s">
        <v>227</v>
      </c>
      <c r="U978" s="45" t="n">
        <f aca="false">IF(J978="BUY",S978-M978,M978-S978)</f>
        <v>37.1899999999987</v>
      </c>
      <c r="V978" s="46" t="n">
        <v>0</v>
      </c>
      <c r="W978" s="46" t="n">
        <v>0</v>
      </c>
      <c r="X978" s="46" t="n">
        <v>148.76</v>
      </c>
      <c r="Y978" s="33" t="n">
        <f aca="false">IFERROR(X978/R978,0)</f>
        <v>2.45640686922011</v>
      </c>
      <c r="Z978" s="29" t="str">
        <f aca="false">IF(X978&gt;0,"Win",IF(X978&lt;0,"Loss","Flat"))</f>
        <v>Win</v>
      </c>
      <c r="AA978" s="29" t="n">
        <f aca="false">ROUND((C978-B978)*1440,1)</f>
        <v>87.6</v>
      </c>
      <c r="AB978" s="29" t="str">
        <f aca="false">IF(AA978&lt;1,"a) &lt;1 min",IF(AA978&lt;10,"b) 1-10 min",IF(AA978&lt;60,"c) 10-60 min",IF(AA978&lt;240,"d) 1-4 h","e) 4 h+"))))</f>
        <v>d) 1-4 h</v>
      </c>
      <c r="AC978" s="29" t="str">
        <f aca="false">IF(P978&lt;10,"a) &lt;10",IF(P978&lt;20,"b) 10-20",IF(P978&lt;40,"c) 20-40",IF(P978&lt;80,"d) 40-80","e) 80+"))))</f>
        <v>b) 10-20</v>
      </c>
      <c r="AD978" s="31" t="n">
        <f aca="false">Summary!$C$5+SUM(X$2:X978)</f>
        <v>22257.56</v>
      </c>
      <c r="AE978" s="31" t="n">
        <f aca="false">MAX(AE977,AD978)</f>
        <v>22394</v>
      </c>
      <c r="AF978" s="31" t="n">
        <f aca="false">AE978-AD978</f>
        <v>136.440000000002</v>
      </c>
      <c r="AG978" s="30" t="n">
        <f aca="false">IFERROR(AF978/AE978,0)</f>
        <v>0.00609270340269726</v>
      </c>
    </row>
    <row r="979" customFormat="false" ht="15" hidden="false" customHeight="false" outlineLevel="0" collapsed="false">
      <c r="A979" s="29" t="n">
        <v>978</v>
      </c>
      <c r="B979" s="44" t="n">
        <v>46051.6965277778</v>
      </c>
      <c r="C979" s="44" t="n">
        <v>46051.6990393519</v>
      </c>
      <c r="D979" s="43" t="n">
        <f aca="false">INT(C979)</f>
        <v>46051</v>
      </c>
      <c r="E979" s="43" t="n">
        <f aca="false">D979-WEEKDAY(D979,3)</f>
        <v>46048</v>
      </c>
      <c r="F979" s="29" t="s">
        <v>189</v>
      </c>
      <c r="G979" s="29" t="n">
        <v>2026</v>
      </c>
      <c r="H979" s="29" t="s">
        <v>253</v>
      </c>
      <c r="I979" s="29" t="n">
        <v>16</v>
      </c>
      <c r="J979" s="29" t="s">
        <v>250</v>
      </c>
      <c r="K979" s="29" t="s">
        <v>251</v>
      </c>
      <c r="L979" s="29" t="n">
        <v>0.04</v>
      </c>
      <c r="M979" s="32" t="n">
        <v>25860.05</v>
      </c>
      <c r="N979" s="32" t="n">
        <v>25890.62</v>
      </c>
      <c r="O979" s="32" t="n">
        <v>25787.08</v>
      </c>
      <c r="P979" s="45" t="n">
        <f aca="false">ABS(M979-N979)</f>
        <v>30.5699999999997</v>
      </c>
      <c r="Q979" s="45" t="n">
        <f aca="false">IF(O979="","",ABS(O979-M979))</f>
        <v>72.9699999999975</v>
      </c>
      <c r="R979" s="31" t="n">
        <f aca="false">P979*L979*Summary!$C$6</f>
        <v>122.279999999999</v>
      </c>
      <c r="S979" s="32" t="n">
        <v>25786.95</v>
      </c>
      <c r="T979" s="29" t="s">
        <v>227</v>
      </c>
      <c r="U979" s="45" t="n">
        <f aca="false">IF(J979="BUY",S979-M979,M979-S979)</f>
        <v>73.0999999999985</v>
      </c>
      <c r="V979" s="46" t="n">
        <v>0</v>
      </c>
      <c r="W979" s="46" t="n">
        <v>0</v>
      </c>
      <c r="X979" s="46" t="n">
        <v>292.4</v>
      </c>
      <c r="Y979" s="33" t="n">
        <f aca="false">IFERROR(X979/R979,0)</f>
        <v>2.39123323519793</v>
      </c>
      <c r="Z979" s="29" t="str">
        <f aca="false">IF(X979&gt;0,"Win",IF(X979&lt;0,"Loss","Flat"))</f>
        <v>Win</v>
      </c>
      <c r="AA979" s="29" t="n">
        <f aca="false">ROUND((C979-B979)*1440,1)</f>
        <v>3.6</v>
      </c>
      <c r="AB979" s="29" t="str">
        <f aca="false">IF(AA979&lt;1,"a) &lt;1 min",IF(AA979&lt;10,"b) 1-10 min",IF(AA979&lt;60,"c) 10-60 min",IF(AA979&lt;240,"d) 1-4 h","e) 4 h+"))))</f>
        <v>b) 1-10 min</v>
      </c>
      <c r="AC979" s="29" t="str">
        <f aca="false">IF(P979&lt;10,"a) &lt;10",IF(P979&lt;20,"b) 10-20",IF(P979&lt;40,"c) 20-40",IF(P979&lt;80,"d) 40-80","e) 80+"))))</f>
        <v>c) 20-40</v>
      </c>
      <c r="AD979" s="31" t="n">
        <f aca="false">Summary!$C$5+SUM(X$2:X979)</f>
        <v>22549.96</v>
      </c>
      <c r="AE979" s="31" t="n">
        <f aca="false">MAX(AE978,AD979)</f>
        <v>22549.96</v>
      </c>
      <c r="AF979" s="31" t="n">
        <f aca="false">AE979-AD979</f>
        <v>0</v>
      </c>
      <c r="AG979" s="30" t="n">
        <f aca="false">IFERROR(AF979/AE979,0)</f>
        <v>0</v>
      </c>
    </row>
    <row r="980" customFormat="false" ht="15" hidden="false" customHeight="false" outlineLevel="0" collapsed="false">
      <c r="A980" s="29" t="n">
        <v>979</v>
      </c>
      <c r="B980" s="44" t="n">
        <v>46055.0423611111</v>
      </c>
      <c r="C980" s="44" t="n">
        <v>46055.0485069445</v>
      </c>
      <c r="D980" s="43" t="n">
        <f aca="false">INT(C980)</f>
        <v>46055</v>
      </c>
      <c r="E980" s="43" t="n">
        <f aca="false">D980-WEEKDAY(D980,3)</f>
        <v>46055</v>
      </c>
      <c r="F980" s="29" t="s">
        <v>190</v>
      </c>
      <c r="G980" s="29" t="n">
        <v>2026</v>
      </c>
      <c r="H980" s="29" t="s">
        <v>245</v>
      </c>
      <c r="I980" s="29" t="n">
        <v>1</v>
      </c>
      <c r="J980" s="29" t="s">
        <v>250</v>
      </c>
      <c r="K980" s="29" t="s">
        <v>251</v>
      </c>
      <c r="L980" s="29" t="n">
        <v>0.04</v>
      </c>
      <c r="M980" s="32" t="n">
        <v>25404.79</v>
      </c>
      <c r="N980" s="32" t="n">
        <v>25444.42</v>
      </c>
      <c r="O980" s="32" t="n">
        <v>25315.35</v>
      </c>
      <c r="P980" s="45" t="n">
        <f aca="false">ABS(M980-N980)</f>
        <v>39.6299999999974</v>
      </c>
      <c r="Q980" s="45" t="n">
        <f aca="false">IF(O980="","",ABS(O980-M980))</f>
        <v>89.4400000000023</v>
      </c>
      <c r="R980" s="31" t="n">
        <f aca="false">P980*L980*Summary!$C$6</f>
        <v>158.51999999999</v>
      </c>
      <c r="S980" s="32" t="n">
        <v>25313.53</v>
      </c>
      <c r="T980" s="29" t="s">
        <v>227</v>
      </c>
      <c r="U980" s="45" t="n">
        <f aca="false">IF(J980="BUY",S980-M980,M980-S980)</f>
        <v>91.260000000002</v>
      </c>
      <c r="V980" s="46" t="n">
        <v>0</v>
      </c>
      <c r="W980" s="46" t="n">
        <v>0</v>
      </c>
      <c r="X980" s="46" t="n">
        <v>365.04</v>
      </c>
      <c r="Y980" s="33" t="n">
        <f aca="false">IFERROR(X980/R980,0)</f>
        <v>2.30280090840288</v>
      </c>
      <c r="Z980" s="29" t="str">
        <f aca="false">IF(X980&gt;0,"Win",IF(X980&lt;0,"Loss","Flat"))</f>
        <v>Win</v>
      </c>
      <c r="AA980" s="29" t="n">
        <f aca="false">ROUND((C980-B980)*1440,1)</f>
        <v>8.9</v>
      </c>
      <c r="AB980" s="29" t="str">
        <f aca="false">IF(AA980&lt;1,"a) &lt;1 min",IF(AA980&lt;10,"b) 1-10 min",IF(AA980&lt;60,"c) 10-60 min",IF(AA980&lt;240,"d) 1-4 h","e) 4 h+"))))</f>
        <v>b) 1-10 min</v>
      </c>
      <c r="AC980" s="29" t="str">
        <f aca="false">IF(P980&lt;10,"a) &lt;10",IF(P980&lt;20,"b) 10-20",IF(P980&lt;40,"c) 20-40",IF(P980&lt;80,"d) 40-80","e) 80+"))))</f>
        <v>c) 20-40</v>
      </c>
      <c r="AD980" s="31" t="n">
        <f aca="false">Summary!$C$5+SUM(X$2:X980)</f>
        <v>22915</v>
      </c>
      <c r="AE980" s="31" t="n">
        <f aca="false">MAX(AE979,AD980)</f>
        <v>22915</v>
      </c>
      <c r="AF980" s="31" t="n">
        <f aca="false">AE980-AD980</f>
        <v>0</v>
      </c>
      <c r="AG980" s="30" t="n">
        <f aca="false">IFERROR(AF980/AE980,0)</f>
        <v>0</v>
      </c>
    </row>
    <row r="981" customFormat="false" ht="15" hidden="false" customHeight="false" outlineLevel="0" collapsed="false">
      <c r="A981" s="29" t="n">
        <v>980</v>
      </c>
      <c r="B981" s="44" t="n">
        <v>46056.0631944445</v>
      </c>
      <c r="C981" s="44" t="n">
        <v>46056.0643634259</v>
      </c>
      <c r="D981" s="43" t="n">
        <f aca="false">INT(C981)</f>
        <v>46056</v>
      </c>
      <c r="E981" s="43" t="n">
        <f aca="false">D981-WEEKDAY(D981,3)</f>
        <v>46055</v>
      </c>
      <c r="F981" s="29" t="s">
        <v>190</v>
      </c>
      <c r="G981" s="29" t="n">
        <v>2026</v>
      </c>
      <c r="H981" s="29" t="s">
        <v>248</v>
      </c>
      <c r="I981" s="29" t="n">
        <v>1</v>
      </c>
      <c r="J981" s="29" t="s">
        <v>246</v>
      </c>
      <c r="K981" s="29" t="s">
        <v>247</v>
      </c>
      <c r="L981" s="29" t="n">
        <v>0.04</v>
      </c>
      <c r="M981" s="32" t="n">
        <v>25833.28</v>
      </c>
      <c r="N981" s="32" t="n">
        <v>25825.18</v>
      </c>
      <c r="O981" s="32" t="n">
        <v>25853.12</v>
      </c>
      <c r="P981" s="45" t="n">
        <f aca="false">ABS(M981-N981)</f>
        <v>8.09999999999855</v>
      </c>
      <c r="Q981" s="45" t="n">
        <f aca="false">IF(O981="","",ABS(O981-M981))</f>
        <v>19.8400000000001</v>
      </c>
      <c r="R981" s="31" t="n">
        <f aca="false">P981*L981*Summary!$C$6</f>
        <v>32.3999999999942</v>
      </c>
      <c r="S981" s="32" t="n">
        <v>25825.13</v>
      </c>
      <c r="T981" s="29" t="s">
        <v>249</v>
      </c>
      <c r="U981" s="45" t="n">
        <f aca="false">IF(J981="BUY",S981-M981,M981-S981)</f>
        <v>-8.14999999999782</v>
      </c>
      <c r="V981" s="46" t="n">
        <v>0</v>
      </c>
      <c r="W981" s="46" t="n">
        <v>0</v>
      </c>
      <c r="X981" s="46" t="n">
        <v>-32.6</v>
      </c>
      <c r="Y981" s="33" t="n">
        <f aca="false">IFERROR(X981/R981,0)</f>
        <v>-1.00617283950635</v>
      </c>
      <c r="Z981" s="29" t="str">
        <f aca="false">IF(X981&gt;0,"Win",IF(X981&lt;0,"Loss","Flat"))</f>
        <v>Loss</v>
      </c>
      <c r="AA981" s="29" t="n">
        <f aca="false">ROUND((C981-B981)*1440,1)</f>
        <v>1.7</v>
      </c>
      <c r="AB981" s="29" t="str">
        <f aca="false">IF(AA981&lt;1,"a) &lt;1 min",IF(AA981&lt;10,"b) 1-10 min",IF(AA981&lt;60,"c) 10-60 min",IF(AA981&lt;240,"d) 1-4 h","e) 4 h+"))))</f>
        <v>b) 1-10 min</v>
      </c>
      <c r="AC981" s="29" t="str">
        <f aca="false">IF(P981&lt;10,"a) &lt;10",IF(P981&lt;20,"b) 10-20",IF(P981&lt;40,"c) 20-40",IF(P981&lt;80,"d) 40-80","e) 80+"))))</f>
        <v>a) &lt;10</v>
      </c>
      <c r="AD981" s="31" t="n">
        <f aca="false">Summary!$C$5+SUM(X$2:X981)</f>
        <v>22882.4</v>
      </c>
      <c r="AE981" s="31" t="n">
        <f aca="false">MAX(AE980,AD981)</f>
        <v>22915</v>
      </c>
      <c r="AF981" s="31" t="n">
        <f aca="false">AE981-AD981</f>
        <v>32.5999999999985</v>
      </c>
      <c r="AG981" s="30" t="n">
        <f aca="false">IFERROR(AF981/AE981,0)</f>
        <v>0.00142264891992139</v>
      </c>
    </row>
    <row r="982" customFormat="false" ht="15" hidden="false" customHeight="false" outlineLevel="0" collapsed="false">
      <c r="A982" s="29" t="n">
        <v>981</v>
      </c>
      <c r="B982" s="44" t="n">
        <v>46057.7076388889</v>
      </c>
      <c r="C982" s="44" t="n">
        <v>46057.7120601852</v>
      </c>
      <c r="D982" s="43" t="n">
        <f aca="false">INT(C982)</f>
        <v>46057</v>
      </c>
      <c r="E982" s="43" t="n">
        <f aca="false">D982-WEEKDAY(D982,3)</f>
        <v>46055</v>
      </c>
      <c r="F982" s="29" t="s">
        <v>190</v>
      </c>
      <c r="G982" s="29" t="n">
        <v>2026</v>
      </c>
      <c r="H982" s="29" t="s">
        <v>252</v>
      </c>
      <c r="I982" s="29" t="n">
        <v>16</v>
      </c>
      <c r="J982" s="29" t="s">
        <v>250</v>
      </c>
      <c r="K982" s="29" t="s">
        <v>251</v>
      </c>
      <c r="L982" s="29" t="n">
        <v>0.04</v>
      </c>
      <c r="M982" s="32" t="n">
        <v>25090.71</v>
      </c>
      <c r="N982" s="32" t="n">
        <v>25131</v>
      </c>
      <c r="O982" s="32" t="n">
        <v>24988.17</v>
      </c>
      <c r="P982" s="45" t="n">
        <f aca="false">ABS(M982-N982)</f>
        <v>40.2900000000009</v>
      </c>
      <c r="Q982" s="45" t="n">
        <f aca="false">IF(O982="","",ABS(O982-M982))</f>
        <v>102.540000000001</v>
      </c>
      <c r="R982" s="31" t="n">
        <f aca="false">P982*L982*Summary!$C$6</f>
        <v>161.160000000004</v>
      </c>
      <c r="S982" s="32" t="n">
        <v>25090.77</v>
      </c>
      <c r="T982" s="29" t="s">
        <v>255</v>
      </c>
      <c r="U982" s="45" t="n">
        <f aca="false">IF(J982="BUY",S982-M982,M982-S982)</f>
        <v>-0.0600000000013097</v>
      </c>
      <c r="V982" s="46" t="n">
        <v>0</v>
      </c>
      <c r="W982" s="46" t="n">
        <v>0</v>
      </c>
      <c r="X982" s="46" t="n">
        <v>-0.24</v>
      </c>
      <c r="Y982" s="33" t="n">
        <f aca="false">IFERROR(X982/R982,0)</f>
        <v>-0.00148920327624718</v>
      </c>
      <c r="Z982" s="29" t="str">
        <f aca="false">IF(X982&gt;0,"Win",IF(X982&lt;0,"Loss","Flat"))</f>
        <v>Loss</v>
      </c>
      <c r="AA982" s="29" t="n">
        <f aca="false">ROUND((C982-B982)*1440,1)</f>
        <v>6.4</v>
      </c>
      <c r="AB982" s="29" t="str">
        <f aca="false">IF(AA982&lt;1,"a) &lt;1 min",IF(AA982&lt;10,"b) 1-10 min",IF(AA982&lt;60,"c) 10-60 min",IF(AA982&lt;240,"d) 1-4 h","e) 4 h+"))))</f>
        <v>b) 1-10 min</v>
      </c>
      <c r="AC982" s="29" t="str">
        <f aca="false">IF(P982&lt;10,"a) &lt;10",IF(P982&lt;20,"b) 10-20",IF(P982&lt;40,"c) 20-40",IF(P982&lt;80,"d) 40-80","e) 80+"))))</f>
        <v>d) 40-80</v>
      </c>
      <c r="AD982" s="31" t="n">
        <f aca="false">Summary!$C$5+SUM(X$2:X982)</f>
        <v>22882.16</v>
      </c>
      <c r="AE982" s="31" t="n">
        <f aca="false">MAX(AE981,AD982)</f>
        <v>22915</v>
      </c>
      <c r="AF982" s="31" t="n">
        <f aca="false">AE982-AD982</f>
        <v>32.8400000000001</v>
      </c>
      <c r="AG982" s="30" t="n">
        <f aca="false">IFERROR(AF982/AE982,0)</f>
        <v>0.00143312240890247</v>
      </c>
    </row>
    <row r="983" customFormat="false" ht="15" hidden="false" customHeight="false" outlineLevel="0" collapsed="false">
      <c r="A983" s="29" t="n">
        <v>982</v>
      </c>
      <c r="B983" s="44" t="n">
        <v>46058.6138888889</v>
      </c>
      <c r="C983" s="44" t="n">
        <v>46058.6146759259</v>
      </c>
      <c r="D983" s="43" t="n">
        <f aca="false">INT(C983)</f>
        <v>46058</v>
      </c>
      <c r="E983" s="43" t="n">
        <f aca="false">D983-WEEKDAY(D983,3)</f>
        <v>46055</v>
      </c>
      <c r="F983" s="29" t="s">
        <v>190</v>
      </c>
      <c r="G983" s="29" t="n">
        <v>2026</v>
      </c>
      <c r="H983" s="29" t="s">
        <v>253</v>
      </c>
      <c r="I983" s="29" t="n">
        <v>14</v>
      </c>
      <c r="J983" s="29" t="s">
        <v>250</v>
      </c>
      <c r="K983" s="29" t="s">
        <v>251</v>
      </c>
      <c r="L983" s="29" t="n">
        <v>0.04</v>
      </c>
      <c r="M983" s="32" t="n">
        <v>24675.77</v>
      </c>
      <c r="N983" s="32" t="n">
        <v>24705.2</v>
      </c>
      <c r="O983" s="32" t="n">
        <v>24603.66</v>
      </c>
      <c r="P983" s="45" t="n">
        <f aca="false">ABS(M983-N983)</f>
        <v>29.4300000000003</v>
      </c>
      <c r="Q983" s="45" t="n">
        <f aca="false">IF(O983="","",ABS(O983-M983))</f>
        <v>72.1100000000006</v>
      </c>
      <c r="R983" s="31" t="n">
        <f aca="false">P983*L983*Summary!$C$6</f>
        <v>117.720000000001</v>
      </c>
      <c r="S983" s="32" t="n">
        <v>24705.28</v>
      </c>
      <c r="T983" s="29" t="s">
        <v>249</v>
      </c>
      <c r="U983" s="45" t="n">
        <f aca="false">IF(J983="BUY",S983-M983,M983-S983)</f>
        <v>-29.5099999999984</v>
      </c>
      <c r="V983" s="46" t="n">
        <v>0</v>
      </c>
      <c r="W983" s="46" t="n">
        <v>0</v>
      </c>
      <c r="X983" s="46" t="n">
        <v>-118.04</v>
      </c>
      <c r="Y983" s="33" t="n">
        <f aca="false">IFERROR(X983/R983,0)</f>
        <v>-1.00271831464491</v>
      </c>
      <c r="Z983" s="29" t="str">
        <f aca="false">IF(X983&gt;0,"Win",IF(X983&lt;0,"Loss","Flat"))</f>
        <v>Loss</v>
      </c>
      <c r="AA983" s="29" t="n">
        <f aca="false">ROUND((C983-B983)*1440,1)</f>
        <v>1.1</v>
      </c>
      <c r="AB983" s="29" t="str">
        <f aca="false">IF(AA983&lt;1,"a) &lt;1 min",IF(AA983&lt;10,"b) 1-10 min",IF(AA983&lt;60,"c) 10-60 min",IF(AA983&lt;240,"d) 1-4 h","e) 4 h+"))))</f>
        <v>b) 1-10 min</v>
      </c>
      <c r="AC983" s="29" t="str">
        <f aca="false">IF(P983&lt;10,"a) &lt;10",IF(P983&lt;20,"b) 10-20",IF(P983&lt;40,"c) 20-40",IF(P983&lt;80,"d) 40-80","e) 80+"))))</f>
        <v>c) 20-40</v>
      </c>
      <c r="AD983" s="31" t="n">
        <f aca="false">Summary!$C$5+SUM(X$2:X983)</f>
        <v>22764.12</v>
      </c>
      <c r="AE983" s="31" t="n">
        <f aca="false">MAX(AE982,AD983)</f>
        <v>22915</v>
      </c>
      <c r="AF983" s="31" t="n">
        <f aca="false">AE983-AD983</f>
        <v>150.879999999997</v>
      </c>
      <c r="AG983" s="30" t="n">
        <f aca="false">IFERROR(AF983/AE983,0)</f>
        <v>0.00658433340606578</v>
      </c>
    </row>
    <row r="984" customFormat="false" ht="15" hidden="false" customHeight="false" outlineLevel="0" collapsed="false">
      <c r="A984" s="29" t="n">
        <v>983</v>
      </c>
      <c r="B984" s="44" t="n">
        <v>46059.0423611111</v>
      </c>
      <c r="C984" s="44" t="n">
        <v>46059.0442476852</v>
      </c>
      <c r="D984" s="43" t="n">
        <f aca="false">INT(C984)</f>
        <v>46059</v>
      </c>
      <c r="E984" s="43" t="n">
        <f aca="false">D984-WEEKDAY(D984,3)</f>
        <v>46055</v>
      </c>
      <c r="F984" s="29" t="s">
        <v>190</v>
      </c>
      <c r="G984" s="29" t="n">
        <v>2026</v>
      </c>
      <c r="H984" s="29" t="s">
        <v>254</v>
      </c>
      <c r="I984" s="29" t="n">
        <v>1</v>
      </c>
      <c r="J984" s="29" t="s">
        <v>250</v>
      </c>
      <c r="K984" s="29" t="s">
        <v>251</v>
      </c>
      <c r="L984" s="29" t="n">
        <v>0.04</v>
      </c>
      <c r="M984" s="32" t="n">
        <v>24352.76</v>
      </c>
      <c r="N984" s="32" t="n">
        <v>24400.75</v>
      </c>
      <c r="O984" s="32" t="n">
        <v>24230.73</v>
      </c>
      <c r="P984" s="45" t="n">
        <f aca="false">ABS(M984-N984)</f>
        <v>47.9900000000016</v>
      </c>
      <c r="Q984" s="45" t="n">
        <f aca="false">IF(O984="","",ABS(O984-M984))</f>
        <v>122.029999999999</v>
      </c>
      <c r="R984" s="31" t="n">
        <f aca="false">P984*L984*Summary!$C$6</f>
        <v>191.960000000006</v>
      </c>
      <c r="S984" s="32" t="n">
        <v>24353.25</v>
      </c>
      <c r="T984" s="29" t="s">
        <v>255</v>
      </c>
      <c r="U984" s="45" t="n">
        <f aca="false">IF(J984="BUY",S984-M984,M984-S984)</f>
        <v>-0.490000000001601</v>
      </c>
      <c r="V984" s="46" t="n">
        <v>0</v>
      </c>
      <c r="W984" s="46" t="n">
        <v>0</v>
      </c>
      <c r="X984" s="46" t="n">
        <v>-1.96</v>
      </c>
      <c r="Y984" s="33" t="n">
        <f aca="false">IFERROR(X984/R984,0)</f>
        <v>-0.0102104605126065</v>
      </c>
      <c r="Z984" s="29" t="str">
        <f aca="false">IF(X984&gt;0,"Win",IF(X984&lt;0,"Loss","Flat"))</f>
        <v>Loss</v>
      </c>
      <c r="AA984" s="29" t="n">
        <f aca="false">ROUND((C984-B984)*1440,1)</f>
        <v>2.7</v>
      </c>
      <c r="AB984" s="29" t="str">
        <f aca="false">IF(AA984&lt;1,"a) &lt;1 min",IF(AA984&lt;10,"b) 1-10 min",IF(AA984&lt;60,"c) 10-60 min",IF(AA984&lt;240,"d) 1-4 h","e) 4 h+"))))</f>
        <v>b) 1-10 min</v>
      </c>
      <c r="AC984" s="29" t="str">
        <f aca="false">IF(P984&lt;10,"a) &lt;10",IF(P984&lt;20,"b) 10-20",IF(P984&lt;40,"c) 20-40",IF(P984&lt;80,"d) 40-80","e) 80+"))))</f>
        <v>d) 40-80</v>
      </c>
      <c r="AD984" s="31" t="n">
        <f aca="false">Summary!$C$5+SUM(X$2:X984)</f>
        <v>22762.16</v>
      </c>
      <c r="AE984" s="31" t="n">
        <f aca="false">MAX(AE983,AD984)</f>
        <v>22915</v>
      </c>
      <c r="AF984" s="31" t="n">
        <f aca="false">AE984-AD984</f>
        <v>152.84</v>
      </c>
      <c r="AG984" s="30" t="n">
        <f aca="false">IFERROR(AF984/AE984,0)</f>
        <v>0.00666986689941087</v>
      </c>
    </row>
    <row r="985" customFormat="false" ht="15" hidden="false" customHeight="false" outlineLevel="0" collapsed="false">
      <c r="A985" s="29" t="n">
        <v>984</v>
      </c>
      <c r="B985" s="44" t="n">
        <v>46059.9493055556</v>
      </c>
      <c r="C985" s="44" t="n">
        <v>46059.9521643519</v>
      </c>
      <c r="D985" s="43" t="n">
        <f aca="false">INT(C985)</f>
        <v>46059</v>
      </c>
      <c r="E985" s="43" t="n">
        <f aca="false">D985-WEEKDAY(D985,3)</f>
        <v>46055</v>
      </c>
      <c r="F985" s="29" t="s">
        <v>190</v>
      </c>
      <c r="G985" s="29" t="n">
        <v>2026</v>
      </c>
      <c r="H985" s="29" t="s">
        <v>254</v>
      </c>
      <c r="I985" s="29" t="n">
        <v>22</v>
      </c>
      <c r="J985" s="29" t="s">
        <v>246</v>
      </c>
      <c r="K985" s="29" t="s">
        <v>247</v>
      </c>
      <c r="L985" s="29" t="n">
        <v>0.04</v>
      </c>
      <c r="M985" s="32" t="n">
        <v>25074.98</v>
      </c>
      <c r="N985" s="32" t="n">
        <v>25062.12</v>
      </c>
      <c r="O985" s="32" t="n">
        <v>25105.84</v>
      </c>
      <c r="P985" s="45" t="n">
        <f aca="false">ABS(M985-N985)</f>
        <v>12.8600000000006</v>
      </c>
      <c r="Q985" s="45" t="n">
        <f aca="false">IF(O985="","",ABS(O985-M985))</f>
        <v>30.8600000000006</v>
      </c>
      <c r="R985" s="31" t="n">
        <f aca="false">P985*L985*Summary!$C$6</f>
        <v>51.4400000000023</v>
      </c>
      <c r="S985" s="32" t="n">
        <v>25105.88</v>
      </c>
      <c r="T985" s="29" t="s">
        <v>227</v>
      </c>
      <c r="U985" s="45" t="n">
        <f aca="false">IF(J985="BUY",S985-M985,M985-S985)</f>
        <v>30.9000000000015</v>
      </c>
      <c r="V985" s="46" t="n">
        <v>0</v>
      </c>
      <c r="W985" s="46" t="n">
        <v>0</v>
      </c>
      <c r="X985" s="46" t="n">
        <v>123.6</v>
      </c>
      <c r="Y985" s="33" t="n">
        <f aca="false">IFERROR(X985/R985,0)</f>
        <v>2.40279937791591</v>
      </c>
      <c r="Z985" s="29" t="str">
        <f aca="false">IF(X985&gt;0,"Win",IF(X985&lt;0,"Loss","Flat"))</f>
        <v>Win</v>
      </c>
      <c r="AA985" s="29" t="n">
        <f aca="false">ROUND((C985-B985)*1440,1)</f>
        <v>4.1</v>
      </c>
      <c r="AB985" s="29" t="str">
        <f aca="false">IF(AA985&lt;1,"a) &lt;1 min",IF(AA985&lt;10,"b) 1-10 min",IF(AA985&lt;60,"c) 10-60 min",IF(AA985&lt;240,"d) 1-4 h","e) 4 h+"))))</f>
        <v>b) 1-10 min</v>
      </c>
      <c r="AC985" s="29" t="str">
        <f aca="false">IF(P985&lt;10,"a) &lt;10",IF(P985&lt;20,"b) 10-20",IF(P985&lt;40,"c) 20-40",IF(P985&lt;80,"d) 40-80","e) 80+"))))</f>
        <v>b) 10-20</v>
      </c>
      <c r="AD985" s="31" t="n">
        <f aca="false">Summary!$C$5+SUM(X$2:X985)</f>
        <v>22885.76</v>
      </c>
      <c r="AE985" s="31" t="n">
        <f aca="false">MAX(AE984,AD985)</f>
        <v>22915</v>
      </c>
      <c r="AF985" s="31" t="n">
        <f aca="false">AE985-AD985</f>
        <v>29.239999999998</v>
      </c>
      <c r="AG985" s="30" t="n">
        <f aca="false">IFERROR(AF985/AE985,0)</f>
        <v>0.00127602007418712</v>
      </c>
    </row>
    <row r="986" customFormat="false" ht="15" hidden="false" customHeight="false" outlineLevel="0" collapsed="false">
      <c r="A986" s="29" t="n">
        <v>985</v>
      </c>
      <c r="B986" s="44" t="n">
        <v>46062.04375</v>
      </c>
      <c r="C986" s="44" t="n">
        <v>46062.064224537</v>
      </c>
      <c r="D986" s="43" t="n">
        <f aca="false">INT(C986)</f>
        <v>46062</v>
      </c>
      <c r="E986" s="43" t="n">
        <f aca="false">D986-WEEKDAY(D986,3)</f>
        <v>46062</v>
      </c>
      <c r="F986" s="29" t="s">
        <v>190</v>
      </c>
      <c r="G986" s="29" t="n">
        <v>2026</v>
      </c>
      <c r="H986" s="29" t="s">
        <v>245</v>
      </c>
      <c r="I986" s="29" t="n">
        <v>1</v>
      </c>
      <c r="J986" s="29" t="s">
        <v>246</v>
      </c>
      <c r="K986" s="29" t="s">
        <v>247</v>
      </c>
      <c r="L986" s="29" t="n">
        <v>0.04</v>
      </c>
      <c r="M986" s="32" t="n">
        <v>25139.24</v>
      </c>
      <c r="N986" s="32" t="n">
        <v>25106.27</v>
      </c>
      <c r="O986" s="32" t="n">
        <v>25220.03</v>
      </c>
      <c r="P986" s="45" t="n">
        <f aca="false">ABS(M986-N986)</f>
        <v>32.9700000000012</v>
      </c>
      <c r="Q986" s="45" t="n">
        <f aca="false">IF(O986="","",ABS(O986-M986))</f>
        <v>80.7899999999972</v>
      </c>
      <c r="R986" s="31" t="n">
        <f aca="false">P986*L986*Summary!$C$6</f>
        <v>131.880000000005</v>
      </c>
      <c r="S986" s="32" t="n">
        <v>25138.47</v>
      </c>
      <c r="T986" s="29" t="s">
        <v>255</v>
      </c>
      <c r="U986" s="45" t="n">
        <f aca="false">IF(J986="BUY",S986-M986,M986-S986)</f>
        <v>-0.770000000000437</v>
      </c>
      <c r="V986" s="46" t="n">
        <v>0</v>
      </c>
      <c r="W986" s="46" t="n">
        <v>0</v>
      </c>
      <c r="X986" s="46" t="n">
        <v>-3.08</v>
      </c>
      <c r="Y986" s="33" t="n">
        <f aca="false">IFERROR(X986/R986,0)</f>
        <v>-0.0233545647558378</v>
      </c>
      <c r="Z986" s="29" t="str">
        <f aca="false">IF(X986&gt;0,"Win",IF(X986&lt;0,"Loss","Flat"))</f>
        <v>Loss</v>
      </c>
      <c r="AA986" s="29" t="n">
        <f aca="false">ROUND((C986-B986)*1440,1)</f>
        <v>29.5</v>
      </c>
      <c r="AB986" s="29" t="str">
        <f aca="false">IF(AA986&lt;1,"a) &lt;1 min",IF(AA986&lt;10,"b) 1-10 min",IF(AA986&lt;60,"c) 10-60 min",IF(AA986&lt;240,"d) 1-4 h","e) 4 h+"))))</f>
        <v>c) 10-60 min</v>
      </c>
      <c r="AC986" s="29" t="str">
        <f aca="false">IF(P986&lt;10,"a) &lt;10",IF(P986&lt;20,"b) 10-20",IF(P986&lt;40,"c) 20-40",IF(P986&lt;80,"d) 40-80","e) 80+"))))</f>
        <v>c) 20-40</v>
      </c>
      <c r="AD986" s="31" t="n">
        <f aca="false">Summary!$C$5+SUM(X$2:X986)</f>
        <v>22882.68</v>
      </c>
      <c r="AE986" s="31" t="n">
        <f aca="false">MAX(AE985,AD986)</f>
        <v>22915</v>
      </c>
      <c r="AF986" s="31" t="n">
        <f aca="false">AE986-AD986</f>
        <v>32.3199999999997</v>
      </c>
      <c r="AG986" s="30" t="n">
        <f aca="false">IFERROR(AF986/AE986,0)</f>
        <v>0.00141042984944358</v>
      </c>
    </row>
    <row r="987" customFormat="false" ht="15" hidden="false" customHeight="false" outlineLevel="0" collapsed="false">
      <c r="A987" s="29" t="n">
        <v>986</v>
      </c>
      <c r="B987" s="44" t="n">
        <v>46063.7131944444</v>
      </c>
      <c r="C987" s="44" t="n">
        <v>46063.7174537037</v>
      </c>
      <c r="D987" s="43" t="n">
        <f aca="false">INT(C987)</f>
        <v>46063</v>
      </c>
      <c r="E987" s="43" t="n">
        <f aca="false">D987-WEEKDAY(D987,3)</f>
        <v>46062</v>
      </c>
      <c r="F987" s="29" t="s">
        <v>190</v>
      </c>
      <c r="G987" s="29" t="n">
        <v>2026</v>
      </c>
      <c r="H987" s="29" t="s">
        <v>248</v>
      </c>
      <c r="I987" s="29" t="n">
        <v>17</v>
      </c>
      <c r="J987" s="29" t="s">
        <v>246</v>
      </c>
      <c r="K987" s="29" t="s">
        <v>247</v>
      </c>
      <c r="L987" s="29" t="n">
        <v>0.04</v>
      </c>
      <c r="M987" s="32" t="n">
        <v>25351.06</v>
      </c>
      <c r="N987" s="32" t="n">
        <v>25330.41</v>
      </c>
      <c r="O987" s="32" t="n">
        <v>25401.65</v>
      </c>
      <c r="P987" s="45" t="n">
        <f aca="false">ABS(M987-N987)</f>
        <v>20.6500000000015</v>
      </c>
      <c r="Q987" s="45" t="n">
        <f aca="false">IF(O987="","",ABS(O987-M987))</f>
        <v>50.5900000000001</v>
      </c>
      <c r="R987" s="31" t="n">
        <f aca="false">P987*L987*Summary!$C$6</f>
        <v>82.6000000000058</v>
      </c>
      <c r="S987" s="32" t="n">
        <v>25329.96</v>
      </c>
      <c r="T987" s="29" t="s">
        <v>249</v>
      </c>
      <c r="U987" s="45" t="n">
        <f aca="false">IF(J987="BUY",S987-M987,M987-S987)</f>
        <v>-21.1000000000022</v>
      </c>
      <c r="V987" s="46" t="n">
        <v>0</v>
      </c>
      <c r="W987" s="46" t="n">
        <v>0</v>
      </c>
      <c r="X987" s="46" t="n">
        <v>-84.4</v>
      </c>
      <c r="Y987" s="33" t="n">
        <f aca="false">IFERROR(X987/R987,0)</f>
        <v>-1.02179176755441</v>
      </c>
      <c r="Z987" s="29" t="str">
        <f aca="false">IF(X987&gt;0,"Win",IF(X987&lt;0,"Loss","Flat"))</f>
        <v>Loss</v>
      </c>
      <c r="AA987" s="29" t="n">
        <f aca="false">ROUND((C987-B987)*1440,1)</f>
        <v>6.1</v>
      </c>
      <c r="AB987" s="29" t="str">
        <f aca="false">IF(AA987&lt;1,"a) &lt;1 min",IF(AA987&lt;10,"b) 1-10 min",IF(AA987&lt;60,"c) 10-60 min",IF(AA987&lt;240,"d) 1-4 h","e) 4 h+"))))</f>
        <v>b) 1-10 min</v>
      </c>
      <c r="AC987" s="29" t="str">
        <f aca="false">IF(P987&lt;10,"a) &lt;10",IF(P987&lt;20,"b) 10-20",IF(P987&lt;40,"c) 20-40",IF(P987&lt;80,"d) 40-80","e) 80+"))))</f>
        <v>c) 20-40</v>
      </c>
      <c r="AD987" s="31" t="n">
        <f aca="false">Summary!$C$5+SUM(X$2:X987)</f>
        <v>22798.28</v>
      </c>
      <c r="AE987" s="31" t="n">
        <f aca="false">MAX(AE986,AD987)</f>
        <v>22915</v>
      </c>
      <c r="AF987" s="31" t="n">
        <f aca="false">AE987-AD987</f>
        <v>116.720000000001</v>
      </c>
      <c r="AG987" s="30" t="n">
        <f aca="false">IFERROR(AF987/AE987,0)</f>
        <v>0.00509360680776789</v>
      </c>
    </row>
    <row r="988" customFormat="false" ht="15" hidden="false" customHeight="false" outlineLevel="0" collapsed="false">
      <c r="A988" s="29" t="n">
        <v>987</v>
      </c>
      <c r="B988" s="44" t="n">
        <v>46064.5006944445</v>
      </c>
      <c r="C988" s="44" t="n">
        <v>46064.5009143519</v>
      </c>
      <c r="D988" s="43" t="n">
        <f aca="false">INT(C988)</f>
        <v>46064</v>
      </c>
      <c r="E988" s="43" t="n">
        <f aca="false">D988-WEEKDAY(D988,3)</f>
        <v>46062</v>
      </c>
      <c r="F988" s="29" t="s">
        <v>190</v>
      </c>
      <c r="G988" s="29" t="n">
        <v>2026</v>
      </c>
      <c r="H988" s="29" t="s">
        <v>252</v>
      </c>
      <c r="I988" s="29" t="n">
        <v>12</v>
      </c>
      <c r="J988" s="29" t="s">
        <v>250</v>
      </c>
      <c r="K988" s="29" t="s">
        <v>251</v>
      </c>
      <c r="L988" s="29" t="n">
        <v>0.04</v>
      </c>
      <c r="M988" s="32" t="n">
        <v>25106.5</v>
      </c>
      <c r="N988" s="32" t="n">
        <v>25117.38</v>
      </c>
      <c r="O988" s="32" t="n">
        <v>25079.85</v>
      </c>
      <c r="P988" s="45" t="n">
        <f aca="false">ABS(M988-N988)</f>
        <v>10.880000000001</v>
      </c>
      <c r="Q988" s="45" t="n">
        <f aca="false">IF(O988="","",ABS(O988-M988))</f>
        <v>26.6500000000015</v>
      </c>
      <c r="R988" s="31" t="n">
        <f aca="false">P988*L988*Summary!$C$6</f>
        <v>43.5200000000041</v>
      </c>
      <c r="S988" s="32" t="n">
        <v>25077.34</v>
      </c>
      <c r="T988" s="29" t="s">
        <v>227</v>
      </c>
      <c r="U988" s="45" t="n">
        <f aca="false">IF(J988="BUY",S988-M988,M988-S988)</f>
        <v>29.1599999999999</v>
      </c>
      <c r="V988" s="46" t="n">
        <v>0</v>
      </c>
      <c r="W988" s="46" t="n">
        <v>0</v>
      </c>
      <c r="X988" s="46" t="n">
        <v>116.64</v>
      </c>
      <c r="Y988" s="33" t="n">
        <f aca="false">IFERROR(X988/R988,0)</f>
        <v>2.68014705882328</v>
      </c>
      <c r="Z988" s="29" t="str">
        <f aca="false">IF(X988&gt;0,"Win",IF(X988&lt;0,"Loss","Flat"))</f>
        <v>Win</v>
      </c>
      <c r="AA988" s="29" t="n">
        <f aca="false">ROUND((C988-B988)*1440,1)</f>
        <v>0.3</v>
      </c>
      <c r="AB988" s="29" t="str">
        <f aca="false">IF(AA988&lt;1,"a) &lt;1 min",IF(AA988&lt;10,"b) 1-10 min",IF(AA988&lt;60,"c) 10-60 min",IF(AA988&lt;240,"d) 1-4 h","e) 4 h+"))))</f>
        <v>a) &lt;1 min</v>
      </c>
      <c r="AC988" s="29" t="str">
        <f aca="false">IF(P988&lt;10,"a) &lt;10",IF(P988&lt;20,"b) 10-20",IF(P988&lt;40,"c) 20-40",IF(P988&lt;80,"d) 40-80","e) 80+"))))</f>
        <v>b) 10-20</v>
      </c>
      <c r="AD988" s="31" t="n">
        <f aca="false">Summary!$C$5+SUM(X$2:X988)</f>
        <v>22914.92</v>
      </c>
      <c r="AE988" s="31" t="n">
        <f aca="false">MAX(AE987,AD988)</f>
        <v>22915</v>
      </c>
      <c r="AF988" s="31" t="n">
        <f aca="false">AE988-AD988</f>
        <v>0.0800000000017462</v>
      </c>
      <c r="AG988" s="30" t="n">
        <f aca="false">IFERROR(AF988/AE988,0)</f>
        <v>3.49116299374847E-006</v>
      </c>
    </row>
    <row r="989" customFormat="false" ht="15" hidden="false" customHeight="false" outlineLevel="0" collapsed="false">
      <c r="A989" s="29" t="n">
        <v>988</v>
      </c>
      <c r="B989" s="44" t="n">
        <v>46064.6659722222</v>
      </c>
      <c r="C989" s="44" t="n">
        <v>46064.6671875</v>
      </c>
      <c r="D989" s="43" t="n">
        <f aca="false">INT(C989)</f>
        <v>46064</v>
      </c>
      <c r="E989" s="43" t="n">
        <f aca="false">D989-WEEKDAY(D989,3)</f>
        <v>46062</v>
      </c>
      <c r="F989" s="29" t="s">
        <v>190</v>
      </c>
      <c r="G989" s="29" t="n">
        <v>2026</v>
      </c>
      <c r="H989" s="29" t="s">
        <v>252</v>
      </c>
      <c r="I989" s="29" t="n">
        <v>15</v>
      </c>
      <c r="J989" s="29" t="s">
        <v>246</v>
      </c>
      <c r="K989" s="29" t="s">
        <v>247</v>
      </c>
      <c r="L989" s="29" t="n">
        <v>0.04</v>
      </c>
      <c r="M989" s="32" t="n">
        <v>25363.38</v>
      </c>
      <c r="N989" s="32" t="n">
        <v>25348.56</v>
      </c>
      <c r="O989" s="32" t="n">
        <v>25399.68</v>
      </c>
      <c r="P989" s="45" t="n">
        <f aca="false">ABS(M989-N989)</f>
        <v>14.8199999999997</v>
      </c>
      <c r="Q989" s="45" t="n">
        <f aca="false">IF(O989="","",ABS(O989-M989))</f>
        <v>36.2999999999993</v>
      </c>
      <c r="R989" s="31" t="n">
        <f aca="false">P989*L989*Summary!$C$6</f>
        <v>59.2799999999988</v>
      </c>
      <c r="S989" s="32" t="n">
        <v>25348.37</v>
      </c>
      <c r="T989" s="29" t="s">
        <v>249</v>
      </c>
      <c r="U989" s="45" t="n">
        <f aca="false">IF(J989="BUY",S989-M989,M989-S989)</f>
        <v>-15.010000000002</v>
      </c>
      <c r="V989" s="46" t="n">
        <v>0</v>
      </c>
      <c r="W989" s="46" t="n">
        <v>0</v>
      </c>
      <c r="X989" s="46" t="n">
        <v>-60.04</v>
      </c>
      <c r="Y989" s="33" t="n">
        <f aca="false">IFERROR(X989/R989,0)</f>
        <v>-1.01282051282053</v>
      </c>
      <c r="Z989" s="29" t="str">
        <f aca="false">IF(X989&gt;0,"Win",IF(X989&lt;0,"Loss","Flat"))</f>
        <v>Loss</v>
      </c>
      <c r="AA989" s="29" t="n">
        <f aca="false">ROUND((C989-B989)*1440,1)</f>
        <v>1.8</v>
      </c>
      <c r="AB989" s="29" t="str">
        <f aca="false">IF(AA989&lt;1,"a) &lt;1 min",IF(AA989&lt;10,"b) 1-10 min",IF(AA989&lt;60,"c) 10-60 min",IF(AA989&lt;240,"d) 1-4 h","e) 4 h+"))))</f>
        <v>b) 1-10 min</v>
      </c>
      <c r="AC989" s="29" t="str">
        <f aca="false">IF(P989&lt;10,"a) &lt;10",IF(P989&lt;20,"b) 10-20",IF(P989&lt;40,"c) 20-40",IF(P989&lt;80,"d) 40-80","e) 80+"))))</f>
        <v>b) 10-20</v>
      </c>
      <c r="AD989" s="31" t="n">
        <f aca="false">Summary!$C$5+SUM(X$2:X989)</f>
        <v>22854.88</v>
      </c>
      <c r="AE989" s="31" t="n">
        <f aca="false">MAX(AE988,AD989)</f>
        <v>22915</v>
      </c>
      <c r="AF989" s="31" t="n">
        <f aca="false">AE989-AD989</f>
        <v>60.1200000000026</v>
      </c>
      <c r="AG989" s="30" t="n">
        <f aca="false">IFERROR(AF989/AE989,0)</f>
        <v>0.00262360898974482</v>
      </c>
    </row>
    <row r="990" customFormat="false" ht="15" hidden="false" customHeight="false" outlineLevel="0" collapsed="false">
      <c r="A990" s="29" t="n">
        <v>989</v>
      </c>
      <c r="B990" s="44" t="n">
        <v>46065.7465277778</v>
      </c>
      <c r="C990" s="44" t="n">
        <v>46065.7539236111</v>
      </c>
      <c r="D990" s="43" t="n">
        <f aca="false">INT(C990)</f>
        <v>46065</v>
      </c>
      <c r="E990" s="43" t="n">
        <f aca="false">D990-WEEKDAY(D990,3)</f>
        <v>46062</v>
      </c>
      <c r="F990" s="29" t="s">
        <v>190</v>
      </c>
      <c r="G990" s="29" t="n">
        <v>2026</v>
      </c>
      <c r="H990" s="29" t="s">
        <v>253</v>
      </c>
      <c r="I990" s="29" t="n">
        <v>17</v>
      </c>
      <c r="J990" s="29" t="s">
        <v>250</v>
      </c>
      <c r="K990" s="29" t="s">
        <v>251</v>
      </c>
      <c r="L990" s="29" t="n">
        <v>0.04</v>
      </c>
      <c r="M990" s="32" t="n">
        <v>24973.81</v>
      </c>
      <c r="N990" s="32" t="n">
        <v>25000.06</v>
      </c>
      <c r="O990" s="32" t="n">
        <v>24909.5</v>
      </c>
      <c r="P990" s="45" t="n">
        <f aca="false">ABS(M990-N990)</f>
        <v>26.25</v>
      </c>
      <c r="Q990" s="45" t="n">
        <f aca="false">IF(O990="","",ABS(O990-M990))</f>
        <v>64.3100000000013</v>
      </c>
      <c r="R990" s="31" t="n">
        <f aca="false">P990*L990*Summary!$C$6</f>
        <v>105</v>
      </c>
      <c r="S990" s="32" t="n">
        <v>24907.05</v>
      </c>
      <c r="T990" s="29" t="s">
        <v>227</v>
      </c>
      <c r="U990" s="45" t="n">
        <f aca="false">IF(J990="BUY",S990-M990,M990-S990)</f>
        <v>66.760000000002</v>
      </c>
      <c r="V990" s="46" t="n">
        <v>0</v>
      </c>
      <c r="W990" s="46" t="n">
        <v>0</v>
      </c>
      <c r="X990" s="46" t="n">
        <v>267.04</v>
      </c>
      <c r="Y990" s="33" t="n">
        <f aca="false">IFERROR(X990/R990,0)</f>
        <v>2.5432380952381</v>
      </c>
      <c r="Z990" s="29" t="str">
        <f aca="false">IF(X990&gt;0,"Win",IF(X990&lt;0,"Loss","Flat"))</f>
        <v>Win</v>
      </c>
      <c r="AA990" s="29" t="n">
        <f aca="false">ROUND((C990-B990)*1440,1)</f>
        <v>10.7</v>
      </c>
      <c r="AB990" s="29" t="str">
        <f aca="false">IF(AA990&lt;1,"a) &lt;1 min",IF(AA990&lt;10,"b) 1-10 min",IF(AA990&lt;60,"c) 10-60 min",IF(AA990&lt;240,"d) 1-4 h","e) 4 h+"))))</f>
        <v>c) 10-60 min</v>
      </c>
      <c r="AC990" s="29" t="str">
        <f aca="false">IF(P990&lt;10,"a) &lt;10",IF(P990&lt;20,"b) 10-20",IF(P990&lt;40,"c) 20-40",IF(P990&lt;80,"d) 40-80","e) 80+"))))</f>
        <v>c) 20-40</v>
      </c>
      <c r="AD990" s="31" t="n">
        <f aca="false">Summary!$C$5+SUM(X$2:X990)</f>
        <v>23121.92</v>
      </c>
      <c r="AE990" s="31" t="n">
        <f aca="false">MAX(AE989,AD990)</f>
        <v>23121.92</v>
      </c>
      <c r="AF990" s="31" t="n">
        <f aca="false">AE990-AD990</f>
        <v>0</v>
      </c>
      <c r="AG990" s="30" t="n">
        <f aca="false">IFERROR(AF990/AE990,0)</f>
        <v>0</v>
      </c>
    </row>
    <row r="991" customFormat="false" ht="15" hidden="false" customHeight="false" outlineLevel="0" collapsed="false">
      <c r="A991" s="29" t="n">
        <v>990</v>
      </c>
      <c r="B991" s="44" t="n">
        <v>46066.3104166667</v>
      </c>
      <c r="C991" s="44" t="n">
        <v>46066.314525463</v>
      </c>
      <c r="D991" s="43" t="n">
        <f aca="false">INT(C991)</f>
        <v>46066</v>
      </c>
      <c r="E991" s="43" t="n">
        <f aca="false">D991-WEEKDAY(D991,3)</f>
        <v>46062</v>
      </c>
      <c r="F991" s="29" t="s">
        <v>190</v>
      </c>
      <c r="G991" s="29" t="n">
        <v>2026</v>
      </c>
      <c r="H991" s="29" t="s">
        <v>254</v>
      </c>
      <c r="I991" s="29" t="n">
        <v>7</v>
      </c>
      <c r="J991" s="29" t="s">
        <v>250</v>
      </c>
      <c r="K991" s="29" t="s">
        <v>251</v>
      </c>
      <c r="L991" s="29" t="n">
        <v>0.04</v>
      </c>
      <c r="M991" s="32" t="n">
        <v>24639.7</v>
      </c>
      <c r="N991" s="32" t="n">
        <v>24652.14</v>
      </c>
      <c r="O991" s="32" t="n">
        <v>24609.22</v>
      </c>
      <c r="P991" s="45" t="n">
        <f aca="false">ABS(M991-N991)</f>
        <v>12.4399999999987</v>
      </c>
      <c r="Q991" s="45" t="n">
        <f aca="false">IF(O991="","",ABS(O991-M991))</f>
        <v>30.4799999999996</v>
      </c>
      <c r="R991" s="31" t="n">
        <f aca="false">P991*L991*Summary!$C$6</f>
        <v>49.7599999999948</v>
      </c>
      <c r="S991" s="32" t="n">
        <v>24640.15</v>
      </c>
      <c r="T991" s="29" t="s">
        <v>255</v>
      </c>
      <c r="U991" s="45" t="n">
        <f aca="false">IF(J991="BUY",S991-M991,M991-S991)</f>
        <v>-0.450000000000728</v>
      </c>
      <c r="V991" s="46" t="n">
        <v>0</v>
      </c>
      <c r="W991" s="46" t="n">
        <v>0</v>
      </c>
      <c r="X991" s="46" t="n">
        <v>-1.8</v>
      </c>
      <c r="Y991" s="33" t="n">
        <f aca="false">IFERROR(X991/R991,0)</f>
        <v>-0.0361736334405183</v>
      </c>
      <c r="Z991" s="29" t="str">
        <f aca="false">IF(X991&gt;0,"Win",IF(X991&lt;0,"Loss","Flat"))</f>
        <v>Loss</v>
      </c>
      <c r="AA991" s="29" t="n">
        <f aca="false">ROUND((C991-B991)*1440,1)</f>
        <v>5.9</v>
      </c>
      <c r="AB991" s="29" t="str">
        <f aca="false">IF(AA991&lt;1,"a) &lt;1 min",IF(AA991&lt;10,"b) 1-10 min",IF(AA991&lt;60,"c) 10-60 min",IF(AA991&lt;240,"d) 1-4 h","e) 4 h+"))))</f>
        <v>b) 1-10 min</v>
      </c>
      <c r="AC991" s="29" t="str">
        <f aca="false">IF(P991&lt;10,"a) &lt;10",IF(P991&lt;20,"b) 10-20",IF(P991&lt;40,"c) 20-40",IF(P991&lt;80,"d) 40-80","e) 80+"))))</f>
        <v>b) 10-20</v>
      </c>
      <c r="AD991" s="31" t="n">
        <f aca="false">Summary!$C$5+SUM(X$2:X991)</f>
        <v>23120.12</v>
      </c>
      <c r="AE991" s="31" t="n">
        <f aca="false">MAX(AE990,AD991)</f>
        <v>23121.92</v>
      </c>
      <c r="AF991" s="31" t="n">
        <f aca="false">AE991-AD991</f>
        <v>1.79999999999563</v>
      </c>
      <c r="AG991" s="30" t="n">
        <f aca="false">IFERROR(AF991/AE991,0)</f>
        <v>7.78482063771363E-005</v>
      </c>
    </row>
    <row r="992" customFormat="false" ht="15" hidden="false" customHeight="false" outlineLevel="0" collapsed="false">
      <c r="A992" s="29" t="n">
        <v>991</v>
      </c>
      <c r="B992" s="44" t="n">
        <v>46070.1645833333</v>
      </c>
      <c r="C992" s="44" t="n">
        <v>46070.1757407407</v>
      </c>
      <c r="D992" s="43" t="n">
        <f aca="false">INT(C992)</f>
        <v>46070</v>
      </c>
      <c r="E992" s="43" t="n">
        <f aca="false">D992-WEEKDAY(D992,3)</f>
        <v>46069</v>
      </c>
      <c r="F992" s="29" t="s">
        <v>190</v>
      </c>
      <c r="G992" s="29" t="n">
        <v>2026</v>
      </c>
      <c r="H992" s="29" t="s">
        <v>248</v>
      </c>
      <c r="I992" s="29" t="n">
        <v>3</v>
      </c>
      <c r="J992" s="29" t="s">
        <v>250</v>
      </c>
      <c r="K992" s="29" t="s">
        <v>251</v>
      </c>
      <c r="L992" s="29" t="n">
        <v>0.04</v>
      </c>
      <c r="M992" s="32" t="n">
        <v>24599.9</v>
      </c>
      <c r="N992" s="32" t="n">
        <v>24621.32</v>
      </c>
      <c r="O992" s="32" t="n">
        <v>24547.53</v>
      </c>
      <c r="P992" s="45" t="n">
        <f aca="false">ABS(M992-N992)</f>
        <v>21.4199999999983</v>
      </c>
      <c r="Q992" s="45" t="n">
        <f aca="false">IF(O992="","",ABS(O992-M992))</f>
        <v>52.3700000000026</v>
      </c>
      <c r="R992" s="31" t="n">
        <f aca="false">P992*L992*Summary!$C$6</f>
        <v>85.679999999993</v>
      </c>
      <c r="S992" s="32" t="n">
        <v>24600.01</v>
      </c>
      <c r="T992" s="29" t="s">
        <v>255</v>
      </c>
      <c r="U992" s="45" t="n">
        <f aca="false">IF(J992="BUY",S992-M992,M992-S992)</f>
        <v>-0.109999999996944</v>
      </c>
      <c r="V992" s="46" t="n">
        <v>0</v>
      </c>
      <c r="W992" s="46" t="n">
        <v>0</v>
      </c>
      <c r="X992" s="46" t="n">
        <v>-0.44</v>
      </c>
      <c r="Y992" s="33" t="n">
        <f aca="false">IFERROR(X992/R992,0)</f>
        <v>-0.00513538748832908</v>
      </c>
      <c r="Z992" s="29" t="str">
        <f aca="false">IF(X992&gt;0,"Win",IF(X992&lt;0,"Loss","Flat"))</f>
        <v>Loss</v>
      </c>
      <c r="AA992" s="29" t="n">
        <f aca="false">ROUND((C992-B992)*1440,1)</f>
        <v>16.1</v>
      </c>
      <c r="AB992" s="29" t="str">
        <f aca="false">IF(AA992&lt;1,"a) &lt;1 min",IF(AA992&lt;10,"b) 1-10 min",IF(AA992&lt;60,"c) 10-60 min",IF(AA992&lt;240,"d) 1-4 h","e) 4 h+"))))</f>
        <v>c) 10-60 min</v>
      </c>
      <c r="AC992" s="29" t="str">
        <f aca="false">IF(P992&lt;10,"a) &lt;10",IF(P992&lt;20,"b) 10-20",IF(P992&lt;40,"c) 20-40",IF(P992&lt;80,"d) 40-80","e) 80+"))))</f>
        <v>c) 20-40</v>
      </c>
      <c r="AD992" s="31" t="n">
        <f aca="false">Summary!$C$5+SUM(X$2:X992)</f>
        <v>23119.68</v>
      </c>
      <c r="AE992" s="31" t="n">
        <f aca="false">MAX(AE991,AD992)</f>
        <v>23121.92</v>
      </c>
      <c r="AF992" s="31" t="n">
        <f aca="false">AE992-AD992</f>
        <v>2.23999999999796</v>
      </c>
      <c r="AG992" s="30" t="n">
        <f aca="false">IFERROR(AF992/AE992,0)</f>
        <v>9.68777679361386E-005</v>
      </c>
    </row>
    <row r="993" customFormat="false" ht="15" hidden="false" customHeight="false" outlineLevel="0" collapsed="false">
      <c r="A993" s="29" t="n">
        <v>992</v>
      </c>
      <c r="B993" s="44" t="n">
        <v>46071.4284722222</v>
      </c>
      <c r="C993" s="44" t="n">
        <v>46071.4315162037</v>
      </c>
      <c r="D993" s="43" t="n">
        <f aca="false">INT(C993)</f>
        <v>46071</v>
      </c>
      <c r="E993" s="43" t="n">
        <f aca="false">D993-WEEKDAY(D993,3)</f>
        <v>46069</v>
      </c>
      <c r="F993" s="29" t="s">
        <v>190</v>
      </c>
      <c r="G993" s="29" t="n">
        <v>2026</v>
      </c>
      <c r="H993" s="29" t="s">
        <v>252</v>
      </c>
      <c r="I993" s="29" t="n">
        <v>10</v>
      </c>
      <c r="J993" s="29" t="s">
        <v>246</v>
      </c>
      <c r="K993" s="29" t="s">
        <v>247</v>
      </c>
      <c r="L993" s="29" t="n">
        <v>0.04</v>
      </c>
      <c r="M993" s="32" t="n">
        <v>24839.09</v>
      </c>
      <c r="N993" s="32" t="n">
        <v>24823</v>
      </c>
      <c r="O993" s="32" t="n">
        <v>24878.51</v>
      </c>
      <c r="P993" s="45" t="n">
        <f aca="false">ABS(M993-N993)</f>
        <v>16.0900000000001</v>
      </c>
      <c r="Q993" s="45" t="n">
        <f aca="false">IF(O993="","",ABS(O993-M993))</f>
        <v>39.4199999999983</v>
      </c>
      <c r="R993" s="31" t="n">
        <f aca="false">P993*L993*Summary!$C$6</f>
        <v>64.3600000000006</v>
      </c>
      <c r="S993" s="32" t="n">
        <v>24822.77</v>
      </c>
      <c r="T993" s="29" t="s">
        <v>249</v>
      </c>
      <c r="U993" s="45" t="n">
        <f aca="false">IF(J993="BUY",S993-M993,M993-S993)</f>
        <v>-16.3199999999997</v>
      </c>
      <c r="V993" s="46" t="n">
        <v>0</v>
      </c>
      <c r="W993" s="46" t="n">
        <v>0</v>
      </c>
      <c r="X993" s="46" t="n">
        <v>-65.28</v>
      </c>
      <c r="Y993" s="33" t="n">
        <f aca="false">IFERROR(X993/R993,0)</f>
        <v>-1.01429459291484</v>
      </c>
      <c r="Z993" s="29" t="str">
        <f aca="false">IF(X993&gt;0,"Win",IF(X993&lt;0,"Loss","Flat"))</f>
        <v>Loss</v>
      </c>
      <c r="AA993" s="29" t="n">
        <f aca="false">ROUND((C993-B993)*1440,1)</f>
        <v>4.4</v>
      </c>
      <c r="AB993" s="29" t="str">
        <f aca="false">IF(AA993&lt;1,"a) &lt;1 min",IF(AA993&lt;10,"b) 1-10 min",IF(AA993&lt;60,"c) 10-60 min",IF(AA993&lt;240,"d) 1-4 h","e) 4 h+"))))</f>
        <v>b) 1-10 min</v>
      </c>
      <c r="AC993" s="29" t="str">
        <f aca="false">IF(P993&lt;10,"a) &lt;10",IF(P993&lt;20,"b) 10-20",IF(P993&lt;40,"c) 20-40",IF(P993&lt;80,"d) 40-80","e) 80+"))))</f>
        <v>b) 10-20</v>
      </c>
      <c r="AD993" s="31" t="n">
        <f aca="false">Summary!$C$5+SUM(X$2:X993)</f>
        <v>23054.4</v>
      </c>
      <c r="AE993" s="31" t="n">
        <f aca="false">MAX(AE992,AD993)</f>
        <v>23121.92</v>
      </c>
      <c r="AF993" s="31" t="n">
        <f aca="false">AE993-AD993</f>
        <v>67.5199999999968</v>
      </c>
      <c r="AG993" s="30" t="n">
        <f aca="false">IFERROR(AF993/AE993,0)</f>
        <v>0.00292017271922041</v>
      </c>
    </row>
    <row r="994" customFormat="false" ht="15" hidden="false" customHeight="false" outlineLevel="0" collapsed="false">
      <c r="A994" s="29" t="n">
        <v>993</v>
      </c>
      <c r="B994" s="44" t="n">
        <v>46073.6534722222</v>
      </c>
      <c r="C994" s="44" t="n">
        <v>46073.6661805556</v>
      </c>
      <c r="D994" s="43" t="n">
        <f aca="false">INT(C994)</f>
        <v>46073</v>
      </c>
      <c r="E994" s="43" t="n">
        <f aca="false">D994-WEEKDAY(D994,3)</f>
        <v>46069</v>
      </c>
      <c r="F994" s="29" t="s">
        <v>190</v>
      </c>
      <c r="G994" s="29" t="n">
        <v>2026</v>
      </c>
      <c r="H994" s="29" t="s">
        <v>254</v>
      </c>
      <c r="I994" s="29" t="n">
        <v>15</v>
      </c>
      <c r="J994" s="29" t="s">
        <v>250</v>
      </c>
      <c r="K994" s="29" t="s">
        <v>251</v>
      </c>
      <c r="L994" s="29" t="n">
        <v>0.04</v>
      </c>
      <c r="M994" s="32" t="n">
        <v>24678.82</v>
      </c>
      <c r="N994" s="32" t="n">
        <v>24702.37</v>
      </c>
      <c r="O994" s="32" t="n">
        <v>24621.13</v>
      </c>
      <c r="P994" s="45" t="n">
        <f aca="false">ABS(M994-N994)</f>
        <v>23.5499999999993</v>
      </c>
      <c r="Q994" s="45" t="n">
        <f aca="false">IF(O994="","",ABS(O994-M994))</f>
        <v>57.6899999999987</v>
      </c>
      <c r="R994" s="31" t="n">
        <f aca="false">P994*L994*Summary!$C$6</f>
        <v>94.1999999999971</v>
      </c>
      <c r="S994" s="32" t="n">
        <v>24702.91</v>
      </c>
      <c r="T994" s="29" t="s">
        <v>249</v>
      </c>
      <c r="U994" s="45" t="n">
        <f aca="false">IF(J994="BUY",S994-M994,M994-S994)</f>
        <v>-24.0900000000001</v>
      </c>
      <c r="V994" s="46" t="n">
        <v>0</v>
      </c>
      <c r="W994" s="46" t="n">
        <v>0</v>
      </c>
      <c r="X994" s="46" t="n">
        <v>-96.36</v>
      </c>
      <c r="Y994" s="33" t="n">
        <f aca="false">IFERROR(X994/R994,0)</f>
        <v>-1.02292993630576</v>
      </c>
      <c r="Z994" s="29" t="str">
        <f aca="false">IF(X994&gt;0,"Win",IF(X994&lt;0,"Loss","Flat"))</f>
        <v>Loss</v>
      </c>
      <c r="AA994" s="29" t="n">
        <f aca="false">ROUND((C994-B994)*1440,1)</f>
        <v>18.3</v>
      </c>
      <c r="AB994" s="29" t="str">
        <f aca="false">IF(AA994&lt;1,"a) &lt;1 min",IF(AA994&lt;10,"b) 1-10 min",IF(AA994&lt;60,"c) 10-60 min",IF(AA994&lt;240,"d) 1-4 h","e) 4 h+"))))</f>
        <v>c) 10-60 min</v>
      </c>
      <c r="AC994" s="29" t="str">
        <f aca="false">IF(P994&lt;10,"a) &lt;10",IF(P994&lt;20,"b) 10-20",IF(P994&lt;40,"c) 20-40",IF(P994&lt;80,"d) 40-80","e) 80+"))))</f>
        <v>c) 20-40</v>
      </c>
      <c r="AD994" s="31" t="n">
        <f aca="false">Summary!$C$5+SUM(X$2:X994)</f>
        <v>22958.04</v>
      </c>
      <c r="AE994" s="31" t="n">
        <f aca="false">MAX(AE993,AD994)</f>
        <v>23121.92</v>
      </c>
      <c r="AF994" s="31" t="n">
        <f aca="false">AE994-AD994</f>
        <v>163.879999999997</v>
      </c>
      <c r="AG994" s="30" t="n">
        <f aca="false">IFERROR(AF994/AE994,0)</f>
        <v>0.00708764670061991</v>
      </c>
    </row>
    <row r="995" customFormat="false" ht="15" hidden="false" customHeight="false" outlineLevel="0" collapsed="false">
      <c r="A995" s="29" t="n">
        <v>994</v>
      </c>
      <c r="B995" s="44" t="n">
        <v>46073.7097222222</v>
      </c>
      <c r="C995" s="44" t="n">
        <v>46073.7102777778</v>
      </c>
      <c r="D995" s="43" t="n">
        <f aca="false">INT(C995)</f>
        <v>46073</v>
      </c>
      <c r="E995" s="43" t="n">
        <f aca="false">D995-WEEKDAY(D995,3)</f>
        <v>46069</v>
      </c>
      <c r="F995" s="29" t="s">
        <v>190</v>
      </c>
      <c r="G995" s="29" t="n">
        <v>2026</v>
      </c>
      <c r="H995" s="29" t="s">
        <v>254</v>
      </c>
      <c r="I995" s="29" t="n">
        <v>17</v>
      </c>
      <c r="J995" s="29" t="s">
        <v>246</v>
      </c>
      <c r="K995" s="29" t="s">
        <v>247</v>
      </c>
      <c r="L995" s="29" t="n">
        <v>0.04</v>
      </c>
      <c r="M995" s="32" t="n">
        <v>25003.97</v>
      </c>
      <c r="N995" s="32" t="n">
        <v>24944.59</v>
      </c>
      <c r="O995" s="32" t="n">
        <v>25142.56</v>
      </c>
      <c r="P995" s="45" t="n">
        <f aca="false">ABS(M995-N995)</f>
        <v>59.380000000001</v>
      </c>
      <c r="Q995" s="45" t="n">
        <f aca="false">IF(O995="","",ABS(O995-M995))</f>
        <v>138.59</v>
      </c>
      <c r="R995" s="31" t="n">
        <f aca="false">P995*L995*Summary!$C$6</f>
        <v>237.520000000004</v>
      </c>
      <c r="S995" s="32" t="n">
        <v>24942.72</v>
      </c>
      <c r="T995" s="29" t="s">
        <v>249</v>
      </c>
      <c r="U995" s="45" t="n">
        <f aca="false">IF(J995="BUY",S995-M995,M995-S995)</f>
        <v>-61.25</v>
      </c>
      <c r="V995" s="46" t="n">
        <v>0</v>
      </c>
      <c r="W995" s="46" t="n">
        <v>0</v>
      </c>
      <c r="X995" s="46" t="n">
        <v>-245</v>
      </c>
      <c r="Y995" s="33" t="n">
        <f aca="false">IFERROR(X995/R995,0)</f>
        <v>-1.03149208487705</v>
      </c>
      <c r="Z995" s="29" t="str">
        <f aca="false">IF(X995&gt;0,"Win",IF(X995&lt;0,"Loss","Flat"))</f>
        <v>Loss</v>
      </c>
      <c r="AA995" s="29" t="n">
        <f aca="false">ROUND((C995-B995)*1440,1)</f>
        <v>0.8</v>
      </c>
      <c r="AB995" s="29" t="str">
        <f aca="false">IF(AA995&lt;1,"a) &lt;1 min",IF(AA995&lt;10,"b) 1-10 min",IF(AA995&lt;60,"c) 10-60 min",IF(AA995&lt;240,"d) 1-4 h","e) 4 h+"))))</f>
        <v>a) &lt;1 min</v>
      </c>
      <c r="AC995" s="29" t="str">
        <f aca="false">IF(P995&lt;10,"a) &lt;10",IF(P995&lt;20,"b) 10-20",IF(P995&lt;40,"c) 20-40",IF(P995&lt;80,"d) 40-80","e) 80+"))))</f>
        <v>d) 40-80</v>
      </c>
      <c r="AD995" s="31" t="n">
        <f aca="false">Summary!$C$5+SUM(X$2:X995)</f>
        <v>22713.04</v>
      </c>
      <c r="AE995" s="31" t="n">
        <f aca="false">MAX(AE994,AD995)</f>
        <v>23121.92</v>
      </c>
      <c r="AF995" s="31" t="n">
        <f aca="false">AE995-AD995</f>
        <v>408.879999999997</v>
      </c>
      <c r="AG995" s="30" t="n">
        <f aca="false">IFERROR(AF995/AE995,0)</f>
        <v>0.0176836525686447</v>
      </c>
    </row>
    <row r="996" customFormat="false" ht="15" hidden="false" customHeight="false" outlineLevel="0" collapsed="false">
      <c r="A996" s="29" t="n">
        <v>995</v>
      </c>
      <c r="B996" s="44" t="n">
        <v>46076.7590277778</v>
      </c>
      <c r="C996" s="44" t="n">
        <v>46076.7622106482</v>
      </c>
      <c r="D996" s="43" t="n">
        <f aca="false">INT(C996)</f>
        <v>46076</v>
      </c>
      <c r="E996" s="43" t="n">
        <f aca="false">D996-WEEKDAY(D996,3)</f>
        <v>46076</v>
      </c>
      <c r="F996" s="29" t="s">
        <v>190</v>
      </c>
      <c r="G996" s="29" t="n">
        <v>2026</v>
      </c>
      <c r="H996" s="29" t="s">
        <v>245</v>
      </c>
      <c r="I996" s="29" t="n">
        <v>18</v>
      </c>
      <c r="J996" s="29" t="s">
        <v>250</v>
      </c>
      <c r="K996" s="29" t="s">
        <v>251</v>
      </c>
      <c r="L996" s="29" t="n">
        <v>0.04</v>
      </c>
      <c r="M996" s="32" t="n">
        <v>24622.5</v>
      </c>
      <c r="N996" s="32" t="n">
        <v>24639.88</v>
      </c>
      <c r="O996" s="32" t="n">
        <v>24573.4</v>
      </c>
      <c r="P996" s="45" t="n">
        <f aca="false">ABS(M996-N996)</f>
        <v>17.380000000001</v>
      </c>
      <c r="Q996" s="45" t="n">
        <f aca="false">IF(O996="","",ABS(O996-M996))</f>
        <v>49.0999999999985</v>
      </c>
      <c r="R996" s="31" t="n">
        <f aca="false">P996*L996*Summary!$C$6</f>
        <v>69.5200000000041</v>
      </c>
      <c r="S996" s="32" t="n">
        <v>24639.98</v>
      </c>
      <c r="T996" s="29" t="s">
        <v>249</v>
      </c>
      <c r="U996" s="45" t="n">
        <f aca="false">IF(J996="BUY",S996-M996,M996-S996)</f>
        <v>-17.4799999999996</v>
      </c>
      <c r="V996" s="46" t="n">
        <v>0</v>
      </c>
      <c r="W996" s="46" t="n">
        <v>0</v>
      </c>
      <c r="X996" s="46" t="n">
        <v>-69.92</v>
      </c>
      <c r="Y996" s="33" t="n">
        <f aca="false">IFERROR(X996/R996,0)</f>
        <v>-1.0057537399309</v>
      </c>
      <c r="Z996" s="29" t="str">
        <f aca="false">IF(X996&gt;0,"Win",IF(X996&lt;0,"Loss","Flat"))</f>
        <v>Loss</v>
      </c>
      <c r="AA996" s="29" t="n">
        <f aca="false">ROUND((C996-B996)*1440,1)</f>
        <v>4.6</v>
      </c>
      <c r="AB996" s="29" t="str">
        <f aca="false">IF(AA996&lt;1,"a) &lt;1 min",IF(AA996&lt;10,"b) 1-10 min",IF(AA996&lt;60,"c) 10-60 min",IF(AA996&lt;240,"d) 1-4 h","e) 4 h+"))))</f>
        <v>b) 1-10 min</v>
      </c>
      <c r="AC996" s="29" t="str">
        <f aca="false">IF(P996&lt;10,"a) &lt;10",IF(P996&lt;20,"b) 10-20",IF(P996&lt;40,"c) 20-40",IF(P996&lt;80,"d) 40-80","e) 80+"))))</f>
        <v>b) 10-20</v>
      </c>
      <c r="AD996" s="31" t="n">
        <f aca="false">Summary!$C$5+SUM(X$2:X996)</f>
        <v>22643.12</v>
      </c>
      <c r="AE996" s="31" t="n">
        <f aca="false">MAX(AE995,AD996)</f>
        <v>23121.92</v>
      </c>
      <c r="AF996" s="31" t="n">
        <f aca="false">AE996-AD996</f>
        <v>478.799999999996</v>
      </c>
      <c r="AG996" s="30" t="n">
        <f aca="false">IFERROR(AF996/AE996,0)</f>
        <v>0.0207076228963683</v>
      </c>
    </row>
    <row r="997" customFormat="false" ht="15" hidden="false" customHeight="false" outlineLevel="0" collapsed="false">
      <c r="A997" s="29" t="n">
        <v>996</v>
      </c>
      <c r="B997" s="44" t="n">
        <v>46077.7993055556</v>
      </c>
      <c r="C997" s="44" t="n">
        <v>46077.8016087963</v>
      </c>
      <c r="D997" s="43" t="n">
        <f aca="false">INT(C997)</f>
        <v>46077</v>
      </c>
      <c r="E997" s="43" t="n">
        <f aca="false">D997-WEEKDAY(D997,3)</f>
        <v>46076</v>
      </c>
      <c r="F997" s="29" t="s">
        <v>190</v>
      </c>
      <c r="G997" s="29" t="n">
        <v>2026</v>
      </c>
      <c r="H997" s="29" t="s">
        <v>248</v>
      </c>
      <c r="I997" s="29" t="n">
        <v>19</v>
      </c>
      <c r="J997" s="29" t="s">
        <v>246</v>
      </c>
      <c r="K997" s="29" t="s">
        <v>247</v>
      </c>
      <c r="L997" s="29" t="n">
        <v>0.04</v>
      </c>
      <c r="M997" s="32" t="n">
        <v>25007.98</v>
      </c>
      <c r="N997" s="32" t="n">
        <v>24996.49</v>
      </c>
      <c r="O997" s="32" t="n">
        <v>25036.13</v>
      </c>
      <c r="P997" s="45" t="n">
        <f aca="false">ABS(M997-N997)</f>
        <v>11.489999999998</v>
      </c>
      <c r="Q997" s="45" t="n">
        <f aca="false">IF(O997="","",ABS(O997-M997))</f>
        <v>28.1500000000015</v>
      </c>
      <c r="R997" s="31" t="n">
        <f aca="false">P997*L997*Summary!$C$6</f>
        <v>45.9599999999919</v>
      </c>
      <c r="S997" s="32" t="n">
        <v>25007.92</v>
      </c>
      <c r="T997" s="29" t="s">
        <v>255</v>
      </c>
      <c r="U997" s="45" t="n">
        <f aca="false">IF(J997="BUY",S997-M997,M997-S997)</f>
        <v>-0.0600000000013097</v>
      </c>
      <c r="V997" s="46" t="n">
        <v>0</v>
      </c>
      <c r="W997" s="46" t="n">
        <v>0</v>
      </c>
      <c r="X997" s="46" t="n">
        <v>-0.24</v>
      </c>
      <c r="Y997" s="33" t="n">
        <f aca="false">IFERROR(X997/R997,0)</f>
        <v>-0.00522193211488343</v>
      </c>
      <c r="Z997" s="29" t="str">
        <f aca="false">IF(X997&gt;0,"Win",IF(X997&lt;0,"Loss","Flat"))</f>
        <v>Loss</v>
      </c>
      <c r="AA997" s="29" t="n">
        <f aca="false">ROUND((C997-B997)*1440,1)</f>
        <v>3.3</v>
      </c>
      <c r="AB997" s="29" t="str">
        <f aca="false">IF(AA997&lt;1,"a) &lt;1 min",IF(AA997&lt;10,"b) 1-10 min",IF(AA997&lt;60,"c) 10-60 min",IF(AA997&lt;240,"d) 1-4 h","e) 4 h+"))))</f>
        <v>b) 1-10 min</v>
      </c>
      <c r="AC997" s="29" t="str">
        <f aca="false">IF(P997&lt;10,"a) &lt;10",IF(P997&lt;20,"b) 10-20",IF(P997&lt;40,"c) 20-40",IF(P997&lt;80,"d) 40-80","e) 80+"))))</f>
        <v>b) 10-20</v>
      </c>
      <c r="AD997" s="31" t="n">
        <f aca="false">Summary!$C$5+SUM(X$2:X997)</f>
        <v>22642.88</v>
      </c>
      <c r="AE997" s="31" t="n">
        <f aca="false">MAX(AE996,AD997)</f>
        <v>23121.92</v>
      </c>
      <c r="AF997" s="31" t="n">
        <f aca="false">AE997-AD997</f>
        <v>479.040000000001</v>
      </c>
      <c r="AG997" s="30" t="n">
        <f aca="false">IFERROR(AF997/AE997,0)</f>
        <v>0.0207180026572188</v>
      </c>
    </row>
    <row r="998" customFormat="false" ht="15" hidden="false" customHeight="false" outlineLevel="0" collapsed="false">
      <c r="A998" s="29" t="n">
        <v>997</v>
      </c>
      <c r="B998" s="44" t="n">
        <v>46078.1201388889</v>
      </c>
      <c r="C998" s="44" t="n">
        <v>46078.1206018519</v>
      </c>
      <c r="D998" s="43" t="n">
        <f aca="false">INT(C998)</f>
        <v>46078</v>
      </c>
      <c r="E998" s="43" t="n">
        <f aca="false">D998-WEEKDAY(D998,3)</f>
        <v>46076</v>
      </c>
      <c r="F998" s="29" t="s">
        <v>190</v>
      </c>
      <c r="G998" s="29" t="n">
        <v>2026</v>
      </c>
      <c r="H998" s="29" t="s">
        <v>252</v>
      </c>
      <c r="I998" s="29" t="n">
        <v>2</v>
      </c>
      <c r="J998" s="29" t="s">
        <v>246</v>
      </c>
      <c r="K998" s="29" t="s">
        <v>247</v>
      </c>
      <c r="L998" s="29" t="n">
        <v>0.04</v>
      </c>
      <c r="M998" s="32" t="n">
        <v>25022.6</v>
      </c>
      <c r="N998" s="32" t="n">
        <v>25018.17</v>
      </c>
      <c r="O998" s="32" t="n">
        <v>25033.46</v>
      </c>
      <c r="P998" s="45" t="n">
        <f aca="false">ABS(M998-N998)</f>
        <v>4.43000000000029</v>
      </c>
      <c r="Q998" s="45" t="n">
        <f aca="false">IF(O998="","",ABS(O998-M998))</f>
        <v>10.8600000000006</v>
      </c>
      <c r="R998" s="31" t="n">
        <f aca="false">P998*L998*Summary!$C$6</f>
        <v>17.7200000000012</v>
      </c>
      <c r="S998" s="32" t="n">
        <v>25018.1</v>
      </c>
      <c r="T998" s="29" t="s">
        <v>249</v>
      </c>
      <c r="U998" s="45" t="n">
        <f aca="false">IF(J998="BUY",S998-M998,M998-S998)</f>
        <v>-4.5</v>
      </c>
      <c r="V998" s="46" t="n">
        <v>0</v>
      </c>
      <c r="W998" s="46" t="n">
        <v>0</v>
      </c>
      <c r="X998" s="46" t="n">
        <v>-18</v>
      </c>
      <c r="Y998" s="33" t="n">
        <f aca="false">IFERROR(X998/R998,0)</f>
        <v>-1.01580135440174</v>
      </c>
      <c r="Z998" s="29" t="str">
        <f aca="false">IF(X998&gt;0,"Win",IF(X998&lt;0,"Loss","Flat"))</f>
        <v>Loss</v>
      </c>
      <c r="AA998" s="29" t="n">
        <f aca="false">ROUND((C998-B998)*1440,1)</f>
        <v>0.7</v>
      </c>
      <c r="AB998" s="29" t="str">
        <f aca="false">IF(AA998&lt;1,"a) &lt;1 min",IF(AA998&lt;10,"b) 1-10 min",IF(AA998&lt;60,"c) 10-60 min",IF(AA998&lt;240,"d) 1-4 h","e) 4 h+"))))</f>
        <v>a) &lt;1 min</v>
      </c>
      <c r="AC998" s="29" t="str">
        <f aca="false">IF(P998&lt;10,"a) &lt;10",IF(P998&lt;20,"b) 10-20",IF(P998&lt;40,"c) 20-40",IF(P998&lt;80,"d) 40-80","e) 80+"))))</f>
        <v>a) &lt;10</v>
      </c>
      <c r="AD998" s="31" t="n">
        <f aca="false">Summary!$C$5+SUM(X$2:X998)</f>
        <v>22624.88</v>
      </c>
      <c r="AE998" s="31" t="n">
        <f aca="false">MAX(AE997,AD998)</f>
        <v>23121.92</v>
      </c>
      <c r="AF998" s="31" t="n">
        <f aca="false">AE998-AD998</f>
        <v>497.040000000001</v>
      </c>
      <c r="AG998" s="30" t="n">
        <f aca="false">IFERROR(AF998/AE998,0)</f>
        <v>0.0214964847209921</v>
      </c>
    </row>
    <row r="999" customFormat="false" ht="15" hidden="false" customHeight="false" outlineLevel="0" collapsed="false">
      <c r="A999" s="29" t="n">
        <v>998</v>
      </c>
      <c r="B999" s="44" t="n">
        <v>46079.0423611111</v>
      </c>
      <c r="C999" s="44" t="n">
        <v>46079.0431828704</v>
      </c>
      <c r="D999" s="43" t="n">
        <f aca="false">INT(C999)</f>
        <v>46079</v>
      </c>
      <c r="E999" s="43" t="n">
        <f aca="false">D999-WEEKDAY(D999,3)</f>
        <v>46076</v>
      </c>
      <c r="F999" s="29" t="s">
        <v>190</v>
      </c>
      <c r="G999" s="29" t="n">
        <v>2026</v>
      </c>
      <c r="H999" s="29" t="s">
        <v>253</v>
      </c>
      <c r="I999" s="29" t="n">
        <v>1</v>
      </c>
      <c r="J999" s="29" t="s">
        <v>246</v>
      </c>
      <c r="K999" s="29" t="s">
        <v>247</v>
      </c>
      <c r="L999" s="29" t="n">
        <v>0.04</v>
      </c>
      <c r="M999" s="32" t="n">
        <v>25362.01</v>
      </c>
      <c r="N999" s="32" t="n">
        <v>25349.09</v>
      </c>
      <c r="O999" s="32" t="n">
        <v>25392.79</v>
      </c>
      <c r="P999" s="45" t="n">
        <f aca="false">ABS(M999-N999)</f>
        <v>12.9199999999983</v>
      </c>
      <c r="Q999" s="45" t="n">
        <f aca="false">IF(O999="","",ABS(O999-M999))</f>
        <v>30.7800000000025</v>
      </c>
      <c r="R999" s="31" t="n">
        <f aca="false">P999*L999*Summary!$C$6</f>
        <v>51.679999999993</v>
      </c>
      <c r="S999" s="32" t="n">
        <v>25348.76</v>
      </c>
      <c r="T999" s="29" t="s">
        <v>249</v>
      </c>
      <c r="U999" s="45" t="n">
        <f aca="false">IF(J999="BUY",S999-M999,M999-S999)</f>
        <v>-13.25</v>
      </c>
      <c r="V999" s="46" t="n">
        <v>0</v>
      </c>
      <c r="W999" s="46" t="n">
        <v>0</v>
      </c>
      <c r="X999" s="46" t="n">
        <v>-53</v>
      </c>
      <c r="Y999" s="33" t="n">
        <f aca="false">IFERROR(X999/R999,0)</f>
        <v>-1.02554179566577</v>
      </c>
      <c r="Z999" s="29" t="str">
        <f aca="false">IF(X999&gt;0,"Win",IF(X999&lt;0,"Loss","Flat"))</f>
        <v>Loss</v>
      </c>
      <c r="AA999" s="29" t="n">
        <f aca="false">ROUND((C999-B999)*1440,1)</f>
        <v>1.2</v>
      </c>
      <c r="AB999" s="29" t="str">
        <f aca="false">IF(AA999&lt;1,"a) &lt;1 min",IF(AA999&lt;10,"b) 1-10 min",IF(AA999&lt;60,"c) 10-60 min",IF(AA999&lt;240,"d) 1-4 h","e) 4 h+"))))</f>
        <v>b) 1-10 min</v>
      </c>
      <c r="AC999" s="29" t="str">
        <f aca="false">IF(P999&lt;10,"a) &lt;10",IF(P999&lt;20,"b) 10-20",IF(P999&lt;40,"c) 20-40",IF(P999&lt;80,"d) 40-80","e) 80+"))))</f>
        <v>b) 10-20</v>
      </c>
      <c r="AD999" s="31" t="n">
        <f aca="false">Summary!$C$5+SUM(X$2:X999)</f>
        <v>22571.88</v>
      </c>
      <c r="AE999" s="31" t="n">
        <f aca="false">MAX(AE998,AD999)</f>
        <v>23121.92</v>
      </c>
      <c r="AF999" s="31" t="n">
        <f aca="false">AE999-AD999</f>
        <v>550.040000000001</v>
      </c>
      <c r="AG999" s="30" t="n">
        <f aca="false">IFERROR(AF999/AE999,0)</f>
        <v>0.0237886819087689</v>
      </c>
    </row>
    <row r="1000" customFormat="false" ht="15" hidden="false" customHeight="false" outlineLevel="0" collapsed="false">
      <c r="A1000" s="29" t="n">
        <v>999</v>
      </c>
      <c r="B1000" s="44" t="n">
        <v>46079.7215277778</v>
      </c>
      <c r="C1000" s="44" t="n">
        <v>46079.7319791667</v>
      </c>
      <c r="D1000" s="43" t="n">
        <f aca="false">INT(C1000)</f>
        <v>46079</v>
      </c>
      <c r="E1000" s="43" t="n">
        <f aca="false">D1000-WEEKDAY(D1000,3)</f>
        <v>46076</v>
      </c>
      <c r="F1000" s="29" t="s">
        <v>190</v>
      </c>
      <c r="G1000" s="29" t="n">
        <v>2026</v>
      </c>
      <c r="H1000" s="29" t="s">
        <v>253</v>
      </c>
      <c r="I1000" s="29" t="n">
        <v>17</v>
      </c>
      <c r="J1000" s="29" t="s">
        <v>250</v>
      </c>
      <c r="K1000" s="29" t="s">
        <v>251</v>
      </c>
      <c r="L1000" s="29" t="n">
        <v>0.04</v>
      </c>
      <c r="M1000" s="32" t="n">
        <v>24926.41</v>
      </c>
      <c r="N1000" s="32" t="n">
        <v>24961.86</v>
      </c>
      <c r="O1000" s="32" t="n">
        <v>24839.55</v>
      </c>
      <c r="P1000" s="45" t="n">
        <f aca="false">ABS(M1000-N1000)</f>
        <v>35.4500000000007</v>
      </c>
      <c r="Q1000" s="45" t="n">
        <f aca="false">IF(O1000="","",ABS(O1000-M1000))</f>
        <v>86.8600000000006</v>
      </c>
      <c r="R1000" s="31" t="n">
        <f aca="false">P1000*L1000*Summary!$C$6</f>
        <v>141.800000000003</v>
      </c>
      <c r="S1000" s="32" t="n">
        <v>24836.22</v>
      </c>
      <c r="T1000" s="29" t="s">
        <v>227</v>
      </c>
      <c r="U1000" s="45" t="n">
        <f aca="false">IF(J1000="BUY",S1000-M1000,M1000-S1000)</f>
        <v>90.1899999999987</v>
      </c>
      <c r="V1000" s="46" t="n">
        <v>0</v>
      </c>
      <c r="W1000" s="46" t="n">
        <v>0</v>
      </c>
      <c r="X1000" s="46" t="n">
        <v>360.76</v>
      </c>
      <c r="Y1000" s="33" t="n">
        <f aca="false">IFERROR(X1000/R1000,0)</f>
        <v>2.54414668547244</v>
      </c>
      <c r="Z1000" s="29" t="str">
        <f aca="false">IF(X1000&gt;0,"Win",IF(X1000&lt;0,"Loss","Flat"))</f>
        <v>Win</v>
      </c>
      <c r="AA1000" s="29" t="n">
        <f aca="false">ROUND((C1000-B1000)*1440,1)</f>
        <v>15.1</v>
      </c>
      <c r="AB1000" s="29" t="str">
        <f aca="false">IF(AA1000&lt;1,"a) &lt;1 min",IF(AA1000&lt;10,"b) 1-10 min",IF(AA1000&lt;60,"c) 10-60 min",IF(AA1000&lt;240,"d) 1-4 h","e) 4 h+"))))</f>
        <v>c) 10-60 min</v>
      </c>
      <c r="AC1000" s="29" t="str">
        <f aca="false">IF(P1000&lt;10,"a) &lt;10",IF(P1000&lt;20,"b) 10-20",IF(P1000&lt;40,"c) 20-40",IF(P1000&lt;80,"d) 40-80","e) 80+"))))</f>
        <v>c) 20-40</v>
      </c>
      <c r="AD1000" s="31" t="n">
        <f aca="false">Summary!$C$5+SUM(X$2:X1000)</f>
        <v>22932.64</v>
      </c>
      <c r="AE1000" s="31" t="n">
        <f aca="false">MAX(AE999,AD1000)</f>
        <v>23121.92</v>
      </c>
      <c r="AF1000" s="31" t="n">
        <f aca="false">AE1000-AD1000</f>
        <v>189.279999999999</v>
      </c>
      <c r="AG1000" s="30" t="n">
        <f aca="false">IFERROR(AF1000/AE1000,0)</f>
        <v>0.00818617139061111</v>
      </c>
    </row>
    <row r="1001" customFormat="false" ht="15" hidden="false" customHeight="false" outlineLevel="0" collapsed="false">
      <c r="A1001" s="29" t="n">
        <v>1000</v>
      </c>
      <c r="B1001" s="44" t="n">
        <v>46080.6465277778</v>
      </c>
      <c r="C1001" s="44" t="n">
        <v>46080.6477083333</v>
      </c>
      <c r="D1001" s="43" t="n">
        <f aca="false">INT(C1001)</f>
        <v>46080</v>
      </c>
      <c r="E1001" s="43" t="n">
        <f aca="false">D1001-WEEKDAY(D1001,3)</f>
        <v>46076</v>
      </c>
      <c r="F1001" s="29" t="s">
        <v>190</v>
      </c>
      <c r="G1001" s="29" t="n">
        <v>2026</v>
      </c>
      <c r="H1001" s="29" t="s">
        <v>254</v>
      </c>
      <c r="I1001" s="29" t="n">
        <v>15</v>
      </c>
      <c r="J1001" s="29" t="s">
        <v>250</v>
      </c>
      <c r="K1001" s="29" t="s">
        <v>251</v>
      </c>
      <c r="L1001" s="29" t="n">
        <v>0.04</v>
      </c>
      <c r="M1001" s="32" t="n">
        <v>24808.39</v>
      </c>
      <c r="N1001" s="32" t="n">
        <v>24825.66</v>
      </c>
      <c r="O1001" s="32" t="n">
        <v>24765.19</v>
      </c>
      <c r="P1001" s="45" t="n">
        <f aca="false">ABS(M1001-N1001)</f>
        <v>17.2700000000004</v>
      </c>
      <c r="Q1001" s="45" t="n">
        <f aca="false">IF(O1001="","",ABS(O1001-M1001))</f>
        <v>43.2000000000007</v>
      </c>
      <c r="R1001" s="31" t="n">
        <f aca="false">P1001*L1001*Summary!$C$6</f>
        <v>69.0800000000018</v>
      </c>
      <c r="S1001" s="32" t="n">
        <v>24808.64</v>
      </c>
      <c r="T1001" s="29" t="s">
        <v>255</v>
      </c>
      <c r="U1001" s="45" t="n">
        <f aca="false">IF(J1001="BUY",S1001-M1001,M1001-S1001)</f>
        <v>-0.25</v>
      </c>
      <c r="V1001" s="46" t="n">
        <v>0</v>
      </c>
      <c r="W1001" s="46" t="n">
        <v>0</v>
      </c>
      <c r="X1001" s="46" t="n">
        <v>-1</v>
      </c>
      <c r="Y1001" s="33" t="n">
        <f aca="false">IFERROR(X1001/R1001,0)</f>
        <v>-0.0144759698899823</v>
      </c>
      <c r="Z1001" s="29" t="str">
        <f aca="false">IF(X1001&gt;0,"Win",IF(X1001&lt;0,"Loss","Flat"))</f>
        <v>Loss</v>
      </c>
      <c r="AA1001" s="29" t="n">
        <f aca="false">ROUND((C1001-B1001)*1440,1)</f>
        <v>1.7</v>
      </c>
      <c r="AB1001" s="29" t="str">
        <f aca="false">IF(AA1001&lt;1,"a) &lt;1 min",IF(AA1001&lt;10,"b) 1-10 min",IF(AA1001&lt;60,"c) 10-60 min",IF(AA1001&lt;240,"d) 1-4 h","e) 4 h+"))))</f>
        <v>b) 1-10 min</v>
      </c>
      <c r="AC1001" s="29" t="str">
        <f aca="false">IF(P1001&lt;10,"a) &lt;10",IF(P1001&lt;20,"b) 10-20",IF(P1001&lt;40,"c) 20-40",IF(P1001&lt;80,"d) 40-80","e) 80+"))))</f>
        <v>b) 10-20</v>
      </c>
      <c r="AD1001" s="31" t="n">
        <f aca="false">Summary!$C$5+SUM(X$2:X1001)</f>
        <v>22931.64</v>
      </c>
      <c r="AE1001" s="31" t="n">
        <f aca="false">MAX(AE1000,AD1001)</f>
        <v>23121.92</v>
      </c>
      <c r="AF1001" s="31" t="n">
        <f aca="false">AE1001-AD1001</f>
        <v>190.279999999999</v>
      </c>
      <c r="AG1001" s="30" t="n">
        <f aca="false">IFERROR(AF1001/AE1001,0)</f>
        <v>0.00822942039415407</v>
      </c>
    </row>
    <row r="1002" customFormat="false" ht="15" hidden="false" customHeight="false" outlineLevel="0" collapsed="false">
      <c r="A1002" s="29" t="n">
        <v>1001</v>
      </c>
      <c r="B1002" s="44" t="n">
        <v>46083.0423611111</v>
      </c>
      <c r="C1002" s="44" t="n">
        <v>46083.046412037</v>
      </c>
      <c r="D1002" s="43" t="n">
        <f aca="false">INT(C1002)</f>
        <v>46083</v>
      </c>
      <c r="E1002" s="43" t="n">
        <f aca="false">D1002-WEEKDAY(D1002,3)</f>
        <v>46083</v>
      </c>
      <c r="F1002" s="29" t="s">
        <v>191</v>
      </c>
      <c r="G1002" s="29" t="n">
        <v>2026</v>
      </c>
      <c r="H1002" s="29" t="s">
        <v>245</v>
      </c>
      <c r="I1002" s="29" t="n">
        <v>1</v>
      </c>
      <c r="J1002" s="29" t="s">
        <v>250</v>
      </c>
      <c r="K1002" s="29" t="s">
        <v>251</v>
      </c>
      <c r="L1002" s="29" t="n">
        <v>0.04</v>
      </c>
      <c r="M1002" s="32" t="n">
        <v>24666.61</v>
      </c>
      <c r="N1002" s="32" t="n">
        <v>24735.13</v>
      </c>
      <c r="O1002" s="32" t="n">
        <v>24498.75</v>
      </c>
      <c r="P1002" s="45" t="n">
        <f aca="false">ABS(M1002-N1002)</f>
        <v>68.5200000000004</v>
      </c>
      <c r="Q1002" s="45" t="n">
        <f aca="false">IF(O1002="","",ABS(O1002-M1002))</f>
        <v>167.860000000001</v>
      </c>
      <c r="R1002" s="31" t="n">
        <f aca="false">P1002*L1002*Summary!$C$6</f>
        <v>274.080000000002</v>
      </c>
      <c r="S1002" s="32" t="n">
        <v>24739.14</v>
      </c>
      <c r="T1002" s="29" t="s">
        <v>249</v>
      </c>
      <c r="U1002" s="45" t="n">
        <f aca="false">IF(J1002="BUY",S1002-M1002,M1002-S1002)</f>
        <v>-72.5299999999988</v>
      </c>
      <c r="V1002" s="46" t="n">
        <v>0</v>
      </c>
      <c r="W1002" s="46" t="n">
        <v>0</v>
      </c>
      <c r="X1002" s="46" t="n">
        <v>-290.12</v>
      </c>
      <c r="Y1002" s="33" t="n">
        <f aca="false">IFERROR(X1002/R1002,0)</f>
        <v>-1.05852305896088</v>
      </c>
      <c r="Z1002" s="29" t="str">
        <f aca="false">IF(X1002&gt;0,"Win",IF(X1002&lt;0,"Loss","Flat"))</f>
        <v>Loss</v>
      </c>
      <c r="AA1002" s="29" t="n">
        <f aca="false">ROUND((C1002-B1002)*1440,1)</f>
        <v>5.8</v>
      </c>
      <c r="AB1002" s="29" t="str">
        <f aca="false">IF(AA1002&lt;1,"a) &lt;1 min",IF(AA1002&lt;10,"b) 1-10 min",IF(AA1002&lt;60,"c) 10-60 min",IF(AA1002&lt;240,"d) 1-4 h","e) 4 h+"))))</f>
        <v>b) 1-10 min</v>
      </c>
      <c r="AC1002" s="29" t="str">
        <f aca="false">IF(P1002&lt;10,"a) &lt;10",IF(P1002&lt;20,"b) 10-20",IF(P1002&lt;40,"c) 20-40",IF(P1002&lt;80,"d) 40-80","e) 80+"))))</f>
        <v>d) 40-80</v>
      </c>
      <c r="AD1002" s="31" t="n">
        <f aca="false">Summary!$C$5+SUM(X$2:X1002)</f>
        <v>22641.52</v>
      </c>
      <c r="AE1002" s="31" t="n">
        <f aca="false">MAX(AE1001,AD1002)</f>
        <v>23121.92</v>
      </c>
      <c r="AF1002" s="31" t="n">
        <f aca="false">AE1002-AD1002</f>
        <v>480.399999999998</v>
      </c>
      <c r="AG1002" s="30" t="n">
        <f aca="false">IFERROR(AF1002/AE1002,0)</f>
        <v>0.0207768213020371</v>
      </c>
    </row>
    <row r="1003" customFormat="false" ht="15" hidden="false" customHeight="false" outlineLevel="0" collapsed="false">
      <c r="A1003" s="29" t="n">
        <v>1002</v>
      </c>
      <c r="B1003" s="44" t="n">
        <v>46084.49375</v>
      </c>
      <c r="C1003" s="44" t="n">
        <v>46084.4962615741</v>
      </c>
      <c r="D1003" s="43" t="n">
        <f aca="false">INT(C1003)</f>
        <v>46084</v>
      </c>
      <c r="E1003" s="43" t="n">
        <f aca="false">D1003-WEEKDAY(D1003,3)</f>
        <v>46083</v>
      </c>
      <c r="F1003" s="29" t="s">
        <v>191</v>
      </c>
      <c r="G1003" s="29" t="n">
        <v>2026</v>
      </c>
      <c r="H1003" s="29" t="s">
        <v>248</v>
      </c>
      <c r="I1003" s="29" t="n">
        <v>11</v>
      </c>
      <c r="J1003" s="29" t="s">
        <v>250</v>
      </c>
      <c r="K1003" s="29" t="s">
        <v>251</v>
      </c>
      <c r="L1003" s="29" t="n">
        <v>0.04</v>
      </c>
      <c r="M1003" s="32" t="n">
        <v>24438.4</v>
      </c>
      <c r="N1003" s="32" t="n">
        <v>24457.79</v>
      </c>
      <c r="O1003" s="32" t="n">
        <v>24388.97</v>
      </c>
      <c r="P1003" s="45" t="n">
        <f aca="false">ABS(M1003-N1003)</f>
        <v>19.3899999999994</v>
      </c>
      <c r="Q1003" s="45" t="n">
        <f aca="false">IF(O1003="","",ABS(O1003-M1003))</f>
        <v>49.4300000000003</v>
      </c>
      <c r="R1003" s="31" t="n">
        <f aca="false">P1003*L1003*Summary!$C$6</f>
        <v>77.5599999999977</v>
      </c>
      <c r="S1003" s="32" t="n">
        <v>24439.53</v>
      </c>
      <c r="T1003" s="29" t="s">
        <v>255</v>
      </c>
      <c r="U1003" s="45" t="n">
        <f aca="false">IF(J1003="BUY",S1003-M1003,M1003-S1003)</f>
        <v>-1.12999999999738</v>
      </c>
      <c r="V1003" s="46" t="n">
        <v>0</v>
      </c>
      <c r="W1003" s="46" t="n">
        <v>0</v>
      </c>
      <c r="X1003" s="46" t="n">
        <v>-4.52</v>
      </c>
      <c r="Y1003" s="33" t="n">
        <f aca="false">IFERROR(X1003/R1003,0)</f>
        <v>-0.0582774626095943</v>
      </c>
      <c r="Z1003" s="29" t="str">
        <f aca="false">IF(X1003&gt;0,"Win",IF(X1003&lt;0,"Loss","Flat"))</f>
        <v>Loss</v>
      </c>
      <c r="AA1003" s="29" t="n">
        <f aca="false">ROUND((C1003-B1003)*1440,1)</f>
        <v>3.6</v>
      </c>
      <c r="AB1003" s="29" t="str">
        <f aca="false">IF(AA1003&lt;1,"a) &lt;1 min",IF(AA1003&lt;10,"b) 1-10 min",IF(AA1003&lt;60,"c) 10-60 min",IF(AA1003&lt;240,"d) 1-4 h","e) 4 h+"))))</f>
        <v>b) 1-10 min</v>
      </c>
      <c r="AC1003" s="29" t="str">
        <f aca="false">IF(P1003&lt;10,"a) &lt;10",IF(P1003&lt;20,"b) 10-20",IF(P1003&lt;40,"c) 20-40",IF(P1003&lt;80,"d) 40-80","e) 80+"))))</f>
        <v>b) 10-20</v>
      </c>
      <c r="AD1003" s="31" t="n">
        <f aca="false">Summary!$C$5+SUM(X$2:X1003)</f>
        <v>22637</v>
      </c>
      <c r="AE1003" s="31" t="n">
        <f aca="false">MAX(AE1002,AD1003)</f>
        <v>23121.92</v>
      </c>
      <c r="AF1003" s="31" t="n">
        <f aca="false">AE1003-AD1003</f>
        <v>484.919999999998</v>
      </c>
      <c r="AG1003" s="30" t="n">
        <f aca="false">IFERROR(AF1003/AE1003,0)</f>
        <v>0.0209723067980513</v>
      </c>
    </row>
    <row r="1004" customFormat="false" ht="15" hidden="false" customHeight="false" outlineLevel="0" collapsed="false">
      <c r="A1004" s="29" t="n">
        <v>1003</v>
      </c>
      <c r="B1004" s="44" t="n">
        <v>46085.7215277778</v>
      </c>
      <c r="C1004" s="44" t="n">
        <v>46085.7235763889</v>
      </c>
      <c r="D1004" s="43" t="n">
        <f aca="false">INT(C1004)</f>
        <v>46085</v>
      </c>
      <c r="E1004" s="43" t="n">
        <f aca="false">D1004-WEEKDAY(D1004,3)</f>
        <v>46083</v>
      </c>
      <c r="F1004" s="29" t="s">
        <v>191</v>
      </c>
      <c r="G1004" s="29" t="n">
        <v>2026</v>
      </c>
      <c r="H1004" s="29" t="s">
        <v>252</v>
      </c>
      <c r="I1004" s="29" t="n">
        <v>17</v>
      </c>
      <c r="J1004" s="29" t="s">
        <v>246</v>
      </c>
      <c r="K1004" s="29" t="s">
        <v>247</v>
      </c>
      <c r="L1004" s="29" t="n">
        <v>0.04</v>
      </c>
      <c r="M1004" s="32" t="n">
        <v>24979.27</v>
      </c>
      <c r="N1004" s="32" t="n">
        <v>24954.58</v>
      </c>
      <c r="O1004" s="32" t="n">
        <v>25039.76</v>
      </c>
      <c r="P1004" s="45" t="n">
        <f aca="false">ABS(M1004-N1004)</f>
        <v>24.6899999999987</v>
      </c>
      <c r="Q1004" s="45" t="n">
        <f aca="false">IF(O1004="","",ABS(O1004-M1004))</f>
        <v>60.489999999998</v>
      </c>
      <c r="R1004" s="31" t="n">
        <f aca="false">P1004*L1004*Summary!$C$6</f>
        <v>98.7599999999948</v>
      </c>
      <c r="S1004" s="32" t="n">
        <v>25040.06</v>
      </c>
      <c r="T1004" s="29" t="s">
        <v>227</v>
      </c>
      <c r="U1004" s="45" t="n">
        <f aca="false">IF(J1004="BUY",S1004-M1004,M1004-S1004)</f>
        <v>60.7900000000009</v>
      </c>
      <c r="V1004" s="46" t="n">
        <v>0</v>
      </c>
      <c r="W1004" s="46" t="n">
        <v>0</v>
      </c>
      <c r="X1004" s="46" t="n">
        <v>243.16</v>
      </c>
      <c r="Y1004" s="33" t="n">
        <f aca="false">IFERROR(X1004/R1004,0)</f>
        <v>2.46213041717308</v>
      </c>
      <c r="Z1004" s="29" t="str">
        <f aca="false">IF(X1004&gt;0,"Win",IF(X1004&lt;0,"Loss","Flat"))</f>
        <v>Win</v>
      </c>
      <c r="AA1004" s="29" t="n">
        <f aca="false">ROUND((C1004-B1004)*1440,1)</f>
        <v>3</v>
      </c>
      <c r="AB1004" s="29" t="str">
        <f aca="false">IF(AA1004&lt;1,"a) &lt;1 min",IF(AA1004&lt;10,"b) 1-10 min",IF(AA1004&lt;60,"c) 10-60 min",IF(AA1004&lt;240,"d) 1-4 h","e) 4 h+"))))</f>
        <v>b) 1-10 min</v>
      </c>
      <c r="AC1004" s="29" t="str">
        <f aca="false">IF(P1004&lt;10,"a) &lt;10",IF(P1004&lt;20,"b) 10-20",IF(P1004&lt;40,"c) 20-40",IF(P1004&lt;80,"d) 40-80","e) 80+"))))</f>
        <v>c) 20-40</v>
      </c>
      <c r="AD1004" s="31" t="n">
        <f aca="false">Summary!$C$5+SUM(X$2:X1004)</f>
        <v>22880.16</v>
      </c>
      <c r="AE1004" s="31" t="n">
        <f aca="false">MAX(AE1003,AD1004)</f>
        <v>23121.92</v>
      </c>
      <c r="AF1004" s="31" t="n">
        <f aca="false">AE1004-AD1004</f>
        <v>241.759999999998</v>
      </c>
      <c r="AG1004" s="30" t="n">
        <f aca="false">IFERROR(AF1004/AE1004,0)</f>
        <v>0.0104558790965455</v>
      </c>
    </row>
    <row r="1005" customFormat="false" ht="15" hidden="false" customHeight="false" outlineLevel="0" collapsed="false">
      <c r="A1005" s="29" t="n">
        <v>1004</v>
      </c>
      <c r="B1005" s="44" t="n">
        <v>46086.0944444445</v>
      </c>
      <c r="C1005" s="44" t="n">
        <v>46086.0981597222</v>
      </c>
      <c r="D1005" s="43" t="n">
        <f aca="false">INT(C1005)</f>
        <v>46086</v>
      </c>
      <c r="E1005" s="43" t="n">
        <f aca="false">D1005-WEEKDAY(D1005,3)</f>
        <v>46083</v>
      </c>
      <c r="F1005" s="29" t="s">
        <v>191</v>
      </c>
      <c r="G1005" s="29" t="n">
        <v>2026</v>
      </c>
      <c r="H1005" s="29" t="s">
        <v>253</v>
      </c>
      <c r="I1005" s="29" t="n">
        <v>2</v>
      </c>
      <c r="J1005" s="29" t="s">
        <v>246</v>
      </c>
      <c r="K1005" s="29" t="s">
        <v>247</v>
      </c>
      <c r="L1005" s="29" t="n">
        <v>0.04</v>
      </c>
      <c r="M1005" s="32" t="n">
        <v>25197.02</v>
      </c>
      <c r="N1005" s="32" t="n">
        <v>25184.18</v>
      </c>
      <c r="O1005" s="32" t="n">
        <v>25228.47</v>
      </c>
      <c r="P1005" s="45" t="n">
        <f aca="false">ABS(M1005-N1005)</f>
        <v>12.8400000000001</v>
      </c>
      <c r="Q1005" s="45" t="n">
        <f aca="false">IF(O1005="","",ABS(O1005-M1005))</f>
        <v>31.4500000000007</v>
      </c>
      <c r="R1005" s="31" t="n">
        <f aca="false">P1005*L1005*Summary!$C$6</f>
        <v>51.3600000000006</v>
      </c>
      <c r="S1005" s="32" t="n">
        <v>25184.14</v>
      </c>
      <c r="T1005" s="29" t="s">
        <v>249</v>
      </c>
      <c r="U1005" s="45" t="n">
        <f aca="false">IF(J1005="BUY",S1005-M1005,M1005-S1005)</f>
        <v>-12.880000000001</v>
      </c>
      <c r="V1005" s="46" t="n">
        <v>0</v>
      </c>
      <c r="W1005" s="46" t="n">
        <v>0</v>
      </c>
      <c r="X1005" s="46" t="n">
        <v>-51.52</v>
      </c>
      <c r="Y1005" s="33" t="n">
        <f aca="false">IFERROR(X1005/R1005,0)</f>
        <v>-1.0031152647975</v>
      </c>
      <c r="Z1005" s="29" t="str">
        <f aca="false">IF(X1005&gt;0,"Win",IF(X1005&lt;0,"Loss","Flat"))</f>
        <v>Loss</v>
      </c>
      <c r="AA1005" s="29" t="n">
        <f aca="false">ROUND((C1005-B1005)*1440,1)</f>
        <v>5.4</v>
      </c>
      <c r="AB1005" s="29" t="str">
        <f aca="false">IF(AA1005&lt;1,"a) &lt;1 min",IF(AA1005&lt;10,"b) 1-10 min",IF(AA1005&lt;60,"c) 10-60 min",IF(AA1005&lt;240,"d) 1-4 h","e) 4 h+"))))</f>
        <v>b) 1-10 min</v>
      </c>
      <c r="AC1005" s="29" t="str">
        <f aca="false">IF(P1005&lt;10,"a) &lt;10",IF(P1005&lt;20,"b) 10-20",IF(P1005&lt;40,"c) 20-40",IF(P1005&lt;80,"d) 40-80","e) 80+"))))</f>
        <v>b) 10-20</v>
      </c>
      <c r="AD1005" s="31" t="n">
        <f aca="false">Summary!$C$5+SUM(X$2:X1005)</f>
        <v>22828.64</v>
      </c>
      <c r="AE1005" s="31" t="n">
        <f aca="false">MAX(AE1004,AD1005)</f>
        <v>23121.92</v>
      </c>
      <c r="AF1005" s="31" t="n">
        <f aca="false">AE1005-AD1005</f>
        <v>293.279999999999</v>
      </c>
      <c r="AG1005" s="30" t="n">
        <f aca="false">IFERROR(AF1005/AE1005,0)</f>
        <v>0.0126840677590788</v>
      </c>
    </row>
    <row r="1006" customFormat="false" ht="15" hidden="false" customHeight="false" outlineLevel="0" collapsed="false">
      <c r="A1006" s="29" t="n">
        <v>1005</v>
      </c>
      <c r="B1006" s="44" t="n">
        <v>46087.6465277778</v>
      </c>
      <c r="C1006" s="44" t="n">
        <v>46087.6468634259</v>
      </c>
      <c r="D1006" s="43" t="n">
        <f aca="false">INT(C1006)</f>
        <v>46087</v>
      </c>
      <c r="E1006" s="43" t="n">
        <f aca="false">D1006-WEEKDAY(D1006,3)</f>
        <v>46083</v>
      </c>
      <c r="F1006" s="29" t="s">
        <v>191</v>
      </c>
      <c r="G1006" s="29" t="n">
        <v>2026</v>
      </c>
      <c r="H1006" s="29" t="s">
        <v>254</v>
      </c>
      <c r="I1006" s="29" t="n">
        <v>15</v>
      </c>
      <c r="J1006" s="29" t="s">
        <v>250</v>
      </c>
      <c r="K1006" s="29" t="s">
        <v>251</v>
      </c>
      <c r="L1006" s="29" t="n">
        <v>0.04</v>
      </c>
      <c r="M1006" s="32" t="n">
        <v>24732.13</v>
      </c>
      <c r="N1006" s="32" t="n">
        <v>24763.66</v>
      </c>
      <c r="O1006" s="32" t="n">
        <v>24650.36</v>
      </c>
      <c r="P1006" s="45" t="n">
        <f aca="false">ABS(M1006-N1006)</f>
        <v>31.5299999999988</v>
      </c>
      <c r="Q1006" s="45" t="n">
        <f aca="false">IF(O1006="","",ABS(O1006-M1006))</f>
        <v>81.7700000000004</v>
      </c>
      <c r="R1006" s="31" t="n">
        <f aca="false">P1006*L1006*Summary!$C$6</f>
        <v>126.119999999995</v>
      </c>
      <c r="S1006" s="32" t="n">
        <v>24764.34</v>
      </c>
      <c r="T1006" s="29" t="s">
        <v>249</v>
      </c>
      <c r="U1006" s="45" t="n">
        <f aca="false">IF(J1006="BUY",S1006-M1006,M1006-S1006)</f>
        <v>-32.2099999999991</v>
      </c>
      <c r="V1006" s="46" t="n">
        <v>0</v>
      </c>
      <c r="W1006" s="46" t="n">
        <v>0</v>
      </c>
      <c r="X1006" s="46" t="n">
        <v>-128.84</v>
      </c>
      <c r="Y1006" s="33" t="n">
        <f aca="false">IFERROR(X1006/R1006,0)</f>
        <v>-1.02156676181418</v>
      </c>
      <c r="Z1006" s="29" t="str">
        <f aca="false">IF(X1006&gt;0,"Win",IF(X1006&lt;0,"Loss","Flat"))</f>
        <v>Loss</v>
      </c>
      <c r="AA1006" s="29" t="n">
        <f aca="false">ROUND((C1006-B1006)*1440,1)</f>
        <v>0.5</v>
      </c>
      <c r="AB1006" s="29" t="str">
        <f aca="false">IF(AA1006&lt;1,"a) &lt;1 min",IF(AA1006&lt;10,"b) 1-10 min",IF(AA1006&lt;60,"c) 10-60 min",IF(AA1006&lt;240,"d) 1-4 h","e) 4 h+"))))</f>
        <v>a) &lt;1 min</v>
      </c>
      <c r="AC1006" s="29" t="str">
        <f aca="false">IF(P1006&lt;10,"a) &lt;10",IF(P1006&lt;20,"b) 10-20",IF(P1006&lt;40,"c) 20-40",IF(P1006&lt;80,"d) 40-80","e) 80+"))))</f>
        <v>c) 20-40</v>
      </c>
      <c r="AD1006" s="31" t="n">
        <f aca="false">Summary!$C$5+SUM(X$2:X1006)</f>
        <v>22699.8</v>
      </c>
      <c r="AE1006" s="31" t="n">
        <f aca="false">MAX(AE1005,AD1006)</f>
        <v>23121.92</v>
      </c>
      <c r="AF1006" s="31" t="n">
        <f aca="false">AE1006-AD1006</f>
        <v>422.119999999999</v>
      </c>
      <c r="AG1006" s="30" t="n">
        <f aca="false">IFERROR(AF1006/AE1006,0)</f>
        <v>0.0182562693755535</v>
      </c>
    </row>
    <row r="1007" customFormat="false" ht="15" hidden="false" customHeight="false" outlineLevel="0" collapsed="false">
      <c r="A1007" s="29" t="n">
        <v>1006</v>
      </c>
      <c r="B1007" s="44" t="n">
        <v>46090.0423611111</v>
      </c>
      <c r="C1007" s="44" t="n">
        <v>46090.1389351852</v>
      </c>
      <c r="D1007" s="43" t="n">
        <f aca="false">INT(C1007)</f>
        <v>46090</v>
      </c>
      <c r="E1007" s="43" t="n">
        <f aca="false">D1007-WEEKDAY(D1007,3)</f>
        <v>46090</v>
      </c>
      <c r="F1007" s="29" t="s">
        <v>191</v>
      </c>
      <c r="G1007" s="29" t="n">
        <v>2026</v>
      </c>
      <c r="H1007" s="29" t="s">
        <v>245</v>
      </c>
      <c r="I1007" s="29" t="n">
        <v>1</v>
      </c>
      <c r="J1007" s="29" t="s">
        <v>250</v>
      </c>
      <c r="K1007" s="29" t="s">
        <v>251</v>
      </c>
      <c r="L1007" s="29" t="n">
        <v>0.04</v>
      </c>
      <c r="M1007" s="32" t="n">
        <v>24317.54</v>
      </c>
      <c r="N1007" s="32" t="n">
        <v>24385.72</v>
      </c>
      <c r="O1007" s="32" t="n">
        <v>24134.08</v>
      </c>
      <c r="P1007" s="45" t="n">
        <f aca="false">ABS(M1007-N1007)</f>
        <v>68.1800000000003</v>
      </c>
      <c r="Q1007" s="45" t="n">
        <f aca="false">IF(O1007="","",ABS(O1007-M1007))</f>
        <v>183.459999999999</v>
      </c>
      <c r="R1007" s="31" t="n">
        <f aca="false">P1007*L1007*Summary!$C$6</f>
        <v>272.720000000001</v>
      </c>
      <c r="S1007" s="32" t="n">
        <v>24133.87</v>
      </c>
      <c r="T1007" s="29" t="s">
        <v>227</v>
      </c>
      <c r="U1007" s="45" t="n">
        <f aca="false">IF(J1007="BUY",S1007-M1007,M1007-S1007)</f>
        <v>183.670000000002</v>
      </c>
      <c r="V1007" s="46" t="n">
        <v>0</v>
      </c>
      <c r="W1007" s="46" t="n">
        <v>0</v>
      </c>
      <c r="X1007" s="46" t="n">
        <v>734.68</v>
      </c>
      <c r="Y1007" s="33" t="n">
        <f aca="false">IFERROR(X1007/R1007,0)</f>
        <v>2.69389850396009</v>
      </c>
      <c r="Z1007" s="29" t="str">
        <f aca="false">IF(X1007&gt;0,"Win",IF(X1007&lt;0,"Loss","Flat"))</f>
        <v>Win</v>
      </c>
      <c r="AA1007" s="29" t="n">
        <f aca="false">ROUND((C1007-B1007)*1440,1)</f>
        <v>139.1</v>
      </c>
      <c r="AB1007" s="29" t="str">
        <f aca="false">IF(AA1007&lt;1,"a) &lt;1 min",IF(AA1007&lt;10,"b) 1-10 min",IF(AA1007&lt;60,"c) 10-60 min",IF(AA1007&lt;240,"d) 1-4 h","e) 4 h+"))))</f>
        <v>d) 1-4 h</v>
      </c>
      <c r="AC1007" s="29" t="str">
        <f aca="false">IF(P1007&lt;10,"a) &lt;10",IF(P1007&lt;20,"b) 10-20",IF(P1007&lt;40,"c) 20-40",IF(P1007&lt;80,"d) 40-80","e) 80+"))))</f>
        <v>d) 40-80</v>
      </c>
      <c r="AD1007" s="31" t="n">
        <f aca="false">Summary!$C$5+SUM(X$2:X1007)</f>
        <v>23434.48</v>
      </c>
      <c r="AE1007" s="31" t="n">
        <f aca="false">MAX(AE1006,AD1007)</f>
        <v>23434.48</v>
      </c>
      <c r="AF1007" s="31" t="n">
        <f aca="false">AE1007-AD1007</f>
        <v>0</v>
      </c>
      <c r="AG1007" s="30" t="n">
        <f aca="false">IFERROR(AF1007/AE1007,0)</f>
        <v>0</v>
      </c>
    </row>
    <row r="1008" customFormat="false" ht="15" hidden="false" customHeight="false" outlineLevel="0" collapsed="false">
      <c r="A1008" s="29" t="n">
        <v>1007</v>
      </c>
      <c r="B1008" s="44" t="n">
        <v>46091.4361111111</v>
      </c>
      <c r="C1008" s="44" t="n">
        <v>46091.4393171296</v>
      </c>
      <c r="D1008" s="43" t="n">
        <f aca="false">INT(C1008)</f>
        <v>46091</v>
      </c>
      <c r="E1008" s="43" t="n">
        <f aca="false">D1008-WEEKDAY(D1008,3)</f>
        <v>46090</v>
      </c>
      <c r="F1008" s="29" t="s">
        <v>191</v>
      </c>
      <c r="G1008" s="29" t="n">
        <v>2026</v>
      </c>
      <c r="H1008" s="29" t="s">
        <v>248</v>
      </c>
      <c r="I1008" s="29" t="n">
        <v>10</v>
      </c>
      <c r="J1008" s="29" t="s">
        <v>246</v>
      </c>
      <c r="K1008" s="29" t="s">
        <v>247</v>
      </c>
      <c r="L1008" s="29" t="n">
        <v>0.04</v>
      </c>
      <c r="M1008" s="32" t="n">
        <v>25025.52</v>
      </c>
      <c r="N1008" s="32" t="n">
        <v>25012.03</v>
      </c>
      <c r="O1008" s="32" t="n">
        <v>25057.47</v>
      </c>
      <c r="P1008" s="45" t="n">
        <f aca="false">ABS(M1008-N1008)</f>
        <v>13.4900000000016</v>
      </c>
      <c r="Q1008" s="45" t="n">
        <f aca="false">IF(O1008="","",ABS(O1008-M1008))</f>
        <v>31.9500000000007</v>
      </c>
      <c r="R1008" s="31" t="n">
        <f aca="false">P1008*L1008*Summary!$C$6</f>
        <v>53.9600000000064</v>
      </c>
      <c r="S1008" s="32" t="n">
        <v>25025.04</v>
      </c>
      <c r="T1008" s="29" t="s">
        <v>255</v>
      </c>
      <c r="U1008" s="45" t="n">
        <f aca="false">IF(J1008="BUY",S1008-M1008,M1008-S1008)</f>
        <v>-0.479999999999563</v>
      </c>
      <c r="V1008" s="46" t="n">
        <v>0</v>
      </c>
      <c r="W1008" s="46" t="n">
        <v>0</v>
      </c>
      <c r="X1008" s="46" t="n">
        <v>-1.92</v>
      </c>
      <c r="Y1008" s="33" t="n">
        <f aca="false">IFERROR(X1008/R1008,0)</f>
        <v>-0.0355819125277942</v>
      </c>
      <c r="Z1008" s="29" t="str">
        <f aca="false">IF(X1008&gt;0,"Win",IF(X1008&lt;0,"Loss","Flat"))</f>
        <v>Loss</v>
      </c>
      <c r="AA1008" s="29" t="n">
        <f aca="false">ROUND((C1008-B1008)*1440,1)</f>
        <v>4.6</v>
      </c>
      <c r="AB1008" s="29" t="str">
        <f aca="false">IF(AA1008&lt;1,"a) &lt;1 min",IF(AA1008&lt;10,"b) 1-10 min",IF(AA1008&lt;60,"c) 10-60 min",IF(AA1008&lt;240,"d) 1-4 h","e) 4 h+"))))</f>
        <v>b) 1-10 min</v>
      </c>
      <c r="AC1008" s="29" t="str">
        <f aca="false">IF(P1008&lt;10,"a) &lt;10",IF(P1008&lt;20,"b) 10-20",IF(P1008&lt;40,"c) 20-40",IF(P1008&lt;80,"d) 40-80","e) 80+"))))</f>
        <v>b) 10-20</v>
      </c>
      <c r="AD1008" s="31" t="n">
        <f aca="false">Summary!$C$5+SUM(X$2:X1008)</f>
        <v>23432.56</v>
      </c>
      <c r="AE1008" s="31" t="n">
        <f aca="false">MAX(AE1007,AD1008)</f>
        <v>23434.48</v>
      </c>
      <c r="AF1008" s="31" t="n">
        <f aca="false">AE1008-AD1008</f>
        <v>1.92000000000189</v>
      </c>
      <c r="AG1008" s="30" t="n">
        <f aca="false">IFERROR(AF1008/AE1008,0)</f>
        <v>8.19305570254553E-005</v>
      </c>
    </row>
    <row r="1009" customFormat="false" ht="15" hidden="false" customHeight="false" outlineLevel="0" collapsed="false">
      <c r="A1009" s="29" t="n">
        <v>1008</v>
      </c>
      <c r="B1009" s="44" t="n">
        <v>46093.0611111111</v>
      </c>
      <c r="C1009" s="44" t="n">
        <v>46093.0714699074</v>
      </c>
      <c r="D1009" s="43" t="n">
        <f aca="false">INT(C1009)</f>
        <v>46093</v>
      </c>
      <c r="E1009" s="43" t="n">
        <f aca="false">D1009-WEEKDAY(D1009,3)</f>
        <v>46090</v>
      </c>
      <c r="F1009" s="29" t="s">
        <v>191</v>
      </c>
      <c r="G1009" s="29" t="n">
        <v>2026</v>
      </c>
      <c r="H1009" s="29" t="s">
        <v>253</v>
      </c>
      <c r="I1009" s="29" t="n">
        <v>1</v>
      </c>
      <c r="J1009" s="29" t="s">
        <v>250</v>
      </c>
      <c r="K1009" s="29" t="s">
        <v>251</v>
      </c>
      <c r="L1009" s="29" t="n">
        <v>0.04</v>
      </c>
      <c r="M1009" s="32" t="n">
        <v>24841.09</v>
      </c>
      <c r="N1009" s="32" t="n">
        <v>24859.02</v>
      </c>
      <c r="O1009" s="32" t="n">
        <v>24797.16</v>
      </c>
      <c r="P1009" s="45" t="n">
        <f aca="false">ABS(M1009-N1009)</f>
        <v>17.9300000000003</v>
      </c>
      <c r="Q1009" s="45" t="n">
        <f aca="false">IF(O1009="","",ABS(O1009-M1009))</f>
        <v>43.9300000000003</v>
      </c>
      <c r="R1009" s="31" t="n">
        <f aca="false">P1009*L1009*Summary!$C$6</f>
        <v>71.7200000000012</v>
      </c>
      <c r="S1009" s="32" t="n">
        <v>24796.27</v>
      </c>
      <c r="T1009" s="29" t="s">
        <v>227</v>
      </c>
      <c r="U1009" s="45" t="n">
        <f aca="false">IF(J1009="BUY",S1009-M1009,M1009-S1009)</f>
        <v>44.8199999999997</v>
      </c>
      <c r="V1009" s="46" t="n">
        <v>0</v>
      </c>
      <c r="W1009" s="46" t="n">
        <v>0</v>
      </c>
      <c r="X1009" s="46" t="n">
        <v>179.28</v>
      </c>
      <c r="Y1009" s="33" t="n">
        <f aca="false">IFERROR(X1009/R1009,0)</f>
        <v>2.49972113775791</v>
      </c>
      <c r="Z1009" s="29" t="str">
        <f aca="false">IF(X1009&gt;0,"Win",IF(X1009&lt;0,"Loss","Flat"))</f>
        <v>Win</v>
      </c>
      <c r="AA1009" s="29" t="n">
        <f aca="false">ROUND((C1009-B1009)*1440,1)</f>
        <v>14.9</v>
      </c>
      <c r="AB1009" s="29" t="str">
        <f aca="false">IF(AA1009&lt;1,"a) &lt;1 min",IF(AA1009&lt;10,"b) 1-10 min",IF(AA1009&lt;60,"c) 10-60 min",IF(AA1009&lt;240,"d) 1-4 h","e) 4 h+"))))</f>
        <v>c) 10-60 min</v>
      </c>
      <c r="AC1009" s="29" t="str">
        <f aca="false">IF(P1009&lt;10,"a) &lt;10",IF(P1009&lt;20,"b) 10-20",IF(P1009&lt;40,"c) 20-40",IF(P1009&lt;80,"d) 40-80","e) 80+"))))</f>
        <v>b) 10-20</v>
      </c>
      <c r="AD1009" s="31" t="n">
        <f aca="false">Summary!$C$5+SUM(X$2:X1009)</f>
        <v>23611.84</v>
      </c>
      <c r="AE1009" s="31" t="n">
        <f aca="false">MAX(AE1008,AD1009)</f>
        <v>23611.84</v>
      </c>
      <c r="AF1009" s="31" t="n">
        <f aca="false">AE1009-AD1009</f>
        <v>0</v>
      </c>
      <c r="AG1009" s="30" t="n">
        <f aca="false">IFERROR(AF1009/AE1009,0)</f>
        <v>0</v>
      </c>
    </row>
    <row r="1010" customFormat="false" ht="15" hidden="false" customHeight="false" outlineLevel="0" collapsed="false">
      <c r="A1010" s="29" t="n">
        <v>1009</v>
      </c>
      <c r="B1010" s="44" t="n">
        <v>46094.1256944445</v>
      </c>
      <c r="C1010" s="44" t="n">
        <v>46094.1280208333</v>
      </c>
      <c r="D1010" s="43" t="n">
        <f aca="false">INT(C1010)</f>
        <v>46094</v>
      </c>
      <c r="E1010" s="43" t="n">
        <f aca="false">D1010-WEEKDAY(D1010,3)</f>
        <v>46090</v>
      </c>
      <c r="F1010" s="29" t="s">
        <v>191</v>
      </c>
      <c r="G1010" s="29" t="n">
        <v>2026</v>
      </c>
      <c r="H1010" s="29" t="s">
        <v>254</v>
      </c>
      <c r="I1010" s="29" t="n">
        <v>3</v>
      </c>
      <c r="J1010" s="29" t="s">
        <v>250</v>
      </c>
      <c r="K1010" s="29" t="s">
        <v>251</v>
      </c>
      <c r="L1010" s="29" t="n">
        <v>0.04</v>
      </c>
      <c r="M1010" s="32" t="n">
        <v>24493.77</v>
      </c>
      <c r="N1010" s="32" t="n">
        <v>24505.72</v>
      </c>
      <c r="O1010" s="32" t="n">
        <v>24464.88</v>
      </c>
      <c r="P1010" s="45" t="n">
        <f aca="false">ABS(M1010-N1010)</f>
        <v>11.9500000000007</v>
      </c>
      <c r="Q1010" s="45" t="n">
        <f aca="false">IF(O1010="","",ABS(O1010-M1010))</f>
        <v>28.8899999999994</v>
      </c>
      <c r="R1010" s="31" t="n">
        <f aca="false">P1010*L1010*Summary!$C$6</f>
        <v>47.8000000000029</v>
      </c>
      <c r="S1010" s="32" t="n">
        <v>24493.77</v>
      </c>
      <c r="T1010" s="29" t="s">
        <v>255</v>
      </c>
      <c r="U1010" s="45" t="n">
        <f aca="false">IF(J1010="BUY",S1010-M1010,M1010-S1010)</f>
        <v>0</v>
      </c>
      <c r="V1010" s="46" t="n">
        <v>0</v>
      </c>
      <c r="W1010" s="46" t="n">
        <v>0</v>
      </c>
      <c r="X1010" s="46" t="n">
        <v>0</v>
      </c>
      <c r="Y1010" s="33" t="n">
        <f aca="false">IFERROR(X1010/R1010,0)</f>
        <v>0</v>
      </c>
      <c r="Z1010" s="29" t="str">
        <f aca="false">IF(X1010&gt;0,"Win",IF(X1010&lt;0,"Loss","Flat"))</f>
        <v>Flat</v>
      </c>
      <c r="AA1010" s="29" t="n">
        <f aca="false">ROUND((C1010-B1010)*1440,1)</f>
        <v>3.4</v>
      </c>
      <c r="AB1010" s="29" t="str">
        <f aca="false">IF(AA1010&lt;1,"a) &lt;1 min",IF(AA1010&lt;10,"b) 1-10 min",IF(AA1010&lt;60,"c) 10-60 min",IF(AA1010&lt;240,"d) 1-4 h","e) 4 h+"))))</f>
        <v>b) 1-10 min</v>
      </c>
      <c r="AC1010" s="29" t="str">
        <f aca="false">IF(P1010&lt;10,"a) &lt;10",IF(P1010&lt;20,"b) 10-20",IF(P1010&lt;40,"c) 20-40",IF(P1010&lt;80,"d) 40-80","e) 80+"))))</f>
        <v>b) 10-20</v>
      </c>
      <c r="AD1010" s="31" t="n">
        <f aca="false">Summary!$C$5+SUM(X$2:X1010)</f>
        <v>23611.84</v>
      </c>
      <c r="AE1010" s="31" t="n">
        <f aca="false">MAX(AE1009,AD1010)</f>
        <v>23611.84</v>
      </c>
      <c r="AF1010" s="31" t="n">
        <f aca="false">AE1010-AD1010</f>
        <v>0</v>
      </c>
      <c r="AG1010" s="30" t="n">
        <f aca="false">IFERROR(AF1010/AE1010,0)</f>
        <v>0</v>
      </c>
    </row>
    <row r="1011" customFormat="false" ht="15" hidden="false" customHeight="false" outlineLevel="0" collapsed="false">
      <c r="A1011" s="29" t="n">
        <v>1010</v>
      </c>
      <c r="B1011" s="44" t="n">
        <v>46097.0423611111</v>
      </c>
      <c r="C1011" s="44" t="n">
        <v>46097.0425347222</v>
      </c>
      <c r="D1011" s="43" t="n">
        <f aca="false">INT(C1011)</f>
        <v>46097</v>
      </c>
      <c r="E1011" s="43" t="n">
        <f aca="false">D1011-WEEKDAY(D1011,3)</f>
        <v>46097</v>
      </c>
      <c r="F1011" s="29" t="s">
        <v>191</v>
      </c>
      <c r="G1011" s="29" t="n">
        <v>2026</v>
      </c>
      <c r="H1011" s="29" t="s">
        <v>245</v>
      </c>
      <c r="I1011" s="29" t="n">
        <v>1</v>
      </c>
      <c r="J1011" s="29" t="s">
        <v>250</v>
      </c>
      <c r="K1011" s="29" t="s">
        <v>251</v>
      </c>
      <c r="L1011" s="29" t="n">
        <v>0.04</v>
      </c>
      <c r="M1011" s="32" t="n">
        <v>24313.57</v>
      </c>
      <c r="N1011" s="32" t="n">
        <v>24331.3</v>
      </c>
      <c r="O1011" s="32" t="n">
        <v>24270.13</v>
      </c>
      <c r="P1011" s="45" t="n">
        <f aca="false">ABS(M1011-N1011)</f>
        <v>17.7299999999996</v>
      </c>
      <c r="Q1011" s="45" t="n">
        <f aca="false">IF(O1011="","",ABS(O1011-M1011))</f>
        <v>43.4399999999987</v>
      </c>
      <c r="R1011" s="31" t="n">
        <f aca="false">P1011*L1011*Summary!$C$6</f>
        <v>70.9199999999983</v>
      </c>
      <c r="S1011" s="32" t="n">
        <v>24333.31</v>
      </c>
      <c r="T1011" s="29" t="s">
        <v>249</v>
      </c>
      <c r="U1011" s="45" t="n">
        <f aca="false">IF(J1011="BUY",S1011-M1011,M1011-S1011)</f>
        <v>-19.7400000000016</v>
      </c>
      <c r="V1011" s="46" t="n">
        <v>0</v>
      </c>
      <c r="W1011" s="46" t="n">
        <v>0</v>
      </c>
      <c r="X1011" s="46" t="n">
        <v>-78.96</v>
      </c>
      <c r="Y1011" s="33" t="n">
        <f aca="false">IFERROR(X1011/R1011,0)</f>
        <v>-1.11336717428091</v>
      </c>
      <c r="Z1011" s="29" t="str">
        <f aca="false">IF(X1011&gt;0,"Win",IF(X1011&lt;0,"Loss","Flat"))</f>
        <v>Loss</v>
      </c>
      <c r="AA1011" s="29" t="n">
        <f aca="false">ROUND((C1011-B1011)*1440,1)</f>
        <v>0.3</v>
      </c>
      <c r="AB1011" s="29" t="str">
        <f aca="false">IF(AA1011&lt;1,"a) &lt;1 min",IF(AA1011&lt;10,"b) 1-10 min",IF(AA1011&lt;60,"c) 10-60 min",IF(AA1011&lt;240,"d) 1-4 h","e) 4 h+"))))</f>
        <v>a) &lt;1 min</v>
      </c>
      <c r="AC1011" s="29" t="str">
        <f aca="false">IF(P1011&lt;10,"a) &lt;10",IF(P1011&lt;20,"b) 10-20",IF(P1011&lt;40,"c) 20-40",IF(P1011&lt;80,"d) 40-80","e) 80+"))))</f>
        <v>b) 10-20</v>
      </c>
      <c r="AD1011" s="31" t="n">
        <f aca="false">Summary!$C$5+SUM(X$2:X1011)</f>
        <v>23532.88</v>
      </c>
      <c r="AE1011" s="31" t="n">
        <f aca="false">MAX(AE1010,AD1011)</f>
        <v>23611.84</v>
      </c>
      <c r="AF1011" s="31" t="n">
        <f aca="false">AE1011-AD1011</f>
        <v>78.9600000000028</v>
      </c>
      <c r="AG1011" s="30" t="n">
        <f aca="false">IFERROR(AF1011/AE1011,0)</f>
        <v>0.00334408500142313</v>
      </c>
    </row>
    <row r="1012" customFormat="false" ht="15" hidden="false" customHeight="false" outlineLevel="0" collapsed="false">
      <c r="A1012" s="29" t="n">
        <v>1011</v>
      </c>
      <c r="B1012" s="44" t="n">
        <v>46098.6895833333</v>
      </c>
      <c r="C1012" s="44" t="n">
        <v>46098.7109143519</v>
      </c>
      <c r="D1012" s="43" t="n">
        <f aca="false">INT(C1012)</f>
        <v>46098</v>
      </c>
      <c r="E1012" s="43" t="n">
        <f aca="false">D1012-WEEKDAY(D1012,3)</f>
        <v>46097</v>
      </c>
      <c r="F1012" s="29" t="s">
        <v>191</v>
      </c>
      <c r="G1012" s="29" t="n">
        <v>2026</v>
      </c>
      <c r="H1012" s="29" t="s">
        <v>248</v>
      </c>
      <c r="I1012" s="29" t="n">
        <v>16</v>
      </c>
      <c r="J1012" s="29" t="s">
        <v>246</v>
      </c>
      <c r="K1012" s="29" t="s">
        <v>247</v>
      </c>
      <c r="L1012" s="29" t="n">
        <v>0.04</v>
      </c>
      <c r="M1012" s="32" t="n">
        <v>24827.94</v>
      </c>
      <c r="N1012" s="32" t="n">
        <v>24798.67</v>
      </c>
      <c r="O1012" s="32" t="n">
        <v>24899.66</v>
      </c>
      <c r="P1012" s="45" t="n">
        <f aca="false">ABS(M1012-N1012)</f>
        <v>29.2700000000004</v>
      </c>
      <c r="Q1012" s="45" t="n">
        <f aca="false">IF(O1012="","",ABS(O1012-M1012))</f>
        <v>71.7200000000012</v>
      </c>
      <c r="R1012" s="31" t="n">
        <f aca="false">P1012*L1012*Summary!$C$6</f>
        <v>117.080000000002</v>
      </c>
      <c r="S1012" s="32" t="n">
        <v>24827.58</v>
      </c>
      <c r="T1012" s="29" t="s">
        <v>255</v>
      </c>
      <c r="U1012" s="45" t="n">
        <f aca="false">IF(J1012="BUY",S1012-M1012,M1012-S1012)</f>
        <v>-0.359999999996944</v>
      </c>
      <c r="V1012" s="46" t="n">
        <v>0</v>
      </c>
      <c r="W1012" s="46" t="n">
        <v>0</v>
      </c>
      <c r="X1012" s="46" t="n">
        <v>-1.44</v>
      </c>
      <c r="Y1012" s="33" t="n">
        <f aca="false">IFERROR(X1012/R1012,0)</f>
        <v>-0.0122992825418515</v>
      </c>
      <c r="Z1012" s="29" t="str">
        <f aca="false">IF(X1012&gt;0,"Win",IF(X1012&lt;0,"Loss","Flat"))</f>
        <v>Loss</v>
      </c>
      <c r="AA1012" s="29" t="n">
        <f aca="false">ROUND((C1012-B1012)*1440,1)</f>
        <v>30.7</v>
      </c>
      <c r="AB1012" s="29" t="str">
        <f aca="false">IF(AA1012&lt;1,"a) &lt;1 min",IF(AA1012&lt;10,"b) 1-10 min",IF(AA1012&lt;60,"c) 10-60 min",IF(AA1012&lt;240,"d) 1-4 h","e) 4 h+"))))</f>
        <v>c) 10-60 min</v>
      </c>
      <c r="AC1012" s="29" t="str">
        <f aca="false">IF(P1012&lt;10,"a) &lt;10",IF(P1012&lt;20,"b) 10-20",IF(P1012&lt;40,"c) 20-40",IF(P1012&lt;80,"d) 40-80","e) 80+"))))</f>
        <v>c) 20-40</v>
      </c>
      <c r="AD1012" s="31" t="n">
        <f aca="false">Summary!$C$5+SUM(X$2:X1012)</f>
        <v>23531.44</v>
      </c>
      <c r="AE1012" s="31" t="n">
        <f aca="false">MAX(AE1011,AD1012)</f>
        <v>23611.84</v>
      </c>
      <c r="AF1012" s="31" t="n">
        <f aca="false">AE1012-AD1012</f>
        <v>80.3999999999978</v>
      </c>
      <c r="AG1012" s="30" t="n">
        <f aca="false">IFERROR(AF1012/AE1012,0)</f>
        <v>0.00340507135403246</v>
      </c>
    </row>
    <row r="1013" customFormat="false" ht="15" hidden="false" customHeight="false" outlineLevel="0" collapsed="false">
      <c r="A1013" s="29" t="n">
        <v>1012</v>
      </c>
      <c r="B1013" s="44" t="n">
        <v>46099.2208333333</v>
      </c>
      <c r="C1013" s="44" t="n">
        <v>46099.2308796296</v>
      </c>
      <c r="D1013" s="43" t="n">
        <f aca="false">INT(C1013)</f>
        <v>46099</v>
      </c>
      <c r="E1013" s="43" t="n">
        <f aca="false">D1013-WEEKDAY(D1013,3)</f>
        <v>46097</v>
      </c>
      <c r="F1013" s="29" t="s">
        <v>191</v>
      </c>
      <c r="G1013" s="29" t="n">
        <v>2026</v>
      </c>
      <c r="H1013" s="29" t="s">
        <v>252</v>
      </c>
      <c r="I1013" s="29" t="n">
        <v>5</v>
      </c>
      <c r="J1013" s="29" t="s">
        <v>246</v>
      </c>
      <c r="K1013" s="29" t="s">
        <v>247</v>
      </c>
      <c r="L1013" s="29" t="n">
        <v>0.04</v>
      </c>
      <c r="M1013" s="32" t="n">
        <v>24887.12</v>
      </c>
      <c r="N1013" s="32" t="n">
        <v>24881.85</v>
      </c>
      <c r="O1013" s="32" t="n">
        <v>24900.04</v>
      </c>
      <c r="P1013" s="45" t="n">
        <f aca="false">ABS(M1013-N1013)</f>
        <v>5.27000000000044</v>
      </c>
      <c r="Q1013" s="45" t="n">
        <f aca="false">IF(O1013="","",ABS(O1013-M1013))</f>
        <v>12.9200000000019</v>
      </c>
      <c r="R1013" s="31" t="n">
        <f aca="false">P1013*L1013*Summary!$C$6</f>
        <v>21.0800000000017</v>
      </c>
      <c r="S1013" s="32" t="n">
        <v>24900.14</v>
      </c>
      <c r="T1013" s="29" t="s">
        <v>227</v>
      </c>
      <c r="U1013" s="45" t="n">
        <f aca="false">IF(J1013="BUY",S1013-M1013,M1013-S1013)</f>
        <v>13.0200000000004</v>
      </c>
      <c r="V1013" s="46" t="n">
        <v>0</v>
      </c>
      <c r="W1013" s="46" t="n">
        <v>0</v>
      </c>
      <c r="X1013" s="46" t="n">
        <v>52.08</v>
      </c>
      <c r="Y1013" s="33" t="n">
        <f aca="false">IFERROR(X1013/R1013,0)</f>
        <v>2.47058823529391</v>
      </c>
      <c r="Z1013" s="29" t="str">
        <f aca="false">IF(X1013&gt;0,"Win",IF(X1013&lt;0,"Loss","Flat"))</f>
        <v>Win</v>
      </c>
      <c r="AA1013" s="29" t="n">
        <f aca="false">ROUND((C1013-B1013)*1440,1)</f>
        <v>14.5</v>
      </c>
      <c r="AB1013" s="29" t="str">
        <f aca="false">IF(AA1013&lt;1,"a) &lt;1 min",IF(AA1013&lt;10,"b) 1-10 min",IF(AA1013&lt;60,"c) 10-60 min",IF(AA1013&lt;240,"d) 1-4 h","e) 4 h+"))))</f>
        <v>c) 10-60 min</v>
      </c>
      <c r="AC1013" s="29" t="str">
        <f aca="false">IF(P1013&lt;10,"a) &lt;10",IF(P1013&lt;20,"b) 10-20",IF(P1013&lt;40,"c) 20-40",IF(P1013&lt;80,"d) 40-80","e) 80+"))))</f>
        <v>a) &lt;10</v>
      </c>
      <c r="AD1013" s="31" t="n">
        <f aca="false">Summary!$C$5+SUM(X$2:X1013)</f>
        <v>23583.52</v>
      </c>
      <c r="AE1013" s="31" t="n">
        <f aca="false">MAX(AE1012,AD1013)</f>
        <v>23611.84</v>
      </c>
      <c r="AF1013" s="31" t="n">
        <f aca="false">AE1013-AD1013</f>
        <v>28.3199999999997</v>
      </c>
      <c r="AG1013" s="30" t="n">
        <f aca="false">IFERROR(AF1013/AE1013,0)</f>
        <v>0.00119939826798757</v>
      </c>
    </row>
    <row r="1014" customFormat="false" ht="15" hidden="false" customHeight="false" outlineLevel="0" collapsed="false">
      <c r="A1014" s="29" t="n">
        <v>1013</v>
      </c>
      <c r="B1014" s="44" t="n">
        <v>46099.9319444444</v>
      </c>
      <c r="C1014" s="44" t="n">
        <v>46099.9368518519</v>
      </c>
      <c r="D1014" s="43" t="n">
        <f aca="false">INT(C1014)</f>
        <v>46099</v>
      </c>
      <c r="E1014" s="43" t="n">
        <f aca="false">D1014-WEEKDAY(D1014,3)</f>
        <v>46097</v>
      </c>
      <c r="F1014" s="29" t="s">
        <v>191</v>
      </c>
      <c r="G1014" s="29" t="n">
        <v>2026</v>
      </c>
      <c r="H1014" s="29" t="s">
        <v>252</v>
      </c>
      <c r="I1014" s="29" t="n">
        <v>22</v>
      </c>
      <c r="J1014" s="29" t="s">
        <v>250</v>
      </c>
      <c r="K1014" s="29" t="s">
        <v>251</v>
      </c>
      <c r="L1014" s="29" t="n">
        <v>0.04</v>
      </c>
      <c r="M1014" s="32" t="n">
        <v>24505.8</v>
      </c>
      <c r="N1014" s="32" t="n">
        <v>24519.03</v>
      </c>
      <c r="O1014" s="32" t="n">
        <v>24473.4</v>
      </c>
      <c r="P1014" s="45" t="n">
        <f aca="false">ABS(M1014-N1014)</f>
        <v>13.2299999999996</v>
      </c>
      <c r="Q1014" s="45" t="n">
        <f aca="false">IF(O1014="","",ABS(O1014-M1014))</f>
        <v>32.3999999999978</v>
      </c>
      <c r="R1014" s="31" t="n">
        <f aca="false">P1014*L1014*Summary!$C$6</f>
        <v>52.9199999999983</v>
      </c>
      <c r="S1014" s="32" t="n">
        <v>24506.03</v>
      </c>
      <c r="T1014" s="29" t="s">
        <v>255</v>
      </c>
      <c r="U1014" s="45" t="n">
        <f aca="false">IF(J1014="BUY",S1014-M1014,M1014-S1014)</f>
        <v>-0.229999999999563</v>
      </c>
      <c r="V1014" s="46" t="n">
        <v>0</v>
      </c>
      <c r="W1014" s="46" t="n">
        <v>0</v>
      </c>
      <c r="X1014" s="46" t="n">
        <v>-0.92</v>
      </c>
      <c r="Y1014" s="33" t="n">
        <f aca="false">IFERROR(X1014/R1014,0)</f>
        <v>-0.0173847316704465</v>
      </c>
      <c r="Z1014" s="29" t="str">
        <f aca="false">IF(X1014&gt;0,"Win",IF(X1014&lt;0,"Loss","Flat"))</f>
        <v>Loss</v>
      </c>
      <c r="AA1014" s="29" t="n">
        <f aca="false">ROUND((C1014-B1014)*1440,1)</f>
        <v>7.1</v>
      </c>
      <c r="AB1014" s="29" t="str">
        <f aca="false">IF(AA1014&lt;1,"a) &lt;1 min",IF(AA1014&lt;10,"b) 1-10 min",IF(AA1014&lt;60,"c) 10-60 min",IF(AA1014&lt;240,"d) 1-4 h","e) 4 h+"))))</f>
        <v>b) 1-10 min</v>
      </c>
      <c r="AC1014" s="29" t="str">
        <f aca="false">IF(P1014&lt;10,"a) &lt;10",IF(P1014&lt;20,"b) 10-20",IF(P1014&lt;40,"c) 20-40",IF(P1014&lt;80,"d) 40-80","e) 80+"))))</f>
        <v>b) 10-20</v>
      </c>
      <c r="AD1014" s="31" t="n">
        <f aca="false">Summary!$C$5+SUM(X$2:X1014)</f>
        <v>23582.6</v>
      </c>
      <c r="AE1014" s="31" t="n">
        <f aca="false">MAX(AE1013,AD1014)</f>
        <v>23611.84</v>
      </c>
      <c r="AF1014" s="31" t="n">
        <f aca="false">AE1014-AD1014</f>
        <v>29.2400000000016</v>
      </c>
      <c r="AG1014" s="30" t="n">
        <f aca="false">IFERROR(AF1014/AE1014,0)</f>
        <v>0.00123836177104375</v>
      </c>
    </row>
    <row r="1015" customFormat="false" ht="15" hidden="false" customHeight="false" outlineLevel="0" collapsed="false">
      <c r="A1015" s="29" t="n">
        <v>1014</v>
      </c>
      <c r="B1015" s="44" t="n">
        <v>46100.0430555556</v>
      </c>
      <c r="C1015" s="44" t="n">
        <v>46100.0470138889</v>
      </c>
      <c r="D1015" s="43" t="n">
        <f aca="false">INT(C1015)</f>
        <v>46100</v>
      </c>
      <c r="E1015" s="43" t="n">
        <f aca="false">D1015-WEEKDAY(D1015,3)</f>
        <v>46097</v>
      </c>
      <c r="F1015" s="29" t="s">
        <v>191</v>
      </c>
      <c r="G1015" s="29" t="n">
        <v>2026</v>
      </c>
      <c r="H1015" s="29" t="s">
        <v>253</v>
      </c>
      <c r="I1015" s="29" t="n">
        <v>1</v>
      </c>
      <c r="J1015" s="29" t="s">
        <v>250</v>
      </c>
      <c r="K1015" s="29" t="s">
        <v>251</v>
      </c>
      <c r="L1015" s="29" t="n">
        <v>0.04</v>
      </c>
      <c r="M1015" s="32" t="n">
        <v>24389.65</v>
      </c>
      <c r="N1015" s="32" t="n">
        <v>24400.98</v>
      </c>
      <c r="O1015" s="32" t="n">
        <v>24362.35</v>
      </c>
      <c r="P1015" s="45" t="n">
        <f aca="false">ABS(M1015-N1015)</f>
        <v>11.3299999999981</v>
      </c>
      <c r="Q1015" s="45" t="n">
        <f aca="false">IF(O1015="","",ABS(O1015-M1015))</f>
        <v>27.3000000000029</v>
      </c>
      <c r="R1015" s="31" t="n">
        <f aca="false">P1015*L1015*Summary!$C$6</f>
        <v>45.3199999999924</v>
      </c>
      <c r="S1015" s="32" t="n">
        <v>24390.64</v>
      </c>
      <c r="T1015" s="29" t="s">
        <v>255</v>
      </c>
      <c r="U1015" s="45" t="n">
        <f aca="false">IF(J1015="BUY",S1015-M1015,M1015-S1015)</f>
        <v>-0.989999999997963</v>
      </c>
      <c r="V1015" s="46" t="n">
        <v>0</v>
      </c>
      <c r="W1015" s="46" t="n">
        <v>0</v>
      </c>
      <c r="X1015" s="46" t="n">
        <v>-3.96</v>
      </c>
      <c r="Y1015" s="33" t="n">
        <f aca="false">IFERROR(X1015/R1015,0)</f>
        <v>-0.0873786407767136</v>
      </c>
      <c r="Z1015" s="29" t="str">
        <f aca="false">IF(X1015&gt;0,"Win",IF(X1015&lt;0,"Loss","Flat"))</f>
        <v>Loss</v>
      </c>
      <c r="AA1015" s="29" t="n">
        <f aca="false">ROUND((C1015-B1015)*1440,1)</f>
        <v>5.7</v>
      </c>
      <c r="AB1015" s="29" t="str">
        <f aca="false">IF(AA1015&lt;1,"a) &lt;1 min",IF(AA1015&lt;10,"b) 1-10 min",IF(AA1015&lt;60,"c) 10-60 min",IF(AA1015&lt;240,"d) 1-4 h","e) 4 h+"))))</f>
        <v>b) 1-10 min</v>
      </c>
      <c r="AC1015" s="29" t="str">
        <f aca="false">IF(P1015&lt;10,"a) &lt;10",IF(P1015&lt;20,"b) 10-20",IF(P1015&lt;40,"c) 20-40",IF(P1015&lt;80,"d) 40-80","e) 80+"))))</f>
        <v>b) 10-20</v>
      </c>
      <c r="AD1015" s="31" t="n">
        <f aca="false">Summary!$C$5+SUM(X$2:X1015)</f>
        <v>23578.64</v>
      </c>
      <c r="AE1015" s="31" t="n">
        <f aca="false">MAX(AE1014,AD1015)</f>
        <v>23611.84</v>
      </c>
      <c r="AF1015" s="31" t="n">
        <f aca="false">AE1015-AD1015</f>
        <v>33.2000000000007</v>
      </c>
      <c r="AG1015" s="30" t="n">
        <f aca="false">IFERROR(AF1015/AE1015,0)</f>
        <v>0.00140607424071994</v>
      </c>
    </row>
    <row r="1016" customFormat="false" ht="15" hidden="false" customHeight="false" outlineLevel="0" collapsed="false">
      <c r="A1016" s="29" t="n">
        <v>1015</v>
      </c>
      <c r="B1016" s="44" t="n">
        <v>46101.7069444444</v>
      </c>
      <c r="C1016" s="44" t="n">
        <v>46101.7122222222</v>
      </c>
      <c r="D1016" s="43" t="n">
        <f aca="false">INT(C1016)</f>
        <v>46101</v>
      </c>
      <c r="E1016" s="43" t="n">
        <f aca="false">D1016-WEEKDAY(D1016,3)</f>
        <v>46097</v>
      </c>
      <c r="F1016" s="29" t="s">
        <v>191</v>
      </c>
      <c r="G1016" s="29" t="n">
        <v>2026</v>
      </c>
      <c r="H1016" s="29" t="s">
        <v>254</v>
      </c>
      <c r="I1016" s="29" t="n">
        <v>16</v>
      </c>
      <c r="J1016" s="29" t="s">
        <v>250</v>
      </c>
      <c r="K1016" s="29" t="s">
        <v>251</v>
      </c>
      <c r="L1016" s="29" t="n">
        <v>0.04</v>
      </c>
      <c r="M1016" s="32" t="n">
        <v>24099.08</v>
      </c>
      <c r="N1016" s="32" t="n">
        <v>24122.31</v>
      </c>
      <c r="O1016" s="32" t="n">
        <v>24042.16</v>
      </c>
      <c r="P1016" s="45" t="n">
        <f aca="false">ABS(M1016-N1016)</f>
        <v>23.2299999999996</v>
      </c>
      <c r="Q1016" s="45" t="n">
        <f aca="false">IF(O1016="","",ABS(O1016-M1016))</f>
        <v>56.9200000000019</v>
      </c>
      <c r="R1016" s="31" t="n">
        <f aca="false">P1016*L1016*Summary!$C$6</f>
        <v>92.9199999999983</v>
      </c>
      <c r="S1016" s="32" t="n">
        <v>24100.59</v>
      </c>
      <c r="T1016" s="29" t="s">
        <v>255</v>
      </c>
      <c r="U1016" s="45" t="n">
        <f aca="false">IF(J1016="BUY",S1016-M1016,M1016-S1016)</f>
        <v>-1.5099999999984</v>
      </c>
      <c r="V1016" s="46" t="n">
        <v>0</v>
      </c>
      <c r="W1016" s="46" t="n">
        <v>0</v>
      </c>
      <c r="X1016" s="46" t="n">
        <v>-6.04</v>
      </c>
      <c r="Y1016" s="33" t="n">
        <f aca="false">IFERROR(X1016/R1016,0)</f>
        <v>-0.0650021523891532</v>
      </c>
      <c r="Z1016" s="29" t="str">
        <f aca="false">IF(X1016&gt;0,"Win",IF(X1016&lt;0,"Loss","Flat"))</f>
        <v>Loss</v>
      </c>
      <c r="AA1016" s="29" t="n">
        <f aca="false">ROUND((C1016-B1016)*1440,1)</f>
        <v>7.6</v>
      </c>
      <c r="AB1016" s="29" t="str">
        <f aca="false">IF(AA1016&lt;1,"a) &lt;1 min",IF(AA1016&lt;10,"b) 1-10 min",IF(AA1016&lt;60,"c) 10-60 min",IF(AA1016&lt;240,"d) 1-4 h","e) 4 h+"))))</f>
        <v>b) 1-10 min</v>
      </c>
      <c r="AC1016" s="29" t="str">
        <f aca="false">IF(P1016&lt;10,"a) &lt;10",IF(P1016&lt;20,"b) 10-20",IF(P1016&lt;40,"c) 20-40",IF(P1016&lt;80,"d) 40-80","e) 80+"))))</f>
        <v>c) 20-40</v>
      </c>
      <c r="AD1016" s="31" t="n">
        <f aca="false">Summary!$C$5+SUM(X$2:X1016)</f>
        <v>23572.6</v>
      </c>
      <c r="AE1016" s="31" t="n">
        <f aca="false">MAX(AE1015,AD1016)</f>
        <v>23611.84</v>
      </c>
      <c r="AF1016" s="31" t="n">
        <f aca="false">AE1016-AD1016</f>
        <v>39.2400000000016</v>
      </c>
      <c r="AG1016" s="30" t="n">
        <f aca="false">IFERROR(AF1016/AE1016,0)</f>
        <v>0.00166187810860999</v>
      </c>
    </row>
    <row r="1017" customFormat="false" ht="15" hidden="false" customHeight="false" outlineLevel="0" collapsed="false">
      <c r="A1017" s="29" t="n">
        <v>1016</v>
      </c>
      <c r="B1017" s="44" t="n">
        <v>46104.0423611111</v>
      </c>
      <c r="C1017" s="44" t="n">
        <v>46104.0476388889</v>
      </c>
      <c r="D1017" s="43" t="n">
        <f aca="false">INT(C1017)</f>
        <v>46104</v>
      </c>
      <c r="E1017" s="43" t="n">
        <f aca="false">D1017-WEEKDAY(D1017,3)</f>
        <v>46104</v>
      </c>
      <c r="F1017" s="29" t="s">
        <v>191</v>
      </c>
      <c r="G1017" s="29" t="n">
        <v>2026</v>
      </c>
      <c r="H1017" s="29" t="s">
        <v>245</v>
      </c>
      <c r="I1017" s="29" t="n">
        <v>1</v>
      </c>
      <c r="J1017" s="29" t="s">
        <v>250</v>
      </c>
      <c r="K1017" s="29" t="s">
        <v>251</v>
      </c>
      <c r="L1017" s="29" t="n">
        <v>0.04</v>
      </c>
      <c r="M1017" s="32" t="n">
        <v>23733.78</v>
      </c>
      <c r="N1017" s="32" t="n">
        <v>23787.68</v>
      </c>
      <c r="O1017" s="32" t="n">
        <v>23591.28</v>
      </c>
      <c r="P1017" s="45" t="n">
        <f aca="false">ABS(M1017-N1017)</f>
        <v>53.9000000000015</v>
      </c>
      <c r="Q1017" s="45" t="n">
        <f aca="false">IF(O1017="","",ABS(O1017-M1017))</f>
        <v>142.5</v>
      </c>
      <c r="R1017" s="31" t="n">
        <f aca="false">P1017*L1017*Summary!$C$6</f>
        <v>215.600000000006</v>
      </c>
      <c r="S1017" s="32" t="n">
        <v>23788.59</v>
      </c>
      <c r="T1017" s="29" t="s">
        <v>249</v>
      </c>
      <c r="U1017" s="45" t="n">
        <f aca="false">IF(J1017="BUY",S1017-M1017,M1017-S1017)</f>
        <v>-54.8100000000013</v>
      </c>
      <c r="V1017" s="46" t="n">
        <v>0</v>
      </c>
      <c r="W1017" s="46" t="n">
        <v>0</v>
      </c>
      <c r="X1017" s="46" t="n">
        <v>-219.24</v>
      </c>
      <c r="Y1017" s="33" t="n">
        <f aca="false">IFERROR(X1017/R1017,0)</f>
        <v>-1.01688311688309</v>
      </c>
      <c r="Z1017" s="29" t="str">
        <f aca="false">IF(X1017&gt;0,"Win",IF(X1017&lt;0,"Loss","Flat"))</f>
        <v>Loss</v>
      </c>
      <c r="AA1017" s="29" t="n">
        <f aca="false">ROUND((C1017-B1017)*1440,1)</f>
        <v>7.6</v>
      </c>
      <c r="AB1017" s="29" t="str">
        <f aca="false">IF(AA1017&lt;1,"a) &lt;1 min",IF(AA1017&lt;10,"b) 1-10 min",IF(AA1017&lt;60,"c) 10-60 min",IF(AA1017&lt;240,"d) 1-4 h","e) 4 h+"))))</f>
        <v>b) 1-10 min</v>
      </c>
      <c r="AC1017" s="29" t="str">
        <f aca="false">IF(P1017&lt;10,"a) &lt;10",IF(P1017&lt;20,"b) 10-20",IF(P1017&lt;40,"c) 20-40",IF(P1017&lt;80,"d) 40-80","e) 80+"))))</f>
        <v>d) 40-80</v>
      </c>
      <c r="AD1017" s="31" t="n">
        <f aca="false">Summary!$C$5+SUM(X$2:X1017)</f>
        <v>23353.36</v>
      </c>
      <c r="AE1017" s="31" t="n">
        <f aca="false">MAX(AE1016,AD1017)</f>
        <v>23611.84</v>
      </c>
      <c r="AF1017" s="31" t="n">
        <f aca="false">AE1017-AD1017</f>
        <v>258.48</v>
      </c>
      <c r="AG1017" s="30" t="n">
        <f aca="false">IFERROR(AF1017/AE1017,0)</f>
        <v>0.0109470502934121</v>
      </c>
    </row>
    <row r="1018" customFormat="false" ht="15" hidden="false" customHeight="false" outlineLevel="0" collapsed="false">
      <c r="A1018" s="29" t="n">
        <v>1017</v>
      </c>
      <c r="B1018" s="44" t="n">
        <v>46104.5965277778</v>
      </c>
      <c r="C1018" s="44" t="n">
        <v>46104.5978356482</v>
      </c>
      <c r="D1018" s="43" t="n">
        <f aca="false">INT(C1018)</f>
        <v>46104</v>
      </c>
      <c r="E1018" s="43" t="n">
        <f aca="false">D1018-WEEKDAY(D1018,3)</f>
        <v>46104</v>
      </c>
      <c r="F1018" s="29" t="s">
        <v>191</v>
      </c>
      <c r="G1018" s="29" t="n">
        <v>2026</v>
      </c>
      <c r="H1018" s="29" t="s">
        <v>245</v>
      </c>
      <c r="I1018" s="29" t="n">
        <v>14</v>
      </c>
      <c r="J1018" s="29" t="s">
        <v>246</v>
      </c>
      <c r="K1018" s="29" t="s">
        <v>247</v>
      </c>
      <c r="L1018" s="29" t="n">
        <v>0.04</v>
      </c>
      <c r="M1018" s="32" t="n">
        <v>24447.79</v>
      </c>
      <c r="N1018" s="32" t="n">
        <v>24278.71</v>
      </c>
      <c r="O1018" s="32" t="n">
        <v>24862.03</v>
      </c>
      <c r="P1018" s="45" t="n">
        <f aca="false">ABS(M1018-N1018)</f>
        <v>169.080000000002</v>
      </c>
      <c r="Q1018" s="45" t="n">
        <f aca="false">IF(O1018="","",ABS(O1018-M1018))</f>
        <v>414.239999999998</v>
      </c>
      <c r="R1018" s="31" t="n">
        <f aca="false">P1018*L1018*Summary!$C$6</f>
        <v>676.320000000007</v>
      </c>
      <c r="S1018" s="32" t="n">
        <v>24353.46</v>
      </c>
      <c r="T1018" s="29" t="s">
        <v>256</v>
      </c>
      <c r="U1018" s="45" t="n">
        <f aca="false">IF(J1018="BUY",S1018-M1018,M1018-S1018)</f>
        <v>-94.3300000000018</v>
      </c>
      <c r="V1018" s="46" t="n">
        <v>0</v>
      </c>
      <c r="W1018" s="46" t="n">
        <v>0</v>
      </c>
      <c r="X1018" s="46" t="n">
        <v>-377.32</v>
      </c>
      <c r="Y1018" s="33" t="n">
        <f aca="false">IFERROR(X1018/R1018,0)</f>
        <v>-0.557901585048492</v>
      </c>
      <c r="Z1018" s="29" t="str">
        <f aca="false">IF(X1018&gt;0,"Win",IF(X1018&lt;0,"Loss","Flat"))</f>
        <v>Loss</v>
      </c>
      <c r="AA1018" s="29" t="n">
        <f aca="false">ROUND((C1018-B1018)*1440,1)</f>
        <v>1.9</v>
      </c>
      <c r="AB1018" s="29" t="str">
        <f aca="false">IF(AA1018&lt;1,"a) &lt;1 min",IF(AA1018&lt;10,"b) 1-10 min",IF(AA1018&lt;60,"c) 10-60 min",IF(AA1018&lt;240,"d) 1-4 h","e) 4 h+"))))</f>
        <v>b) 1-10 min</v>
      </c>
      <c r="AC1018" s="29" t="str">
        <f aca="false">IF(P1018&lt;10,"a) &lt;10",IF(P1018&lt;20,"b) 10-20",IF(P1018&lt;40,"c) 20-40",IF(P1018&lt;80,"d) 40-80","e) 80+"))))</f>
        <v>e) 80+</v>
      </c>
      <c r="AD1018" s="31" t="n">
        <f aca="false">Summary!$C$5+SUM(X$2:X1018)</f>
        <v>22976.04</v>
      </c>
      <c r="AE1018" s="31" t="n">
        <f aca="false">MAX(AE1017,AD1018)</f>
        <v>23611.84</v>
      </c>
      <c r="AF1018" s="31" t="n">
        <f aca="false">AE1018-AD1018</f>
        <v>635.799999999999</v>
      </c>
      <c r="AG1018" s="30" t="n">
        <f aca="false">IFERROR(AF1018/AE1018,0)</f>
        <v>0.0269271687424614</v>
      </c>
    </row>
    <row r="1019" customFormat="false" ht="15" hidden="false" customHeight="false" outlineLevel="0" collapsed="false">
      <c r="A1019" s="29" t="n">
        <v>1018</v>
      </c>
      <c r="B1019" s="44" t="n">
        <v>46106.4694444445</v>
      </c>
      <c r="C1019" s="44" t="n">
        <v>46106.4740740741</v>
      </c>
      <c r="D1019" s="43" t="n">
        <f aca="false">INT(C1019)</f>
        <v>46106</v>
      </c>
      <c r="E1019" s="43" t="n">
        <f aca="false">D1019-WEEKDAY(D1019,3)</f>
        <v>46104</v>
      </c>
      <c r="F1019" s="29" t="s">
        <v>191</v>
      </c>
      <c r="G1019" s="29" t="n">
        <v>2026</v>
      </c>
      <c r="H1019" s="29" t="s">
        <v>252</v>
      </c>
      <c r="I1019" s="29" t="n">
        <v>11</v>
      </c>
      <c r="J1019" s="29" t="s">
        <v>246</v>
      </c>
      <c r="K1019" s="29" t="s">
        <v>247</v>
      </c>
      <c r="L1019" s="29" t="n">
        <v>0.04</v>
      </c>
      <c r="M1019" s="32" t="n">
        <v>24305.11</v>
      </c>
      <c r="N1019" s="32" t="n">
        <v>24290.8</v>
      </c>
      <c r="O1019" s="32" t="n">
        <v>24340.17</v>
      </c>
      <c r="P1019" s="45" t="n">
        <f aca="false">ABS(M1019-N1019)</f>
        <v>14.3100000000013</v>
      </c>
      <c r="Q1019" s="45" t="n">
        <f aca="false">IF(O1019="","",ABS(O1019-M1019))</f>
        <v>35.0599999999977</v>
      </c>
      <c r="R1019" s="31" t="n">
        <f aca="false">P1019*L1019*Summary!$C$6</f>
        <v>57.2400000000052</v>
      </c>
      <c r="S1019" s="32" t="n">
        <v>24304.91</v>
      </c>
      <c r="T1019" s="29" t="s">
        <v>255</v>
      </c>
      <c r="U1019" s="45" t="n">
        <f aca="false">IF(J1019="BUY",S1019-M1019,M1019-S1019)</f>
        <v>-0.200000000000728</v>
      </c>
      <c r="V1019" s="46" t="n">
        <v>0</v>
      </c>
      <c r="W1019" s="46" t="n">
        <v>0</v>
      </c>
      <c r="X1019" s="46" t="n">
        <v>-0.8</v>
      </c>
      <c r="Y1019" s="33" t="n">
        <f aca="false">IFERROR(X1019/R1019,0)</f>
        <v>-0.0139762403913335</v>
      </c>
      <c r="Z1019" s="29" t="str">
        <f aca="false">IF(X1019&gt;0,"Win",IF(X1019&lt;0,"Loss","Flat"))</f>
        <v>Loss</v>
      </c>
      <c r="AA1019" s="29" t="n">
        <f aca="false">ROUND((C1019-B1019)*1440,1)</f>
        <v>6.7</v>
      </c>
      <c r="AB1019" s="29" t="str">
        <f aca="false">IF(AA1019&lt;1,"a) &lt;1 min",IF(AA1019&lt;10,"b) 1-10 min",IF(AA1019&lt;60,"c) 10-60 min",IF(AA1019&lt;240,"d) 1-4 h","e) 4 h+"))))</f>
        <v>b) 1-10 min</v>
      </c>
      <c r="AC1019" s="29" t="str">
        <f aca="false">IF(P1019&lt;10,"a) &lt;10",IF(P1019&lt;20,"b) 10-20",IF(P1019&lt;40,"c) 20-40",IF(P1019&lt;80,"d) 40-80","e) 80+"))))</f>
        <v>b) 10-20</v>
      </c>
      <c r="AD1019" s="31" t="n">
        <f aca="false">Summary!$C$5+SUM(X$2:X1019)</f>
        <v>22975.24</v>
      </c>
      <c r="AE1019" s="31" t="n">
        <f aca="false">MAX(AE1018,AD1019)</f>
        <v>23611.84</v>
      </c>
      <c r="AF1019" s="31" t="n">
        <f aca="false">AE1019-AD1019</f>
        <v>636.600000000002</v>
      </c>
      <c r="AG1019" s="30" t="n">
        <f aca="false">IFERROR(AF1019/AE1019,0)</f>
        <v>0.0269610500494668</v>
      </c>
    </row>
    <row r="1020" customFormat="false" ht="15" hidden="false" customHeight="false" outlineLevel="0" collapsed="false">
      <c r="A1020" s="29" t="n">
        <v>1019</v>
      </c>
      <c r="B1020" s="44" t="n">
        <v>46107.2319444444</v>
      </c>
      <c r="C1020" s="44" t="n">
        <v>46107.2381365741</v>
      </c>
      <c r="D1020" s="43" t="n">
        <f aca="false">INT(C1020)</f>
        <v>46107</v>
      </c>
      <c r="E1020" s="43" t="n">
        <f aca="false">D1020-WEEKDAY(D1020,3)</f>
        <v>46104</v>
      </c>
      <c r="F1020" s="29" t="s">
        <v>191</v>
      </c>
      <c r="G1020" s="29" t="n">
        <v>2026</v>
      </c>
      <c r="H1020" s="29" t="s">
        <v>253</v>
      </c>
      <c r="I1020" s="29" t="n">
        <v>5</v>
      </c>
      <c r="J1020" s="29" t="s">
        <v>250</v>
      </c>
      <c r="K1020" s="29" t="s">
        <v>251</v>
      </c>
      <c r="L1020" s="29" t="n">
        <v>0.04</v>
      </c>
      <c r="M1020" s="32" t="n">
        <v>24067.52</v>
      </c>
      <c r="N1020" s="32" t="n">
        <v>24080.21</v>
      </c>
      <c r="O1020" s="32" t="n">
        <v>24036.43</v>
      </c>
      <c r="P1020" s="45" t="n">
        <f aca="false">ABS(M1020-N1020)</f>
        <v>12.6899999999987</v>
      </c>
      <c r="Q1020" s="45" t="n">
        <f aca="false">IF(O1020="","",ABS(O1020-M1020))</f>
        <v>31.0900000000001</v>
      </c>
      <c r="R1020" s="31" t="n">
        <f aca="false">P1020*L1020*Summary!$C$6</f>
        <v>50.7599999999948</v>
      </c>
      <c r="S1020" s="32" t="n">
        <v>24067.55</v>
      </c>
      <c r="T1020" s="29" t="s">
        <v>255</v>
      </c>
      <c r="U1020" s="45" t="n">
        <f aca="false">IF(J1020="BUY",S1020-M1020,M1020-S1020)</f>
        <v>-0.0299999999988358</v>
      </c>
      <c r="V1020" s="46" t="n">
        <v>0</v>
      </c>
      <c r="W1020" s="46" t="n">
        <v>0</v>
      </c>
      <c r="X1020" s="46" t="n">
        <v>-0.12</v>
      </c>
      <c r="Y1020" s="33" t="n">
        <f aca="false">IFERROR(X1020/R1020,0)</f>
        <v>-0.00236406619385367</v>
      </c>
      <c r="Z1020" s="29" t="str">
        <f aca="false">IF(X1020&gt;0,"Win",IF(X1020&lt;0,"Loss","Flat"))</f>
        <v>Loss</v>
      </c>
      <c r="AA1020" s="29" t="n">
        <f aca="false">ROUND((C1020-B1020)*1440,1)</f>
        <v>8.9</v>
      </c>
      <c r="AB1020" s="29" t="str">
        <f aca="false">IF(AA1020&lt;1,"a) &lt;1 min",IF(AA1020&lt;10,"b) 1-10 min",IF(AA1020&lt;60,"c) 10-60 min",IF(AA1020&lt;240,"d) 1-4 h","e) 4 h+"))))</f>
        <v>b) 1-10 min</v>
      </c>
      <c r="AC1020" s="29" t="str">
        <f aca="false">IF(P1020&lt;10,"a) &lt;10",IF(P1020&lt;20,"b) 10-20",IF(P1020&lt;40,"c) 20-40",IF(P1020&lt;80,"d) 40-80","e) 80+"))))</f>
        <v>b) 10-20</v>
      </c>
      <c r="AD1020" s="31" t="n">
        <f aca="false">Summary!$C$5+SUM(X$2:X1020)</f>
        <v>22975.12</v>
      </c>
      <c r="AE1020" s="31" t="n">
        <f aca="false">MAX(AE1019,AD1020)</f>
        <v>23611.84</v>
      </c>
      <c r="AF1020" s="31" t="n">
        <f aca="false">AE1020-AD1020</f>
        <v>636.720000000001</v>
      </c>
      <c r="AG1020" s="30" t="n">
        <f aca="false">IFERROR(AF1020/AE1020,0)</f>
        <v>0.0269661322455176</v>
      </c>
    </row>
    <row r="1021" customFormat="false" ht="15" hidden="false" customHeight="false" outlineLevel="0" collapsed="false">
      <c r="A1021" s="29" t="n">
        <v>1020</v>
      </c>
      <c r="B1021" s="44" t="n">
        <v>46108.5034722222</v>
      </c>
      <c r="C1021" s="44" t="n">
        <v>46108.5074421296</v>
      </c>
      <c r="D1021" s="43" t="n">
        <f aca="false">INT(C1021)</f>
        <v>46108</v>
      </c>
      <c r="E1021" s="43" t="n">
        <f aca="false">D1021-WEEKDAY(D1021,3)</f>
        <v>46104</v>
      </c>
      <c r="F1021" s="29" t="s">
        <v>191</v>
      </c>
      <c r="G1021" s="29" t="n">
        <v>2026</v>
      </c>
      <c r="H1021" s="29" t="s">
        <v>254</v>
      </c>
      <c r="I1021" s="29" t="n">
        <v>12</v>
      </c>
      <c r="J1021" s="29" t="s">
        <v>250</v>
      </c>
      <c r="K1021" s="29" t="s">
        <v>251</v>
      </c>
      <c r="L1021" s="29" t="n">
        <v>0.04</v>
      </c>
      <c r="M1021" s="32" t="n">
        <v>23561.38</v>
      </c>
      <c r="N1021" s="32" t="n">
        <v>23576.79</v>
      </c>
      <c r="O1021" s="32" t="n">
        <v>23524.42</v>
      </c>
      <c r="P1021" s="45" t="n">
        <f aca="false">ABS(M1021-N1021)</f>
        <v>15.4099999999999</v>
      </c>
      <c r="Q1021" s="45" t="n">
        <f aca="false">IF(O1021="","",ABS(O1021-M1021))</f>
        <v>36.9600000000028</v>
      </c>
      <c r="R1021" s="31" t="n">
        <f aca="false">P1021*L1021*Summary!$C$6</f>
        <v>61.6399999999994</v>
      </c>
      <c r="S1021" s="32" t="n">
        <v>23524.08</v>
      </c>
      <c r="T1021" s="29" t="s">
        <v>227</v>
      </c>
      <c r="U1021" s="45" t="n">
        <f aca="false">IF(J1021="BUY",S1021-M1021,M1021-S1021)</f>
        <v>37.2999999999993</v>
      </c>
      <c r="V1021" s="46" t="n">
        <v>0</v>
      </c>
      <c r="W1021" s="46" t="n">
        <v>0</v>
      </c>
      <c r="X1021" s="46" t="n">
        <v>149.2</v>
      </c>
      <c r="Y1021" s="33" t="n">
        <f aca="false">IFERROR(X1021/R1021,0)</f>
        <v>2.42050616482806</v>
      </c>
      <c r="Z1021" s="29" t="str">
        <f aca="false">IF(X1021&gt;0,"Win",IF(X1021&lt;0,"Loss","Flat"))</f>
        <v>Win</v>
      </c>
      <c r="AA1021" s="29" t="n">
        <f aca="false">ROUND((C1021-B1021)*1440,1)</f>
        <v>5.7</v>
      </c>
      <c r="AB1021" s="29" t="str">
        <f aca="false">IF(AA1021&lt;1,"a) &lt;1 min",IF(AA1021&lt;10,"b) 1-10 min",IF(AA1021&lt;60,"c) 10-60 min",IF(AA1021&lt;240,"d) 1-4 h","e) 4 h+"))))</f>
        <v>b) 1-10 min</v>
      </c>
      <c r="AC1021" s="29" t="str">
        <f aca="false">IF(P1021&lt;10,"a) &lt;10",IF(P1021&lt;20,"b) 10-20",IF(P1021&lt;40,"c) 20-40",IF(P1021&lt;80,"d) 40-80","e) 80+"))))</f>
        <v>b) 10-20</v>
      </c>
      <c r="AD1021" s="31" t="n">
        <f aca="false">Summary!$C$5+SUM(X$2:X1021)</f>
        <v>23124.32</v>
      </c>
      <c r="AE1021" s="31" t="n">
        <f aca="false">MAX(AE1020,AD1021)</f>
        <v>23611.84</v>
      </c>
      <c r="AF1021" s="31" t="n">
        <f aca="false">AE1021-AD1021</f>
        <v>487.52</v>
      </c>
      <c r="AG1021" s="30" t="n">
        <f aca="false">IFERROR(AF1021/AE1021,0)</f>
        <v>0.0206472684890293</v>
      </c>
    </row>
    <row r="1022" customFormat="false" ht="15" hidden="false" customHeight="false" outlineLevel="0" collapsed="false">
      <c r="A1022" s="29" t="n">
        <v>1021</v>
      </c>
      <c r="B1022" s="44" t="n">
        <v>46111.0423611111</v>
      </c>
      <c r="C1022" s="44" t="n">
        <v>46111.0431018519</v>
      </c>
      <c r="D1022" s="43" t="n">
        <f aca="false">INT(C1022)</f>
        <v>46111</v>
      </c>
      <c r="E1022" s="43" t="n">
        <f aca="false">D1022-WEEKDAY(D1022,3)</f>
        <v>46111</v>
      </c>
      <c r="F1022" s="29" t="s">
        <v>191</v>
      </c>
      <c r="G1022" s="29" t="n">
        <v>2026</v>
      </c>
      <c r="H1022" s="29" t="s">
        <v>245</v>
      </c>
      <c r="I1022" s="29" t="n">
        <v>1</v>
      </c>
      <c r="J1022" s="29" t="s">
        <v>250</v>
      </c>
      <c r="K1022" s="29" t="s">
        <v>251</v>
      </c>
      <c r="L1022" s="29" t="n">
        <v>0.05</v>
      </c>
      <c r="M1022" s="32" t="n">
        <v>22994.51</v>
      </c>
      <c r="N1022" s="32" t="n">
        <v>23021.88</v>
      </c>
      <c r="O1022" s="32" t="n">
        <v>22923.96</v>
      </c>
      <c r="P1022" s="45" t="n">
        <f aca="false">ABS(M1022-N1022)</f>
        <v>27.3700000000026</v>
      </c>
      <c r="Q1022" s="45" t="n">
        <f aca="false">IF(O1022="","",ABS(O1022-M1022))</f>
        <v>70.5499999999993</v>
      </c>
      <c r="R1022" s="31" t="n">
        <f aca="false">P1022*L1022*Summary!$C$6</f>
        <v>136.850000000013</v>
      </c>
      <c r="S1022" s="32" t="n">
        <v>23022.03</v>
      </c>
      <c r="T1022" s="29" t="s">
        <v>249</v>
      </c>
      <c r="U1022" s="45" t="n">
        <f aca="false">IF(J1022="BUY",S1022-M1022,M1022-S1022)</f>
        <v>-27.5200000000004</v>
      </c>
      <c r="V1022" s="46" t="n">
        <v>0</v>
      </c>
      <c r="W1022" s="46" t="n">
        <v>0</v>
      </c>
      <c r="X1022" s="46" t="n">
        <v>-137.6</v>
      </c>
      <c r="Y1022" s="33" t="n">
        <f aca="false">IFERROR(X1022/R1022,0)</f>
        <v>-1.00548045305069</v>
      </c>
      <c r="Z1022" s="29" t="str">
        <f aca="false">IF(X1022&gt;0,"Win",IF(X1022&lt;0,"Loss","Flat"))</f>
        <v>Loss</v>
      </c>
      <c r="AA1022" s="29" t="n">
        <f aca="false">ROUND((C1022-B1022)*1440,1)</f>
        <v>1.1</v>
      </c>
      <c r="AB1022" s="29" t="str">
        <f aca="false">IF(AA1022&lt;1,"a) &lt;1 min",IF(AA1022&lt;10,"b) 1-10 min",IF(AA1022&lt;60,"c) 10-60 min",IF(AA1022&lt;240,"d) 1-4 h","e) 4 h+"))))</f>
        <v>b) 1-10 min</v>
      </c>
      <c r="AC1022" s="29" t="str">
        <f aca="false">IF(P1022&lt;10,"a) &lt;10",IF(P1022&lt;20,"b) 10-20",IF(P1022&lt;40,"c) 20-40",IF(P1022&lt;80,"d) 40-80","e) 80+"))))</f>
        <v>c) 20-40</v>
      </c>
      <c r="AD1022" s="31" t="n">
        <f aca="false">Summary!$C$5+SUM(X$2:X1022)</f>
        <v>22986.72</v>
      </c>
      <c r="AE1022" s="31" t="n">
        <f aca="false">MAX(AE1021,AD1022)</f>
        <v>23611.84</v>
      </c>
      <c r="AF1022" s="31" t="n">
        <f aca="false">AE1022-AD1022</f>
        <v>625.119999999999</v>
      </c>
      <c r="AG1022" s="30" t="n">
        <f aca="false">IFERROR(AF1022/AE1022,0)</f>
        <v>0.0264748532939406</v>
      </c>
    </row>
    <row r="1023" customFormat="false" ht="15" hidden="false" customHeight="false" outlineLevel="0" collapsed="false">
      <c r="A1023" s="29" t="n">
        <v>1022</v>
      </c>
      <c r="B1023" s="44" t="n">
        <v>46112.1340277778</v>
      </c>
      <c r="C1023" s="44" t="n">
        <v>46112.141400463</v>
      </c>
      <c r="D1023" s="43" t="n">
        <f aca="false">INT(C1023)</f>
        <v>46112</v>
      </c>
      <c r="E1023" s="43" t="n">
        <f aca="false">D1023-WEEKDAY(D1023,3)</f>
        <v>46111</v>
      </c>
      <c r="F1023" s="29" t="s">
        <v>191</v>
      </c>
      <c r="G1023" s="29" t="n">
        <v>2026</v>
      </c>
      <c r="H1023" s="29" t="s">
        <v>248</v>
      </c>
      <c r="I1023" s="29" t="n">
        <v>3</v>
      </c>
      <c r="J1023" s="29" t="s">
        <v>250</v>
      </c>
      <c r="K1023" s="29" t="s">
        <v>251</v>
      </c>
      <c r="L1023" s="29" t="n">
        <v>0.05</v>
      </c>
      <c r="M1023" s="32" t="n">
        <v>22830.72</v>
      </c>
      <c r="N1023" s="32" t="n">
        <v>22847.66</v>
      </c>
      <c r="O1023" s="32" t="n">
        <v>22790.71</v>
      </c>
      <c r="P1023" s="45" t="n">
        <f aca="false">ABS(M1023-N1023)</f>
        <v>16.9399999999987</v>
      </c>
      <c r="Q1023" s="45" t="n">
        <f aca="false">IF(O1023="","",ABS(O1023-M1023))</f>
        <v>40.010000000002</v>
      </c>
      <c r="R1023" s="31" t="n">
        <f aca="false">P1023*L1023*Summary!$C$6</f>
        <v>84.6999999999935</v>
      </c>
      <c r="S1023" s="32" t="n">
        <v>22789.43</v>
      </c>
      <c r="T1023" s="29" t="s">
        <v>227</v>
      </c>
      <c r="U1023" s="45" t="n">
        <f aca="false">IF(J1023="BUY",S1023-M1023,M1023-S1023)</f>
        <v>41.2900000000009</v>
      </c>
      <c r="V1023" s="46" t="n">
        <v>0</v>
      </c>
      <c r="W1023" s="46" t="n">
        <v>0</v>
      </c>
      <c r="X1023" s="46" t="n">
        <v>206.45</v>
      </c>
      <c r="Y1023" s="33" t="n">
        <f aca="false">IFERROR(X1023/R1023,0)</f>
        <v>2.43742621015367</v>
      </c>
      <c r="Z1023" s="29" t="str">
        <f aca="false">IF(X1023&gt;0,"Win",IF(X1023&lt;0,"Loss","Flat"))</f>
        <v>Win</v>
      </c>
      <c r="AA1023" s="29" t="n">
        <f aca="false">ROUND((C1023-B1023)*1440,1)</f>
        <v>10.6</v>
      </c>
      <c r="AB1023" s="29" t="str">
        <f aca="false">IF(AA1023&lt;1,"a) &lt;1 min",IF(AA1023&lt;10,"b) 1-10 min",IF(AA1023&lt;60,"c) 10-60 min",IF(AA1023&lt;240,"d) 1-4 h","e) 4 h+"))))</f>
        <v>c) 10-60 min</v>
      </c>
      <c r="AC1023" s="29" t="str">
        <f aca="false">IF(P1023&lt;10,"a) &lt;10",IF(P1023&lt;20,"b) 10-20",IF(P1023&lt;40,"c) 20-40",IF(P1023&lt;80,"d) 40-80","e) 80+"))))</f>
        <v>b) 10-20</v>
      </c>
      <c r="AD1023" s="31" t="n">
        <f aca="false">Summary!$C$5+SUM(X$2:X1023)</f>
        <v>23193.17</v>
      </c>
      <c r="AE1023" s="31" t="n">
        <f aca="false">MAX(AE1022,AD1023)</f>
        <v>23611.84</v>
      </c>
      <c r="AF1023" s="31" t="n">
        <f aca="false">AE1023-AD1023</f>
        <v>418.670000000002</v>
      </c>
      <c r="AG1023" s="30" t="n">
        <f aca="false">IFERROR(AF1023/AE1023,0)</f>
        <v>0.0177313585048858</v>
      </c>
    </row>
    <row r="1024" customFormat="false" ht="15" hidden="false" customHeight="false" outlineLevel="0" collapsed="false">
      <c r="A1024" s="29" t="n">
        <v>1023</v>
      </c>
      <c r="B1024" s="44" t="n">
        <v>46112.7041666667</v>
      </c>
      <c r="C1024" s="44" t="n">
        <v>46112.7065509259</v>
      </c>
      <c r="D1024" s="43" t="n">
        <f aca="false">INT(C1024)</f>
        <v>46112</v>
      </c>
      <c r="E1024" s="43" t="n">
        <f aca="false">D1024-WEEKDAY(D1024,3)</f>
        <v>46111</v>
      </c>
      <c r="F1024" s="29" t="s">
        <v>191</v>
      </c>
      <c r="G1024" s="29" t="n">
        <v>2026</v>
      </c>
      <c r="H1024" s="29" t="s">
        <v>248</v>
      </c>
      <c r="I1024" s="29" t="n">
        <v>16</v>
      </c>
      <c r="J1024" s="29" t="s">
        <v>246</v>
      </c>
      <c r="K1024" s="29" t="s">
        <v>247</v>
      </c>
      <c r="L1024" s="29" t="n">
        <v>0.04</v>
      </c>
      <c r="M1024" s="32" t="n">
        <v>23359.5</v>
      </c>
      <c r="N1024" s="32" t="n">
        <v>23331.18</v>
      </c>
      <c r="O1024" s="32" t="n">
        <v>23428.89</v>
      </c>
      <c r="P1024" s="45" t="n">
        <f aca="false">ABS(M1024-N1024)</f>
        <v>28.3199999999997</v>
      </c>
      <c r="Q1024" s="45" t="n">
        <f aca="false">IF(O1024="","",ABS(O1024-M1024))</f>
        <v>69.3899999999994</v>
      </c>
      <c r="R1024" s="31" t="n">
        <f aca="false">P1024*L1024*Summary!$C$6</f>
        <v>113.279999999999</v>
      </c>
      <c r="S1024" s="32" t="n">
        <v>23331.1</v>
      </c>
      <c r="T1024" s="29" t="s">
        <v>249</v>
      </c>
      <c r="U1024" s="45" t="n">
        <f aca="false">IF(J1024="BUY",S1024-M1024,M1024-S1024)</f>
        <v>-28.4000000000015</v>
      </c>
      <c r="V1024" s="46" t="n">
        <v>0</v>
      </c>
      <c r="W1024" s="46" t="n">
        <v>0</v>
      </c>
      <c r="X1024" s="46" t="n">
        <v>-113.6</v>
      </c>
      <c r="Y1024" s="33" t="n">
        <f aca="false">IFERROR(X1024/R1024,0)</f>
        <v>-1.00282485875707</v>
      </c>
      <c r="Z1024" s="29" t="str">
        <f aca="false">IF(X1024&gt;0,"Win",IF(X1024&lt;0,"Loss","Flat"))</f>
        <v>Loss</v>
      </c>
      <c r="AA1024" s="29" t="n">
        <f aca="false">ROUND((C1024-B1024)*1440,1)</f>
        <v>3.4</v>
      </c>
      <c r="AB1024" s="29" t="str">
        <f aca="false">IF(AA1024&lt;1,"a) &lt;1 min",IF(AA1024&lt;10,"b) 1-10 min",IF(AA1024&lt;60,"c) 10-60 min",IF(AA1024&lt;240,"d) 1-4 h","e) 4 h+"))))</f>
        <v>b) 1-10 min</v>
      </c>
      <c r="AC1024" s="29" t="str">
        <f aca="false">IF(P1024&lt;10,"a) &lt;10",IF(P1024&lt;20,"b) 10-20",IF(P1024&lt;40,"c) 20-40",IF(P1024&lt;80,"d) 40-80","e) 80+"))))</f>
        <v>c) 20-40</v>
      </c>
      <c r="AD1024" s="31" t="n">
        <f aca="false">Summary!$C$5+SUM(X$2:X1024)</f>
        <v>23079.57</v>
      </c>
      <c r="AE1024" s="31" t="n">
        <f aca="false">MAX(AE1023,AD1024)</f>
        <v>23611.84</v>
      </c>
      <c r="AF1024" s="31" t="n">
        <f aca="false">AE1024-AD1024</f>
        <v>532.27</v>
      </c>
      <c r="AG1024" s="30" t="n">
        <f aca="false">IFERROR(AF1024/AE1024,0)</f>
        <v>0.0225425040996382</v>
      </c>
    </row>
    <row r="1025" customFormat="false" ht="15" hidden="false" customHeight="false" outlineLevel="0" collapsed="false">
      <c r="A1025" s="29" t="n">
        <v>1024</v>
      </c>
      <c r="B1025" s="44" t="n">
        <v>46113.0715277778</v>
      </c>
      <c r="C1025" s="44" t="n">
        <v>46113.0726041667</v>
      </c>
      <c r="D1025" s="43" t="n">
        <f aca="false">INT(C1025)</f>
        <v>46113</v>
      </c>
      <c r="E1025" s="43" t="n">
        <f aca="false">D1025-WEEKDAY(D1025,3)</f>
        <v>46111</v>
      </c>
      <c r="F1025" s="29" t="s">
        <v>192</v>
      </c>
      <c r="G1025" s="29" t="n">
        <v>2026</v>
      </c>
      <c r="H1025" s="29" t="s">
        <v>252</v>
      </c>
      <c r="I1025" s="29" t="n">
        <v>1</v>
      </c>
      <c r="J1025" s="29" t="s">
        <v>246</v>
      </c>
      <c r="K1025" s="29" t="s">
        <v>247</v>
      </c>
      <c r="L1025" s="29" t="n">
        <v>0.04</v>
      </c>
      <c r="M1025" s="32" t="n">
        <v>23790.38</v>
      </c>
      <c r="N1025" s="32" t="n">
        <v>23780.01</v>
      </c>
      <c r="O1025" s="32" t="n">
        <v>23815.79</v>
      </c>
      <c r="P1025" s="45" t="n">
        <f aca="false">ABS(M1025-N1025)</f>
        <v>10.3700000000026</v>
      </c>
      <c r="Q1025" s="45" t="n">
        <f aca="false">IF(O1025="","",ABS(O1025-M1025))</f>
        <v>25.4099999999999</v>
      </c>
      <c r="R1025" s="31" t="n">
        <f aca="false">P1025*L1025*Summary!$C$6</f>
        <v>41.4800000000105</v>
      </c>
      <c r="S1025" s="32" t="n">
        <v>23779.46</v>
      </c>
      <c r="T1025" s="29" t="s">
        <v>249</v>
      </c>
      <c r="U1025" s="45" t="n">
        <f aca="false">IF(J1025="BUY",S1025-M1025,M1025-S1025)</f>
        <v>-10.9200000000019</v>
      </c>
      <c r="V1025" s="46" t="n">
        <v>0</v>
      </c>
      <c r="W1025" s="46" t="n">
        <v>0</v>
      </c>
      <c r="X1025" s="46" t="n">
        <v>-43.68</v>
      </c>
      <c r="Y1025" s="33" t="n">
        <f aca="false">IFERROR(X1025/R1025,0)</f>
        <v>-1.05303760848575</v>
      </c>
      <c r="Z1025" s="29" t="str">
        <f aca="false">IF(X1025&gt;0,"Win",IF(X1025&lt;0,"Loss","Flat"))</f>
        <v>Loss</v>
      </c>
      <c r="AA1025" s="29" t="n">
        <f aca="false">ROUND((C1025-B1025)*1440,1)</f>
        <v>1.6</v>
      </c>
      <c r="AB1025" s="29" t="str">
        <f aca="false">IF(AA1025&lt;1,"a) &lt;1 min",IF(AA1025&lt;10,"b) 1-10 min",IF(AA1025&lt;60,"c) 10-60 min",IF(AA1025&lt;240,"d) 1-4 h","e) 4 h+"))))</f>
        <v>b) 1-10 min</v>
      </c>
      <c r="AC1025" s="29" t="str">
        <f aca="false">IF(P1025&lt;10,"a) &lt;10",IF(P1025&lt;20,"b) 10-20",IF(P1025&lt;40,"c) 20-40",IF(P1025&lt;80,"d) 40-80","e) 80+"))))</f>
        <v>b) 10-20</v>
      </c>
      <c r="AD1025" s="31" t="n">
        <f aca="false">Summary!$C$5+SUM(X$2:X1025)</f>
        <v>23035.89</v>
      </c>
      <c r="AE1025" s="31" t="n">
        <f aca="false">MAX(AE1024,AD1025)</f>
        <v>23611.84</v>
      </c>
      <c r="AF1025" s="31" t="n">
        <f aca="false">AE1025-AD1025</f>
        <v>575.950000000001</v>
      </c>
      <c r="AG1025" s="30" t="n">
        <f aca="false">IFERROR(AF1025/AE1025,0)</f>
        <v>0.0243924234621275</v>
      </c>
    </row>
    <row r="1026" customFormat="false" ht="15" hidden="false" customHeight="false" outlineLevel="0" collapsed="false">
      <c r="A1026" s="29" t="n">
        <v>1025</v>
      </c>
      <c r="B1026" s="44" t="n">
        <v>46114.21875</v>
      </c>
      <c r="C1026" s="44" t="n">
        <v>46114.2189814815</v>
      </c>
      <c r="D1026" s="43" t="n">
        <f aca="false">INT(C1026)</f>
        <v>46114</v>
      </c>
      <c r="E1026" s="43" t="n">
        <f aca="false">D1026-WEEKDAY(D1026,3)</f>
        <v>46111</v>
      </c>
      <c r="F1026" s="29" t="s">
        <v>192</v>
      </c>
      <c r="G1026" s="29" t="n">
        <v>2026</v>
      </c>
      <c r="H1026" s="29" t="s">
        <v>253</v>
      </c>
      <c r="I1026" s="29" t="n">
        <v>5</v>
      </c>
      <c r="J1026" s="29" t="s">
        <v>250</v>
      </c>
      <c r="K1026" s="29" t="s">
        <v>251</v>
      </c>
      <c r="L1026" s="29" t="n">
        <v>0.04</v>
      </c>
      <c r="M1026" s="32" t="n">
        <v>23699.8</v>
      </c>
      <c r="N1026" s="32" t="n">
        <v>23717.13</v>
      </c>
      <c r="O1026" s="32" t="n">
        <v>23654.89</v>
      </c>
      <c r="P1026" s="45" t="n">
        <f aca="false">ABS(M1026-N1026)</f>
        <v>17.3300000000017</v>
      </c>
      <c r="Q1026" s="45" t="n">
        <f aca="false">IF(O1026="","",ABS(O1026-M1026))</f>
        <v>44.9099999999999</v>
      </c>
      <c r="R1026" s="31" t="n">
        <f aca="false">P1026*L1026*Summary!$C$6</f>
        <v>69.320000000007</v>
      </c>
      <c r="S1026" s="32" t="n">
        <v>23718.02</v>
      </c>
      <c r="T1026" s="29" t="s">
        <v>249</v>
      </c>
      <c r="U1026" s="45" t="n">
        <f aca="false">IF(J1026="BUY",S1026-M1026,M1026-S1026)</f>
        <v>-18.2200000000012</v>
      </c>
      <c r="V1026" s="46" t="n">
        <v>0</v>
      </c>
      <c r="W1026" s="46" t="n">
        <v>0</v>
      </c>
      <c r="X1026" s="46" t="n">
        <v>-72.88</v>
      </c>
      <c r="Y1026" s="33" t="n">
        <f aca="false">IFERROR(X1026/R1026,0)</f>
        <v>-1.05135603000566</v>
      </c>
      <c r="Z1026" s="29" t="str">
        <f aca="false">IF(X1026&gt;0,"Win",IF(X1026&lt;0,"Loss","Flat"))</f>
        <v>Loss</v>
      </c>
      <c r="AA1026" s="29" t="n">
        <f aca="false">ROUND((C1026-B1026)*1440,1)</f>
        <v>0.3</v>
      </c>
      <c r="AB1026" s="29" t="str">
        <f aca="false">IF(AA1026&lt;1,"a) &lt;1 min",IF(AA1026&lt;10,"b) 1-10 min",IF(AA1026&lt;60,"c) 10-60 min",IF(AA1026&lt;240,"d) 1-4 h","e) 4 h+"))))</f>
        <v>a) &lt;1 min</v>
      </c>
      <c r="AC1026" s="29" t="str">
        <f aca="false">IF(P1026&lt;10,"a) &lt;10",IF(P1026&lt;20,"b) 10-20",IF(P1026&lt;40,"c) 20-40",IF(P1026&lt;80,"d) 40-80","e) 80+"))))</f>
        <v>b) 10-20</v>
      </c>
      <c r="AD1026" s="31" t="n">
        <f aca="false">Summary!$C$5+SUM(X$2:X1026)</f>
        <v>22963.01</v>
      </c>
      <c r="AE1026" s="31" t="n">
        <f aca="false">MAX(AE1025,AD1026)</f>
        <v>23611.84</v>
      </c>
      <c r="AF1026" s="31" t="n">
        <f aca="false">AE1026-AD1026</f>
        <v>648.829999999998</v>
      </c>
      <c r="AG1026" s="30" t="n">
        <f aca="false">IFERROR(AF1026/AE1026,0)</f>
        <v>0.0274790105303101</v>
      </c>
    </row>
    <row r="1027" customFormat="false" ht="15" hidden="false" customHeight="false" outlineLevel="0" collapsed="false">
      <c r="A1027" s="29" t="n">
        <v>1026</v>
      </c>
      <c r="B1027" s="44" t="n">
        <v>46118.2159722222</v>
      </c>
      <c r="C1027" s="44" t="n">
        <v>46118.2162847222</v>
      </c>
      <c r="D1027" s="43" t="n">
        <f aca="false">INT(C1027)</f>
        <v>46118</v>
      </c>
      <c r="E1027" s="43" t="n">
        <f aca="false">D1027-WEEKDAY(D1027,3)</f>
        <v>46118</v>
      </c>
      <c r="F1027" s="29" t="s">
        <v>192</v>
      </c>
      <c r="G1027" s="29" t="n">
        <v>2026</v>
      </c>
      <c r="H1027" s="29" t="s">
        <v>245</v>
      </c>
      <c r="I1027" s="29" t="n">
        <v>5</v>
      </c>
      <c r="J1027" s="29" t="s">
        <v>246</v>
      </c>
      <c r="K1027" s="29" t="s">
        <v>247</v>
      </c>
      <c r="L1027" s="29" t="n">
        <v>0.04</v>
      </c>
      <c r="M1027" s="32" t="n">
        <v>24081.04</v>
      </c>
      <c r="N1027" s="32" t="n">
        <v>24062.72</v>
      </c>
      <c r="O1027" s="32" t="n">
        <v>24126.81</v>
      </c>
      <c r="P1027" s="45" t="n">
        <f aca="false">ABS(M1027-N1027)</f>
        <v>18.3199999999997</v>
      </c>
      <c r="Q1027" s="45" t="n">
        <f aca="false">IF(O1027="","",ABS(O1027-M1027))</f>
        <v>45.7700000000004</v>
      </c>
      <c r="R1027" s="31" t="n">
        <f aca="false">P1027*L1027*Summary!$C$6</f>
        <v>73.2799999999988</v>
      </c>
      <c r="S1027" s="32" t="n">
        <v>24080.97</v>
      </c>
      <c r="T1027" s="29" t="s">
        <v>255</v>
      </c>
      <c r="U1027" s="45" t="n">
        <f aca="false">IF(J1027="BUY",S1027-M1027,M1027-S1027)</f>
        <v>-0.069999999999709</v>
      </c>
      <c r="V1027" s="46" t="n">
        <v>0</v>
      </c>
      <c r="W1027" s="46" t="n">
        <v>0</v>
      </c>
      <c r="X1027" s="46" t="n">
        <v>-0.28</v>
      </c>
      <c r="Y1027" s="33" t="n">
        <f aca="false">IFERROR(X1027/R1027,0)</f>
        <v>-0.00382096069869002</v>
      </c>
      <c r="Z1027" s="29" t="str">
        <f aca="false">IF(X1027&gt;0,"Win",IF(X1027&lt;0,"Loss","Flat"))</f>
        <v>Loss</v>
      </c>
      <c r="AA1027" s="29" t="n">
        <f aca="false">ROUND((C1027-B1027)*1440,1)</f>
        <v>0.5</v>
      </c>
      <c r="AB1027" s="29" t="str">
        <f aca="false">IF(AA1027&lt;1,"a) &lt;1 min",IF(AA1027&lt;10,"b) 1-10 min",IF(AA1027&lt;60,"c) 10-60 min",IF(AA1027&lt;240,"d) 1-4 h","e) 4 h+"))))</f>
        <v>a) &lt;1 min</v>
      </c>
      <c r="AC1027" s="29" t="str">
        <f aca="false">IF(P1027&lt;10,"a) &lt;10",IF(P1027&lt;20,"b) 10-20",IF(P1027&lt;40,"c) 20-40",IF(P1027&lt;80,"d) 40-80","e) 80+"))))</f>
        <v>b) 10-20</v>
      </c>
      <c r="AD1027" s="31" t="n">
        <f aca="false">Summary!$C$5+SUM(X$2:X1027)</f>
        <v>22962.73</v>
      </c>
      <c r="AE1027" s="31" t="n">
        <f aca="false">MAX(AE1026,AD1027)</f>
        <v>23611.84</v>
      </c>
      <c r="AF1027" s="31" t="n">
        <f aca="false">AE1027-AD1027</f>
        <v>649.110000000001</v>
      </c>
      <c r="AG1027" s="30" t="n">
        <f aca="false">IFERROR(AF1027/AE1027,0)</f>
        <v>0.0274908689877621</v>
      </c>
    </row>
    <row r="1028" customFormat="false" ht="15" hidden="false" customHeight="false" outlineLevel="0" collapsed="false">
      <c r="A1028" s="29" t="n">
        <v>1027</v>
      </c>
      <c r="B1028" s="44" t="n">
        <v>46119.7541666667</v>
      </c>
      <c r="C1028" s="44" t="n">
        <v>46119.7569444445</v>
      </c>
      <c r="D1028" s="43" t="n">
        <f aca="false">INT(C1028)</f>
        <v>46119</v>
      </c>
      <c r="E1028" s="43" t="n">
        <f aca="false">D1028-WEEKDAY(D1028,3)</f>
        <v>46118</v>
      </c>
      <c r="F1028" s="29" t="s">
        <v>192</v>
      </c>
      <c r="G1028" s="29" t="n">
        <v>2026</v>
      </c>
      <c r="H1028" s="29" t="s">
        <v>248</v>
      </c>
      <c r="I1028" s="29" t="n">
        <v>18</v>
      </c>
      <c r="J1028" s="29" t="s">
        <v>250</v>
      </c>
      <c r="K1028" s="29" t="s">
        <v>251</v>
      </c>
      <c r="L1028" s="29" t="n">
        <v>0.04</v>
      </c>
      <c r="M1028" s="32" t="n">
        <v>23782.24</v>
      </c>
      <c r="N1028" s="32" t="n">
        <v>23803.12</v>
      </c>
      <c r="O1028" s="32" t="n">
        <v>23729.85</v>
      </c>
      <c r="P1028" s="45" t="n">
        <f aca="false">ABS(M1028-N1028)</f>
        <v>20.8799999999974</v>
      </c>
      <c r="Q1028" s="45" t="n">
        <f aca="false">IF(O1028="","",ABS(O1028-M1028))</f>
        <v>52.3900000000031</v>
      </c>
      <c r="R1028" s="31" t="n">
        <f aca="false">P1028*L1028*Summary!$C$6</f>
        <v>83.5199999999895</v>
      </c>
      <c r="S1028" s="32" t="n">
        <v>23803.64</v>
      </c>
      <c r="T1028" s="29" t="s">
        <v>249</v>
      </c>
      <c r="U1028" s="45" t="n">
        <f aca="false">IF(J1028="BUY",S1028-M1028,M1028-S1028)</f>
        <v>-21.3999999999978</v>
      </c>
      <c r="V1028" s="46" t="n">
        <v>0</v>
      </c>
      <c r="W1028" s="46" t="n">
        <v>0</v>
      </c>
      <c r="X1028" s="46" t="n">
        <v>-85.6</v>
      </c>
      <c r="Y1028" s="33" t="n">
        <f aca="false">IFERROR(X1028/R1028,0)</f>
        <v>-1.02490421455952</v>
      </c>
      <c r="Z1028" s="29" t="str">
        <f aca="false">IF(X1028&gt;0,"Win",IF(X1028&lt;0,"Loss","Flat"))</f>
        <v>Loss</v>
      </c>
      <c r="AA1028" s="29" t="n">
        <f aca="false">ROUND((C1028-B1028)*1440,1)</f>
        <v>4</v>
      </c>
      <c r="AB1028" s="29" t="str">
        <f aca="false">IF(AA1028&lt;1,"a) &lt;1 min",IF(AA1028&lt;10,"b) 1-10 min",IF(AA1028&lt;60,"c) 10-60 min",IF(AA1028&lt;240,"d) 1-4 h","e) 4 h+"))))</f>
        <v>b) 1-10 min</v>
      </c>
      <c r="AC1028" s="29" t="str">
        <f aca="false">IF(P1028&lt;10,"a) &lt;10",IF(P1028&lt;20,"b) 10-20",IF(P1028&lt;40,"c) 20-40",IF(P1028&lt;80,"d) 40-80","e) 80+"))))</f>
        <v>c) 20-40</v>
      </c>
      <c r="AD1028" s="31" t="n">
        <f aca="false">Summary!$C$5+SUM(X$2:X1028)</f>
        <v>22877.13</v>
      </c>
      <c r="AE1028" s="31" t="n">
        <f aca="false">MAX(AE1027,AD1028)</f>
        <v>23611.84</v>
      </c>
      <c r="AF1028" s="31" t="n">
        <f aca="false">AE1028-AD1028</f>
        <v>734.710000000003</v>
      </c>
      <c r="AG1028" s="30" t="n">
        <f aca="false">IFERROR(AF1028/AE1028,0)</f>
        <v>0.0311161688373292</v>
      </c>
    </row>
    <row r="1029" customFormat="false" ht="15" hidden="false" customHeight="false" outlineLevel="0" collapsed="false">
      <c r="A1029" s="29" t="n">
        <v>1028</v>
      </c>
      <c r="B1029" s="44" t="n">
        <v>46120.0423611111</v>
      </c>
      <c r="C1029" s="44" t="n">
        <v>46120.0644675926</v>
      </c>
      <c r="D1029" s="43" t="n">
        <f aca="false">INT(C1029)</f>
        <v>46120</v>
      </c>
      <c r="E1029" s="43" t="n">
        <f aca="false">D1029-WEEKDAY(D1029,3)</f>
        <v>46118</v>
      </c>
      <c r="F1029" s="29" t="s">
        <v>192</v>
      </c>
      <c r="G1029" s="29" t="n">
        <v>2026</v>
      </c>
      <c r="H1029" s="29" t="s">
        <v>252</v>
      </c>
      <c r="I1029" s="29" t="n">
        <v>1</v>
      </c>
      <c r="J1029" s="29" t="s">
        <v>246</v>
      </c>
      <c r="K1029" s="29" t="s">
        <v>247</v>
      </c>
      <c r="L1029" s="29" t="n">
        <v>0.04</v>
      </c>
      <c r="M1029" s="32" t="n">
        <v>24432.59</v>
      </c>
      <c r="N1029" s="32" t="n">
        <v>24371.46</v>
      </c>
      <c r="O1029" s="32" t="n">
        <v>24579.77</v>
      </c>
      <c r="P1029" s="45" t="n">
        <f aca="false">ABS(M1029-N1029)</f>
        <v>61.130000000001</v>
      </c>
      <c r="Q1029" s="45" t="n">
        <f aca="false">IF(O1029="","",ABS(O1029-M1029))</f>
        <v>147.18</v>
      </c>
      <c r="R1029" s="31" t="n">
        <f aca="false">P1029*L1029*Summary!$C$6</f>
        <v>244.520000000004</v>
      </c>
      <c r="S1029" s="32" t="n">
        <v>24317.33</v>
      </c>
      <c r="T1029" s="29" t="s">
        <v>255</v>
      </c>
      <c r="U1029" s="45" t="n">
        <f aca="false">IF(J1029="BUY",S1029-M1029,M1029-S1029)</f>
        <v>-115.259999999998</v>
      </c>
      <c r="V1029" s="46" t="n">
        <v>0</v>
      </c>
      <c r="W1029" s="46" t="n">
        <v>0</v>
      </c>
      <c r="X1029" s="46" t="n">
        <v>-461.04</v>
      </c>
      <c r="Y1029" s="33" t="n">
        <f aca="false">IFERROR(X1029/R1029,0)</f>
        <v>-1.88548993947322</v>
      </c>
      <c r="Z1029" s="29" t="str">
        <f aca="false">IF(X1029&gt;0,"Win",IF(X1029&lt;0,"Loss","Flat"))</f>
        <v>Loss</v>
      </c>
      <c r="AA1029" s="29" t="n">
        <f aca="false">ROUND((C1029-B1029)*1440,1)</f>
        <v>31.8</v>
      </c>
      <c r="AB1029" s="29" t="str">
        <f aca="false">IF(AA1029&lt;1,"a) &lt;1 min",IF(AA1029&lt;10,"b) 1-10 min",IF(AA1029&lt;60,"c) 10-60 min",IF(AA1029&lt;240,"d) 1-4 h","e) 4 h+"))))</f>
        <v>c) 10-60 min</v>
      </c>
      <c r="AC1029" s="29" t="str">
        <f aca="false">IF(P1029&lt;10,"a) &lt;10",IF(P1029&lt;20,"b) 10-20",IF(P1029&lt;40,"c) 20-40",IF(P1029&lt;80,"d) 40-80","e) 80+"))))</f>
        <v>d) 40-80</v>
      </c>
      <c r="AD1029" s="31" t="n">
        <f aca="false">Summary!$C$5+SUM(X$2:X1029)</f>
        <v>22416.09</v>
      </c>
      <c r="AE1029" s="31" t="n">
        <f aca="false">MAX(AE1028,AD1029)</f>
        <v>23611.84</v>
      </c>
      <c r="AF1029" s="31" t="n">
        <f aca="false">AE1029-AD1029</f>
        <v>1195.75</v>
      </c>
      <c r="AG1029" s="30" t="n">
        <f aca="false">IFERROR(AF1029/AE1029,0)</f>
        <v>0.0506419660644829</v>
      </c>
    </row>
    <row r="1030" customFormat="false" ht="15" hidden="false" customHeight="false" outlineLevel="0" collapsed="false">
      <c r="A1030" s="29" t="n">
        <v>1029</v>
      </c>
      <c r="B1030" s="44" t="n">
        <v>46121.9520833333</v>
      </c>
      <c r="C1030" s="44" t="n">
        <v>46121.9546296296</v>
      </c>
      <c r="D1030" s="43" t="n">
        <f aca="false">INT(C1030)</f>
        <v>46121</v>
      </c>
      <c r="E1030" s="43" t="n">
        <f aca="false">D1030-WEEKDAY(D1030,3)</f>
        <v>46118</v>
      </c>
      <c r="F1030" s="29" t="s">
        <v>192</v>
      </c>
      <c r="G1030" s="29" t="n">
        <v>2026</v>
      </c>
      <c r="H1030" s="29" t="s">
        <v>253</v>
      </c>
      <c r="I1030" s="29" t="n">
        <v>22</v>
      </c>
      <c r="J1030" s="29" t="s">
        <v>246</v>
      </c>
      <c r="K1030" s="29" t="s">
        <v>247</v>
      </c>
      <c r="L1030" s="29" t="n">
        <v>0.04</v>
      </c>
      <c r="M1030" s="32" t="n">
        <v>25089.97</v>
      </c>
      <c r="N1030" s="32" t="n">
        <v>25078.43</v>
      </c>
      <c r="O1030" s="32" t="n">
        <v>25118.25</v>
      </c>
      <c r="P1030" s="45" t="n">
        <f aca="false">ABS(M1030-N1030)</f>
        <v>11.5400000000009</v>
      </c>
      <c r="Q1030" s="45" t="n">
        <f aca="false">IF(O1030="","",ABS(O1030-M1030))</f>
        <v>28.2799999999988</v>
      </c>
      <c r="R1030" s="31" t="n">
        <f aca="false">P1030*L1030*Summary!$C$6</f>
        <v>46.1600000000035</v>
      </c>
      <c r="S1030" s="32" t="n">
        <v>25078.33</v>
      </c>
      <c r="T1030" s="29" t="s">
        <v>249</v>
      </c>
      <c r="U1030" s="45" t="n">
        <f aca="false">IF(J1030="BUY",S1030-M1030,M1030-S1030)</f>
        <v>-11.6399999999994</v>
      </c>
      <c r="V1030" s="46" t="n">
        <v>0</v>
      </c>
      <c r="W1030" s="46" t="n">
        <v>0</v>
      </c>
      <c r="X1030" s="46" t="n">
        <v>-46.56</v>
      </c>
      <c r="Y1030" s="33" t="n">
        <f aca="false">IFERROR(X1030/R1030,0)</f>
        <v>-1.00866551126509</v>
      </c>
      <c r="Z1030" s="29" t="str">
        <f aca="false">IF(X1030&gt;0,"Win",IF(X1030&lt;0,"Loss","Flat"))</f>
        <v>Loss</v>
      </c>
      <c r="AA1030" s="29" t="n">
        <f aca="false">ROUND((C1030-B1030)*1440,1)</f>
        <v>3.7</v>
      </c>
      <c r="AB1030" s="29" t="str">
        <f aca="false">IF(AA1030&lt;1,"a) &lt;1 min",IF(AA1030&lt;10,"b) 1-10 min",IF(AA1030&lt;60,"c) 10-60 min",IF(AA1030&lt;240,"d) 1-4 h","e) 4 h+"))))</f>
        <v>b) 1-10 min</v>
      </c>
      <c r="AC1030" s="29" t="str">
        <f aca="false">IF(P1030&lt;10,"a) &lt;10",IF(P1030&lt;20,"b) 10-20",IF(P1030&lt;40,"c) 20-40",IF(P1030&lt;80,"d) 40-80","e) 80+"))))</f>
        <v>b) 10-20</v>
      </c>
      <c r="AD1030" s="31" t="n">
        <f aca="false">Summary!$C$5+SUM(X$2:X1030)</f>
        <v>22369.53</v>
      </c>
      <c r="AE1030" s="31" t="n">
        <f aca="false">MAX(AE1029,AD1030)</f>
        <v>23611.84</v>
      </c>
      <c r="AF1030" s="31" t="n">
        <f aca="false">AE1030-AD1030</f>
        <v>1242.31</v>
      </c>
      <c r="AG1030" s="30" t="n">
        <f aca="false">IFERROR(AF1030/AE1030,0)</f>
        <v>0.0526138581321914</v>
      </c>
    </row>
    <row r="1031" customFormat="false" ht="15" hidden="false" customHeight="false" outlineLevel="0" collapsed="false">
      <c r="A1031" s="29" t="n">
        <v>1030</v>
      </c>
      <c r="B1031" s="44" t="n">
        <v>46122.1666666667</v>
      </c>
      <c r="C1031" s="44" t="n">
        <v>46122.1677199074</v>
      </c>
      <c r="D1031" s="43" t="n">
        <f aca="false">INT(C1031)</f>
        <v>46122</v>
      </c>
      <c r="E1031" s="43" t="n">
        <f aca="false">D1031-WEEKDAY(D1031,3)</f>
        <v>46118</v>
      </c>
      <c r="F1031" s="29" t="s">
        <v>192</v>
      </c>
      <c r="G1031" s="29" t="n">
        <v>2026</v>
      </c>
      <c r="H1031" s="29" t="s">
        <v>254</v>
      </c>
      <c r="I1031" s="29" t="n">
        <v>4</v>
      </c>
      <c r="J1031" s="29" t="s">
        <v>246</v>
      </c>
      <c r="K1031" s="29" t="s">
        <v>247</v>
      </c>
      <c r="L1031" s="29" t="n">
        <v>0.04</v>
      </c>
      <c r="M1031" s="32" t="n">
        <v>25105.84</v>
      </c>
      <c r="N1031" s="32" t="n">
        <v>25096.55</v>
      </c>
      <c r="O1031" s="32" t="n">
        <v>25128.6</v>
      </c>
      <c r="P1031" s="45" t="n">
        <f aca="false">ABS(M1031-N1031)</f>
        <v>9.29000000000087</v>
      </c>
      <c r="Q1031" s="45" t="n">
        <f aca="false">IF(O1031="","",ABS(O1031-M1031))</f>
        <v>22.7599999999984</v>
      </c>
      <c r="R1031" s="31" t="n">
        <f aca="false">P1031*L1031*Summary!$C$6</f>
        <v>37.1600000000035</v>
      </c>
      <c r="S1031" s="32" t="n">
        <v>25096.33</v>
      </c>
      <c r="T1031" s="29" t="s">
        <v>249</v>
      </c>
      <c r="U1031" s="45" t="n">
        <f aca="false">IF(J1031="BUY",S1031-M1031,M1031-S1031)</f>
        <v>-9.5099999999984</v>
      </c>
      <c r="V1031" s="46" t="n">
        <v>0</v>
      </c>
      <c r="W1031" s="46" t="n">
        <v>0</v>
      </c>
      <c r="X1031" s="46" t="n">
        <v>-38.04</v>
      </c>
      <c r="Y1031" s="33" t="n">
        <f aca="false">IFERROR(X1031/R1031,0)</f>
        <v>-1.02368137782552</v>
      </c>
      <c r="Z1031" s="29" t="str">
        <f aca="false">IF(X1031&gt;0,"Win",IF(X1031&lt;0,"Loss","Flat"))</f>
        <v>Loss</v>
      </c>
      <c r="AA1031" s="29" t="n">
        <f aca="false">ROUND((C1031-B1031)*1440,1)</f>
        <v>1.5</v>
      </c>
      <c r="AB1031" s="29" t="str">
        <f aca="false">IF(AA1031&lt;1,"a) &lt;1 min",IF(AA1031&lt;10,"b) 1-10 min",IF(AA1031&lt;60,"c) 10-60 min",IF(AA1031&lt;240,"d) 1-4 h","e) 4 h+"))))</f>
        <v>b) 1-10 min</v>
      </c>
      <c r="AC1031" s="29" t="str">
        <f aca="false">IF(P1031&lt;10,"a) &lt;10",IF(P1031&lt;20,"b) 10-20",IF(P1031&lt;40,"c) 20-40",IF(P1031&lt;80,"d) 40-80","e) 80+"))))</f>
        <v>a) &lt;10</v>
      </c>
      <c r="AD1031" s="31" t="n">
        <f aca="false">Summary!$C$5+SUM(X$2:X1031)</f>
        <v>22331.49</v>
      </c>
      <c r="AE1031" s="31" t="n">
        <f aca="false">MAX(AE1030,AD1031)</f>
        <v>23611.84</v>
      </c>
      <c r="AF1031" s="31" t="n">
        <f aca="false">AE1031-AD1031</f>
        <v>1280.35</v>
      </c>
      <c r="AG1031" s="30" t="n">
        <f aca="false">IFERROR(AF1031/AE1031,0)</f>
        <v>0.0542249142802934</v>
      </c>
    </row>
    <row r="1032" customFormat="false" ht="15" hidden="false" customHeight="false" outlineLevel="0" collapsed="false">
      <c r="A1032" s="29" t="n">
        <v>1031</v>
      </c>
      <c r="B1032" s="44" t="n">
        <v>46125.0423611111</v>
      </c>
      <c r="C1032" s="44" t="n">
        <v>46125.1628472222</v>
      </c>
      <c r="D1032" s="43" t="n">
        <f aca="false">INT(C1032)</f>
        <v>46125</v>
      </c>
      <c r="E1032" s="43" t="n">
        <f aca="false">D1032-WEEKDAY(D1032,3)</f>
        <v>46125</v>
      </c>
      <c r="F1032" s="29" t="s">
        <v>192</v>
      </c>
      <c r="G1032" s="29" t="n">
        <v>2026</v>
      </c>
      <c r="H1032" s="29" t="s">
        <v>245</v>
      </c>
      <c r="I1032" s="29" t="n">
        <v>1</v>
      </c>
      <c r="J1032" s="29" t="s">
        <v>250</v>
      </c>
      <c r="K1032" s="29" t="s">
        <v>251</v>
      </c>
      <c r="L1032" s="29" t="n">
        <v>0.04</v>
      </c>
      <c r="M1032" s="32" t="n">
        <v>24809.82</v>
      </c>
      <c r="N1032" s="32" t="n">
        <v>24884.09</v>
      </c>
      <c r="O1032" s="32" t="n">
        <v>24623.34</v>
      </c>
      <c r="P1032" s="45" t="n">
        <f aca="false">ABS(M1032-N1032)</f>
        <v>74.2700000000004</v>
      </c>
      <c r="Q1032" s="45" t="n">
        <f aca="false">IF(O1032="","",ABS(O1032-M1032))</f>
        <v>186.48</v>
      </c>
      <c r="R1032" s="31" t="n">
        <f aca="false">P1032*L1032*Summary!$C$6</f>
        <v>297.080000000002</v>
      </c>
      <c r="S1032" s="32" t="n">
        <v>24884.14</v>
      </c>
      <c r="T1032" s="29" t="s">
        <v>249</v>
      </c>
      <c r="U1032" s="45" t="n">
        <f aca="false">IF(J1032="BUY",S1032-M1032,M1032-S1032)</f>
        <v>-74.3199999999997</v>
      </c>
      <c r="V1032" s="46" t="n">
        <v>0</v>
      </c>
      <c r="W1032" s="46" t="n">
        <v>0</v>
      </c>
      <c r="X1032" s="46" t="n">
        <v>-297.28</v>
      </c>
      <c r="Y1032" s="33" t="n">
        <f aca="false">IFERROR(X1032/R1032,0)</f>
        <v>-1.00067321933485</v>
      </c>
      <c r="Z1032" s="29" t="str">
        <f aca="false">IF(X1032&gt;0,"Win",IF(X1032&lt;0,"Loss","Flat"))</f>
        <v>Loss</v>
      </c>
      <c r="AA1032" s="29" t="n">
        <f aca="false">ROUND((C1032-B1032)*1440,1)</f>
        <v>173.5</v>
      </c>
      <c r="AB1032" s="29" t="str">
        <f aca="false">IF(AA1032&lt;1,"a) &lt;1 min",IF(AA1032&lt;10,"b) 1-10 min",IF(AA1032&lt;60,"c) 10-60 min",IF(AA1032&lt;240,"d) 1-4 h","e) 4 h+"))))</f>
        <v>d) 1-4 h</v>
      </c>
      <c r="AC1032" s="29" t="str">
        <f aca="false">IF(P1032&lt;10,"a) &lt;10",IF(P1032&lt;20,"b) 10-20",IF(P1032&lt;40,"c) 20-40",IF(P1032&lt;80,"d) 40-80","e) 80+"))))</f>
        <v>d) 40-80</v>
      </c>
      <c r="AD1032" s="31" t="n">
        <f aca="false">Summary!$C$5+SUM(X$2:X1032)</f>
        <v>22034.21</v>
      </c>
      <c r="AE1032" s="31" t="n">
        <f aca="false">MAX(AE1031,AD1032)</f>
        <v>23611.84</v>
      </c>
      <c r="AF1032" s="31" t="n">
        <f aca="false">AE1032-AD1032</f>
        <v>1577.63</v>
      </c>
      <c r="AG1032" s="30" t="n">
        <f aca="false">IFERROR(AF1032/AE1032,0)</f>
        <v>0.0668152079634624</v>
      </c>
    </row>
    <row r="1033" customFormat="false" ht="15" hidden="false" customHeight="false" outlineLevel="0" collapsed="false">
      <c r="A1033" s="29" t="n">
        <v>1032</v>
      </c>
      <c r="B1033" s="44" t="n">
        <v>46125.8166666667</v>
      </c>
      <c r="C1033" s="44" t="n">
        <v>46125.81875</v>
      </c>
      <c r="D1033" s="43" t="n">
        <f aca="false">INT(C1033)</f>
        <v>46125</v>
      </c>
      <c r="E1033" s="43" t="n">
        <f aca="false">D1033-WEEKDAY(D1033,3)</f>
        <v>46125</v>
      </c>
      <c r="F1033" s="29" t="s">
        <v>192</v>
      </c>
      <c r="G1033" s="29" t="n">
        <v>2026</v>
      </c>
      <c r="H1033" s="29" t="s">
        <v>245</v>
      </c>
      <c r="I1033" s="29" t="n">
        <v>19</v>
      </c>
      <c r="J1033" s="29" t="s">
        <v>246</v>
      </c>
      <c r="K1033" s="29" t="s">
        <v>247</v>
      </c>
      <c r="L1033" s="29" t="n">
        <v>0.04</v>
      </c>
      <c r="M1033" s="32" t="n">
        <v>25241.06</v>
      </c>
      <c r="N1033" s="32" t="n">
        <v>25219.04</v>
      </c>
      <c r="O1033" s="32" t="n">
        <v>25291.52</v>
      </c>
      <c r="P1033" s="45" t="n">
        <f aca="false">ABS(M1033-N1033)</f>
        <v>22.0200000000004</v>
      </c>
      <c r="Q1033" s="45" t="n">
        <f aca="false">IF(O1033="","",ABS(O1033-M1033))</f>
        <v>50.4599999999991</v>
      </c>
      <c r="R1033" s="31" t="n">
        <f aca="false">P1033*L1033*Summary!$C$6</f>
        <v>88.0800000000018</v>
      </c>
      <c r="S1033" s="32" t="n">
        <v>25218.73</v>
      </c>
      <c r="T1033" s="29" t="s">
        <v>249</v>
      </c>
      <c r="U1033" s="45" t="n">
        <f aca="false">IF(J1033="BUY",S1033-M1033,M1033-S1033)</f>
        <v>-22.3300000000017</v>
      </c>
      <c r="V1033" s="46" t="n">
        <v>0</v>
      </c>
      <c r="W1033" s="46" t="n">
        <v>0</v>
      </c>
      <c r="X1033" s="46" t="n">
        <v>-89.32</v>
      </c>
      <c r="Y1033" s="33" t="n">
        <f aca="false">IFERROR(X1033/R1033,0)</f>
        <v>-1.01407811080834</v>
      </c>
      <c r="Z1033" s="29" t="str">
        <f aca="false">IF(X1033&gt;0,"Win",IF(X1033&lt;0,"Loss","Flat"))</f>
        <v>Loss</v>
      </c>
      <c r="AA1033" s="29" t="n">
        <f aca="false">ROUND((C1033-B1033)*1440,1)</f>
        <v>3</v>
      </c>
      <c r="AB1033" s="29" t="str">
        <f aca="false">IF(AA1033&lt;1,"a) &lt;1 min",IF(AA1033&lt;10,"b) 1-10 min",IF(AA1033&lt;60,"c) 10-60 min",IF(AA1033&lt;240,"d) 1-4 h","e) 4 h+"))))</f>
        <v>b) 1-10 min</v>
      </c>
      <c r="AC1033" s="29" t="str">
        <f aca="false">IF(P1033&lt;10,"a) &lt;10",IF(P1033&lt;20,"b) 10-20",IF(P1033&lt;40,"c) 20-40",IF(P1033&lt;80,"d) 40-80","e) 80+"))))</f>
        <v>c) 20-40</v>
      </c>
      <c r="AD1033" s="31" t="n">
        <f aca="false">Summary!$C$5+SUM(X$2:X1033)</f>
        <v>21944.89</v>
      </c>
      <c r="AE1033" s="31" t="n">
        <f aca="false">MAX(AE1032,AD1033)</f>
        <v>23611.84</v>
      </c>
      <c r="AF1033" s="31" t="n">
        <f aca="false">AE1033-AD1033</f>
        <v>1666.95</v>
      </c>
      <c r="AG1033" s="30" t="n">
        <f aca="false">IFERROR(AF1033/AE1033,0)</f>
        <v>0.0705980558906041</v>
      </c>
    </row>
    <row r="1034" customFormat="false" ht="15" hidden="false" customHeight="false" outlineLevel="0" collapsed="false">
      <c r="A1034" s="29" t="n">
        <v>1033</v>
      </c>
      <c r="B1034" s="44" t="n">
        <v>46126.0423611111</v>
      </c>
      <c r="C1034" s="44" t="n">
        <v>46126.0464467593</v>
      </c>
      <c r="D1034" s="43" t="n">
        <f aca="false">INT(C1034)</f>
        <v>46126</v>
      </c>
      <c r="E1034" s="43" t="n">
        <f aca="false">D1034-WEEKDAY(D1034,3)</f>
        <v>46125</v>
      </c>
      <c r="F1034" s="29" t="s">
        <v>192</v>
      </c>
      <c r="G1034" s="29" t="n">
        <v>2026</v>
      </c>
      <c r="H1034" s="29" t="s">
        <v>248</v>
      </c>
      <c r="I1034" s="29" t="n">
        <v>1</v>
      </c>
      <c r="J1034" s="29" t="s">
        <v>246</v>
      </c>
      <c r="K1034" s="29" t="s">
        <v>247</v>
      </c>
      <c r="L1034" s="29" t="n">
        <v>0.04</v>
      </c>
      <c r="M1034" s="32" t="n">
        <v>25411.06</v>
      </c>
      <c r="N1034" s="32" t="n">
        <v>25402.47</v>
      </c>
      <c r="O1034" s="32" t="n">
        <v>25432.11</v>
      </c>
      <c r="P1034" s="45" t="n">
        <f aca="false">ABS(M1034-N1034)</f>
        <v>8.59000000000015</v>
      </c>
      <c r="Q1034" s="45" t="n">
        <f aca="false">IF(O1034="","",ABS(O1034-M1034))</f>
        <v>21.0499999999993</v>
      </c>
      <c r="R1034" s="31" t="n">
        <f aca="false">P1034*L1034*Summary!$C$6</f>
        <v>34.3600000000006</v>
      </c>
      <c r="S1034" s="32" t="n">
        <v>25432.12</v>
      </c>
      <c r="T1034" s="29" t="s">
        <v>227</v>
      </c>
      <c r="U1034" s="45" t="n">
        <f aca="false">IF(J1034="BUY",S1034-M1034,M1034-S1034)</f>
        <v>21.0599999999977</v>
      </c>
      <c r="V1034" s="46" t="n">
        <v>0</v>
      </c>
      <c r="W1034" s="46" t="n">
        <v>0</v>
      </c>
      <c r="X1034" s="46" t="n">
        <v>84.24</v>
      </c>
      <c r="Y1034" s="33" t="n">
        <f aca="false">IFERROR(X1034/R1034,0)</f>
        <v>2.45168800931311</v>
      </c>
      <c r="Z1034" s="29" t="str">
        <f aca="false">IF(X1034&gt;0,"Win",IF(X1034&lt;0,"Loss","Flat"))</f>
        <v>Win</v>
      </c>
      <c r="AA1034" s="29" t="n">
        <f aca="false">ROUND((C1034-B1034)*1440,1)</f>
        <v>5.9</v>
      </c>
      <c r="AB1034" s="29" t="str">
        <f aca="false">IF(AA1034&lt;1,"a) &lt;1 min",IF(AA1034&lt;10,"b) 1-10 min",IF(AA1034&lt;60,"c) 10-60 min",IF(AA1034&lt;240,"d) 1-4 h","e) 4 h+"))))</f>
        <v>b) 1-10 min</v>
      </c>
      <c r="AC1034" s="29" t="str">
        <f aca="false">IF(P1034&lt;10,"a) &lt;10",IF(P1034&lt;20,"b) 10-20",IF(P1034&lt;40,"c) 20-40",IF(P1034&lt;80,"d) 40-80","e) 80+"))))</f>
        <v>a) &lt;10</v>
      </c>
      <c r="AD1034" s="31" t="n">
        <f aca="false">Summary!$C$5+SUM(X$2:X1034)</f>
        <v>22029.13</v>
      </c>
      <c r="AE1034" s="31" t="n">
        <f aca="false">MAX(AE1033,AD1034)</f>
        <v>23611.84</v>
      </c>
      <c r="AF1034" s="31" t="n">
        <f aca="false">AE1034-AD1034</f>
        <v>1582.71</v>
      </c>
      <c r="AG1034" s="30" t="n">
        <f aca="false">IFERROR(AF1034/AE1034,0)</f>
        <v>0.0670303542629462</v>
      </c>
    </row>
    <row r="1035" customFormat="false" ht="15" hidden="false" customHeight="false" outlineLevel="0" collapsed="false">
      <c r="A1035" s="29" t="n">
        <v>1034</v>
      </c>
      <c r="B1035" s="44" t="n">
        <v>46127.0458333333</v>
      </c>
      <c r="C1035" s="44" t="n">
        <v>46127.0509027778</v>
      </c>
      <c r="D1035" s="43" t="n">
        <f aca="false">INT(C1035)</f>
        <v>46127</v>
      </c>
      <c r="E1035" s="43" t="n">
        <f aca="false">D1035-WEEKDAY(D1035,3)</f>
        <v>46125</v>
      </c>
      <c r="F1035" s="29" t="s">
        <v>192</v>
      </c>
      <c r="G1035" s="29" t="n">
        <v>2026</v>
      </c>
      <c r="H1035" s="29" t="s">
        <v>252</v>
      </c>
      <c r="I1035" s="29" t="n">
        <v>1</v>
      </c>
      <c r="J1035" s="29" t="s">
        <v>246</v>
      </c>
      <c r="K1035" s="29" t="s">
        <v>247</v>
      </c>
      <c r="L1035" s="29" t="n">
        <v>0.04</v>
      </c>
      <c r="M1035" s="32" t="n">
        <v>25840.2</v>
      </c>
      <c r="N1035" s="32" t="n">
        <v>25832.68</v>
      </c>
      <c r="O1035" s="32" t="n">
        <v>25858.62</v>
      </c>
      <c r="P1035" s="45" t="n">
        <f aca="false">ABS(M1035-N1035)</f>
        <v>7.52000000000044</v>
      </c>
      <c r="Q1035" s="45" t="n">
        <f aca="false">IF(O1035="","",ABS(O1035-M1035))</f>
        <v>18.4199999999983</v>
      </c>
      <c r="R1035" s="31" t="n">
        <f aca="false">P1035*L1035*Summary!$C$6</f>
        <v>30.0800000000017</v>
      </c>
      <c r="S1035" s="32" t="n">
        <v>25839.08</v>
      </c>
      <c r="T1035" s="29" t="s">
        <v>255</v>
      </c>
      <c r="U1035" s="45" t="n">
        <f aca="false">IF(J1035="BUY",S1035-M1035,M1035-S1035)</f>
        <v>-1.11999999999898</v>
      </c>
      <c r="V1035" s="46" t="n">
        <v>0</v>
      </c>
      <c r="W1035" s="46" t="n">
        <v>0</v>
      </c>
      <c r="X1035" s="46" t="n">
        <v>-4.48</v>
      </c>
      <c r="Y1035" s="33" t="n">
        <f aca="false">IFERROR(X1035/R1035,0)</f>
        <v>-0.148936170212757</v>
      </c>
      <c r="Z1035" s="29" t="str">
        <f aca="false">IF(X1035&gt;0,"Win",IF(X1035&lt;0,"Loss","Flat"))</f>
        <v>Loss</v>
      </c>
      <c r="AA1035" s="29" t="n">
        <f aca="false">ROUND((C1035-B1035)*1440,1)</f>
        <v>7.3</v>
      </c>
      <c r="AB1035" s="29" t="str">
        <f aca="false">IF(AA1035&lt;1,"a) &lt;1 min",IF(AA1035&lt;10,"b) 1-10 min",IF(AA1035&lt;60,"c) 10-60 min",IF(AA1035&lt;240,"d) 1-4 h","e) 4 h+"))))</f>
        <v>b) 1-10 min</v>
      </c>
      <c r="AC1035" s="29" t="str">
        <f aca="false">IF(P1035&lt;10,"a) &lt;10",IF(P1035&lt;20,"b) 10-20",IF(P1035&lt;40,"c) 20-40",IF(P1035&lt;80,"d) 40-80","e) 80+"))))</f>
        <v>a) &lt;10</v>
      </c>
      <c r="AD1035" s="31" t="n">
        <f aca="false">Summary!$C$5+SUM(X$2:X1035)</f>
        <v>22024.65</v>
      </c>
      <c r="AE1035" s="31" t="n">
        <f aca="false">MAX(AE1034,AD1035)</f>
        <v>23611.84</v>
      </c>
      <c r="AF1035" s="31" t="n">
        <f aca="false">AE1035-AD1035</f>
        <v>1587.19</v>
      </c>
      <c r="AG1035" s="30" t="n">
        <f aca="false">IFERROR(AF1035/AE1035,0)</f>
        <v>0.0672200895821757</v>
      </c>
    </row>
    <row r="1036" customFormat="false" ht="15" hidden="false" customHeight="false" outlineLevel="0" collapsed="false">
      <c r="A1036" s="29" t="n">
        <v>1035</v>
      </c>
      <c r="B1036" s="44" t="n">
        <v>46128.0576388889</v>
      </c>
      <c r="C1036" s="44" t="n">
        <v>46128.0584027778</v>
      </c>
      <c r="D1036" s="43" t="n">
        <f aca="false">INT(C1036)</f>
        <v>46128</v>
      </c>
      <c r="E1036" s="43" t="n">
        <f aca="false">D1036-WEEKDAY(D1036,3)</f>
        <v>46125</v>
      </c>
      <c r="F1036" s="29" t="s">
        <v>192</v>
      </c>
      <c r="G1036" s="29" t="n">
        <v>2026</v>
      </c>
      <c r="H1036" s="29" t="s">
        <v>253</v>
      </c>
      <c r="I1036" s="29" t="n">
        <v>1</v>
      </c>
      <c r="J1036" s="29" t="s">
        <v>246</v>
      </c>
      <c r="K1036" s="29" t="s">
        <v>247</v>
      </c>
      <c r="L1036" s="29" t="n">
        <v>0.04</v>
      </c>
      <c r="M1036" s="32" t="n">
        <v>26215.15</v>
      </c>
      <c r="N1036" s="32" t="n">
        <v>26210.61</v>
      </c>
      <c r="O1036" s="32" t="n">
        <v>26227.28</v>
      </c>
      <c r="P1036" s="45" t="n">
        <f aca="false">ABS(M1036-N1036)</f>
        <v>4.54000000000087</v>
      </c>
      <c r="Q1036" s="45" t="n">
        <f aca="false">IF(O1036="","",ABS(O1036-M1036))</f>
        <v>12.1299999999974</v>
      </c>
      <c r="R1036" s="31" t="n">
        <f aca="false">P1036*L1036*Summary!$C$6</f>
        <v>18.1600000000035</v>
      </c>
      <c r="S1036" s="32" t="n">
        <v>26210.25</v>
      </c>
      <c r="T1036" s="29" t="s">
        <v>249</v>
      </c>
      <c r="U1036" s="45" t="n">
        <f aca="false">IF(J1036="BUY",S1036-M1036,M1036-S1036)</f>
        <v>-4.90000000000146</v>
      </c>
      <c r="V1036" s="46" t="n">
        <v>0</v>
      </c>
      <c r="W1036" s="46" t="n">
        <v>0</v>
      </c>
      <c r="X1036" s="46" t="n">
        <v>-19.6</v>
      </c>
      <c r="Y1036" s="33" t="n">
        <f aca="false">IFERROR(X1036/R1036,0)</f>
        <v>-1.07929515418481</v>
      </c>
      <c r="Z1036" s="29" t="str">
        <f aca="false">IF(X1036&gt;0,"Win",IF(X1036&lt;0,"Loss","Flat"))</f>
        <v>Loss</v>
      </c>
      <c r="AA1036" s="29" t="n">
        <f aca="false">ROUND((C1036-B1036)*1440,1)</f>
        <v>1.1</v>
      </c>
      <c r="AB1036" s="29" t="str">
        <f aca="false">IF(AA1036&lt;1,"a) &lt;1 min",IF(AA1036&lt;10,"b) 1-10 min",IF(AA1036&lt;60,"c) 10-60 min",IF(AA1036&lt;240,"d) 1-4 h","e) 4 h+"))))</f>
        <v>b) 1-10 min</v>
      </c>
      <c r="AC1036" s="29" t="str">
        <f aca="false">IF(P1036&lt;10,"a) &lt;10",IF(P1036&lt;20,"b) 10-20",IF(P1036&lt;40,"c) 20-40",IF(P1036&lt;80,"d) 40-80","e) 80+"))))</f>
        <v>a) &lt;10</v>
      </c>
      <c r="AD1036" s="31" t="n">
        <f aca="false">Summary!$C$5+SUM(X$2:X1036)</f>
        <v>22005.05</v>
      </c>
      <c r="AE1036" s="31" t="n">
        <f aca="false">MAX(AE1035,AD1036)</f>
        <v>23611.84</v>
      </c>
      <c r="AF1036" s="31" t="n">
        <f aca="false">AE1036-AD1036</f>
        <v>1606.79</v>
      </c>
      <c r="AG1036" s="30" t="n">
        <f aca="false">IFERROR(AF1036/AE1036,0)</f>
        <v>0.0680501816038056</v>
      </c>
    </row>
    <row r="1037" customFormat="false" ht="15" hidden="false" customHeight="false" outlineLevel="0" collapsed="false">
      <c r="A1037" s="29" t="n">
        <v>1036</v>
      </c>
      <c r="B1037" s="44" t="n">
        <v>46129.6097222222</v>
      </c>
      <c r="C1037" s="44" t="n">
        <v>46129.6102083333</v>
      </c>
      <c r="D1037" s="43" t="n">
        <f aca="false">INT(C1037)</f>
        <v>46129</v>
      </c>
      <c r="E1037" s="43" t="n">
        <f aca="false">D1037-WEEKDAY(D1037,3)</f>
        <v>46125</v>
      </c>
      <c r="F1037" s="29" t="s">
        <v>192</v>
      </c>
      <c r="G1037" s="29" t="n">
        <v>2026</v>
      </c>
      <c r="H1037" s="29" t="s">
        <v>254</v>
      </c>
      <c r="I1037" s="29" t="n">
        <v>14</v>
      </c>
      <c r="J1037" s="29" t="s">
        <v>246</v>
      </c>
      <c r="K1037" s="29" t="s">
        <v>247</v>
      </c>
      <c r="L1037" s="29" t="n">
        <v>0.04</v>
      </c>
      <c r="M1037" s="32" t="n">
        <v>26400.54</v>
      </c>
      <c r="N1037" s="32" t="n">
        <v>26396.49</v>
      </c>
      <c r="O1037" s="32" t="n">
        <v>26410.47</v>
      </c>
      <c r="P1037" s="45" t="n">
        <f aca="false">ABS(M1037-N1037)</f>
        <v>4.04999999999927</v>
      </c>
      <c r="Q1037" s="45" t="n">
        <f aca="false">IF(O1037="","",ABS(O1037-M1037))</f>
        <v>9.93000000000029</v>
      </c>
      <c r="R1037" s="31" t="n">
        <f aca="false">P1037*L1037*Summary!$C$6</f>
        <v>16.1999999999971</v>
      </c>
      <c r="S1037" s="32" t="n">
        <v>26395.7</v>
      </c>
      <c r="T1037" s="29" t="s">
        <v>249</v>
      </c>
      <c r="U1037" s="45" t="n">
        <f aca="false">IF(J1037="BUY",S1037-M1037,M1037-S1037)</f>
        <v>-4.84000000000015</v>
      </c>
      <c r="V1037" s="46" t="n">
        <v>0</v>
      </c>
      <c r="W1037" s="46" t="n">
        <v>0</v>
      </c>
      <c r="X1037" s="46" t="n">
        <v>-19.36</v>
      </c>
      <c r="Y1037" s="33" t="n">
        <f aca="false">IFERROR(X1037/R1037,0)</f>
        <v>-1.19506172839528</v>
      </c>
      <c r="Z1037" s="29" t="str">
        <f aca="false">IF(X1037&gt;0,"Win",IF(X1037&lt;0,"Loss","Flat"))</f>
        <v>Loss</v>
      </c>
      <c r="AA1037" s="29" t="n">
        <f aca="false">ROUND((C1037-B1037)*1440,1)</f>
        <v>0.7</v>
      </c>
      <c r="AB1037" s="29" t="str">
        <f aca="false">IF(AA1037&lt;1,"a) &lt;1 min",IF(AA1037&lt;10,"b) 1-10 min",IF(AA1037&lt;60,"c) 10-60 min",IF(AA1037&lt;240,"d) 1-4 h","e) 4 h+"))))</f>
        <v>a) &lt;1 min</v>
      </c>
      <c r="AC1037" s="29" t="str">
        <f aca="false">IF(P1037&lt;10,"a) &lt;10",IF(P1037&lt;20,"b) 10-20",IF(P1037&lt;40,"c) 20-40",IF(P1037&lt;80,"d) 40-80","e) 80+"))))</f>
        <v>a) &lt;10</v>
      </c>
      <c r="AD1037" s="31" t="n">
        <f aca="false">Summary!$C$5+SUM(X$2:X1037)</f>
        <v>21985.69</v>
      </c>
      <c r="AE1037" s="31" t="n">
        <f aca="false">MAX(AE1036,AD1037)</f>
        <v>23611.84</v>
      </c>
      <c r="AF1037" s="31" t="n">
        <f aca="false">AE1037-AD1037</f>
        <v>1626.15</v>
      </c>
      <c r="AG1037" s="30" t="n">
        <f aca="false">IFERROR(AF1037/AE1037,0)</f>
        <v>0.0688701092333337</v>
      </c>
    </row>
    <row r="1038" customFormat="false" ht="15" hidden="false" customHeight="false" outlineLevel="0" collapsed="false">
      <c r="A1038" s="29" t="n">
        <v>1037</v>
      </c>
      <c r="B1038" s="44" t="n">
        <v>46133.1590277778</v>
      </c>
      <c r="C1038" s="44" t="n">
        <v>46133.1743518519</v>
      </c>
      <c r="D1038" s="43" t="n">
        <f aca="false">INT(C1038)</f>
        <v>46133</v>
      </c>
      <c r="E1038" s="43" t="n">
        <f aca="false">D1038-WEEKDAY(D1038,3)</f>
        <v>46132</v>
      </c>
      <c r="F1038" s="29" t="s">
        <v>192</v>
      </c>
      <c r="G1038" s="29" t="n">
        <v>2026</v>
      </c>
      <c r="H1038" s="29" t="s">
        <v>248</v>
      </c>
      <c r="I1038" s="29" t="n">
        <v>3</v>
      </c>
      <c r="J1038" s="29" t="s">
        <v>246</v>
      </c>
      <c r="K1038" s="29" t="s">
        <v>247</v>
      </c>
      <c r="L1038" s="29" t="n">
        <v>0.04</v>
      </c>
      <c r="M1038" s="32" t="n">
        <v>26670.33</v>
      </c>
      <c r="N1038" s="32" t="n">
        <v>26659.72</v>
      </c>
      <c r="O1038" s="32" t="n">
        <v>26695.68</v>
      </c>
      <c r="P1038" s="45" t="n">
        <f aca="false">ABS(M1038-N1038)</f>
        <v>10.6100000000006</v>
      </c>
      <c r="Q1038" s="45" t="n">
        <f aca="false">IF(O1038="","",ABS(O1038-M1038))</f>
        <v>25.3499999999985</v>
      </c>
      <c r="R1038" s="31" t="n">
        <f aca="false">P1038*L1038*Summary!$C$6</f>
        <v>42.4400000000023</v>
      </c>
      <c r="S1038" s="32" t="n">
        <v>26659.56</v>
      </c>
      <c r="T1038" s="29" t="s">
        <v>249</v>
      </c>
      <c r="U1038" s="45" t="n">
        <f aca="false">IF(J1038="BUY",S1038-M1038,M1038-S1038)</f>
        <v>-10.7700000000004</v>
      </c>
      <c r="V1038" s="46" t="n">
        <v>0</v>
      </c>
      <c r="W1038" s="46" t="n">
        <v>0</v>
      </c>
      <c r="X1038" s="46" t="n">
        <v>-43.08</v>
      </c>
      <c r="Y1038" s="33" t="n">
        <f aca="false">IFERROR(X1038/R1038,0)</f>
        <v>-1.01508011310079</v>
      </c>
      <c r="Z1038" s="29" t="str">
        <f aca="false">IF(X1038&gt;0,"Win",IF(X1038&lt;0,"Loss","Flat"))</f>
        <v>Loss</v>
      </c>
      <c r="AA1038" s="29" t="n">
        <f aca="false">ROUND((C1038-B1038)*1440,1)</f>
        <v>22.1</v>
      </c>
      <c r="AB1038" s="29" t="str">
        <f aca="false">IF(AA1038&lt;1,"a) &lt;1 min",IF(AA1038&lt;10,"b) 1-10 min",IF(AA1038&lt;60,"c) 10-60 min",IF(AA1038&lt;240,"d) 1-4 h","e) 4 h+"))))</f>
        <v>c) 10-60 min</v>
      </c>
      <c r="AC1038" s="29" t="str">
        <f aca="false">IF(P1038&lt;10,"a) &lt;10",IF(P1038&lt;20,"b) 10-20",IF(P1038&lt;40,"c) 20-40",IF(P1038&lt;80,"d) 40-80","e) 80+"))))</f>
        <v>b) 10-20</v>
      </c>
      <c r="AD1038" s="31" t="n">
        <f aca="false">Summary!$C$5+SUM(X$2:X1038)</f>
        <v>21942.61</v>
      </c>
      <c r="AE1038" s="31" t="n">
        <f aca="false">MAX(AE1037,AD1038)</f>
        <v>23611.84</v>
      </c>
      <c r="AF1038" s="31" t="n">
        <f aca="false">AE1038-AD1038</f>
        <v>1669.23</v>
      </c>
      <c r="AG1038" s="30" t="n">
        <f aca="false">IFERROR(AF1038/AE1038,0)</f>
        <v>0.0706946176155691</v>
      </c>
    </row>
    <row r="1039" customFormat="false" ht="15" hidden="false" customHeight="false" outlineLevel="0" collapsed="false">
      <c r="A1039" s="29" t="n">
        <v>1038</v>
      </c>
      <c r="B1039" s="44" t="n">
        <v>46134.7138888889</v>
      </c>
      <c r="C1039" s="44" t="n">
        <v>46134.7226736111</v>
      </c>
      <c r="D1039" s="43" t="n">
        <f aca="false">INT(C1039)</f>
        <v>46134</v>
      </c>
      <c r="E1039" s="43" t="n">
        <f aca="false">D1039-WEEKDAY(D1039,3)</f>
        <v>46132</v>
      </c>
      <c r="F1039" s="29" t="s">
        <v>192</v>
      </c>
      <c r="G1039" s="29" t="n">
        <v>2026</v>
      </c>
      <c r="H1039" s="29" t="s">
        <v>252</v>
      </c>
      <c r="I1039" s="29" t="n">
        <v>17</v>
      </c>
      <c r="J1039" s="29" t="s">
        <v>246</v>
      </c>
      <c r="K1039" s="29" t="s">
        <v>247</v>
      </c>
      <c r="L1039" s="29" t="n">
        <v>0.04</v>
      </c>
      <c r="M1039" s="32" t="n">
        <v>26750</v>
      </c>
      <c r="N1039" s="32" t="n">
        <v>26728.52</v>
      </c>
      <c r="O1039" s="32" t="n">
        <v>26806.59</v>
      </c>
      <c r="P1039" s="45" t="n">
        <f aca="false">ABS(M1039-N1039)</f>
        <v>21.4799999999996</v>
      </c>
      <c r="Q1039" s="45" t="n">
        <f aca="false">IF(O1039="","",ABS(O1039-M1039))</f>
        <v>56.5900000000001</v>
      </c>
      <c r="R1039" s="31" t="n">
        <f aca="false">P1039*L1039*Summary!$C$6</f>
        <v>85.9199999999983</v>
      </c>
      <c r="S1039" s="32" t="n">
        <v>26807.78</v>
      </c>
      <c r="T1039" s="29" t="s">
        <v>227</v>
      </c>
      <c r="U1039" s="45" t="n">
        <f aca="false">IF(J1039="BUY",S1039-M1039,M1039-S1039)</f>
        <v>57.7799999999988</v>
      </c>
      <c r="V1039" s="46" t="n">
        <v>0</v>
      </c>
      <c r="W1039" s="46" t="n">
        <v>0</v>
      </c>
      <c r="X1039" s="46" t="n">
        <v>231.12</v>
      </c>
      <c r="Y1039" s="33" t="n">
        <f aca="false">IFERROR(X1039/R1039,0)</f>
        <v>2.68994413407827</v>
      </c>
      <c r="Z1039" s="29" t="str">
        <f aca="false">IF(X1039&gt;0,"Win",IF(X1039&lt;0,"Loss","Flat"))</f>
        <v>Win</v>
      </c>
      <c r="AA1039" s="29" t="n">
        <f aca="false">ROUND((C1039-B1039)*1440,1)</f>
        <v>12.7</v>
      </c>
      <c r="AB1039" s="29" t="str">
        <f aca="false">IF(AA1039&lt;1,"a) &lt;1 min",IF(AA1039&lt;10,"b) 1-10 min",IF(AA1039&lt;60,"c) 10-60 min",IF(AA1039&lt;240,"d) 1-4 h","e) 4 h+"))))</f>
        <v>c) 10-60 min</v>
      </c>
      <c r="AC1039" s="29" t="str">
        <f aca="false">IF(P1039&lt;10,"a) &lt;10",IF(P1039&lt;20,"b) 10-20",IF(P1039&lt;40,"c) 20-40",IF(P1039&lt;80,"d) 40-80","e) 80+"))))</f>
        <v>c) 20-40</v>
      </c>
      <c r="AD1039" s="31" t="n">
        <f aca="false">Summary!$C$5+SUM(X$2:X1039)</f>
        <v>22173.73</v>
      </c>
      <c r="AE1039" s="31" t="n">
        <f aca="false">MAX(AE1038,AD1039)</f>
        <v>23611.84</v>
      </c>
      <c r="AF1039" s="31" t="n">
        <f aca="false">AE1039-AD1039</f>
        <v>1438.11</v>
      </c>
      <c r="AG1039" s="30" t="n">
        <f aca="false">IFERROR(AF1039/AE1039,0)</f>
        <v>0.0609063080217383</v>
      </c>
    </row>
    <row r="1040" customFormat="false" ht="15" hidden="false" customHeight="false" outlineLevel="0" collapsed="false">
      <c r="A1040" s="29" t="n">
        <v>1039</v>
      </c>
      <c r="B1040" s="44" t="n">
        <v>46135.7631944444</v>
      </c>
      <c r="C1040" s="44" t="n">
        <v>46135.7706944444</v>
      </c>
      <c r="D1040" s="43" t="n">
        <f aca="false">INT(C1040)</f>
        <v>46135</v>
      </c>
      <c r="E1040" s="43" t="n">
        <f aca="false">D1040-WEEKDAY(D1040,3)</f>
        <v>46132</v>
      </c>
      <c r="F1040" s="29" t="s">
        <v>192</v>
      </c>
      <c r="G1040" s="29" t="n">
        <v>2026</v>
      </c>
      <c r="H1040" s="29" t="s">
        <v>253</v>
      </c>
      <c r="I1040" s="29" t="n">
        <v>18</v>
      </c>
      <c r="J1040" s="29" t="s">
        <v>246</v>
      </c>
      <c r="K1040" s="29" t="s">
        <v>247</v>
      </c>
      <c r="L1040" s="29" t="n">
        <v>0.04</v>
      </c>
      <c r="M1040" s="32" t="n">
        <v>26983.28</v>
      </c>
      <c r="N1040" s="32" t="n">
        <v>26971.21</v>
      </c>
      <c r="O1040" s="32" t="n">
        <v>27012.19</v>
      </c>
      <c r="P1040" s="45" t="n">
        <f aca="false">ABS(M1040-N1040)</f>
        <v>12.0699999999997</v>
      </c>
      <c r="Q1040" s="45" t="n">
        <f aca="false">IF(O1040="","",ABS(O1040-M1040))</f>
        <v>28.9099999999999</v>
      </c>
      <c r="R1040" s="31" t="n">
        <f aca="false">P1040*L1040*Summary!$C$6</f>
        <v>48.2799999999988</v>
      </c>
      <c r="S1040" s="32" t="n">
        <v>26983.28</v>
      </c>
      <c r="T1040" s="29" t="s">
        <v>255</v>
      </c>
      <c r="U1040" s="45" t="n">
        <f aca="false">IF(J1040="BUY",S1040-M1040,M1040-S1040)</f>
        <v>0</v>
      </c>
      <c r="V1040" s="46" t="n">
        <v>0</v>
      </c>
      <c r="W1040" s="46" t="n">
        <v>0</v>
      </c>
      <c r="X1040" s="46" t="n">
        <v>0</v>
      </c>
      <c r="Y1040" s="33" t="n">
        <f aca="false">IFERROR(X1040/R1040,0)</f>
        <v>0</v>
      </c>
      <c r="Z1040" s="29" t="str">
        <f aca="false">IF(X1040&gt;0,"Win",IF(X1040&lt;0,"Loss","Flat"))</f>
        <v>Flat</v>
      </c>
      <c r="AA1040" s="29" t="n">
        <f aca="false">ROUND((C1040-B1040)*1440,1)</f>
        <v>10.8</v>
      </c>
      <c r="AB1040" s="29" t="str">
        <f aca="false">IF(AA1040&lt;1,"a) &lt;1 min",IF(AA1040&lt;10,"b) 1-10 min",IF(AA1040&lt;60,"c) 10-60 min",IF(AA1040&lt;240,"d) 1-4 h","e) 4 h+"))))</f>
        <v>c) 10-60 min</v>
      </c>
      <c r="AC1040" s="29" t="str">
        <f aca="false">IF(P1040&lt;10,"a) &lt;10",IF(P1040&lt;20,"b) 10-20",IF(P1040&lt;40,"c) 20-40",IF(P1040&lt;80,"d) 40-80","e) 80+"))))</f>
        <v>b) 10-20</v>
      </c>
      <c r="AD1040" s="31" t="n">
        <f aca="false">Summary!$C$5+SUM(X$2:X1040)</f>
        <v>22173.73</v>
      </c>
      <c r="AE1040" s="31" t="n">
        <f aca="false">MAX(AE1039,AD1040)</f>
        <v>23611.84</v>
      </c>
      <c r="AF1040" s="31" t="n">
        <f aca="false">AE1040-AD1040</f>
        <v>1438.11</v>
      </c>
      <c r="AG1040" s="30" t="n">
        <f aca="false">IFERROR(AF1040/AE1040,0)</f>
        <v>0.0609063080217383</v>
      </c>
    </row>
    <row r="1041" customFormat="false" ht="15" hidden="false" customHeight="false" outlineLevel="0" collapsed="false">
      <c r="A1041" s="29" t="n">
        <v>1040</v>
      </c>
      <c r="B1041" s="44" t="n">
        <v>46135.8659722222</v>
      </c>
      <c r="C1041" s="44" t="n">
        <v>46135.8663773148</v>
      </c>
      <c r="D1041" s="43" t="n">
        <f aca="false">INT(C1041)</f>
        <v>46135</v>
      </c>
      <c r="E1041" s="43" t="n">
        <f aca="false">D1041-WEEKDAY(D1041,3)</f>
        <v>46132</v>
      </c>
      <c r="F1041" s="29" t="s">
        <v>192</v>
      </c>
      <c r="G1041" s="29" t="n">
        <v>2026</v>
      </c>
      <c r="H1041" s="29" t="s">
        <v>253</v>
      </c>
      <c r="I1041" s="29" t="n">
        <v>20</v>
      </c>
      <c r="J1041" s="29" t="s">
        <v>250</v>
      </c>
      <c r="K1041" s="29" t="s">
        <v>251</v>
      </c>
      <c r="L1041" s="29" t="n">
        <v>0.04</v>
      </c>
      <c r="M1041" s="32" t="n">
        <v>26545.65</v>
      </c>
      <c r="N1041" s="32" t="n">
        <v>26585.16</v>
      </c>
      <c r="O1041" s="32" t="n">
        <v>26449.34</v>
      </c>
      <c r="P1041" s="45" t="n">
        <f aca="false">ABS(M1041-N1041)</f>
        <v>39.5099999999984</v>
      </c>
      <c r="Q1041" s="45" t="n">
        <f aca="false">IF(O1041="","",ABS(O1041-M1041))</f>
        <v>96.3100000000013</v>
      </c>
      <c r="R1041" s="31" t="n">
        <f aca="false">P1041*L1041*Summary!$C$6</f>
        <v>158.039999999994</v>
      </c>
      <c r="S1041" s="32" t="n">
        <v>26587.03</v>
      </c>
      <c r="T1041" s="29" t="s">
        <v>249</v>
      </c>
      <c r="U1041" s="45" t="n">
        <f aca="false">IF(J1041="BUY",S1041-M1041,M1041-S1041)</f>
        <v>-41.3799999999974</v>
      </c>
      <c r="V1041" s="46" t="n">
        <v>0</v>
      </c>
      <c r="W1041" s="46" t="n">
        <v>0</v>
      </c>
      <c r="X1041" s="46" t="n">
        <v>-165.52</v>
      </c>
      <c r="Y1041" s="33" t="n">
        <f aca="false">IFERROR(X1041/R1041,0)</f>
        <v>-1.04732978992664</v>
      </c>
      <c r="Z1041" s="29" t="str">
        <f aca="false">IF(X1041&gt;0,"Win",IF(X1041&lt;0,"Loss","Flat"))</f>
        <v>Loss</v>
      </c>
      <c r="AA1041" s="29" t="n">
        <f aca="false">ROUND((C1041-B1041)*1440,1)</f>
        <v>0.6</v>
      </c>
      <c r="AB1041" s="29" t="str">
        <f aca="false">IF(AA1041&lt;1,"a) &lt;1 min",IF(AA1041&lt;10,"b) 1-10 min",IF(AA1041&lt;60,"c) 10-60 min",IF(AA1041&lt;240,"d) 1-4 h","e) 4 h+"))))</f>
        <v>a) &lt;1 min</v>
      </c>
      <c r="AC1041" s="29" t="str">
        <f aca="false">IF(P1041&lt;10,"a) &lt;10",IF(P1041&lt;20,"b) 10-20",IF(P1041&lt;40,"c) 20-40",IF(P1041&lt;80,"d) 40-80","e) 80+"))))</f>
        <v>c) 20-40</v>
      </c>
      <c r="AD1041" s="31" t="n">
        <f aca="false">Summary!$C$5+SUM(X$2:X1041)</f>
        <v>22008.21</v>
      </c>
      <c r="AE1041" s="31" t="n">
        <f aca="false">MAX(AE1040,AD1041)</f>
        <v>23611.84</v>
      </c>
      <c r="AF1041" s="31" t="n">
        <f aca="false">AE1041-AD1041</f>
        <v>1603.63</v>
      </c>
      <c r="AG1041" s="30" t="n">
        <f aca="false">IFERROR(AF1041/AE1041,0)</f>
        <v>0.0679163504411347</v>
      </c>
    </row>
    <row r="1042" customFormat="false" ht="15" hidden="false" customHeight="false" outlineLevel="0" collapsed="false">
      <c r="A1042" s="29" t="n">
        <v>1041</v>
      </c>
      <c r="B1042" s="44" t="n">
        <v>46136.5548611111</v>
      </c>
      <c r="C1042" s="44" t="n">
        <v>46136.5570601852</v>
      </c>
      <c r="D1042" s="43" t="n">
        <f aca="false">INT(C1042)</f>
        <v>46136</v>
      </c>
      <c r="E1042" s="43" t="n">
        <f aca="false">D1042-WEEKDAY(D1042,3)</f>
        <v>46132</v>
      </c>
      <c r="F1042" s="29" t="s">
        <v>192</v>
      </c>
      <c r="G1042" s="29" t="n">
        <v>2026</v>
      </c>
      <c r="H1042" s="29" t="s">
        <v>254</v>
      </c>
      <c r="I1042" s="29" t="n">
        <v>13</v>
      </c>
      <c r="J1042" s="29" t="s">
        <v>246</v>
      </c>
      <c r="K1042" s="29" t="s">
        <v>247</v>
      </c>
      <c r="L1042" s="29" t="n">
        <v>0.04</v>
      </c>
      <c r="M1042" s="32" t="n">
        <v>27008.53</v>
      </c>
      <c r="N1042" s="32" t="n">
        <v>27001.18</v>
      </c>
      <c r="O1042" s="32" t="n">
        <v>27026.54</v>
      </c>
      <c r="P1042" s="45" t="n">
        <f aca="false">ABS(M1042-N1042)</f>
        <v>7.34999999999855</v>
      </c>
      <c r="Q1042" s="45" t="n">
        <f aca="false">IF(O1042="","",ABS(O1042-M1042))</f>
        <v>18.010000000002</v>
      </c>
      <c r="R1042" s="31" t="n">
        <f aca="false">P1042*L1042*Summary!$C$6</f>
        <v>29.3999999999942</v>
      </c>
      <c r="S1042" s="32" t="n">
        <v>27007.93</v>
      </c>
      <c r="T1042" s="29" t="s">
        <v>255</v>
      </c>
      <c r="U1042" s="45" t="n">
        <f aca="false">IF(J1042="BUY",S1042-M1042,M1042-S1042)</f>
        <v>-0.599999999998545</v>
      </c>
      <c r="V1042" s="46" t="n">
        <v>0</v>
      </c>
      <c r="W1042" s="46" t="n">
        <v>0</v>
      </c>
      <c r="X1042" s="46" t="n">
        <v>-2.4</v>
      </c>
      <c r="Y1042" s="33" t="n">
        <f aca="false">IFERROR(X1042/R1042,0)</f>
        <v>-0.0816326530612407</v>
      </c>
      <c r="Z1042" s="29" t="str">
        <f aca="false">IF(X1042&gt;0,"Win",IF(X1042&lt;0,"Loss","Flat"))</f>
        <v>Loss</v>
      </c>
      <c r="AA1042" s="29" t="n">
        <f aca="false">ROUND((C1042-B1042)*1440,1)</f>
        <v>3.2</v>
      </c>
      <c r="AB1042" s="29" t="str">
        <f aca="false">IF(AA1042&lt;1,"a) &lt;1 min",IF(AA1042&lt;10,"b) 1-10 min",IF(AA1042&lt;60,"c) 10-60 min",IF(AA1042&lt;240,"d) 1-4 h","e) 4 h+"))))</f>
        <v>b) 1-10 min</v>
      </c>
      <c r="AC1042" s="29" t="str">
        <f aca="false">IF(P1042&lt;10,"a) &lt;10",IF(P1042&lt;20,"b) 10-20",IF(P1042&lt;40,"c) 20-40",IF(P1042&lt;80,"d) 40-80","e) 80+"))))</f>
        <v>a) &lt;10</v>
      </c>
      <c r="AD1042" s="31" t="n">
        <f aca="false">Summary!$C$5+SUM(X$2:X1042)</f>
        <v>22005.81</v>
      </c>
      <c r="AE1042" s="31" t="n">
        <f aca="false">MAX(AE1041,AD1042)</f>
        <v>23611.84</v>
      </c>
      <c r="AF1042" s="31" t="n">
        <f aca="false">AE1042-AD1042</f>
        <v>1606.03</v>
      </c>
      <c r="AG1042" s="30" t="n">
        <f aca="false">IFERROR(AF1042/AE1042,0)</f>
        <v>0.0680179943621506</v>
      </c>
    </row>
    <row r="1043" customFormat="false" ht="15" hidden="false" customHeight="false" outlineLevel="0" collapsed="false">
      <c r="A1043" s="29" t="n">
        <v>1042</v>
      </c>
      <c r="B1043" s="44" t="n">
        <v>46139.1659722222</v>
      </c>
      <c r="C1043" s="44" t="n">
        <v>46139.1669907407</v>
      </c>
      <c r="D1043" s="43" t="n">
        <f aca="false">INT(C1043)</f>
        <v>46139</v>
      </c>
      <c r="E1043" s="43" t="n">
        <f aca="false">D1043-WEEKDAY(D1043,3)</f>
        <v>46139</v>
      </c>
      <c r="F1043" s="29" t="s">
        <v>192</v>
      </c>
      <c r="G1043" s="29" t="n">
        <v>2026</v>
      </c>
      <c r="H1043" s="29" t="s">
        <v>245</v>
      </c>
      <c r="I1043" s="29" t="n">
        <v>3</v>
      </c>
      <c r="J1043" s="29" t="s">
        <v>246</v>
      </c>
      <c r="K1043" s="29" t="s">
        <v>247</v>
      </c>
      <c r="L1043" s="29" t="n">
        <v>0.04</v>
      </c>
      <c r="M1043" s="32" t="n">
        <v>27322.59</v>
      </c>
      <c r="N1043" s="32" t="n">
        <v>27316.58</v>
      </c>
      <c r="O1043" s="32" t="n">
        <v>27339.86</v>
      </c>
      <c r="P1043" s="45" t="n">
        <f aca="false">ABS(M1043-N1043)</f>
        <v>6.0099999999984</v>
      </c>
      <c r="Q1043" s="45" t="n">
        <f aca="false">IF(O1043="","",ABS(O1043-M1043))</f>
        <v>17.2700000000004</v>
      </c>
      <c r="R1043" s="31" t="n">
        <f aca="false">P1043*L1043*Summary!$C$6</f>
        <v>24.0399999999936</v>
      </c>
      <c r="S1043" s="32" t="n">
        <v>27343.18</v>
      </c>
      <c r="T1043" s="29" t="s">
        <v>227</v>
      </c>
      <c r="U1043" s="45" t="n">
        <f aca="false">IF(J1043="BUY",S1043-M1043,M1043-S1043)</f>
        <v>20.5900000000001</v>
      </c>
      <c r="V1043" s="46" t="n">
        <v>0</v>
      </c>
      <c r="W1043" s="46" t="n">
        <v>0</v>
      </c>
      <c r="X1043" s="46" t="n">
        <v>82.36</v>
      </c>
      <c r="Y1043" s="33" t="n">
        <f aca="false">IFERROR(X1043/R1043,0)</f>
        <v>3.42595673876963</v>
      </c>
      <c r="Z1043" s="29" t="str">
        <f aca="false">IF(X1043&gt;0,"Win",IF(X1043&lt;0,"Loss","Flat"))</f>
        <v>Win</v>
      </c>
      <c r="AA1043" s="29" t="n">
        <f aca="false">ROUND((C1043-B1043)*1440,1)</f>
        <v>1.5</v>
      </c>
      <c r="AB1043" s="29" t="str">
        <f aca="false">IF(AA1043&lt;1,"a) &lt;1 min",IF(AA1043&lt;10,"b) 1-10 min",IF(AA1043&lt;60,"c) 10-60 min",IF(AA1043&lt;240,"d) 1-4 h","e) 4 h+"))))</f>
        <v>b) 1-10 min</v>
      </c>
      <c r="AC1043" s="29" t="str">
        <f aca="false">IF(P1043&lt;10,"a) &lt;10",IF(P1043&lt;20,"b) 10-20",IF(P1043&lt;40,"c) 20-40",IF(P1043&lt;80,"d) 40-80","e) 80+"))))</f>
        <v>a) &lt;10</v>
      </c>
      <c r="AD1043" s="31" t="n">
        <f aca="false">Summary!$C$5+SUM(X$2:X1043)</f>
        <v>22088.17</v>
      </c>
      <c r="AE1043" s="31" t="n">
        <f aca="false">MAX(AE1042,AD1043)</f>
        <v>23611.84</v>
      </c>
      <c r="AF1043" s="31" t="n">
        <f aca="false">AE1043-AD1043</f>
        <v>1523.67</v>
      </c>
      <c r="AG1043" s="30" t="n">
        <f aca="false">IFERROR(AF1043/AE1043,0)</f>
        <v>0.0645299138059551</v>
      </c>
    </row>
    <row r="1044" customFormat="false" ht="15" hidden="false" customHeight="false" outlineLevel="0" collapsed="false">
      <c r="A1044" s="29" t="n">
        <v>1043</v>
      </c>
      <c r="B1044" s="44" t="n">
        <v>46140.5236111111</v>
      </c>
      <c r="C1044" s="44" t="n">
        <v>46140.5243634259</v>
      </c>
      <c r="D1044" s="43" t="n">
        <f aca="false">INT(C1044)</f>
        <v>46140</v>
      </c>
      <c r="E1044" s="43" t="n">
        <f aca="false">D1044-WEEKDAY(D1044,3)</f>
        <v>46139</v>
      </c>
      <c r="F1044" s="29" t="s">
        <v>192</v>
      </c>
      <c r="G1044" s="29" t="n">
        <v>2026</v>
      </c>
      <c r="H1044" s="29" t="s">
        <v>248</v>
      </c>
      <c r="I1044" s="29" t="n">
        <v>12</v>
      </c>
      <c r="J1044" s="29" t="s">
        <v>250</v>
      </c>
      <c r="K1044" s="29" t="s">
        <v>251</v>
      </c>
      <c r="L1044" s="29" t="n">
        <v>0.04</v>
      </c>
      <c r="M1044" s="32" t="n">
        <v>27165.97</v>
      </c>
      <c r="N1044" s="32" t="n">
        <v>27170.95</v>
      </c>
      <c r="O1044" s="32" t="n">
        <v>27140.42</v>
      </c>
      <c r="P1044" s="45" t="n">
        <f aca="false">ABS(M1044-N1044)</f>
        <v>4.97999999999956</v>
      </c>
      <c r="Q1044" s="45" t="n">
        <f aca="false">IF(O1044="","",ABS(O1044-M1044))</f>
        <v>25.5500000000029</v>
      </c>
      <c r="R1044" s="31" t="n">
        <f aca="false">P1044*L1044*Summary!$C$6</f>
        <v>19.9199999999983</v>
      </c>
      <c r="S1044" s="32" t="n">
        <v>27166.15</v>
      </c>
      <c r="T1044" s="29" t="s">
        <v>255</v>
      </c>
      <c r="U1044" s="45" t="n">
        <f aca="false">IF(J1044="BUY",S1044-M1044,M1044-S1044)</f>
        <v>-0.180000000000291</v>
      </c>
      <c r="V1044" s="46" t="n">
        <v>0</v>
      </c>
      <c r="W1044" s="46" t="n">
        <v>0</v>
      </c>
      <c r="X1044" s="46" t="n">
        <v>-0.72</v>
      </c>
      <c r="Y1044" s="33" t="n">
        <f aca="false">IFERROR(X1044/R1044,0)</f>
        <v>-0.0361445783132562</v>
      </c>
      <c r="Z1044" s="29" t="str">
        <f aca="false">IF(X1044&gt;0,"Win",IF(X1044&lt;0,"Loss","Flat"))</f>
        <v>Loss</v>
      </c>
      <c r="AA1044" s="29" t="n">
        <f aca="false">ROUND((C1044-B1044)*1440,1)</f>
        <v>1.1</v>
      </c>
      <c r="AB1044" s="29" t="str">
        <f aca="false">IF(AA1044&lt;1,"a) &lt;1 min",IF(AA1044&lt;10,"b) 1-10 min",IF(AA1044&lt;60,"c) 10-60 min",IF(AA1044&lt;240,"d) 1-4 h","e) 4 h+"))))</f>
        <v>b) 1-10 min</v>
      </c>
      <c r="AC1044" s="29" t="str">
        <f aca="false">IF(P1044&lt;10,"a) &lt;10",IF(P1044&lt;20,"b) 10-20",IF(P1044&lt;40,"c) 20-40",IF(P1044&lt;80,"d) 40-80","e) 80+"))))</f>
        <v>a) &lt;10</v>
      </c>
      <c r="AD1044" s="31" t="n">
        <f aca="false">Summary!$C$5+SUM(X$2:X1044)</f>
        <v>22087.45</v>
      </c>
      <c r="AE1044" s="31" t="n">
        <f aca="false">MAX(AE1043,AD1044)</f>
        <v>23611.84</v>
      </c>
      <c r="AF1044" s="31" t="n">
        <f aca="false">AE1044-AD1044</f>
        <v>1524.39</v>
      </c>
      <c r="AG1044" s="30" t="n">
        <f aca="false">IFERROR(AF1044/AE1044,0)</f>
        <v>0.0645604069822597</v>
      </c>
    </row>
    <row r="1045" customFormat="false" ht="15" hidden="false" customHeight="false" outlineLevel="0" collapsed="false">
      <c r="A1045" s="29" t="n">
        <v>1044</v>
      </c>
      <c r="B1045" s="44" t="n">
        <v>46142.0513888889</v>
      </c>
      <c r="C1045" s="44" t="n">
        <v>46142.0533680556</v>
      </c>
      <c r="D1045" s="43" t="n">
        <f aca="false">INT(C1045)</f>
        <v>46142</v>
      </c>
      <c r="E1045" s="43" t="n">
        <f aca="false">D1045-WEEKDAY(D1045,3)</f>
        <v>46139</v>
      </c>
      <c r="F1045" s="29" t="s">
        <v>192</v>
      </c>
      <c r="G1045" s="29" t="n">
        <v>2026</v>
      </c>
      <c r="H1045" s="29" t="s">
        <v>253</v>
      </c>
      <c r="I1045" s="29" t="n">
        <v>1</v>
      </c>
      <c r="J1045" s="29" t="s">
        <v>246</v>
      </c>
      <c r="K1045" s="29" t="s">
        <v>247</v>
      </c>
      <c r="L1045" s="29" t="n">
        <v>0.04</v>
      </c>
      <c r="M1045" s="32" t="n">
        <v>27285.12</v>
      </c>
      <c r="N1045" s="32" t="n">
        <v>27265.04</v>
      </c>
      <c r="O1045" s="32" t="n">
        <v>27333.48</v>
      </c>
      <c r="P1045" s="45" t="n">
        <f aca="false">ABS(M1045-N1045)</f>
        <v>20.0799999999981</v>
      </c>
      <c r="Q1045" s="45" t="n">
        <f aca="false">IF(O1045="","",ABS(O1045-M1045))</f>
        <v>48.3600000000006</v>
      </c>
      <c r="R1045" s="31" t="n">
        <f aca="false">P1045*L1045*Summary!$C$6</f>
        <v>80.3199999999924</v>
      </c>
      <c r="S1045" s="32" t="n">
        <v>27333.92</v>
      </c>
      <c r="T1045" s="29" t="s">
        <v>227</v>
      </c>
      <c r="U1045" s="45" t="n">
        <f aca="false">IF(J1045="BUY",S1045-M1045,M1045-S1045)</f>
        <v>48.7999999999993</v>
      </c>
      <c r="V1045" s="46" t="n">
        <v>0</v>
      </c>
      <c r="W1045" s="46" t="n">
        <v>0</v>
      </c>
      <c r="X1045" s="46" t="n">
        <v>195.2</v>
      </c>
      <c r="Y1045" s="33" t="n">
        <f aca="false">IFERROR(X1045/R1045,0)</f>
        <v>2.43027888446238</v>
      </c>
      <c r="Z1045" s="29" t="str">
        <f aca="false">IF(X1045&gt;0,"Win",IF(X1045&lt;0,"Loss","Flat"))</f>
        <v>Win</v>
      </c>
      <c r="AA1045" s="29" t="n">
        <f aca="false">ROUND((C1045-B1045)*1440,1)</f>
        <v>2.9</v>
      </c>
      <c r="AB1045" s="29" t="str">
        <f aca="false">IF(AA1045&lt;1,"a) &lt;1 min",IF(AA1045&lt;10,"b) 1-10 min",IF(AA1045&lt;60,"c) 10-60 min",IF(AA1045&lt;240,"d) 1-4 h","e) 4 h+"))))</f>
        <v>b) 1-10 min</v>
      </c>
      <c r="AC1045" s="29" t="str">
        <f aca="false">IF(P1045&lt;10,"a) &lt;10",IF(P1045&lt;20,"b) 10-20",IF(P1045&lt;40,"c) 20-40",IF(P1045&lt;80,"d) 40-80","e) 80+"))))</f>
        <v>c) 20-40</v>
      </c>
      <c r="AD1045" s="31" t="n">
        <f aca="false">Summary!$C$5+SUM(X$2:X1045)</f>
        <v>22282.65</v>
      </c>
      <c r="AE1045" s="31" t="n">
        <f aca="false">MAX(AE1044,AD1045)</f>
        <v>23611.84</v>
      </c>
      <c r="AF1045" s="31" t="n">
        <f aca="false">AE1045-AD1045</f>
        <v>1329.19</v>
      </c>
      <c r="AG1045" s="30" t="n">
        <f aca="false">IFERROR(AF1045/AE1045,0)</f>
        <v>0.0562933680729667</v>
      </c>
    </row>
    <row r="1046" customFormat="false" ht="15" hidden="false" customHeight="false" outlineLevel="0" collapsed="false">
      <c r="A1046" s="29" t="n">
        <v>1045</v>
      </c>
      <c r="B1046" s="44" t="n">
        <v>46143.0423611111</v>
      </c>
      <c r="C1046" s="44" t="n">
        <v>46143.0446064815</v>
      </c>
      <c r="D1046" s="43" t="n">
        <f aca="false">INT(C1046)</f>
        <v>46143</v>
      </c>
      <c r="E1046" s="43" t="n">
        <f aca="false">D1046-WEEKDAY(D1046,3)</f>
        <v>46139</v>
      </c>
      <c r="F1046" s="29" t="s">
        <v>193</v>
      </c>
      <c r="G1046" s="29" t="n">
        <v>2026</v>
      </c>
      <c r="H1046" s="29" t="s">
        <v>254</v>
      </c>
      <c r="I1046" s="29" t="n">
        <v>1</v>
      </c>
      <c r="J1046" s="29" t="s">
        <v>246</v>
      </c>
      <c r="K1046" s="29" t="s">
        <v>247</v>
      </c>
      <c r="L1046" s="29" t="n">
        <v>0.04</v>
      </c>
      <c r="M1046" s="32" t="n">
        <v>27494.96</v>
      </c>
      <c r="N1046" s="32" t="n">
        <v>27477.98</v>
      </c>
      <c r="O1046" s="32" t="n">
        <v>27533.27</v>
      </c>
      <c r="P1046" s="45" t="n">
        <f aca="false">ABS(M1046-N1046)</f>
        <v>16.9799999999996</v>
      </c>
      <c r="Q1046" s="45" t="n">
        <f aca="false">IF(O1046="","",ABS(O1046-M1046))</f>
        <v>38.3100000000013</v>
      </c>
      <c r="R1046" s="31" t="n">
        <f aca="false">P1046*L1046*Summary!$C$6</f>
        <v>67.9199999999983</v>
      </c>
      <c r="S1046" s="32" t="n">
        <v>27477.71</v>
      </c>
      <c r="T1046" s="29" t="s">
        <v>249</v>
      </c>
      <c r="U1046" s="45" t="n">
        <f aca="false">IF(J1046="BUY",S1046-M1046,M1046-S1046)</f>
        <v>-17.25</v>
      </c>
      <c r="V1046" s="46" t="n">
        <v>0</v>
      </c>
      <c r="W1046" s="46" t="n">
        <v>0</v>
      </c>
      <c r="X1046" s="46" t="n">
        <v>-69</v>
      </c>
      <c r="Y1046" s="33" t="n">
        <f aca="false">IFERROR(X1046/R1046,0)</f>
        <v>-1.0159010600707</v>
      </c>
      <c r="Z1046" s="29" t="str">
        <f aca="false">IF(X1046&gt;0,"Win",IF(X1046&lt;0,"Loss","Flat"))</f>
        <v>Loss</v>
      </c>
      <c r="AA1046" s="29" t="n">
        <f aca="false">ROUND((C1046-B1046)*1440,1)</f>
        <v>3.2</v>
      </c>
      <c r="AB1046" s="29" t="str">
        <f aca="false">IF(AA1046&lt;1,"a) &lt;1 min",IF(AA1046&lt;10,"b) 1-10 min",IF(AA1046&lt;60,"c) 10-60 min",IF(AA1046&lt;240,"d) 1-4 h","e) 4 h+"))))</f>
        <v>b) 1-10 min</v>
      </c>
      <c r="AC1046" s="29" t="str">
        <f aca="false">IF(P1046&lt;10,"a) &lt;10",IF(P1046&lt;20,"b) 10-20",IF(P1046&lt;40,"c) 20-40",IF(P1046&lt;80,"d) 40-80","e) 80+"))))</f>
        <v>b) 10-20</v>
      </c>
      <c r="AD1046" s="31" t="n">
        <f aca="false">Summary!$C$5+SUM(X$2:X1046)</f>
        <v>22213.65</v>
      </c>
      <c r="AE1046" s="31" t="n">
        <f aca="false">MAX(AE1045,AD1046)</f>
        <v>23611.84</v>
      </c>
      <c r="AF1046" s="31" t="n">
        <f aca="false">AE1046-AD1046</f>
        <v>1398.19</v>
      </c>
      <c r="AG1046" s="30" t="n">
        <f aca="false">IFERROR(AF1046/AE1046,0)</f>
        <v>0.0592156308021738</v>
      </c>
    </row>
    <row r="1047" customFormat="false" ht="15" hidden="false" customHeight="false" outlineLevel="0" collapsed="false">
      <c r="A1047" s="29" t="n">
        <v>1046</v>
      </c>
      <c r="B1047" s="44" t="n">
        <v>46146.2013888889</v>
      </c>
      <c r="C1047" s="44" t="n">
        <v>46146.2044212963</v>
      </c>
      <c r="D1047" s="43" t="n">
        <f aca="false">INT(C1047)</f>
        <v>46146</v>
      </c>
      <c r="E1047" s="43" t="n">
        <f aca="false">D1047-WEEKDAY(D1047,3)</f>
        <v>46146</v>
      </c>
      <c r="F1047" s="29" t="s">
        <v>193</v>
      </c>
      <c r="G1047" s="29" t="n">
        <v>2026</v>
      </c>
      <c r="H1047" s="29" t="s">
        <v>245</v>
      </c>
      <c r="I1047" s="29" t="n">
        <v>4</v>
      </c>
      <c r="J1047" s="29" t="s">
        <v>246</v>
      </c>
      <c r="K1047" s="29" t="s">
        <v>247</v>
      </c>
      <c r="L1047" s="29" t="n">
        <v>0.03</v>
      </c>
      <c r="M1047" s="32" t="n">
        <v>27791.95</v>
      </c>
      <c r="N1047" s="32" t="n">
        <v>27787.12</v>
      </c>
      <c r="O1047" s="32" t="n">
        <v>27803.78</v>
      </c>
      <c r="P1047" s="45" t="n">
        <f aca="false">ABS(M1047-N1047)</f>
        <v>4.83000000000175</v>
      </c>
      <c r="Q1047" s="45" t="n">
        <f aca="false">IF(O1047="","",ABS(O1047-M1047))</f>
        <v>11.8299999999981</v>
      </c>
      <c r="R1047" s="31" t="n">
        <f aca="false">P1047*L1047*Summary!$C$6</f>
        <v>14.4900000000052</v>
      </c>
      <c r="S1047" s="32" t="n">
        <v>27791.81</v>
      </c>
      <c r="T1047" s="29" t="s">
        <v>255</v>
      </c>
      <c r="U1047" s="45" t="n">
        <f aca="false">IF(J1047="BUY",S1047-M1047,M1047-S1047)</f>
        <v>-0.139999999999418</v>
      </c>
      <c r="V1047" s="46" t="n">
        <v>0</v>
      </c>
      <c r="W1047" s="46" t="n">
        <v>0</v>
      </c>
      <c r="X1047" s="46" t="n">
        <v>-0.42</v>
      </c>
      <c r="Y1047" s="33" t="n">
        <f aca="false">IFERROR(X1047/R1047,0)</f>
        <v>-0.0289855072463663</v>
      </c>
      <c r="Z1047" s="29" t="str">
        <f aca="false">IF(X1047&gt;0,"Win",IF(X1047&lt;0,"Loss","Flat"))</f>
        <v>Loss</v>
      </c>
      <c r="AA1047" s="29" t="n">
        <f aca="false">ROUND((C1047-B1047)*1440,1)</f>
        <v>4.4</v>
      </c>
      <c r="AB1047" s="29" t="str">
        <f aca="false">IF(AA1047&lt;1,"a) &lt;1 min",IF(AA1047&lt;10,"b) 1-10 min",IF(AA1047&lt;60,"c) 10-60 min",IF(AA1047&lt;240,"d) 1-4 h","e) 4 h+"))))</f>
        <v>b) 1-10 min</v>
      </c>
      <c r="AC1047" s="29" t="str">
        <f aca="false">IF(P1047&lt;10,"a) &lt;10",IF(P1047&lt;20,"b) 10-20",IF(P1047&lt;40,"c) 20-40",IF(P1047&lt;80,"d) 40-80","e) 80+"))))</f>
        <v>a) &lt;10</v>
      </c>
      <c r="AD1047" s="31" t="n">
        <f aca="false">Summary!$C$5+SUM(X$2:X1047)</f>
        <v>22213.23</v>
      </c>
      <c r="AE1047" s="31" t="n">
        <f aca="false">MAX(AE1046,AD1047)</f>
        <v>23611.84</v>
      </c>
      <c r="AF1047" s="31" t="n">
        <f aca="false">AE1047-AD1047</f>
        <v>1398.61</v>
      </c>
      <c r="AG1047" s="30" t="n">
        <f aca="false">IFERROR(AF1047/AE1047,0)</f>
        <v>0.0592334184883516</v>
      </c>
    </row>
    <row r="1048" customFormat="false" ht="15" hidden="false" customHeight="false" outlineLevel="0" collapsed="false">
      <c r="A1048" s="29" t="n">
        <v>1047</v>
      </c>
      <c r="B1048" s="44" t="n">
        <v>46147.6319444445</v>
      </c>
      <c r="C1048" s="44" t="n">
        <v>46147.634849537</v>
      </c>
      <c r="D1048" s="43" t="n">
        <f aca="false">INT(C1048)</f>
        <v>46147</v>
      </c>
      <c r="E1048" s="43" t="n">
        <f aca="false">D1048-WEEKDAY(D1048,3)</f>
        <v>46146</v>
      </c>
      <c r="F1048" s="29" t="s">
        <v>193</v>
      </c>
      <c r="G1048" s="29" t="n">
        <v>2026</v>
      </c>
      <c r="H1048" s="29" t="s">
        <v>248</v>
      </c>
      <c r="I1048" s="29" t="n">
        <v>15</v>
      </c>
      <c r="J1048" s="29" t="s">
        <v>246</v>
      </c>
      <c r="K1048" s="29" t="s">
        <v>247</v>
      </c>
      <c r="L1048" s="29" t="n">
        <v>0.03</v>
      </c>
      <c r="M1048" s="32" t="n">
        <v>27845.31</v>
      </c>
      <c r="N1048" s="32" t="n">
        <v>27833.37</v>
      </c>
      <c r="O1048" s="32" t="n">
        <v>27876.21</v>
      </c>
      <c r="P1048" s="45" t="n">
        <f aca="false">ABS(M1048-N1048)</f>
        <v>11.9400000000023</v>
      </c>
      <c r="Q1048" s="45" t="n">
        <f aca="false">IF(O1048="","",ABS(O1048-M1048))</f>
        <v>30.8999999999978</v>
      </c>
      <c r="R1048" s="31" t="n">
        <f aca="false">P1048*L1048*Summary!$C$6</f>
        <v>35.820000000007</v>
      </c>
      <c r="S1048" s="32" t="n">
        <v>27876.53</v>
      </c>
      <c r="T1048" s="29" t="s">
        <v>227</v>
      </c>
      <c r="U1048" s="45" t="n">
        <f aca="false">IF(J1048="BUY",S1048-M1048,M1048-S1048)</f>
        <v>31.2199999999975</v>
      </c>
      <c r="V1048" s="46" t="n">
        <v>0</v>
      </c>
      <c r="W1048" s="46" t="n">
        <v>0</v>
      </c>
      <c r="X1048" s="46" t="n">
        <v>93.66</v>
      </c>
      <c r="Y1048" s="33" t="n">
        <f aca="false">IFERROR(X1048/R1048,0)</f>
        <v>2.6147403685087</v>
      </c>
      <c r="Z1048" s="29" t="str">
        <f aca="false">IF(X1048&gt;0,"Win",IF(X1048&lt;0,"Loss","Flat"))</f>
        <v>Win</v>
      </c>
      <c r="AA1048" s="29" t="n">
        <f aca="false">ROUND((C1048-B1048)*1440,1)</f>
        <v>4.2</v>
      </c>
      <c r="AB1048" s="29" t="str">
        <f aca="false">IF(AA1048&lt;1,"a) &lt;1 min",IF(AA1048&lt;10,"b) 1-10 min",IF(AA1048&lt;60,"c) 10-60 min",IF(AA1048&lt;240,"d) 1-4 h","e) 4 h+"))))</f>
        <v>b) 1-10 min</v>
      </c>
      <c r="AC1048" s="29" t="str">
        <f aca="false">IF(P1048&lt;10,"a) &lt;10",IF(P1048&lt;20,"b) 10-20",IF(P1048&lt;40,"c) 20-40",IF(P1048&lt;80,"d) 40-80","e) 80+"))))</f>
        <v>b) 10-20</v>
      </c>
      <c r="AD1048" s="31" t="n">
        <f aca="false">Summary!$C$5+SUM(X$2:X1048)</f>
        <v>22306.89</v>
      </c>
      <c r="AE1048" s="31" t="n">
        <f aca="false">MAX(AE1047,AD1048)</f>
        <v>23611.84</v>
      </c>
      <c r="AF1048" s="31" t="n">
        <f aca="false">AE1048-AD1048</f>
        <v>1304.95</v>
      </c>
      <c r="AG1048" s="30" t="n">
        <f aca="false">IFERROR(AF1048/AE1048,0)</f>
        <v>0.0552667644707063</v>
      </c>
    </row>
    <row r="1049" customFormat="false" ht="15" hidden="false" customHeight="false" outlineLevel="0" collapsed="false">
      <c r="A1049" s="29" t="n">
        <v>1048</v>
      </c>
      <c r="B1049" s="44" t="n">
        <v>46148.0423611111</v>
      </c>
      <c r="C1049" s="44" t="n">
        <v>46148.0780787037</v>
      </c>
      <c r="D1049" s="43" t="n">
        <f aca="false">INT(C1049)</f>
        <v>46148</v>
      </c>
      <c r="E1049" s="43" t="n">
        <f aca="false">D1049-WEEKDAY(D1049,3)</f>
        <v>46146</v>
      </c>
      <c r="F1049" s="29" t="s">
        <v>193</v>
      </c>
      <c r="G1049" s="29" t="n">
        <v>2026</v>
      </c>
      <c r="H1049" s="29" t="s">
        <v>252</v>
      </c>
      <c r="I1049" s="29" t="n">
        <v>1</v>
      </c>
      <c r="J1049" s="29" t="s">
        <v>246</v>
      </c>
      <c r="K1049" s="29" t="s">
        <v>247</v>
      </c>
      <c r="L1049" s="29" t="n">
        <v>0.03</v>
      </c>
      <c r="M1049" s="32" t="n">
        <v>28131.47</v>
      </c>
      <c r="N1049" s="32" t="n">
        <v>28106.08</v>
      </c>
      <c r="O1049" s="32" t="n">
        <v>28200.34</v>
      </c>
      <c r="P1049" s="45" t="n">
        <f aca="false">ABS(M1049-N1049)</f>
        <v>25.3899999999994</v>
      </c>
      <c r="Q1049" s="45" t="n">
        <f aca="false">IF(O1049="","",ABS(O1049-M1049))</f>
        <v>68.869999999999</v>
      </c>
      <c r="R1049" s="31" t="n">
        <f aca="false">P1049*L1049*Summary!$C$6</f>
        <v>76.1699999999983</v>
      </c>
      <c r="S1049" s="32" t="n">
        <v>28266.82</v>
      </c>
      <c r="T1049" s="29" t="s">
        <v>227</v>
      </c>
      <c r="U1049" s="45" t="n">
        <f aca="false">IF(J1049="BUY",S1049-M1049,M1049-S1049)</f>
        <v>135.349999999999</v>
      </c>
      <c r="V1049" s="46" t="n">
        <v>0</v>
      </c>
      <c r="W1049" s="46" t="n">
        <v>0</v>
      </c>
      <c r="X1049" s="46" t="n">
        <v>406.05</v>
      </c>
      <c r="Y1049" s="33" t="n">
        <f aca="false">IFERROR(X1049/R1049,0)</f>
        <v>5.33083891295798</v>
      </c>
      <c r="Z1049" s="29" t="str">
        <f aca="false">IF(X1049&gt;0,"Win",IF(X1049&lt;0,"Loss","Flat"))</f>
        <v>Win</v>
      </c>
      <c r="AA1049" s="29" t="n">
        <f aca="false">ROUND((C1049-B1049)*1440,1)</f>
        <v>51.4</v>
      </c>
      <c r="AB1049" s="29" t="str">
        <f aca="false">IF(AA1049&lt;1,"a) &lt;1 min",IF(AA1049&lt;10,"b) 1-10 min",IF(AA1049&lt;60,"c) 10-60 min",IF(AA1049&lt;240,"d) 1-4 h","e) 4 h+"))))</f>
        <v>c) 10-60 min</v>
      </c>
      <c r="AC1049" s="29" t="str">
        <f aca="false">IF(P1049&lt;10,"a) &lt;10",IF(P1049&lt;20,"b) 10-20",IF(P1049&lt;40,"c) 20-40",IF(P1049&lt;80,"d) 40-80","e) 80+"))))</f>
        <v>c) 20-40</v>
      </c>
      <c r="AD1049" s="31" t="n">
        <f aca="false">Summary!$C$5+SUM(X$2:X1049)</f>
        <v>22712.94</v>
      </c>
      <c r="AE1049" s="31" t="n">
        <f aca="false">MAX(AE1048,AD1049)</f>
        <v>23611.84</v>
      </c>
      <c r="AF1049" s="31" t="n">
        <f aca="false">AE1049-AD1049</f>
        <v>898.899999999998</v>
      </c>
      <c r="AG1049" s="30" t="n">
        <f aca="false">IFERROR(AF1049/AE1049,0)</f>
        <v>0.038069883583829</v>
      </c>
    </row>
    <row r="1050" customFormat="false" ht="15" hidden="false" customHeight="false" outlineLevel="0" collapsed="false">
      <c r="A1050" s="29" t="n">
        <v>1049</v>
      </c>
      <c r="B1050" s="44" t="n">
        <v>46149.4263888889</v>
      </c>
      <c r="C1050" s="44" t="n">
        <v>46149.4284375</v>
      </c>
      <c r="D1050" s="43" t="n">
        <f aca="false">INT(C1050)</f>
        <v>46149</v>
      </c>
      <c r="E1050" s="43" t="n">
        <f aca="false">D1050-WEEKDAY(D1050,3)</f>
        <v>46146</v>
      </c>
      <c r="F1050" s="29" t="s">
        <v>193</v>
      </c>
      <c r="G1050" s="29" t="n">
        <v>2026</v>
      </c>
      <c r="H1050" s="29" t="s">
        <v>253</v>
      </c>
      <c r="I1050" s="29" t="n">
        <v>10</v>
      </c>
      <c r="J1050" s="29" t="s">
        <v>246</v>
      </c>
      <c r="K1050" s="29" t="s">
        <v>247</v>
      </c>
      <c r="L1050" s="29" t="n">
        <v>0.03</v>
      </c>
      <c r="M1050" s="32" t="n">
        <v>28679.01</v>
      </c>
      <c r="N1050" s="32" t="n">
        <v>28665.41</v>
      </c>
      <c r="O1050" s="32" t="n">
        <v>28712.32</v>
      </c>
      <c r="P1050" s="45" t="n">
        <f aca="false">ABS(M1050-N1050)</f>
        <v>13.5999999999985</v>
      </c>
      <c r="Q1050" s="45" t="n">
        <f aca="false">IF(O1050="","",ABS(O1050-M1050))</f>
        <v>33.3100000000013</v>
      </c>
      <c r="R1050" s="31" t="n">
        <f aca="false">P1050*L1050*Summary!$C$6</f>
        <v>40.7999999999956</v>
      </c>
      <c r="S1050" s="32" t="n">
        <v>28665.39</v>
      </c>
      <c r="T1050" s="29" t="s">
        <v>249</v>
      </c>
      <c r="U1050" s="45" t="n">
        <f aca="false">IF(J1050="BUY",S1050-M1050,M1050-S1050)</f>
        <v>-13.619999999999</v>
      </c>
      <c r="V1050" s="46" t="n">
        <v>0</v>
      </c>
      <c r="W1050" s="46" t="n">
        <v>0</v>
      </c>
      <c r="X1050" s="46" t="n">
        <v>-40.86</v>
      </c>
      <c r="Y1050" s="33" t="n">
        <f aca="false">IFERROR(X1050/R1050,0)</f>
        <v>-1.0014705882354</v>
      </c>
      <c r="Z1050" s="29" t="str">
        <f aca="false">IF(X1050&gt;0,"Win",IF(X1050&lt;0,"Loss","Flat"))</f>
        <v>Loss</v>
      </c>
      <c r="AA1050" s="29" t="n">
        <f aca="false">ROUND((C1050-B1050)*1440,1)</f>
        <v>3</v>
      </c>
      <c r="AB1050" s="29" t="str">
        <f aca="false">IF(AA1050&lt;1,"a) &lt;1 min",IF(AA1050&lt;10,"b) 1-10 min",IF(AA1050&lt;60,"c) 10-60 min",IF(AA1050&lt;240,"d) 1-4 h","e) 4 h+"))))</f>
        <v>b) 1-10 min</v>
      </c>
      <c r="AC1050" s="29" t="str">
        <f aca="false">IF(P1050&lt;10,"a) &lt;10",IF(P1050&lt;20,"b) 10-20",IF(P1050&lt;40,"c) 20-40",IF(P1050&lt;80,"d) 40-80","e) 80+"))))</f>
        <v>b) 10-20</v>
      </c>
      <c r="AD1050" s="31" t="n">
        <f aca="false">Summary!$C$5+SUM(X$2:X1050)</f>
        <v>22672.08</v>
      </c>
      <c r="AE1050" s="31" t="n">
        <f aca="false">MAX(AE1049,AD1050)</f>
        <v>23611.84</v>
      </c>
      <c r="AF1050" s="31" t="n">
        <f aca="false">AE1050-AD1050</f>
        <v>939.759999999998</v>
      </c>
      <c r="AG1050" s="30" t="n">
        <f aca="false">IFERROR(AF1050/AE1050,0)</f>
        <v>0.0398003713391247</v>
      </c>
    </row>
    <row r="1051" customFormat="false" ht="15" hidden="false" customHeight="false" outlineLevel="0" collapsed="false">
      <c r="A1051" s="29" t="n">
        <v>1050</v>
      </c>
      <c r="B1051" s="44" t="n">
        <v>46150.65</v>
      </c>
      <c r="C1051" s="44" t="n">
        <v>46150.6583564815</v>
      </c>
      <c r="D1051" s="43" t="n">
        <f aca="false">INT(C1051)</f>
        <v>46150</v>
      </c>
      <c r="E1051" s="43" t="n">
        <f aca="false">D1051-WEEKDAY(D1051,3)</f>
        <v>46146</v>
      </c>
      <c r="F1051" s="29" t="s">
        <v>193</v>
      </c>
      <c r="G1051" s="29" t="n">
        <v>2026</v>
      </c>
      <c r="H1051" s="29" t="s">
        <v>254</v>
      </c>
      <c r="I1051" s="29" t="n">
        <v>15</v>
      </c>
      <c r="J1051" s="29" t="s">
        <v>246</v>
      </c>
      <c r="K1051" s="29" t="s">
        <v>247</v>
      </c>
      <c r="L1051" s="29" t="n">
        <v>0.03</v>
      </c>
      <c r="M1051" s="32" t="n">
        <v>28846.04</v>
      </c>
      <c r="N1051" s="32" t="n">
        <v>28827.77</v>
      </c>
      <c r="O1051" s="32" t="n">
        <v>28890.81</v>
      </c>
      <c r="P1051" s="45" t="n">
        <f aca="false">ABS(M1051-N1051)</f>
        <v>18.2700000000004</v>
      </c>
      <c r="Q1051" s="45" t="n">
        <f aca="false">IF(O1051="","",ABS(O1051-M1051))</f>
        <v>44.7700000000004</v>
      </c>
      <c r="R1051" s="31" t="n">
        <f aca="false">P1051*L1051*Summary!$C$6</f>
        <v>54.8100000000013</v>
      </c>
      <c r="S1051" s="32" t="n">
        <v>28827.62</v>
      </c>
      <c r="T1051" s="29" t="s">
        <v>249</v>
      </c>
      <c r="U1051" s="45" t="n">
        <f aca="false">IF(J1051="BUY",S1051-M1051,M1051-S1051)</f>
        <v>-18.4200000000019</v>
      </c>
      <c r="V1051" s="46" t="n">
        <v>0</v>
      </c>
      <c r="W1051" s="46" t="n">
        <v>0</v>
      </c>
      <c r="X1051" s="46" t="n">
        <v>-55.26</v>
      </c>
      <c r="Y1051" s="33" t="n">
        <f aca="false">IFERROR(X1051/R1051,0)</f>
        <v>-1.00821018062395</v>
      </c>
      <c r="Z1051" s="29" t="str">
        <f aca="false">IF(X1051&gt;0,"Win",IF(X1051&lt;0,"Loss","Flat"))</f>
        <v>Loss</v>
      </c>
      <c r="AA1051" s="29" t="n">
        <f aca="false">ROUND((C1051-B1051)*1440,1)</f>
        <v>12</v>
      </c>
      <c r="AB1051" s="29" t="str">
        <f aca="false">IF(AA1051&lt;1,"a) &lt;1 min",IF(AA1051&lt;10,"b) 1-10 min",IF(AA1051&lt;60,"c) 10-60 min",IF(AA1051&lt;240,"d) 1-4 h","e) 4 h+"))))</f>
        <v>c) 10-60 min</v>
      </c>
      <c r="AC1051" s="29" t="str">
        <f aca="false">IF(P1051&lt;10,"a) &lt;10",IF(P1051&lt;20,"b) 10-20",IF(P1051&lt;40,"c) 20-40",IF(P1051&lt;80,"d) 40-80","e) 80+"))))</f>
        <v>b) 10-20</v>
      </c>
      <c r="AD1051" s="31" t="n">
        <f aca="false">Summary!$C$5+SUM(X$2:X1051)</f>
        <v>22616.82</v>
      </c>
      <c r="AE1051" s="31" t="n">
        <f aca="false">MAX(AE1050,AD1051)</f>
        <v>23611.84</v>
      </c>
      <c r="AF1051" s="31" t="n">
        <f aca="false">AE1051-AD1051</f>
        <v>995.02</v>
      </c>
      <c r="AG1051" s="30" t="n">
        <f aca="false">IFERROR(AF1051/AE1051,0)</f>
        <v>0.0421407226205158</v>
      </c>
    </row>
    <row r="1052" customFormat="false" ht="15" hidden="false" customHeight="false" outlineLevel="0" collapsed="false">
      <c r="A1052" s="29" t="n">
        <v>1051</v>
      </c>
      <c r="B1052" s="44" t="n">
        <v>46153.1409722222</v>
      </c>
      <c r="C1052" s="44" t="n">
        <v>46153.1432986111</v>
      </c>
      <c r="D1052" s="43" t="n">
        <f aca="false">INT(C1052)</f>
        <v>46153</v>
      </c>
      <c r="E1052" s="43" t="n">
        <f aca="false">D1052-WEEKDAY(D1052,3)</f>
        <v>46153</v>
      </c>
      <c r="F1052" s="29" t="s">
        <v>193</v>
      </c>
      <c r="G1052" s="29" t="n">
        <v>2026</v>
      </c>
      <c r="H1052" s="29" t="s">
        <v>245</v>
      </c>
      <c r="I1052" s="29" t="n">
        <v>3</v>
      </c>
      <c r="J1052" s="29" t="s">
        <v>246</v>
      </c>
      <c r="K1052" s="29" t="s">
        <v>247</v>
      </c>
      <c r="L1052" s="29" t="n">
        <v>0.03</v>
      </c>
      <c r="M1052" s="32" t="n">
        <v>29269.5</v>
      </c>
      <c r="N1052" s="32" t="n">
        <v>29261.24</v>
      </c>
      <c r="O1052" s="32" t="n">
        <v>29289.74</v>
      </c>
      <c r="P1052" s="45" t="n">
        <f aca="false">ABS(M1052-N1052)</f>
        <v>8.2599999999984</v>
      </c>
      <c r="Q1052" s="45" t="n">
        <f aca="false">IF(O1052="","",ABS(O1052-M1052))</f>
        <v>20.2400000000016</v>
      </c>
      <c r="R1052" s="31" t="n">
        <f aca="false">P1052*L1052*Summary!$C$6</f>
        <v>24.7799999999952</v>
      </c>
      <c r="S1052" s="32" t="n">
        <v>29269.3</v>
      </c>
      <c r="T1052" s="29" t="s">
        <v>255</v>
      </c>
      <c r="U1052" s="45" t="n">
        <f aca="false">IF(J1052="BUY",S1052-M1052,M1052-S1052)</f>
        <v>-0.200000000000728</v>
      </c>
      <c r="V1052" s="46" t="n">
        <v>0</v>
      </c>
      <c r="W1052" s="46" t="n">
        <v>0</v>
      </c>
      <c r="X1052" s="46" t="n">
        <v>-0.6</v>
      </c>
      <c r="Y1052" s="33" t="n">
        <f aca="false">IFERROR(X1052/R1052,0)</f>
        <v>-0.0242130750605374</v>
      </c>
      <c r="Z1052" s="29" t="str">
        <f aca="false">IF(X1052&gt;0,"Win",IF(X1052&lt;0,"Loss","Flat"))</f>
        <v>Loss</v>
      </c>
      <c r="AA1052" s="29" t="n">
        <f aca="false">ROUND((C1052-B1052)*1440,1)</f>
        <v>3.4</v>
      </c>
      <c r="AB1052" s="29" t="str">
        <f aca="false">IF(AA1052&lt;1,"a) &lt;1 min",IF(AA1052&lt;10,"b) 1-10 min",IF(AA1052&lt;60,"c) 10-60 min",IF(AA1052&lt;240,"d) 1-4 h","e) 4 h+"))))</f>
        <v>b) 1-10 min</v>
      </c>
      <c r="AC1052" s="29" t="str">
        <f aca="false">IF(P1052&lt;10,"a) &lt;10",IF(P1052&lt;20,"b) 10-20",IF(P1052&lt;40,"c) 20-40",IF(P1052&lt;80,"d) 40-80","e) 80+"))))</f>
        <v>a) &lt;10</v>
      </c>
      <c r="AD1052" s="31" t="n">
        <f aca="false">Summary!$C$5+SUM(X$2:X1052)</f>
        <v>22616.22</v>
      </c>
      <c r="AE1052" s="31" t="n">
        <f aca="false">MAX(AE1051,AD1052)</f>
        <v>23611.84</v>
      </c>
      <c r="AF1052" s="31" t="n">
        <f aca="false">AE1052-AD1052</f>
        <v>995.619999999999</v>
      </c>
      <c r="AG1052" s="30" t="n">
        <f aca="false">IFERROR(AF1052/AE1052,0)</f>
        <v>0.0421661336007697</v>
      </c>
    </row>
    <row r="1053" customFormat="false" ht="15" hidden="false" customHeight="false" outlineLevel="0" collapsed="false">
      <c r="A1053" s="29" t="n">
        <v>1052</v>
      </c>
      <c r="B1053" s="44" t="n">
        <v>46154.4152777778</v>
      </c>
      <c r="C1053" s="44" t="n">
        <v>46154.4158680556</v>
      </c>
      <c r="D1053" s="43" t="n">
        <f aca="false">INT(C1053)</f>
        <v>46154</v>
      </c>
      <c r="E1053" s="43" t="n">
        <f aca="false">D1053-WEEKDAY(D1053,3)</f>
        <v>46153</v>
      </c>
      <c r="F1053" s="29" t="s">
        <v>193</v>
      </c>
      <c r="G1053" s="29" t="n">
        <v>2026</v>
      </c>
      <c r="H1053" s="29" t="s">
        <v>248</v>
      </c>
      <c r="I1053" s="29" t="n">
        <v>9</v>
      </c>
      <c r="J1053" s="29" t="s">
        <v>250</v>
      </c>
      <c r="K1053" s="29" t="s">
        <v>251</v>
      </c>
      <c r="L1053" s="29" t="n">
        <v>0.03</v>
      </c>
      <c r="M1053" s="32" t="n">
        <v>29111.33</v>
      </c>
      <c r="N1053" s="32" t="n">
        <v>29118.65</v>
      </c>
      <c r="O1053" s="32" t="n">
        <v>29091.44</v>
      </c>
      <c r="P1053" s="45" t="n">
        <f aca="false">ABS(M1053-N1053)</f>
        <v>7.31999999999971</v>
      </c>
      <c r="Q1053" s="45" t="n">
        <f aca="false">IF(O1053="","",ABS(O1053-M1053))</f>
        <v>19.8900000000031</v>
      </c>
      <c r="R1053" s="31" t="n">
        <f aca="false">P1053*L1053*Summary!$C$6</f>
        <v>21.9599999999991</v>
      </c>
      <c r="S1053" s="32" t="n">
        <v>29118.76</v>
      </c>
      <c r="T1053" s="29" t="s">
        <v>249</v>
      </c>
      <c r="U1053" s="45" t="n">
        <f aca="false">IF(J1053="BUY",S1053-M1053,M1053-S1053)</f>
        <v>-7.42999999999665</v>
      </c>
      <c r="V1053" s="46" t="n">
        <v>0</v>
      </c>
      <c r="W1053" s="46" t="n">
        <v>0</v>
      </c>
      <c r="X1053" s="46" t="n">
        <v>-22.29</v>
      </c>
      <c r="Y1053" s="33" t="n">
        <f aca="false">IFERROR(X1053/R1053,0)</f>
        <v>-1.01502732240441</v>
      </c>
      <c r="Z1053" s="29" t="str">
        <f aca="false">IF(X1053&gt;0,"Win",IF(X1053&lt;0,"Loss","Flat"))</f>
        <v>Loss</v>
      </c>
      <c r="AA1053" s="29" t="n">
        <f aca="false">ROUND((C1053-B1053)*1440,1)</f>
        <v>0.9</v>
      </c>
      <c r="AB1053" s="29" t="str">
        <f aca="false">IF(AA1053&lt;1,"a) &lt;1 min",IF(AA1053&lt;10,"b) 1-10 min",IF(AA1053&lt;60,"c) 10-60 min",IF(AA1053&lt;240,"d) 1-4 h","e) 4 h+"))))</f>
        <v>a) &lt;1 min</v>
      </c>
      <c r="AC1053" s="29" t="str">
        <f aca="false">IF(P1053&lt;10,"a) &lt;10",IF(P1053&lt;20,"b) 10-20",IF(P1053&lt;40,"c) 20-40",IF(P1053&lt;80,"d) 40-80","e) 80+"))))</f>
        <v>a) &lt;10</v>
      </c>
      <c r="AD1053" s="31" t="n">
        <f aca="false">Summary!$C$5+SUM(X$2:X1053)</f>
        <v>22593.93</v>
      </c>
      <c r="AE1053" s="31" t="n">
        <f aca="false">MAX(AE1052,AD1053)</f>
        <v>23611.84</v>
      </c>
      <c r="AF1053" s="31" t="n">
        <f aca="false">AE1053-AD1053</f>
        <v>1017.91</v>
      </c>
      <c r="AG1053" s="30" t="n">
        <f aca="false">IFERROR(AF1053/AE1053,0)</f>
        <v>0.0431101515172049</v>
      </c>
    </row>
    <row r="1054" customFormat="false" ht="15" hidden="false" customHeight="false" outlineLevel="0" collapsed="false">
      <c r="A1054" s="29" t="n">
        <v>1053</v>
      </c>
      <c r="B1054" s="44" t="n">
        <v>46155.8319444444</v>
      </c>
      <c r="C1054" s="44" t="n">
        <v>46155.832662037</v>
      </c>
      <c r="D1054" s="43" t="n">
        <f aca="false">INT(C1054)</f>
        <v>46155</v>
      </c>
      <c r="E1054" s="43" t="n">
        <f aca="false">D1054-WEEKDAY(D1054,3)</f>
        <v>46153</v>
      </c>
      <c r="F1054" s="29" t="s">
        <v>193</v>
      </c>
      <c r="G1054" s="29" t="n">
        <v>2026</v>
      </c>
      <c r="H1054" s="29" t="s">
        <v>252</v>
      </c>
      <c r="I1054" s="29" t="n">
        <v>19</v>
      </c>
      <c r="J1054" s="29" t="s">
        <v>246</v>
      </c>
      <c r="K1054" s="29" t="s">
        <v>247</v>
      </c>
      <c r="L1054" s="29" t="n">
        <v>0.03</v>
      </c>
      <c r="M1054" s="32" t="n">
        <v>29352.57</v>
      </c>
      <c r="N1054" s="32" t="n">
        <v>29340.73</v>
      </c>
      <c r="O1054" s="32" t="n">
        <v>29381.59</v>
      </c>
      <c r="P1054" s="45" t="n">
        <f aca="false">ABS(M1054-N1054)</f>
        <v>11.8400000000001</v>
      </c>
      <c r="Q1054" s="45" t="n">
        <f aca="false">IF(O1054="","",ABS(O1054-M1054))</f>
        <v>29.0200000000004</v>
      </c>
      <c r="R1054" s="31" t="n">
        <f aca="false">P1054*L1054*Summary!$C$6</f>
        <v>35.5200000000004</v>
      </c>
      <c r="S1054" s="32" t="n">
        <v>29338.76</v>
      </c>
      <c r="T1054" s="29" t="s">
        <v>249</v>
      </c>
      <c r="U1054" s="45" t="n">
        <f aca="false">IF(J1054="BUY",S1054-M1054,M1054-S1054)</f>
        <v>-13.8100000000013</v>
      </c>
      <c r="V1054" s="46" t="n">
        <v>0</v>
      </c>
      <c r="W1054" s="46" t="n">
        <v>0</v>
      </c>
      <c r="X1054" s="46" t="n">
        <v>-41.43</v>
      </c>
      <c r="Y1054" s="33" t="n">
        <f aca="false">IFERROR(X1054/R1054,0)</f>
        <v>-1.16638513513512</v>
      </c>
      <c r="Z1054" s="29" t="str">
        <f aca="false">IF(X1054&gt;0,"Win",IF(X1054&lt;0,"Loss","Flat"))</f>
        <v>Loss</v>
      </c>
      <c r="AA1054" s="29" t="n">
        <f aca="false">ROUND((C1054-B1054)*1440,1)</f>
        <v>1</v>
      </c>
      <c r="AB1054" s="29" t="str">
        <f aca="false">IF(AA1054&lt;1,"a) &lt;1 min",IF(AA1054&lt;10,"b) 1-10 min",IF(AA1054&lt;60,"c) 10-60 min",IF(AA1054&lt;240,"d) 1-4 h","e) 4 h+"))))</f>
        <v>b) 1-10 min</v>
      </c>
      <c r="AC1054" s="29" t="str">
        <f aca="false">IF(P1054&lt;10,"a) &lt;10",IF(P1054&lt;20,"b) 10-20",IF(P1054&lt;40,"c) 20-40",IF(P1054&lt;80,"d) 40-80","e) 80+"))))</f>
        <v>b) 10-20</v>
      </c>
      <c r="AD1054" s="31" t="n">
        <f aca="false">Summary!$C$5+SUM(X$2:X1054)</f>
        <v>22552.5</v>
      </c>
      <c r="AE1054" s="31" t="n">
        <f aca="false">MAX(AE1053,AD1054)</f>
        <v>23611.84</v>
      </c>
      <c r="AF1054" s="31" t="n">
        <f aca="false">AE1054-AD1054</f>
        <v>1059.34</v>
      </c>
      <c r="AG1054" s="30" t="n">
        <f aca="false">IFERROR(AF1054/AE1054,0)</f>
        <v>0.0448647797037419</v>
      </c>
    </row>
    <row r="1055" customFormat="false" ht="15" hidden="false" customHeight="false" outlineLevel="0" collapsed="false">
      <c r="A1055" s="29" t="n">
        <v>1054</v>
      </c>
      <c r="B1055" s="44" t="n">
        <v>46156.0534722222</v>
      </c>
      <c r="C1055" s="44" t="n">
        <v>46156.0544675926</v>
      </c>
      <c r="D1055" s="43" t="n">
        <f aca="false">INT(C1055)</f>
        <v>46156</v>
      </c>
      <c r="E1055" s="43" t="n">
        <f aca="false">D1055-WEEKDAY(D1055,3)</f>
        <v>46153</v>
      </c>
      <c r="F1055" s="29" t="s">
        <v>193</v>
      </c>
      <c r="G1055" s="29" t="n">
        <v>2026</v>
      </c>
      <c r="H1055" s="29" t="s">
        <v>253</v>
      </c>
      <c r="I1055" s="29" t="n">
        <v>1</v>
      </c>
      <c r="J1055" s="29" t="s">
        <v>246</v>
      </c>
      <c r="K1055" s="29" t="s">
        <v>247</v>
      </c>
      <c r="L1055" s="29" t="n">
        <v>0.03</v>
      </c>
      <c r="M1055" s="32" t="n">
        <v>29460.52</v>
      </c>
      <c r="N1055" s="32" t="n">
        <v>29455.38</v>
      </c>
      <c r="O1055" s="32" t="n">
        <v>29473.12</v>
      </c>
      <c r="P1055" s="45" t="n">
        <f aca="false">ABS(M1055-N1055)</f>
        <v>5.13999999999942</v>
      </c>
      <c r="Q1055" s="45" t="n">
        <f aca="false">IF(O1055="","",ABS(O1055-M1055))</f>
        <v>12.5999999999985</v>
      </c>
      <c r="R1055" s="31" t="n">
        <f aca="false">P1055*L1055*Summary!$C$6</f>
        <v>15.4199999999983</v>
      </c>
      <c r="S1055" s="32" t="n">
        <v>29460.51</v>
      </c>
      <c r="T1055" s="29" t="s">
        <v>255</v>
      </c>
      <c r="U1055" s="45" t="n">
        <f aca="false">IF(J1055="BUY",S1055-M1055,M1055-S1055)</f>
        <v>-0.0100000000020373</v>
      </c>
      <c r="V1055" s="46" t="n">
        <v>0</v>
      </c>
      <c r="W1055" s="46" t="n">
        <v>0</v>
      </c>
      <c r="X1055" s="46" t="n">
        <v>-0.03</v>
      </c>
      <c r="Y1055" s="33" t="n">
        <f aca="false">IFERROR(X1055/R1055,0)</f>
        <v>-0.00194552529182901</v>
      </c>
      <c r="Z1055" s="29" t="str">
        <f aca="false">IF(X1055&gt;0,"Win",IF(X1055&lt;0,"Loss","Flat"))</f>
        <v>Loss</v>
      </c>
      <c r="AA1055" s="29" t="n">
        <f aca="false">ROUND((C1055-B1055)*1440,1)</f>
        <v>1.4</v>
      </c>
      <c r="AB1055" s="29" t="str">
        <f aca="false">IF(AA1055&lt;1,"a) &lt;1 min",IF(AA1055&lt;10,"b) 1-10 min",IF(AA1055&lt;60,"c) 10-60 min",IF(AA1055&lt;240,"d) 1-4 h","e) 4 h+"))))</f>
        <v>b) 1-10 min</v>
      </c>
      <c r="AC1055" s="29" t="str">
        <f aca="false">IF(P1055&lt;10,"a) &lt;10",IF(P1055&lt;20,"b) 10-20",IF(P1055&lt;40,"c) 20-40",IF(P1055&lt;80,"d) 40-80","e) 80+"))))</f>
        <v>a) &lt;10</v>
      </c>
      <c r="AD1055" s="31" t="n">
        <f aca="false">Summary!$C$5+SUM(X$2:X1055)</f>
        <v>22552.47</v>
      </c>
      <c r="AE1055" s="31" t="n">
        <f aca="false">MAX(AE1054,AD1055)</f>
        <v>23611.84</v>
      </c>
      <c r="AF1055" s="31" t="n">
        <f aca="false">AE1055-AD1055</f>
        <v>1059.37</v>
      </c>
      <c r="AG1055" s="30" t="n">
        <f aca="false">IFERROR(AF1055/AE1055,0)</f>
        <v>0.0448660502527545</v>
      </c>
    </row>
    <row r="1056" customFormat="false" ht="15" hidden="false" customHeight="false" outlineLevel="0" collapsed="false">
      <c r="A1056" s="29" t="n">
        <v>1055</v>
      </c>
      <c r="B1056" s="44" t="n">
        <v>46157.3388888889</v>
      </c>
      <c r="C1056" s="44" t="n">
        <v>46157.344212963</v>
      </c>
      <c r="D1056" s="43" t="n">
        <f aca="false">INT(C1056)</f>
        <v>46157</v>
      </c>
      <c r="E1056" s="43" t="n">
        <f aca="false">D1056-WEEKDAY(D1056,3)</f>
        <v>46153</v>
      </c>
      <c r="F1056" s="29" t="s">
        <v>193</v>
      </c>
      <c r="G1056" s="29" t="n">
        <v>2026</v>
      </c>
      <c r="H1056" s="29" t="s">
        <v>254</v>
      </c>
      <c r="I1056" s="29" t="n">
        <v>8</v>
      </c>
      <c r="J1056" s="29" t="s">
        <v>250</v>
      </c>
      <c r="K1056" s="29" t="s">
        <v>251</v>
      </c>
      <c r="L1056" s="29" t="n">
        <v>0.03</v>
      </c>
      <c r="M1056" s="32" t="n">
        <v>29317.91</v>
      </c>
      <c r="N1056" s="32" t="n">
        <v>29337.39</v>
      </c>
      <c r="O1056" s="32" t="n">
        <v>29274.62</v>
      </c>
      <c r="P1056" s="45" t="n">
        <f aca="false">ABS(M1056-N1056)</f>
        <v>19.4799999999996</v>
      </c>
      <c r="Q1056" s="45" t="n">
        <f aca="false">IF(O1056="","",ABS(O1056-M1056))</f>
        <v>43.2900000000009</v>
      </c>
      <c r="R1056" s="31" t="n">
        <f aca="false">P1056*L1056*Summary!$C$6</f>
        <v>58.4399999999987</v>
      </c>
      <c r="S1056" s="32" t="n">
        <v>29337.75</v>
      </c>
      <c r="T1056" s="29" t="s">
        <v>249</v>
      </c>
      <c r="U1056" s="45" t="n">
        <f aca="false">IF(J1056="BUY",S1056-M1056,M1056-S1056)</f>
        <v>-19.8400000000001</v>
      </c>
      <c r="V1056" s="46" t="n">
        <v>0</v>
      </c>
      <c r="W1056" s="46" t="n">
        <v>0</v>
      </c>
      <c r="X1056" s="46" t="n">
        <v>-59.52</v>
      </c>
      <c r="Y1056" s="33" t="n">
        <f aca="false">IFERROR(X1056/R1056,0)</f>
        <v>-1.01848049281316</v>
      </c>
      <c r="Z1056" s="29" t="str">
        <f aca="false">IF(X1056&gt;0,"Win",IF(X1056&lt;0,"Loss","Flat"))</f>
        <v>Loss</v>
      </c>
      <c r="AA1056" s="29" t="n">
        <f aca="false">ROUND((C1056-B1056)*1440,1)</f>
        <v>7.7</v>
      </c>
      <c r="AB1056" s="29" t="str">
        <f aca="false">IF(AA1056&lt;1,"a) &lt;1 min",IF(AA1056&lt;10,"b) 1-10 min",IF(AA1056&lt;60,"c) 10-60 min",IF(AA1056&lt;240,"d) 1-4 h","e) 4 h+"))))</f>
        <v>b) 1-10 min</v>
      </c>
      <c r="AC1056" s="29" t="str">
        <f aca="false">IF(P1056&lt;10,"a) &lt;10",IF(P1056&lt;20,"b) 10-20",IF(P1056&lt;40,"c) 20-40",IF(P1056&lt;80,"d) 40-80","e) 80+"))))</f>
        <v>b) 10-20</v>
      </c>
      <c r="AD1056" s="31" t="n">
        <f aca="false">Summary!$C$5+SUM(X$2:X1056)</f>
        <v>22492.95</v>
      </c>
      <c r="AE1056" s="31" t="n">
        <f aca="false">MAX(AE1055,AD1056)</f>
        <v>23611.84</v>
      </c>
      <c r="AF1056" s="31" t="n">
        <f aca="false">AE1056-AD1056</f>
        <v>1118.89</v>
      </c>
      <c r="AG1056" s="30" t="n">
        <f aca="false">IFERROR(AF1056/AE1056,0)</f>
        <v>0.0473868194939488</v>
      </c>
    </row>
    <row r="1057" customFormat="false" ht="15" hidden="false" customHeight="false" outlineLevel="0" collapsed="false">
      <c r="A1057" s="29" t="n">
        <v>1056</v>
      </c>
      <c r="B1057" s="44" t="n">
        <v>46160.1118055556</v>
      </c>
      <c r="C1057" s="44" t="n">
        <v>46160.1126041667</v>
      </c>
      <c r="D1057" s="43" t="n">
        <f aca="false">INT(C1057)</f>
        <v>46160</v>
      </c>
      <c r="E1057" s="43" t="n">
        <f aca="false">D1057-WEEKDAY(D1057,3)</f>
        <v>46160</v>
      </c>
      <c r="F1057" s="29" t="s">
        <v>193</v>
      </c>
      <c r="G1057" s="29" t="n">
        <v>2026</v>
      </c>
      <c r="H1057" s="29" t="s">
        <v>245</v>
      </c>
      <c r="I1057" s="29" t="n">
        <v>2</v>
      </c>
      <c r="J1057" s="29" t="s">
        <v>250</v>
      </c>
      <c r="K1057" s="29" t="s">
        <v>251</v>
      </c>
      <c r="L1057" s="29" t="n">
        <v>0.03</v>
      </c>
      <c r="M1057" s="32" t="n">
        <v>28966.22</v>
      </c>
      <c r="N1057" s="32" t="n">
        <v>28995.14</v>
      </c>
      <c r="O1057" s="32" t="n">
        <v>28905.29</v>
      </c>
      <c r="P1057" s="45" t="n">
        <f aca="false">ABS(M1057-N1057)</f>
        <v>28.9199999999983</v>
      </c>
      <c r="Q1057" s="45" t="n">
        <f aca="false">IF(O1057="","",ABS(O1057-M1057))</f>
        <v>60.9300000000003</v>
      </c>
      <c r="R1057" s="31" t="n">
        <f aca="false">P1057*L1057*Summary!$C$6</f>
        <v>86.7599999999948</v>
      </c>
      <c r="S1057" s="32" t="n">
        <v>28967.26</v>
      </c>
      <c r="T1057" s="29" t="s">
        <v>255</v>
      </c>
      <c r="U1057" s="45" t="n">
        <f aca="false">IF(J1057="BUY",S1057-M1057,M1057-S1057)</f>
        <v>-1.03999999999724</v>
      </c>
      <c r="V1057" s="46" t="n">
        <v>0</v>
      </c>
      <c r="W1057" s="46" t="n">
        <v>0</v>
      </c>
      <c r="X1057" s="46" t="n">
        <v>-3.12</v>
      </c>
      <c r="Y1057" s="33" t="n">
        <f aca="false">IFERROR(X1057/R1057,0)</f>
        <v>-0.0359612724757975</v>
      </c>
      <c r="Z1057" s="29" t="str">
        <f aca="false">IF(X1057&gt;0,"Win",IF(X1057&lt;0,"Loss","Flat"))</f>
        <v>Loss</v>
      </c>
      <c r="AA1057" s="29" t="n">
        <f aca="false">ROUND((C1057-B1057)*1440,1)</f>
        <v>1.1</v>
      </c>
      <c r="AB1057" s="29" t="str">
        <f aca="false">IF(AA1057&lt;1,"a) &lt;1 min",IF(AA1057&lt;10,"b) 1-10 min",IF(AA1057&lt;60,"c) 10-60 min",IF(AA1057&lt;240,"d) 1-4 h","e) 4 h+"))))</f>
        <v>b) 1-10 min</v>
      </c>
      <c r="AC1057" s="29" t="str">
        <f aca="false">IF(P1057&lt;10,"a) &lt;10",IF(P1057&lt;20,"b) 10-20",IF(P1057&lt;40,"c) 20-40",IF(P1057&lt;80,"d) 40-80","e) 80+"))))</f>
        <v>c) 20-40</v>
      </c>
      <c r="AD1057" s="31" t="n">
        <f aca="false">Summary!$C$5+SUM(X$2:X1057)</f>
        <v>22489.83</v>
      </c>
      <c r="AE1057" s="31" t="n">
        <f aca="false">MAX(AE1056,AD1057)</f>
        <v>23611.84</v>
      </c>
      <c r="AF1057" s="31" t="n">
        <f aca="false">AE1057-AD1057</f>
        <v>1122.01</v>
      </c>
      <c r="AG1057" s="30" t="n">
        <f aca="false">IFERROR(AF1057/AE1057,0)</f>
        <v>0.0475189565912694</v>
      </c>
    </row>
    <row r="1058" customFormat="false" ht="15" hidden="false" customHeight="false" outlineLevel="0" collapsed="false">
      <c r="A1058" s="29" t="n">
        <v>1057</v>
      </c>
      <c r="B1058" s="44" t="n">
        <v>46161.6861111111</v>
      </c>
      <c r="C1058" s="44" t="n">
        <v>46161.6861921296</v>
      </c>
      <c r="D1058" s="43" t="n">
        <f aca="false">INT(C1058)</f>
        <v>46161</v>
      </c>
      <c r="E1058" s="43" t="n">
        <f aca="false">D1058-WEEKDAY(D1058,3)</f>
        <v>46160</v>
      </c>
      <c r="F1058" s="29" t="s">
        <v>193</v>
      </c>
      <c r="G1058" s="29" t="n">
        <v>2026</v>
      </c>
      <c r="H1058" s="29" t="s">
        <v>248</v>
      </c>
      <c r="I1058" s="29" t="n">
        <v>16</v>
      </c>
      <c r="J1058" s="29" t="s">
        <v>250</v>
      </c>
      <c r="K1058" s="29" t="s">
        <v>251</v>
      </c>
      <c r="L1058" s="29" t="n">
        <v>0.03</v>
      </c>
      <c r="M1058" s="32" t="n">
        <v>28710.9</v>
      </c>
      <c r="N1058" s="32" t="n">
        <v>28728.2</v>
      </c>
      <c r="O1058" s="32" t="n">
        <v>28668.51</v>
      </c>
      <c r="P1058" s="45" t="n">
        <f aca="false">ABS(M1058-N1058)</f>
        <v>17.2999999999993</v>
      </c>
      <c r="Q1058" s="45" t="n">
        <f aca="false">IF(O1058="","",ABS(O1058-M1058))</f>
        <v>42.3900000000031</v>
      </c>
      <c r="R1058" s="31" t="n">
        <f aca="false">P1058*L1058*Summary!$C$6</f>
        <v>51.8999999999978</v>
      </c>
      <c r="S1058" s="32" t="n">
        <v>28728.47</v>
      </c>
      <c r="T1058" s="29" t="s">
        <v>249</v>
      </c>
      <c r="U1058" s="45" t="n">
        <f aca="false">IF(J1058="BUY",S1058-M1058,M1058-S1058)</f>
        <v>-17.5699999999997</v>
      </c>
      <c r="V1058" s="46" t="n">
        <v>0</v>
      </c>
      <c r="W1058" s="46" t="n">
        <v>0</v>
      </c>
      <c r="X1058" s="46" t="n">
        <v>-52.71</v>
      </c>
      <c r="Y1058" s="33" t="n">
        <f aca="false">IFERROR(X1058/R1058,0)</f>
        <v>-1.01560693641623</v>
      </c>
      <c r="Z1058" s="29" t="str">
        <f aca="false">IF(X1058&gt;0,"Win",IF(X1058&lt;0,"Loss","Flat"))</f>
        <v>Loss</v>
      </c>
      <c r="AA1058" s="29" t="n">
        <f aca="false">ROUND((C1058-B1058)*1440,1)</f>
        <v>0.1</v>
      </c>
      <c r="AB1058" s="29" t="str">
        <f aca="false">IF(AA1058&lt;1,"a) &lt;1 min",IF(AA1058&lt;10,"b) 1-10 min",IF(AA1058&lt;60,"c) 10-60 min",IF(AA1058&lt;240,"d) 1-4 h","e) 4 h+"))))</f>
        <v>a) &lt;1 min</v>
      </c>
      <c r="AC1058" s="29" t="str">
        <f aca="false">IF(P1058&lt;10,"a) &lt;10",IF(P1058&lt;20,"b) 10-20",IF(P1058&lt;40,"c) 20-40",IF(P1058&lt;80,"d) 40-80","e) 80+"))))</f>
        <v>b) 10-20</v>
      </c>
      <c r="AD1058" s="31" t="n">
        <f aca="false">Summary!$C$5+SUM(X$2:X1058)</f>
        <v>22437.12</v>
      </c>
      <c r="AE1058" s="31" t="n">
        <f aca="false">MAX(AE1057,AD1058)</f>
        <v>23611.84</v>
      </c>
      <c r="AF1058" s="31" t="n">
        <f aca="false">AE1058-AD1058</f>
        <v>1174.72</v>
      </c>
      <c r="AG1058" s="30" t="n">
        <f aca="false">IFERROR(AF1058/AE1058,0)</f>
        <v>0.0497513112065812</v>
      </c>
    </row>
    <row r="1059" customFormat="false" ht="15" hidden="false" customHeight="false" outlineLevel="0" collapsed="false">
      <c r="A1059" s="29" t="n">
        <v>1058</v>
      </c>
      <c r="B1059" s="44" t="n">
        <v>46162.6993055556</v>
      </c>
      <c r="C1059" s="44" t="n">
        <v>46162.7007523148</v>
      </c>
      <c r="D1059" s="43" t="n">
        <f aca="false">INT(C1059)</f>
        <v>46162</v>
      </c>
      <c r="E1059" s="43" t="n">
        <f aca="false">D1059-WEEKDAY(D1059,3)</f>
        <v>46160</v>
      </c>
      <c r="F1059" s="29" t="s">
        <v>193</v>
      </c>
      <c r="G1059" s="29" t="n">
        <v>2026</v>
      </c>
      <c r="H1059" s="29" t="s">
        <v>252</v>
      </c>
      <c r="I1059" s="29" t="n">
        <v>16</v>
      </c>
      <c r="J1059" s="29" t="s">
        <v>246</v>
      </c>
      <c r="K1059" s="29" t="s">
        <v>247</v>
      </c>
      <c r="L1059" s="29" t="n">
        <v>0.03</v>
      </c>
      <c r="M1059" s="32" t="n">
        <v>29100.16</v>
      </c>
      <c r="N1059" s="32" t="n">
        <v>29057.93</v>
      </c>
      <c r="O1059" s="32" t="n">
        <v>29202.98</v>
      </c>
      <c r="P1059" s="45" t="n">
        <f aca="false">ABS(M1059-N1059)</f>
        <v>42.2299999999996</v>
      </c>
      <c r="Q1059" s="45" t="n">
        <f aca="false">IF(O1059="","",ABS(O1059-M1059))</f>
        <v>102.82</v>
      </c>
      <c r="R1059" s="31" t="n">
        <f aca="false">P1059*L1059*Summary!$C$6</f>
        <v>126.689999999999</v>
      </c>
      <c r="S1059" s="32" t="n">
        <v>29054.49</v>
      </c>
      <c r="T1059" s="29" t="s">
        <v>249</v>
      </c>
      <c r="U1059" s="45" t="n">
        <f aca="false">IF(J1059="BUY",S1059-M1059,M1059-S1059)</f>
        <v>-45.6699999999983</v>
      </c>
      <c r="V1059" s="46" t="n">
        <v>0</v>
      </c>
      <c r="W1059" s="46" t="n">
        <v>0</v>
      </c>
      <c r="X1059" s="46" t="n">
        <v>-137.01</v>
      </c>
      <c r="Y1059" s="33" t="n">
        <f aca="false">IFERROR(X1059/R1059,0)</f>
        <v>-1.08145867866447</v>
      </c>
      <c r="Z1059" s="29" t="str">
        <f aca="false">IF(X1059&gt;0,"Win",IF(X1059&lt;0,"Loss","Flat"))</f>
        <v>Loss</v>
      </c>
      <c r="AA1059" s="29" t="n">
        <f aca="false">ROUND((C1059-B1059)*1440,1)</f>
        <v>2.1</v>
      </c>
      <c r="AB1059" s="29" t="str">
        <f aca="false">IF(AA1059&lt;1,"a) &lt;1 min",IF(AA1059&lt;10,"b) 1-10 min",IF(AA1059&lt;60,"c) 10-60 min",IF(AA1059&lt;240,"d) 1-4 h","e) 4 h+"))))</f>
        <v>b) 1-10 min</v>
      </c>
      <c r="AC1059" s="29" t="str">
        <f aca="false">IF(P1059&lt;10,"a) &lt;10",IF(P1059&lt;20,"b) 10-20",IF(P1059&lt;40,"c) 20-40",IF(P1059&lt;80,"d) 40-80","e) 80+"))))</f>
        <v>d) 40-80</v>
      </c>
      <c r="AD1059" s="31" t="n">
        <f aca="false">Summary!$C$5+SUM(X$2:X1059)</f>
        <v>22300.11</v>
      </c>
      <c r="AE1059" s="31" t="n">
        <f aca="false">MAX(AE1058,AD1059)</f>
        <v>23611.84</v>
      </c>
      <c r="AF1059" s="31" t="n">
        <f aca="false">AE1059-AD1059</f>
        <v>1311.73</v>
      </c>
      <c r="AG1059" s="30" t="n">
        <f aca="false">IFERROR(AF1059/AE1059,0)</f>
        <v>0.0555539085475761</v>
      </c>
    </row>
    <row r="1060" customFormat="false" ht="15" hidden="false" customHeight="false" outlineLevel="0" collapsed="false">
      <c r="A1060" s="29" t="n">
        <v>1059</v>
      </c>
      <c r="B1060" s="44" t="n">
        <v>46163.3104166667</v>
      </c>
      <c r="C1060" s="44" t="n">
        <v>46163.3133564815</v>
      </c>
      <c r="D1060" s="43" t="n">
        <f aca="false">INT(C1060)</f>
        <v>46163</v>
      </c>
      <c r="E1060" s="43" t="n">
        <f aca="false">D1060-WEEKDAY(D1060,3)</f>
        <v>46160</v>
      </c>
      <c r="F1060" s="29" t="s">
        <v>193</v>
      </c>
      <c r="G1060" s="29" t="n">
        <v>2026</v>
      </c>
      <c r="H1060" s="29" t="s">
        <v>253</v>
      </c>
      <c r="I1060" s="29" t="n">
        <v>7</v>
      </c>
      <c r="J1060" s="29" t="s">
        <v>246</v>
      </c>
      <c r="K1060" s="29" t="s">
        <v>247</v>
      </c>
      <c r="L1060" s="29" t="n">
        <v>0.03</v>
      </c>
      <c r="M1060" s="32" t="n">
        <v>29311.04</v>
      </c>
      <c r="N1060" s="32" t="n">
        <v>29305.98</v>
      </c>
      <c r="O1060" s="32" t="n">
        <v>29323.45</v>
      </c>
      <c r="P1060" s="45" t="n">
        <f aca="false">ABS(M1060-N1060)</f>
        <v>5.06000000000131</v>
      </c>
      <c r="Q1060" s="45" t="n">
        <f aca="false">IF(O1060="","",ABS(O1060-M1060))</f>
        <v>12.4099999999999</v>
      </c>
      <c r="R1060" s="31" t="n">
        <f aca="false">P1060*L1060*Summary!$C$6</f>
        <v>15.1800000000039</v>
      </c>
      <c r="S1060" s="32" t="n">
        <v>29310.88</v>
      </c>
      <c r="T1060" s="29" t="s">
        <v>255</v>
      </c>
      <c r="U1060" s="45" t="n">
        <f aca="false">IF(J1060="BUY",S1060-M1060,M1060-S1060)</f>
        <v>-0.159999999999854</v>
      </c>
      <c r="V1060" s="46" t="n">
        <v>0</v>
      </c>
      <c r="W1060" s="46" t="n">
        <v>0</v>
      </c>
      <c r="X1060" s="46" t="n">
        <v>-0.48</v>
      </c>
      <c r="Y1060" s="33" t="n">
        <f aca="false">IFERROR(X1060/R1060,0)</f>
        <v>-0.0316205533596756</v>
      </c>
      <c r="Z1060" s="29" t="str">
        <f aca="false">IF(X1060&gt;0,"Win",IF(X1060&lt;0,"Loss","Flat"))</f>
        <v>Loss</v>
      </c>
      <c r="AA1060" s="29" t="n">
        <f aca="false">ROUND((C1060-B1060)*1440,1)</f>
        <v>4.2</v>
      </c>
      <c r="AB1060" s="29" t="str">
        <f aca="false">IF(AA1060&lt;1,"a) &lt;1 min",IF(AA1060&lt;10,"b) 1-10 min",IF(AA1060&lt;60,"c) 10-60 min",IF(AA1060&lt;240,"d) 1-4 h","e) 4 h+"))))</f>
        <v>b) 1-10 min</v>
      </c>
      <c r="AC1060" s="29" t="str">
        <f aca="false">IF(P1060&lt;10,"a) &lt;10",IF(P1060&lt;20,"b) 10-20",IF(P1060&lt;40,"c) 20-40",IF(P1060&lt;80,"d) 40-80","e) 80+"))))</f>
        <v>a) &lt;10</v>
      </c>
      <c r="AD1060" s="31" t="n">
        <f aca="false">Summary!$C$5+SUM(X$2:X1060)</f>
        <v>22299.63</v>
      </c>
      <c r="AE1060" s="31" t="n">
        <f aca="false">MAX(AE1059,AD1060)</f>
        <v>23611.84</v>
      </c>
      <c r="AF1060" s="31" t="n">
        <f aca="false">AE1060-AD1060</f>
        <v>1312.21</v>
      </c>
      <c r="AG1060" s="30" t="n">
        <f aca="false">IFERROR(AF1060/AE1060,0)</f>
        <v>0.0555742373317794</v>
      </c>
    </row>
    <row r="1061" customFormat="false" ht="15" hidden="false" customHeight="false" outlineLevel="0" collapsed="false">
      <c r="A1061" s="29" t="n">
        <v>1060</v>
      </c>
      <c r="B1061" s="44" t="n">
        <v>46164.0944444445</v>
      </c>
      <c r="C1061" s="44" t="n">
        <v>46164.0952777778</v>
      </c>
      <c r="D1061" s="43" t="n">
        <f aca="false">INT(C1061)</f>
        <v>46164</v>
      </c>
      <c r="E1061" s="43" t="n">
        <f aca="false">D1061-WEEKDAY(D1061,3)</f>
        <v>46160</v>
      </c>
      <c r="F1061" s="29" t="s">
        <v>193</v>
      </c>
      <c r="G1061" s="29" t="n">
        <v>2026</v>
      </c>
      <c r="H1061" s="29" t="s">
        <v>254</v>
      </c>
      <c r="I1061" s="29" t="n">
        <v>2</v>
      </c>
      <c r="J1061" s="29" t="s">
        <v>246</v>
      </c>
      <c r="K1061" s="29" t="s">
        <v>247</v>
      </c>
      <c r="L1061" s="29" t="n">
        <v>0.03</v>
      </c>
      <c r="M1061" s="32" t="n">
        <v>29463.53</v>
      </c>
      <c r="N1061" s="32" t="n">
        <v>29457.83</v>
      </c>
      <c r="O1061" s="32" t="n">
        <v>29477.49</v>
      </c>
      <c r="P1061" s="45" t="n">
        <f aca="false">ABS(M1061-N1061)</f>
        <v>5.69999999999709</v>
      </c>
      <c r="Q1061" s="45" t="n">
        <f aca="false">IF(O1061="","",ABS(O1061-M1061))</f>
        <v>13.9600000000028</v>
      </c>
      <c r="R1061" s="31" t="n">
        <f aca="false">P1061*L1061*Summary!$C$6</f>
        <v>17.0999999999913</v>
      </c>
      <c r="S1061" s="32" t="n">
        <v>29456.94</v>
      </c>
      <c r="T1061" s="29" t="s">
        <v>249</v>
      </c>
      <c r="U1061" s="45" t="n">
        <f aca="false">IF(J1061="BUY",S1061-M1061,M1061-S1061)</f>
        <v>-6.59000000000015</v>
      </c>
      <c r="V1061" s="46" t="n">
        <v>0</v>
      </c>
      <c r="W1061" s="46" t="n">
        <v>0</v>
      </c>
      <c r="X1061" s="46" t="n">
        <v>-19.77</v>
      </c>
      <c r="Y1061" s="33" t="n">
        <f aca="false">IFERROR(X1061/R1061,0)</f>
        <v>-1.15614035087778</v>
      </c>
      <c r="Z1061" s="29" t="str">
        <f aca="false">IF(X1061&gt;0,"Win",IF(X1061&lt;0,"Loss","Flat"))</f>
        <v>Loss</v>
      </c>
      <c r="AA1061" s="29" t="n">
        <f aca="false">ROUND((C1061-B1061)*1440,1)</f>
        <v>1.2</v>
      </c>
      <c r="AB1061" s="29" t="str">
        <f aca="false">IF(AA1061&lt;1,"a) &lt;1 min",IF(AA1061&lt;10,"b) 1-10 min",IF(AA1061&lt;60,"c) 10-60 min",IF(AA1061&lt;240,"d) 1-4 h","e) 4 h+"))))</f>
        <v>b) 1-10 min</v>
      </c>
      <c r="AC1061" s="29" t="str">
        <f aca="false">IF(P1061&lt;10,"a) &lt;10",IF(P1061&lt;20,"b) 10-20",IF(P1061&lt;40,"c) 20-40",IF(P1061&lt;80,"d) 40-80","e) 80+"))))</f>
        <v>a) &lt;10</v>
      </c>
      <c r="AD1061" s="31" t="n">
        <f aca="false">Summary!$C$5+SUM(X$2:X1061)</f>
        <v>22279.86</v>
      </c>
      <c r="AE1061" s="31" t="n">
        <f aca="false">MAX(AE1060,AD1061)</f>
        <v>23611.84</v>
      </c>
      <c r="AF1061" s="31" t="n">
        <f aca="false">AE1061-AD1061</f>
        <v>1331.98</v>
      </c>
      <c r="AG1061" s="30" t="n">
        <f aca="false">IFERROR(AF1061/AE1061,0)</f>
        <v>0.0564115291311478</v>
      </c>
    </row>
    <row r="1062" customFormat="false" ht="15" hidden="false" customHeight="false" outlineLevel="0" collapsed="false">
      <c r="A1062" s="29" t="n">
        <v>1061</v>
      </c>
      <c r="B1062" s="44" t="n">
        <v>46167.0423611111</v>
      </c>
      <c r="C1062" s="44" t="n">
        <v>46167.1074421296</v>
      </c>
      <c r="D1062" s="43" t="n">
        <f aca="false">INT(C1062)</f>
        <v>46167</v>
      </c>
      <c r="E1062" s="43" t="n">
        <f aca="false">D1062-WEEKDAY(D1062,3)</f>
        <v>46167</v>
      </c>
      <c r="F1062" s="29" t="s">
        <v>193</v>
      </c>
      <c r="G1062" s="29" t="n">
        <v>2026</v>
      </c>
      <c r="H1062" s="29" t="s">
        <v>245</v>
      </c>
      <c r="I1062" s="29" t="n">
        <v>1</v>
      </c>
      <c r="J1062" s="29" t="s">
        <v>246</v>
      </c>
      <c r="K1062" s="29" t="s">
        <v>247</v>
      </c>
      <c r="L1062" s="29" t="n">
        <v>0.03</v>
      </c>
      <c r="M1062" s="32" t="n">
        <v>29676.72</v>
      </c>
      <c r="N1062" s="32" t="n">
        <v>29631.09</v>
      </c>
      <c r="O1062" s="32" t="n">
        <v>29786.52</v>
      </c>
      <c r="P1062" s="45" t="n">
        <f aca="false">ABS(M1062-N1062)</f>
        <v>45.630000000001</v>
      </c>
      <c r="Q1062" s="45" t="n">
        <f aca="false">IF(O1062="","",ABS(O1062-M1062))</f>
        <v>109.799999999999</v>
      </c>
      <c r="R1062" s="31" t="n">
        <f aca="false">P1062*L1062*Summary!$C$6</f>
        <v>136.890000000003</v>
      </c>
      <c r="S1062" s="32" t="n">
        <v>29787.04</v>
      </c>
      <c r="T1062" s="29" t="s">
        <v>227</v>
      </c>
      <c r="U1062" s="45" t="n">
        <f aca="false">IF(J1062="BUY",S1062-M1062,M1062-S1062)</f>
        <v>110.32</v>
      </c>
      <c r="V1062" s="46" t="n">
        <v>0</v>
      </c>
      <c r="W1062" s="46" t="n">
        <v>0</v>
      </c>
      <c r="X1062" s="46" t="n">
        <v>330.96</v>
      </c>
      <c r="Y1062" s="33" t="n">
        <f aca="false">IFERROR(X1062/R1062,0)</f>
        <v>2.41770764847683</v>
      </c>
      <c r="Z1062" s="29" t="str">
        <f aca="false">IF(X1062&gt;0,"Win",IF(X1062&lt;0,"Loss","Flat"))</f>
        <v>Win</v>
      </c>
      <c r="AA1062" s="29" t="n">
        <f aca="false">ROUND((C1062-B1062)*1440,1)</f>
        <v>93.7</v>
      </c>
      <c r="AB1062" s="29" t="str">
        <f aca="false">IF(AA1062&lt;1,"a) &lt;1 min",IF(AA1062&lt;10,"b) 1-10 min",IF(AA1062&lt;60,"c) 10-60 min",IF(AA1062&lt;240,"d) 1-4 h","e) 4 h+"))))</f>
        <v>d) 1-4 h</v>
      </c>
      <c r="AC1062" s="29" t="str">
        <f aca="false">IF(P1062&lt;10,"a) &lt;10",IF(P1062&lt;20,"b) 10-20",IF(P1062&lt;40,"c) 20-40",IF(P1062&lt;80,"d) 40-80","e) 80+"))))</f>
        <v>d) 40-80</v>
      </c>
      <c r="AD1062" s="31" t="n">
        <f aca="false">Summary!$C$5+SUM(X$2:X1062)</f>
        <v>22610.82</v>
      </c>
      <c r="AE1062" s="31" t="n">
        <f aca="false">MAX(AE1061,AD1062)</f>
        <v>23611.84</v>
      </c>
      <c r="AF1062" s="31" t="n">
        <f aca="false">AE1062-AD1062</f>
        <v>1001.02</v>
      </c>
      <c r="AG1062" s="30" t="n">
        <f aca="false">IFERROR(AF1062/AE1062,0)</f>
        <v>0.0423948324230556</v>
      </c>
    </row>
    <row r="1063" customFormat="false" ht="15" hidden="false" customHeight="false" outlineLevel="0" collapsed="false">
      <c r="A1063" s="29" t="n">
        <v>1062</v>
      </c>
      <c r="B1063" s="44" t="n">
        <v>46168.7076388889</v>
      </c>
      <c r="C1063" s="44" t="n">
        <v>46168.7225694444</v>
      </c>
      <c r="D1063" s="43" t="n">
        <f aca="false">INT(C1063)</f>
        <v>46168</v>
      </c>
      <c r="E1063" s="43" t="n">
        <f aca="false">D1063-WEEKDAY(D1063,3)</f>
        <v>46167</v>
      </c>
      <c r="F1063" s="29" t="s">
        <v>193</v>
      </c>
      <c r="G1063" s="29" t="n">
        <v>2026</v>
      </c>
      <c r="H1063" s="29" t="s">
        <v>248</v>
      </c>
      <c r="I1063" s="29" t="n">
        <v>16</v>
      </c>
      <c r="J1063" s="29" t="s">
        <v>246</v>
      </c>
      <c r="K1063" s="29" t="s">
        <v>247</v>
      </c>
      <c r="L1063" s="29" t="n">
        <v>0.03</v>
      </c>
      <c r="M1063" s="32" t="n">
        <v>29920.92</v>
      </c>
      <c r="N1063" s="32" t="n">
        <v>29896.32</v>
      </c>
      <c r="O1063" s="32" t="n">
        <v>29981.18</v>
      </c>
      <c r="P1063" s="45" t="n">
        <f aca="false">ABS(M1063-N1063)</f>
        <v>24.5999999999985</v>
      </c>
      <c r="Q1063" s="45" t="n">
        <f aca="false">IF(O1063="","",ABS(O1063-M1063))</f>
        <v>60.260000000002</v>
      </c>
      <c r="R1063" s="31" t="n">
        <f aca="false">P1063*L1063*Summary!$C$6</f>
        <v>73.7999999999956</v>
      </c>
      <c r="S1063" s="32" t="n">
        <v>29981.32</v>
      </c>
      <c r="T1063" s="29" t="s">
        <v>227</v>
      </c>
      <c r="U1063" s="45" t="n">
        <f aca="false">IF(J1063="BUY",S1063-M1063,M1063-S1063)</f>
        <v>60.4000000000015</v>
      </c>
      <c r="V1063" s="46" t="n">
        <v>0</v>
      </c>
      <c r="W1063" s="46" t="n">
        <v>0</v>
      </c>
      <c r="X1063" s="46" t="n">
        <v>181.2</v>
      </c>
      <c r="Y1063" s="33" t="n">
        <f aca="false">IFERROR(X1063/R1063,0)</f>
        <v>2.45528455284567</v>
      </c>
      <c r="Z1063" s="29" t="str">
        <f aca="false">IF(X1063&gt;0,"Win",IF(X1063&lt;0,"Loss","Flat"))</f>
        <v>Win</v>
      </c>
      <c r="AA1063" s="29" t="n">
        <f aca="false">ROUND((C1063-B1063)*1440,1)</f>
        <v>21.5</v>
      </c>
      <c r="AB1063" s="29" t="str">
        <f aca="false">IF(AA1063&lt;1,"a) &lt;1 min",IF(AA1063&lt;10,"b) 1-10 min",IF(AA1063&lt;60,"c) 10-60 min",IF(AA1063&lt;240,"d) 1-4 h","e) 4 h+"))))</f>
        <v>c) 10-60 min</v>
      </c>
      <c r="AC1063" s="29" t="str">
        <f aca="false">IF(P1063&lt;10,"a) &lt;10",IF(P1063&lt;20,"b) 10-20",IF(P1063&lt;40,"c) 20-40",IF(P1063&lt;80,"d) 40-80","e) 80+"))))</f>
        <v>c) 20-40</v>
      </c>
      <c r="AD1063" s="31" t="n">
        <f aca="false">Summary!$C$5+SUM(X$2:X1063)</f>
        <v>22792.02</v>
      </c>
      <c r="AE1063" s="31" t="n">
        <f aca="false">MAX(AE1062,AD1063)</f>
        <v>23611.84</v>
      </c>
      <c r="AF1063" s="31" t="n">
        <f aca="false">AE1063-AD1063</f>
        <v>819.82</v>
      </c>
      <c r="AG1063" s="30" t="n">
        <f aca="false">IFERROR(AF1063/AE1063,0)</f>
        <v>0.0347207163863553</v>
      </c>
    </row>
    <row r="1064" customFormat="false" ht="15" hidden="false" customHeight="false" outlineLevel="0" collapsed="false">
      <c r="A1064" s="29" t="n">
        <v>1063</v>
      </c>
      <c r="B1064" s="44" t="n">
        <v>46169.1479166667</v>
      </c>
      <c r="C1064" s="44" t="n">
        <v>46169.1517939815</v>
      </c>
      <c r="D1064" s="43" t="n">
        <f aca="false">INT(C1064)</f>
        <v>46169</v>
      </c>
      <c r="E1064" s="43" t="n">
        <f aca="false">D1064-WEEKDAY(D1064,3)</f>
        <v>46167</v>
      </c>
      <c r="F1064" s="29" t="s">
        <v>193</v>
      </c>
      <c r="G1064" s="29" t="n">
        <v>2026</v>
      </c>
      <c r="H1064" s="29" t="s">
        <v>252</v>
      </c>
      <c r="I1064" s="29" t="n">
        <v>3</v>
      </c>
      <c r="J1064" s="29" t="s">
        <v>246</v>
      </c>
      <c r="K1064" s="29" t="s">
        <v>247</v>
      </c>
      <c r="L1064" s="29" t="n">
        <v>0.03</v>
      </c>
      <c r="M1064" s="32" t="n">
        <v>30043.78</v>
      </c>
      <c r="N1064" s="32" t="n">
        <v>30032.66</v>
      </c>
      <c r="O1064" s="32" t="n">
        <v>30071.03</v>
      </c>
      <c r="P1064" s="45" t="n">
        <f aca="false">ABS(M1064-N1064)</f>
        <v>11.119999999999</v>
      </c>
      <c r="Q1064" s="45" t="n">
        <f aca="false">IF(O1064="","",ABS(O1064-M1064))</f>
        <v>27.25</v>
      </c>
      <c r="R1064" s="31" t="n">
        <f aca="false">P1064*L1064*Summary!$C$6</f>
        <v>33.3599999999969</v>
      </c>
      <c r="S1064" s="32" t="n">
        <v>30030.65</v>
      </c>
      <c r="T1064" s="29" t="s">
        <v>249</v>
      </c>
      <c r="U1064" s="45" t="n">
        <f aca="false">IF(J1064="BUY",S1064-M1064,M1064-S1064)</f>
        <v>-13.1299999999974</v>
      </c>
      <c r="V1064" s="46" t="n">
        <v>0</v>
      </c>
      <c r="W1064" s="46" t="n">
        <v>0</v>
      </c>
      <c r="X1064" s="46" t="n">
        <v>-39.39</v>
      </c>
      <c r="Y1064" s="33" t="n">
        <f aca="false">IFERROR(X1064/R1064,0)</f>
        <v>-1.18075539568356</v>
      </c>
      <c r="Z1064" s="29" t="str">
        <f aca="false">IF(X1064&gt;0,"Win",IF(X1064&lt;0,"Loss","Flat"))</f>
        <v>Loss</v>
      </c>
      <c r="AA1064" s="29" t="n">
        <f aca="false">ROUND((C1064-B1064)*1440,1)</f>
        <v>5.6</v>
      </c>
      <c r="AB1064" s="29" t="str">
        <f aca="false">IF(AA1064&lt;1,"a) &lt;1 min",IF(AA1064&lt;10,"b) 1-10 min",IF(AA1064&lt;60,"c) 10-60 min",IF(AA1064&lt;240,"d) 1-4 h","e) 4 h+"))))</f>
        <v>b) 1-10 min</v>
      </c>
      <c r="AC1064" s="29" t="str">
        <f aca="false">IF(P1064&lt;10,"a) &lt;10",IF(P1064&lt;20,"b) 10-20",IF(P1064&lt;40,"c) 20-40",IF(P1064&lt;80,"d) 40-80","e) 80+"))))</f>
        <v>b) 10-20</v>
      </c>
      <c r="AD1064" s="31" t="n">
        <f aca="false">Summary!$C$5+SUM(X$2:X1064)</f>
        <v>22752.63</v>
      </c>
      <c r="AE1064" s="31" t="n">
        <f aca="false">MAX(AE1063,AD1064)</f>
        <v>23611.84</v>
      </c>
      <c r="AF1064" s="31" t="n">
        <f aca="false">AE1064-AD1064</f>
        <v>859.210000000003</v>
      </c>
      <c r="AG1064" s="30" t="n">
        <f aca="false">IFERROR(AF1064/AE1064,0)</f>
        <v>0.0363889472400289</v>
      </c>
    </row>
    <row r="1065" customFormat="false" ht="15" hidden="false" customHeight="false" outlineLevel="0" collapsed="false">
      <c r="A1065" s="29" t="n">
        <v>1064</v>
      </c>
      <c r="B1065" s="44" t="n">
        <v>46170.2736111111</v>
      </c>
      <c r="C1065" s="44" t="n">
        <v>46170.2754050926</v>
      </c>
      <c r="D1065" s="43" t="n">
        <f aca="false">INT(C1065)</f>
        <v>46170</v>
      </c>
      <c r="E1065" s="43" t="n">
        <f aca="false">D1065-WEEKDAY(D1065,3)</f>
        <v>46167</v>
      </c>
      <c r="F1065" s="29" t="s">
        <v>193</v>
      </c>
      <c r="G1065" s="29" t="n">
        <v>2026</v>
      </c>
      <c r="H1065" s="29" t="s">
        <v>253</v>
      </c>
      <c r="I1065" s="29" t="n">
        <v>6</v>
      </c>
      <c r="J1065" s="29" t="s">
        <v>250</v>
      </c>
      <c r="K1065" s="29" t="s">
        <v>251</v>
      </c>
      <c r="L1065" s="29" t="n">
        <v>0.03</v>
      </c>
      <c r="M1065" s="32" t="n">
        <v>29804.91</v>
      </c>
      <c r="N1065" s="32" t="n">
        <v>29816.76</v>
      </c>
      <c r="O1065" s="32" t="n">
        <v>29771.97</v>
      </c>
      <c r="P1065" s="45" t="n">
        <f aca="false">ABS(M1065-N1065)</f>
        <v>11.8499999999985</v>
      </c>
      <c r="Q1065" s="45" t="n">
        <f aca="false">IF(O1065="","",ABS(O1065-M1065))</f>
        <v>32.9399999999987</v>
      </c>
      <c r="R1065" s="31" t="n">
        <f aca="false">P1065*L1065*Summary!$C$6</f>
        <v>35.5499999999956</v>
      </c>
      <c r="S1065" s="32" t="n">
        <v>29771.45</v>
      </c>
      <c r="T1065" s="29" t="s">
        <v>227</v>
      </c>
      <c r="U1065" s="45" t="n">
        <f aca="false">IF(J1065="BUY",S1065-M1065,M1065-S1065)</f>
        <v>33.4599999999991</v>
      </c>
      <c r="V1065" s="46" t="n">
        <v>0</v>
      </c>
      <c r="W1065" s="46" t="n">
        <v>0</v>
      </c>
      <c r="X1065" s="46" t="n">
        <v>100.38</v>
      </c>
      <c r="Y1065" s="33" t="n">
        <f aca="false">IFERROR(X1065/R1065,0)</f>
        <v>2.82362869198347</v>
      </c>
      <c r="Z1065" s="29" t="str">
        <f aca="false">IF(X1065&gt;0,"Win",IF(X1065&lt;0,"Loss","Flat"))</f>
        <v>Win</v>
      </c>
      <c r="AA1065" s="29" t="n">
        <f aca="false">ROUND((C1065-B1065)*1440,1)</f>
        <v>2.6</v>
      </c>
      <c r="AB1065" s="29" t="str">
        <f aca="false">IF(AA1065&lt;1,"a) &lt;1 min",IF(AA1065&lt;10,"b) 1-10 min",IF(AA1065&lt;60,"c) 10-60 min",IF(AA1065&lt;240,"d) 1-4 h","e) 4 h+"))))</f>
        <v>b) 1-10 min</v>
      </c>
      <c r="AC1065" s="29" t="str">
        <f aca="false">IF(P1065&lt;10,"a) &lt;10",IF(P1065&lt;20,"b) 10-20",IF(P1065&lt;40,"c) 20-40",IF(P1065&lt;80,"d) 40-80","e) 80+"))))</f>
        <v>b) 10-20</v>
      </c>
      <c r="AD1065" s="31" t="n">
        <f aca="false">Summary!$C$5+SUM(X$2:X1065)</f>
        <v>22853.01</v>
      </c>
      <c r="AE1065" s="31" t="n">
        <f aca="false">MAX(AE1064,AD1065)</f>
        <v>23611.84</v>
      </c>
      <c r="AF1065" s="31" t="n">
        <f aca="false">AE1065-AD1065</f>
        <v>758.829999999998</v>
      </c>
      <c r="AG1065" s="30" t="n">
        <f aca="false">IFERROR(AF1065/AE1065,0)</f>
        <v>0.0321376902435388</v>
      </c>
    </row>
    <row r="1066" customFormat="false" ht="15" hidden="false" customHeight="false" outlineLevel="0" collapsed="false">
      <c r="A1066" s="29" t="n">
        <v>1065</v>
      </c>
      <c r="B1066" s="44" t="n">
        <v>46171.0423611111</v>
      </c>
      <c r="C1066" s="44" t="n">
        <v>46171.0427546296</v>
      </c>
      <c r="D1066" s="43" t="n">
        <f aca="false">INT(C1066)</f>
        <v>46171</v>
      </c>
      <c r="E1066" s="43" t="n">
        <f aca="false">D1066-WEEKDAY(D1066,3)</f>
        <v>46167</v>
      </c>
      <c r="F1066" s="29" t="s">
        <v>193</v>
      </c>
      <c r="G1066" s="29" t="n">
        <v>2026</v>
      </c>
      <c r="H1066" s="29" t="s">
        <v>254</v>
      </c>
      <c r="I1066" s="29" t="n">
        <v>1</v>
      </c>
      <c r="J1066" s="29" t="s">
        <v>246</v>
      </c>
      <c r="K1066" s="29" t="s">
        <v>247</v>
      </c>
      <c r="L1066" s="29" t="n">
        <v>0.03</v>
      </c>
      <c r="M1066" s="32" t="n">
        <v>30271.23</v>
      </c>
      <c r="N1066" s="32" t="n">
        <v>30261.72</v>
      </c>
      <c r="O1066" s="32" t="n">
        <v>30294.52</v>
      </c>
      <c r="P1066" s="45" t="n">
        <f aca="false">ABS(M1066-N1066)</f>
        <v>9.5099999999984</v>
      </c>
      <c r="Q1066" s="45" t="n">
        <f aca="false">IF(O1066="","",ABS(O1066-M1066))</f>
        <v>23.2900000000009</v>
      </c>
      <c r="R1066" s="31" t="n">
        <f aca="false">P1066*L1066*Summary!$C$6</f>
        <v>28.5299999999952</v>
      </c>
      <c r="S1066" s="32" t="n">
        <v>30260.89</v>
      </c>
      <c r="T1066" s="29" t="s">
        <v>249</v>
      </c>
      <c r="U1066" s="45" t="n">
        <f aca="false">IF(J1066="BUY",S1066-M1066,M1066-S1066)</f>
        <v>-10.3400000000001</v>
      </c>
      <c r="V1066" s="46" t="n">
        <v>0</v>
      </c>
      <c r="W1066" s="46" t="n">
        <v>0</v>
      </c>
      <c r="X1066" s="46" t="n">
        <v>-31.02</v>
      </c>
      <c r="Y1066" s="33" t="n">
        <f aca="false">IFERROR(X1066/R1066,0)</f>
        <v>-1.08727655099913</v>
      </c>
      <c r="Z1066" s="29" t="str">
        <f aca="false">IF(X1066&gt;0,"Win",IF(X1066&lt;0,"Loss","Flat"))</f>
        <v>Loss</v>
      </c>
      <c r="AA1066" s="29" t="n">
        <f aca="false">ROUND((C1066-B1066)*1440,1)</f>
        <v>0.6</v>
      </c>
      <c r="AB1066" s="29" t="str">
        <f aca="false">IF(AA1066&lt;1,"a) &lt;1 min",IF(AA1066&lt;10,"b) 1-10 min",IF(AA1066&lt;60,"c) 10-60 min",IF(AA1066&lt;240,"d) 1-4 h","e) 4 h+"))))</f>
        <v>a) &lt;1 min</v>
      </c>
      <c r="AC1066" s="29" t="str">
        <f aca="false">IF(P1066&lt;10,"a) &lt;10",IF(P1066&lt;20,"b) 10-20",IF(P1066&lt;40,"c) 20-40",IF(P1066&lt;80,"d) 40-80","e) 80+"))))</f>
        <v>a) &lt;10</v>
      </c>
      <c r="AD1066" s="31" t="n">
        <f aca="false">Summary!$C$5+SUM(X$2:X1066)</f>
        <v>22821.99</v>
      </c>
      <c r="AE1066" s="31" t="n">
        <f aca="false">MAX(AE1065,AD1066)</f>
        <v>23611.84</v>
      </c>
      <c r="AF1066" s="31" t="n">
        <f aca="false">AE1066-AD1066</f>
        <v>789.850000000002</v>
      </c>
      <c r="AG1066" s="30" t="n">
        <f aca="false">IFERROR(AF1066/AE1066,0)</f>
        <v>0.0334514379226694</v>
      </c>
    </row>
    <row r="1067" customFormat="false" ht="15" hidden="false" customHeight="false" outlineLevel="0" collapsed="false">
      <c r="A1067" s="29" t="n">
        <v>1066</v>
      </c>
      <c r="B1067" s="44" t="n">
        <v>46174.1444444444</v>
      </c>
      <c r="C1067" s="44" t="n">
        <v>46174.1458680556</v>
      </c>
      <c r="D1067" s="43" t="n">
        <f aca="false">INT(C1067)</f>
        <v>46174</v>
      </c>
      <c r="E1067" s="43" t="n">
        <f aca="false">D1067-WEEKDAY(D1067,3)</f>
        <v>46174</v>
      </c>
      <c r="F1067" s="29" t="s">
        <v>194</v>
      </c>
      <c r="G1067" s="29" t="n">
        <v>2026</v>
      </c>
      <c r="H1067" s="29" t="s">
        <v>245</v>
      </c>
      <c r="I1067" s="29" t="n">
        <v>3</v>
      </c>
      <c r="J1067" s="29" t="s">
        <v>246</v>
      </c>
      <c r="K1067" s="29" t="s">
        <v>247</v>
      </c>
      <c r="L1067" s="29" t="n">
        <v>0.03</v>
      </c>
      <c r="M1067" s="32" t="n">
        <v>30469.78</v>
      </c>
      <c r="N1067" s="32" t="n">
        <v>30463.13</v>
      </c>
      <c r="O1067" s="32" t="n">
        <v>30485.9</v>
      </c>
      <c r="P1067" s="45" t="n">
        <f aca="false">ABS(M1067-N1067)</f>
        <v>6.64999999999782</v>
      </c>
      <c r="Q1067" s="45" t="n">
        <f aca="false">IF(O1067="","",ABS(O1067-M1067))</f>
        <v>16.1200000000026</v>
      </c>
      <c r="R1067" s="31" t="n">
        <f aca="false">P1067*L1067*Summary!$C$6</f>
        <v>19.9499999999935</v>
      </c>
      <c r="S1067" s="32" t="n">
        <v>30486.01</v>
      </c>
      <c r="T1067" s="29" t="s">
        <v>227</v>
      </c>
      <c r="U1067" s="45" t="n">
        <f aca="false">IF(J1067="BUY",S1067-M1067,M1067-S1067)</f>
        <v>16.2299999999996</v>
      </c>
      <c r="V1067" s="46" t="n">
        <v>0</v>
      </c>
      <c r="W1067" s="46" t="n">
        <v>0</v>
      </c>
      <c r="X1067" s="46" t="n">
        <v>48.69</v>
      </c>
      <c r="Y1067" s="33" t="n">
        <f aca="false">IFERROR(X1067/R1067,0)</f>
        <v>2.4406015037602</v>
      </c>
      <c r="Z1067" s="29" t="str">
        <f aca="false">IF(X1067&gt;0,"Win",IF(X1067&lt;0,"Loss","Flat"))</f>
        <v>Win</v>
      </c>
      <c r="AA1067" s="29" t="n">
        <f aca="false">ROUND((C1067-B1067)*1440,1)</f>
        <v>2.1</v>
      </c>
      <c r="AB1067" s="29" t="str">
        <f aca="false">IF(AA1067&lt;1,"a) &lt;1 min",IF(AA1067&lt;10,"b) 1-10 min",IF(AA1067&lt;60,"c) 10-60 min",IF(AA1067&lt;240,"d) 1-4 h","e) 4 h+"))))</f>
        <v>b) 1-10 min</v>
      </c>
      <c r="AC1067" s="29" t="str">
        <f aca="false">IF(P1067&lt;10,"a) &lt;10",IF(P1067&lt;20,"b) 10-20",IF(P1067&lt;40,"c) 20-40",IF(P1067&lt;80,"d) 40-80","e) 80+"))))</f>
        <v>a) &lt;10</v>
      </c>
      <c r="AD1067" s="31" t="n">
        <f aca="false">Summary!$C$5+SUM(X$2:X1067)</f>
        <v>22870.68</v>
      </c>
      <c r="AE1067" s="31" t="n">
        <f aca="false">MAX(AE1066,AD1067)</f>
        <v>23611.84</v>
      </c>
      <c r="AF1067" s="31" t="n">
        <f aca="false">AE1067-AD1067</f>
        <v>741.16</v>
      </c>
      <c r="AG1067" s="30" t="n">
        <f aca="false">IFERROR(AF1067/AE1067,0)</f>
        <v>0.0313893368750593</v>
      </c>
    </row>
    <row r="1068" customFormat="false" ht="15" hidden="false" customHeight="false" outlineLevel="0" collapsed="false">
      <c r="A1068" s="29" t="n">
        <v>1067</v>
      </c>
      <c r="B1068" s="44" t="n">
        <v>46175.7875</v>
      </c>
      <c r="C1068" s="44" t="n">
        <v>46175.7918287037</v>
      </c>
      <c r="D1068" s="43" t="n">
        <f aca="false">INT(C1068)</f>
        <v>46175</v>
      </c>
      <c r="E1068" s="43" t="n">
        <f aca="false">D1068-WEEKDAY(D1068,3)</f>
        <v>46174</v>
      </c>
      <c r="F1068" s="29" t="s">
        <v>194</v>
      </c>
      <c r="G1068" s="29" t="n">
        <v>2026</v>
      </c>
      <c r="H1068" s="29" t="s">
        <v>248</v>
      </c>
      <c r="I1068" s="29" t="n">
        <v>18</v>
      </c>
      <c r="J1068" s="29" t="s">
        <v>246</v>
      </c>
      <c r="K1068" s="29" t="s">
        <v>247</v>
      </c>
      <c r="L1068" s="29" t="n">
        <v>0.03</v>
      </c>
      <c r="M1068" s="32" t="n">
        <v>30636.12</v>
      </c>
      <c r="N1068" s="32" t="n">
        <v>30625.63</v>
      </c>
      <c r="O1068" s="32" t="n">
        <v>30661.83</v>
      </c>
      <c r="P1068" s="45" t="n">
        <f aca="false">ABS(M1068-N1068)</f>
        <v>10.489999999998</v>
      </c>
      <c r="Q1068" s="45" t="n">
        <f aca="false">IF(O1068="","",ABS(O1068-M1068))</f>
        <v>25.7100000000028</v>
      </c>
      <c r="R1068" s="31" t="n">
        <f aca="false">P1068*L1068*Summary!$C$6</f>
        <v>31.4699999999939</v>
      </c>
      <c r="S1068" s="32" t="n">
        <v>30635.8</v>
      </c>
      <c r="T1068" s="29" t="s">
        <v>255</v>
      </c>
      <c r="U1068" s="45" t="n">
        <f aca="false">IF(J1068="BUY",S1068-M1068,M1068-S1068)</f>
        <v>-0.319999999999709</v>
      </c>
      <c r="V1068" s="46" t="n">
        <v>0</v>
      </c>
      <c r="W1068" s="46" t="n">
        <v>0</v>
      </c>
      <c r="X1068" s="46" t="n">
        <v>-0.96</v>
      </c>
      <c r="Y1068" s="33" t="n">
        <f aca="false">IFERROR(X1068/R1068,0)</f>
        <v>-0.0305052430886618</v>
      </c>
      <c r="Z1068" s="29" t="str">
        <f aca="false">IF(X1068&gt;0,"Win",IF(X1068&lt;0,"Loss","Flat"))</f>
        <v>Loss</v>
      </c>
      <c r="AA1068" s="29" t="n">
        <f aca="false">ROUND((C1068-B1068)*1440,1)</f>
        <v>6.2</v>
      </c>
      <c r="AB1068" s="29" t="str">
        <f aca="false">IF(AA1068&lt;1,"a) &lt;1 min",IF(AA1068&lt;10,"b) 1-10 min",IF(AA1068&lt;60,"c) 10-60 min",IF(AA1068&lt;240,"d) 1-4 h","e) 4 h+"))))</f>
        <v>b) 1-10 min</v>
      </c>
      <c r="AC1068" s="29" t="str">
        <f aca="false">IF(P1068&lt;10,"a) &lt;10",IF(P1068&lt;20,"b) 10-20",IF(P1068&lt;40,"c) 20-40",IF(P1068&lt;80,"d) 40-80","e) 80+"))))</f>
        <v>b) 10-20</v>
      </c>
      <c r="AD1068" s="31" t="n">
        <f aca="false">Summary!$C$5+SUM(X$2:X1068)</f>
        <v>22869.72</v>
      </c>
      <c r="AE1068" s="31" t="n">
        <f aca="false">MAX(AE1067,AD1068)</f>
        <v>23611.84</v>
      </c>
      <c r="AF1068" s="31" t="n">
        <f aca="false">AE1068-AD1068</f>
        <v>742.119999999999</v>
      </c>
      <c r="AG1068" s="30" t="n">
        <f aca="false">IFERROR(AF1068/AE1068,0)</f>
        <v>0.0314299944434656</v>
      </c>
    </row>
    <row r="1069" customFormat="false" ht="15" hidden="false" customHeight="false" outlineLevel="0" collapsed="false">
      <c r="A1069" s="29" t="n">
        <v>1068</v>
      </c>
      <c r="B1069" s="44" t="n">
        <v>46176.5194444444</v>
      </c>
      <c r="C1069" s="44" t="n">
        <v>46176.5254513889</v>
      </c>
      <c r="D1069" s="43" t="n">
        <f aca="false">INT(C1069)</f>
        <v>46176</v>
      </c>
      <c r="E1069" s="43" t="n">
        <f aca="false">D1069-WEEKDAY(D1069,3)</f>
        <v>46174</v>
      </c>
      <c r="F1069" s="29" t="s">
        <v>194</v>
      </c>
      <c r="G1069" s="29" t="n">
        <v>2026</v>
      </c>
      <c r="H1069" s="29" t="s">
        <v>252</v>
      </c>
      <c r="I1069" s="29" t="n">
        <v>12</v>
      </c>
      <c r="J1069" s="29" t="s">
        <v>246</v>
      </c>
      <c r="K1069" s="29" t="s">
        <v>247</v>
      </c>
      <c r="L1069" s="29" t="n">
        <v>0.03</v>
      </c>
      <c r="M1069" s="32" t="n">
        <v>30716.12</v>
      </c>
      <c r="N1069" s="32" t="n">
        <v>30706.24</v>
      </c>
      <c r="O1069" s="32" t="n">
        <v>30741.13</v>
      </c>
      <c r="P1069" s="45" t="n">
        <f aca="false">ABS(M1069-N1069)</f>
        <v>9.87999999999738</v>
      </c>
      <c r="Q1069" s="45" t="n">
        <f aca="false">IF(O1069="","",ABS(O1069-M1069))</f>
        <v>25.010000000002</v>
      </c>
      <c r="R1069" s="31" t="n">
        <f aca="false">P1069*L1069*Summary!$C$6</f>
        <v>29.6399999999921</v>
      </c>
      <c r="S1069" s="32" t="n">
        <v>30706.13</v>
      </c>
      <c r="T1069" s="29" t="s">
        <v>249</v>
      </c>
      <c r="U1069" s="45" t="n">
        <f aca="false">IF(J1069="BUY",S1069-M1069,M1069-S1069)</f>
        <v>-9.98999999999796</v>
      </c>
      <c r="V1069" s="46" t="n">
        <v>0</v>
      </c>
      <c r="W1069" s="46" t="n">
        <v>0</v>
      </c>
      <c r="X1069" s="46" t="n">
        <v>-29.97</v>
      </c>
      <c r="Y1069" s="33" t="n">
        <f aca="false">IFERROR(X1069/R1069,0)</f>
        <v>-1.01113360323913</v>
      </c>
      <c r="Z1069" s="29" t="str">
        <f aca="false">IF(X1069&gt;0,"Win",IF(X1069&lt;0,"Loss","Flat"))</f>
        <v>Loss</v>
      </c>
      <c r="AA1069" s="29" t="n">
        <f aca="false">ROUND((C1069-B1069)*1440,1)</f>
        <v>8.7</v>
      </c>
      <c r="AB1069" s="29" t="str">
        <f aca="false">IF(AA1069&lt;1,"a) &lt;1 min",IF(AA1069&lt;10,"b) 1-10 min",IF(AA1069&lt;60,"c) 10-60 min",IF(AA1069&lt;240,"d) 1-4 h","e) 4 h+"))))</f>
        <v>b) 1-10 min</v>
      </c>
      <c r="AC1069" s="29" t="str">
        <f aca="false">IF(P1069&lt;10,"a) &lt;10",IF(P1069&lt;20,"b) 10-20",IF(P1069&lt;40,"c) 20-40",IF(P1069&lt;80,"d) 40-80","e) 80+"))))</f>
        <v>a) &lt;10</v>
      </c>
      <c r="AD1069" s="31" t="n">
        <f aca="false">Summary!$C$5+SUM(X$2:X1069)</f>
        <v>22839.75</v>
      </c>
      <c r="AE1069" s="31" t="n">
        <f aca="false">MAX(AE1068,AD1069)</f>
        <v>23611.84</v>
      </c>
      <c r="AF1069" s="31" t="n">
        <f aca="false">AE1069-AD1069</f>
        <v>772.09</v>
      </c>
      <c r="AG1069" s="30" t="n">
        <f aca="false">IFERROR(AF1069/AE1069,0)</f>
        <v>0.0326992729071517</v>
      </c>
    </row>
    <row r="1070" customFormat="false" ht="15" hidden="false" customHeight="false" outlineLevel="0" collapsed="false">
      <c r="A1070" s="29" t="n">
        <v>1069</v>
      </c>
      <c r="B1070" s="44" t="n">
        <v>46177.0423611111</v>
      </c>
      <c r="C1070" s="44" t="n">
        <v>46177.1469212963</v>
      </c>
      <c r="D1070" s="43" t="n">
        <f aca="false">INT(C1070)</f>
        <v>46177</v>
      </c>
      <c r="E1070" s="43" t="n">
        <f aca="false">D1070-WEEKDAY(D1070,3)</f>
        <v>46174</v>
      </c>
      <c r="F1070" s="29" t="s">
        <v>194</v>
      </c>
      <c r="G1070" s="29" t="n">
        <v>2026</v>
      </c>
      <c r="H1070" s="29" t="s">
        <v>253</v>
      </c>
      <c r="I1070" s="29" t="n">
        <v>1</v>
      </c>
      <c r="J1070" s="29" t="s">
        <v>250</v>
      </c>
      <c r="K1070" s="29" t="s">
        <v>251</v>
      </c>
      <c r="L1070" s="29" t="n">
        <v>0.03</v>
      </c>
      <c r="M1070" s="32" t="n">
        <v>30416.4</v>
      </c>
      <c r="N1070" s="32" t="n">
        <v>30459.53</v>
      </c>
      <c r="O1070" s="32" t="n">
        <v>30311.96</v>
      </c>
      <c r="P1070" s="45" t="n">
        <f aca="false">ABS(M1070-N1070)</f>
        <v>43.1299999999974</v>
      </c>
      <c r="Q1070" s="45" t="n">
        <f aca="false">IF(O1070="","",ABS(O1070-M1070))</f>
        <v>104.440000000002</v>
      </c>
      <c r="R1070" s="31" t="n">
        <f aca="false">P1070*L1070*Summary!$C$6</f>
        <v>129.389999999992</v>
      </c>
      <c r="S1070" s="32" t="n">
        <v>30416.65</v>
      </c>
      <c r="T1070" s="29" t="s">
        <v>255</v>
      </c>
      <c r="U1070" s="45" t="n">
        <f aca="false">IF(J1070="BUY",S1070-M1070,M1070-S1070)</f>
        <v>-0.25</v>
      </c>
      <c r="V1070" s="46" t="n">
        <v>0</v>
      </c>
      <c r="W1070" s="46" t="n">
        <v>0</v>
      </c>
      <c r="X1070" s="46" t="n">
        <v>-0.75</v>
      </c>
      <c r="Y1070" s="33" t="n">
        <f aca="false">IFERROR(X1070/R1070,0)</f>
        <v>-0.00579642939949027</v>
      </c>
      <c r="Z1070" s="29" t="str">
        <f aca="false">IF(X1070&gt;0,"Win",IF(X1070&lt;0,"Loss","Flat"))</f>
        <v>Loss</v>
      </c>
      <c r="AA1070" s="29" t="n">
        <f aca="false">ROUND((C1070-B1070)*1440,1)</f>
        <v>150.6</v>
      </c>
      <c r="AB1070" s="29" t="str">
        <f aca="false">IF(AA1070&lt;1,"a) &lt;1 min",IF(AA1070&lt;10,"b) 1-10 min",IF(AA1070&lt;60,"c) 10-60 min",IF(AA1070&lt;240,"d) 1-4 h","e) 4 h+"))))</f>
        <v>d) 1-4 h</v>
      </c>
      <c r="AC1070" s="29" t="str">
        <f aca="false">IF(P1070&lt;10,"a) &lt;10",IF(P1070&lt;20,"b) 10-20",IF(P1070&lt;40,"c) 20-40",IF(P1070&lt;80,"d) 40-80","e) 80+"))))</f>
        <v>d) 40-80</v>
      </c>
      <c r="AD1070" s="31" t="n">
        <f aca="false">Summary!$C$5+SUM(X$2:X1070)</f>
        <v>22839</v>
      </c>
      <c r="AE1070" s="31" t="n">
        <f aca="false">MAX(AE1069,AD1070)</f>
        <v>23611.84</v>
      </c>
      <c r="AF1070" s="31" t="n">
        <f aca="false">AE1070-AD1070</f>
        <v>772.84</v>
      </c>
      <c r="AG1070" s="30" t="n">
        <f aca="false">IFERROR(AF1070/AE1070,0)</f>
        <v>0.0327310366324691</v>
      </c>
    </row>
    <row r="1071" customFormat="false" ht="15" hidden="false" customHeight="false" outlineLevel="0" collapsed="false">
      <c r="A1071" s="29" t="n">
        <v>1070</v>
      </c>
      <c r="B1071" s="44" t="n">
        <v>46178.1611111111</v>
      </c>
      <c r="C1071" s="44" t="n">
        <v>46178.1716550926</v>
      </c>
      <c r="D1071" s="43" t="n">
        <f aca="false">INT(C1071)</f>
        <v>46178</v>
      </c>
      <c r="E1071" s="43" t="n">
        <f aca="false">D1071-WEEKDAY(D1071,3)</f>
        <v>46174</v>
      </c>
      <c r="F1071" s="29" t="s">
        <v>194</v>
      </c>
      <c r="G1071" s="29" t="n">
        <v>2026</v>
      </c>
      <c r="H1071" s="29" t="s">
        <v>254</v>
      </c>
      <c r="I1071" s="29" t="n">
        <v>3</v>
      </c>
      <c r="J1071" s="29" t="s">
        <v>250</v>
      </c>
      <c r="K1071" s="29" t="s">
        <v>251</v>
      </c>
      <c r="L1071" s="29" t="n">
        <v>0.03</v>
      </c>
      <c r="M1071" s="32" t="n">
        <v>30089.41</v>
      </c>
      <c r="N1071" s="32" t="n">
        <v>30104.14</v>
      </c>
      <c r="O1071" s="32" t="n">
        <v>30055.01</v>
      </c>
      <c r="P1071" s="45" t="n">
        <f aca="false">ABS(M1071-N1071)</f>
        <v>14.7299999999996</v>
      </c>
      <c r="Q1071" s="45" t="n">
        <f aca="false">IF(O1071="","",ABS(O1071-M1071))</f>
        <v>34.4000000000015</v>
      </c>
      <c r="R1071" s="31" t="n">
        <f aca="false">P1071*L1071*Summary!$C$6</f>
        <v>44.1899999999987</v>
      </c>
      <c r="S1071" s="32" t="n">
        <v>30090.15</v>
      </c>
      <c r="T1071" s="29" t="s">
        <v>255</v>
      </c>
      <c r="U1071" s="45" t="n">
        <f aca="false">IF(J1071="BUY",S1071-M1071,M1071-S1071)</f>
        <v>-0.740000000001601</v>
      </c>
      <c r="V1071" s="46" t="n">
        <v>0</v>
      </c>
      <c r="W1071" s="46" t="n">
        <v>0</v>
      </c>
      <c r="X1071" s="46" t="n">
        <v>-2.22</v>
      </c>
      <c r="Y1071" s="33" t="n">
        <f aca="false">IFERROR(X1071/R1071,0)</f>
        <v>-0.0502376103190782</v>
      </c>
      <c r="Z1071" s="29" t="str">
        <f aca="false">IF(X1071&gt;0,"Win",IF(X1071&lt;0,"Loss","Flat"))</f>
        <v>Loss</v>
      </c>
      <c r="AA1071" s="29" t="n">
        <f aca="false">ROUND((C1071-B1071)*1440,1)</f>
        <v>15.2</v>
      </c>
      <c r="AB1071" s="29" t="str">
        <f aca="false">IF(AA1071&lt;1,"a) &lt;1 min",IF(AA1071&lt;10,"b) 1-10 min",IF(AA1071&lt;60,"c) 10-60 min",IF(AA1071&lt;240,"d) 1-4 h","e) 4 h+"))))</f>
        <v>c) 10-60 min</v>
      </c>
      <c r="AC1071" s="29" t="str">
        <f aca="false">IF(P1071&lt;10,"a) &lt;10",IF(P1071&lt;20,"b) 10-20",IF(P1071&lt;40,"c) 20-40",IF(P1071&lt;80,"d) 40-80","e) 80+"))))</f>
        <v>b) 10-20</v>
      </c>
      <c r="AD1071" s="31" t="n">
        <f aca="false">Summary!$C$5+SUM(X$2:X1071)</f>
        <v>22836.78</v>
      </c>
      <c r="AE1071" s="31" t="n">
        <f aca="false">MAX(AE1070,AD1071)</f>
        <v>23611.84</v>
      </c>
      <c r="AF1071" s="31" t="n">
        <f aca="false">AE1071-AD1071</f>
        <v>775.060000000001</v>
      </c>
      <c r="AG1071" s="30" t="n">
        <f aca="false">IFERROR(AF1071/AE1071,0)</f>
        <v>0.0328250572594089</v>
      </c>
    </row>
    <row r="1072" customFormat="false" ht="15" hidden="false" customHeight="false" outlineLevel="0" collapsed="false">
      <c r="A1072" s="29" t="n">
        <v>1071</v>
      </c>
      <c r="B1072" s="44" t="n">
        <v>46182.6708333333</v>
      </c>
      <c r="C1072" s="44" t="n">
        <v>46182.6720949074</v>
      </c>
      <c r="D1072" s="43" t="n">
        <f aca="false">INT(C1072)</f>
        <v>46182</v>
      </c>
      <c r="E1072" s="43" t="n">
        <f aca="false">D1072-WEEKDAY(D1072,3)</f>
        <v>46181</v>
      </c>
      <c r="F1072" s="29" t="s">
        <v>194</v>
      </c>
      <c r="G1072" s="29" t="n">
        <v>2026</v>
      </c>
      <c r="H1072" s="29" t="s">
        <v>248</v>
      </c>
      <c r="I1072" s="29" t="n">
        <v>16</v>
      </c>
      <c r="J1072" s="29" t="s">
        <v>246</v>
      </c>
      <c r="K1072" s="29" t="s">
        <v>247</v>
      </c>
      <c r="L1072" s="29" t="n">
        <v>0.03</v>
      </c>
      <c r="M1072" s="32" t="n">
        <v>29703.01</v>
      </c>
      <c r="N1072" s="32" t="n">
        <v>29687.39</v>
      </c>
      <c r="O1072" s="32" t="n">
        <v>29741.29</v>
      </c>
      <c r="P1072" s="45" t="n">
        <f aca="false">ABS(M1072-N1072)</f>
        <v>15.619999999999</v>
      </c>
      <c r="Q1072" s="45" t="n">
        <f aca="false">IF(O1072="","",ABS(O1072-M1072))</f>
        <v>38.2800000000025</v>
      </c>
      <c r="R1072" s="31" t="n">
        <f aca="false">P1072*L1072*Summary!$C$6</f>
        <v>46.8599999999969</v>
      </c>
      <c r="S1072" s="32" t="n">
        <v>29687.08</v>
      </c>
      <c r="T1072" s="29" t="s">
        <v>249</v>
      </c>
      <c r="U1072" s="45" t="n">
        <f aca="false">IF(J1072="BUY",S1072-M1072,M1072-S1072)</f>
        <v>-15.9299999999967</v>
      </c>
      <c r="V1072" s="46" t="n">
        <v>0</v>
      </c>
      <c r="W1072" s="46" t="n">
        <v>0</v>
      </c>
      <c r="X1072" s="46" t="n">
        <v>-47.79</v>
      </c>
      <c r="Y1072" s="33" t="n">
        <f aca="false">IFERROR(X1072/R1072,0)</f>
        <v>-1.01984635083233</v>
      </c>
      <c r="Z1072" s="29" t="str">
        <f aca="false">IF(X1072&gt;0,"Win",IF(X1072&lt;0,"Loss","Flat"))</f>
        <v>Loss</v>
      </c>
      <c r="AA1072" s="29" t="n">
        <f aca="false">ROUND((C1072-B1072)*1440,1)</f>
        <v>1.8</v>
      </c>
      <c r="AB1072" s="29" t="str">
        <f aca="false">IF(AA1072&lt;1,"a) &lt;1 min",IF(AA1072&lt;10,"b) 1-10 min",IF(AA1072&lt;60,"c) 10-60 min",IF(AA1072&lt;240,"d) 1-4 h","e) 4 h+"))))</f>
        <v>b) 1-10 min</v>
      </c>
      <c r="AC1072" s="29" t="str">
        <f aca="false">IF(P1072&lt;10,"a) &lt;10",IF(P1072&lt;20,"b) 10-20",IF(P1072&lt;40,"c) 20-40",IF(P1072&lt;80,"d) 40-80","e) 80+"))))</f>
        <v>b) 10-20</v>
      </c>
      <c r="AD1072" s="31" t="n">
        <f aca="false">Summary!$C$5+SUM(X$2:X1072)</f>
        <v>22788.99</v>
      </c>
      <c r="AE1072" s="31" t="n">
        <f aca="false">MAX(AE1071,AD1072)</f>
        <v>23611.84</v>
      </c>
      <c r="AF1072" s="31" t="n">
        <f aca="false">AE1072-AD1072</f>
        <v>822.850000000002</v>
      </c>
      <c r="AG1072" s="30" t="n">
        <f aca="false">IFERROR(AF1072/AE1072,0)</f>
        <v>0.034849041836638</v>
      </c>
    </row>
    <row r="1073" customFormat="false" ht="15" hidden="false" customHeight="false" outlineLevel="0" collapsed="false">
      <c r="A1073" s="29" t="n">
        <v>1072</v>
      </c>
      <c r="B1073" s="44" t="n">
        <v>46182.7770833333</v>
      </c>
      <c r="C1073" s="44" t="n">
        <v>46182.7773611111</v>
      </c>
      <c r="D1073" s="43" t="n">
        <f aca="false">INT(C1073)</f>
        <v>46182</v>
      </c>
      <c r="E1073" s="43" t="n">
        <f aca="false">D1073-WEEKDAY(D1073,3)</f>
        <v>46181</v>
      </c>
      <c r="F1073" s="29" t="s">
        <v>194</v>
      </c>
      <c r="G1073" s="29" t="n">
        <v>2026</v>
      </c>
      <c r="H1073" s="29" t="s">
        <v>248</v>
      </c>
      <c r="I1073" s="29" t="n">
        <v>18</v>
      </c>
      <c r="J1073" s="29" t="s">
        <v>250</v>
      </c>
      <c r="K1073" s="29" t="s">
        <v>251</v>
      </c>
      <c r="L1073" s="29" t="n">
        <v>0.03</v>
      </c>
      <c r="M1073" s="32" t="n">
        <v>28777.73</v>
      </c>
      <c r="N1073" s="32" t="n">
        <v>28823.75</v>
      </c>
      <c r="O1073" s="32" t="n">
        <v>28669.53</v>
      </c>
      <c r="P1073" s="45" t="n">
        <f aca="false">ABS(M1073-N1073)</f>
        <v>46.0200000000004</v>
      </c>
      <c r="Q1073" s="45" t="n">
        <f aca="false">IF(O1073="","",ABS(O1073-M1073))</f>
        <v>108.200000000001</v>
      </c>
      <c r="R1073" s="31" t="n">
        <f aca="false">P1073*L1073*Summary!$C$6</f>
        <v>138.060000000001</v>
      </c>
      <c r="S1073" s="32" t="n">
        <v>28823.99</v>
      </c>
      <c r="T1073" s="29" t="s">
        <v>249</v>
      </c>
      <c r="U1073" s="45" t="n">
        <f aca="false">IF(J1073="BUY",S1073-M1073,M1073-S1073)</f>
        <v>-46.260000000002</v>
      </c>
      <c r="V1073" s="46" t="n">
        <v>0</v>
      </c>
      <c r="W1073" s="46" t="n">
        <v>0</v>
      </c>
      <c r="X1073" s="46" t="n">
        <v>-138.78</v>
      </c>
      <c r="Y1073" s="33" t="n">
        <f aca="false">IFERROR(X1073/R1073,0)</f>
        <v>-1.00521512385918</v>
      </c>
      <c r="Z1073" s="29" t="str">
        <f aca="false">IF(X1073&gt;0,"Win",IF(X1073&lt;0,"Loss","Flat"))</f>
        <v>Loss</v>
      </c>
      <c r="AA1073" s="29" t="n">
        <f aca="false">ROUND((C1073-B1073)*1440,1)</f>
        <v>0.4</v>
      </c>
      <c r="AB1073" s="29" t="str">
        <f aca="false">IF(AA1073&lt;1,"a) &lt;1 min",IF(AA1073&lt;10,"b) 1-10 min",IF(AA1073&lt;60,"c) 10-60 min",IF(AA1073&lt;240,"d) 1-4 h","e) 4 h+"))))</f>
        <v>a) &lt;1 min</v>
      </c>
      <c r="AC1073" s="29" t="str">
        <f aca="false">IF(P1073&lt;10,"a) &lt;10",IF(P1073&lt;20,"b) 10-20",IF(P1073&lt;40,"c) 20-40",IF(P1073&lt;80,"d) 40-80","e) 80+"))))</f>
        <v>d) 40-80</v>
      </c>
      <c r="AD1073" s="31" t="n">
        <f aca="false">Summary!$C$5+SUM(X$2:X1073)</f>
        <v>22650.21</v>
      </c>
      <c r="AE1073" s="31" t="n">
        <f aca="false">MAX(AE1072,AD1073)</f>
        <v>23611.84</v>
      </c>
      <c r="AF1073" s="31" t="n">
        <f aca="false">AE1073-AD1073</f>
        <v>961.630000000001</v>
      </c>
      <c r="AG1073" s="30" t="n">
        <f aca="false">IFERROR(AF1073/AE1073,0)</f>
        <v>0.0407266015693822</v>
      </c>
    </row>
    <row r="1074" customFormat="false" ht="15" hidden="false" customHeight="false" outlineLevel="0" collapsed="false">
      <c r="A1074" s="29" t="n">
        <v>1073</v>
      </c>
      <c r="B1074" s="44" t="n">
        <v>46184.0430555556</v>
      </c>
      <c r="C1074" s="44" t="n">
        <v>46184.0524884259</v>
      </c>
      <c r="D1074" s="43" t="n">
        <f aca="false">INT(C1074)</f>
        <v>46184</v>
      </c>
      <c r="E1074" s="43" t="n">
        <f aca="false">D1074-WEEKDAY(D1074,3)</f>
        <v>46181</v>
      </c>
      <c r="F1074" s="29" t="s">
        <v>194</v>
      </c>
      <c r="G1074" s="29" t="n">
        <v>2026</v>
      </c>
      <c r="H1074" s="29" t="s">
        <v>253</v>
      </c>
      <c r="I1074" s="29" t="n">
        <v>1</v>
      </c>
      <c r="J1074" s="29" t="s">
        <v>250</v>
      </c>
      <c r="K1074" s="29" t="s">
        <v>251</v>
      </c>
      <c r="L1074" s="29" t="n">
        <v>0.03</v>
      </c>
      <c r="M1074" s="32" t="n">
        <v>28374.9</v>
      </c>
      <c r="N1074" s="32" t="n">
        <v>28411.8</v>
      </c>
      <c r="O1074" s="32" t="n">
        <v>28278.19</v>
      </c>
      <c r="P1074" s="45" t="n">
        <f aca="false">ABS(M1074-N1074)</f>
        <v>36.8999999999978</v>
      </c>
      <c r="Q1074" s="45" t="n">
        <f aca="false">IF(O1074="","",ABS(O1074-M1074))</f>
        <v>96.7100000000028</v>
      </c>
      <c r="R1074" s="31" t="n">
        <f aca="false">P1074*L1074*Summary!$C$6</f>
        <v>110.699999999993</v>
      </c>
      <c r="S1074" s="32" t="n">
        <v>28376.32</v>
      </c>
      <c r="T1074" s="29" t="s">
        <v>255</v>
      </c>
      <c r="U1074" s="45" t="n">
        <f aca="false">IF(J1074="BUY",S1074-M1074,M1074-S1074)</f>
        <v>-1.41999999999825</v>
      </c>
      <c r="V1074" s="46" t="n">
        <v>0</v>
      </c>
      <c r="W1074" s="46" t="n">
        <v>0</v>
      </c>
      <c r="X1074" s="46" t="n">
        <v>-4.26</v>
      </c>
      <c r="Y1074" s="33" t="n">
        <f aca="false">IFERROR(X1074/R1074,0)</f>
        <v>-0.0384823848238505</v>
      </c>
      <c r="Z1074" s="29" t="str">
        <f aca="false">IF(X1074&gt;0,"Win",IF(X1074&lt;0,"Loss","Flat"))</f>
        <v>Loss</v>
      </c>
      <c r="AA1074" s="29" t="n">
        <f aca="false">ROUND((C1074-B1074)*1440,1)</f>
        <v>13.6</v>
      </c>
      <c r="AB1074" s="29" t="str">
        <f aca="false">IF(AA1074&lt;1,"a) &lt;1 min",IF(AA1074&lt;10,"b) 1-10 min",IF(AA1074&lt;60,"c) 10-60 min",IF(AA1074&lt;240,"d) 1-4 h","e) 4 h+"))))</f>
        <v>c) 10-60 min</v>
      </c>
      <c r="AC1074" s="29" t="str">
        <f aca="false">IF(P1074&lt;10,"a) &lt;10",IF(P1074&lt;20,"b) 10-20",IF(P1074&lt;40,"c) 20-40",IF(P1074&lt;80,"d) 40-80","e) 80+"))))</f>
        <v>c) 20-40</v>
      </c>
      <c r="AD1074" s="31" t="n">
        <f aca="false">Summary!$C$5+SUM(X$2:X1074)</f>
        <v>22645.95</v>
      </c>
      <c r="AE1074" s="31" t="n">
        <f aca="false">MAX(AE1073,AD1074)</f>
        <v>23611.84</v>
      </c>
      <c r="AF1074" s="31" t="n">
        <f aca="false">AE1074-AD1074</f>
        <v>965.889999999999</v>
      </c>
      <c r="AG1074" s="30" t="n">
        <f aca="false">IFERROR(AF1074/AE1074,0)</f>
        <v>0.0409070195291853</v>
      </c>
    </row>
    <row r="1075" customFormat="false" ht="15" hidden="false" customHeight="false" outlineLevel="0" collapsed="false">
      <c r="A1075" s="29" t="n">
        <v>1074</v>
      </c>
      <c r="B1075" s="44" t="n">
        <v>46184.8638888889</v>
      </c>
      <c r="C1075" s="44" t="n">
        <v>46184.8657175926</v>
      </c>
      <c r="D1075" s="43" t="n">
        <f aca="false">INT(C1075)</f>
        <v>46184</v>
      </c>
      <c r="E1075" s="43" t="n">
        <f aca="false">D1075-WEEKDAY(D1075,3)</f>
        <v>46181</v>
      </c>
      <c r="F1075" s="29" t="s">
        <v>194</v>
      </c>
      <c r="G1075" s="29" t="n">
        <v>2026</v>
      </c>
      <c r="H1075" s="29" t="s">
        <v>253</v>
      </c>
      <c r="I1075" s="29" t="n">
        <v>20</v>
      </c>
      <c r="J1075" s="29" t="s">
        <v>246</v>
      </c>
      <c r="K1075" s="29" t="s">
        <v>247</v>
      </c>
      <c r="L1075" s="29" t="n">
        <v>0.03</v>
      </c>
      <c r="M1075" s="32" t="n">
        <v>29230.37</v>
      </c>
      <c r="N1075" s="32" t="n">
        <v>29187.03</v>
      </c>
      <c r="O1075" s="32" t="n">
        <v>29336.55</v>
      </c>
      <c r="P1075" s="45" t="n">
        <f aca="false">ABS(M1075-N1075)</f>
        <v>43.3400000000001</v>
      </c>
      <c r="Q1075" s="45" t="n">
        <f aca="false">IF(O1075="","",ABS(O1075-M1075))</f>
        <v>106.18</v>
      </c>
      <c r="R1075" s="31" t="n">
        <f aca="false">P1075*L1075*Summary!$C$6</f>
        <v>130.02</v>
      </c>
      <c r="S1075" s="32" t="n">
        <v>29180.78</v>
      </c>
      <c r="T1075" s="29" t="s">
        <v>249</v>
      </c>
      <c r="U1075" s="45" t="n">
        <f aca="false">IF(J1075="BUY",S1075-M1075,M1075-S1075)</f>
        <v>-49.5900000000001</v>
      </c>
      <c r="V1075" s="46" t="n">
        <v>0</v>
      </c>
      <c r="W1075" s="46" t="n">
        <v>0</v>
      </c>
      <c r="X1075" s="46" t="n">
        <v>-148.77</v>
      </c>
      <c r="Y1075" s="33" t="n">
        <f aca="false">IFERROR(X1075/R1075,0)</f>
        <v>-1.14420858329487</v>
      </c>
      <c r="Z1075" s="29" t="str">
        <f aca="false">IF(X1075&gt;0,"Win",IF(X1075&lt;0,"Loss","Flat"))</f>
        <v>Loss</v>
      </c>
      <c r="AA1075" s="29" t="n">
        <f aca="false">ROUND((C1075-B1075)*1440,1)</f>
        <v>2.6</v>
      </c>
      <c r="AB1075" s="29" t="str">
        <f aca="false">IF(AA1075&lt;1,"a) &lt;1 min",IF(AA1075&lt;10,"b) 1-10 min",IF(AA1075&lt;60,"c) 10-60 min",IF(AA1075&lt;240,"d) 1-4 h","e) 4 h+"))))</f>
        <v>b) 1-10 min</v>
      </c>
      <c r="AC1075" s="29" t="str">
        <f aca="false">IF(P1075&lt;10,"a) &lt;10",IF(P1075&lt;20,"b) 10-20",IF(P1075&lt;40,"c) 20-40",IF(P1075&lt;80,"d) 40-80","e) 80+"))))</f>
        <v>d) 40-80</v>
      </c>
      <c r="AD1075" s="31" t="n">
        <f aca="false">Summary!$C$5+SUM(X$2:X1075)</f>
        <v>22497.18</v>
      </c>
      <c r="AE1075" s="31" t="n">
        <f aca="false">MAX(AE1074,AD1075)</f>
        <v>23611.84</v>
      </c>
      <c r="AF1075" s="31" t="n">
        <f aca="false">AE1075-AD1075</f>
        <v>1114.66</v>
      </c>
      <c r="AG1075" s="30" t="n">
        <f aca="false">IFERROR(AF1075/AE1075,0)</f>
        <v>0.0472076720831583</v>
      </c>
    </row>
    <row r="1076" customFormat="false" ht="15" hidden="false" customHeight="false" outlineLevel="0" collapsed="false">
      <c r="A1076" s="29" t="n">
        <v>1075</v>
      </c>
      <c r="B1076" s="44" t="n">
        <v>46185.0534722222</v>
      </c>
      <c r="C1076" s="44" t="n">
        <v>46185.0536226852</v>
      </c>
      <c r="D1076" s="43" t="n">
        <f aca="false">INT(C1076)</f>
        <v>46185</v>
      </c>
      <c r="E1076" s="43" t="n">
        <f aca="false">D1076-WEEKDAY(D1076,3)</f>
        <v>46181</v>
      </c>
      <c r="F1076" s="29" t="s">
        <v>194</v>
      </c>
      <c r="G1076" s="29" t="n">
        <v>2026</v>
      </c>
      <c r="H1076" s="29" t="s">
        <v>254</v>
      </c>
      <c r="I1076" s="29" t="n">
        <v>1</v>
      </c>
      <c r="J1076" s="29" t="s">
        <v>246</v>
      </c>
      <c r="K1076" s="29" t="s">
        <v>247</v>
      </c>
      <c r="L1076" s="29" t="n">
        <v>0.03</v>
      </c>
      <c r="M1076" s="32" t="n">
        <v>29508.42</v>
      </c>
      <c r="N1076" s="32" t="n">
        <v>29493.64</v>
      </c>
      <c r="O1076" s="32" t="n">
        <v>29544.64</v>
      </c>
      <c r="P1076" s="45" t="n">
        <f aca="false">ABS(M1076-N1076)</f>
        <v>14.7799999999988</v>
      </c>
      <c r="Q1076" s="45" t="n">
        <f aca="false">IF(O1076="","",ABS(O1076-M1076))</f>
        <v>36.2200000000012</v>
      </c>
      <c r="R1076" s="31" t="n">
        <f aca="false">P1076*L1076*Summary!$C$6</f>
        <v>44.3399999999965</v>
      </c>
      <c r="S1076" s="32" t="n">
        <v>29492.92</v>
      </c>
      <c r="T1076" s="29" t="s">
        <v>249</v>
      </c>
      <c r="U1076" s="45" t="n">
        <f aca="false">IF(J1076="BUY",S1076-M1076,M1076-S1076)</f>
        <v>-15.5</v>
      </c>
      <c r="V1076" s="46" t="n">
        <v>0</v>
      </c>
      <c r="W1076" s="46" t="n">
        <v>0</v>
      </c>
      <c r="X1076" s="46" t="n">
        <v>-46.5</v>
      </c>
      <c r="Y1076" s="33" t="n">
        <f aca="false">IFERROR(X1076/R1076,0)</f>
        <v>-1.04871447902579</v>
      </c>
      <c r="Z1076" s="29" t="str">
        <f aca="false">IF(X1076&gt;0,"Win",IF(X1076&lt;0,"Loss","Flat"))</f>
        <v>Loss</v>
      </c>
      <c r="AA1076" s="29" t="n">
        <f aca="false">ROUND((C1076-B1076)*1440,1)</f>
        <v>0.2</v>
      </c>
      <c r="AB1076" s="29" t="str">
        <f aca="false">IF(AA1076&lt;1,"a) &lt;1 min",IF(AA1076&lt;10,"b) 1-10 min",IF(AA1076&lt;60,"c) 10-60 min",IF(AA1076&lt;240,"d) 1-4 h","e) 4 h+"))))</f>
        <v>a) &lt;1 min</v>
      </c>
      <c r="AC1076" s="29" t="str">
        <f aca="false">IF(P1076&lt;10,"a) &lt;10",IF(P1076&lt;20,"b) 10-20",IF(P1076&lt;40,"c) 20-40",IF(P1076&lt;80,"d) 40-80","e) 80+"))))</f>
        <v>b) 10-20</v>
      </c>
      <c r="AD1076" s="31" t="n">
        <f aca="false">Summary!$C$5+SUM(X$2:X1076)</f>
        <v>22450.68</v>
      </c>
      <c r="AE1076" s="31" t="n">
        <f aca="false">MAX(AE1075,AD1076)</f>
        <v>23611.84</v>
      </c>
      <c r="AF1076" s="31" t="n">
        <f aca="false">AE1076-AD1076</f>
        <v>1161.16</v>
      </c>
      <c r="AG1076" s="30" t="n">
        <f aca="false">IFERROR(AF1076/AE1076,0)</f>
        <v>0.0491770230528413</v>
      </c>
    </row>
    <row r="1077" customFormat="false" ht="15" hidden="false" customHeight="false" outlineLevel="0" collapsed="false">
      <c r="A1077" s="29" t="n">
        <v>1076</v>
      </c>
      <c r="B1077" s="44" t="n">
        <v>46188.0423611111</v>
      </c>
      <c r="C1077" s="44" t="n">
        <v>46188.3151388889</v>
      </c>
      <c r="D1077" s="43" t="n">
        <f aca="false">INT(C1077)</f>
        <v>46188</v>
      </c>
      <c r="E1077" s="43" t="n">
        <f aca="false">D1077-WEEKDAY(D1077,3)</f>
        <v>46188</v>
      </c>
      <c r="F1077" s="29" t="s">
        <v>194</v>
      </c>
      <c r="G1077" s="29" t="n">
        <v>2026</v>
      </c>
      <c r="H1077" s="29" t="s">
        <v>245</v>
      </c>
      <c r="I1077" s="29" t="n">
        <v>1</v>
      </c>
      <c r="J1077" s="29" t="s">
        <v>246</v>
      </c>
      <c r="K1077" s="29" t="s">
        <v>247</v>
      </c>
      <c r="L1077" s="29" t="n">
        <v>0.03</v>
      </c>
      <c r="M1077" s="32" t="n">
        <v>30006.39</v>
      </c>
      <c r="N1077" s="32" t="n">
        <v>29929.61</v>
      </c>
      <c r="O1077" s="32" t="n">
        <v>30194.5</v>
      </c>
      <c r="P1077" s="45" t="n">
        <f aca="false">ABS(M1077-N1077)</f>
        <v>76.7799999999988</v>
      </c>
      <c r="Q1077" s="45" t="n">
        <f aca="false">IF(O1077="","",ABS(O1077-M1077))</f>
        <v>188.110000000001</v>
      </c>
      <c r="R1077" s="31" t="n">
        <f aca="false">P1077*L1077*Summary!$C$6</f>
        <v>230.339999999996</v>
      </c>
      <c r="S1077" s="32" t="n">
        <v>30194.69</v>
      </c>
      <c r="T1077" s="29" t="s">
        <v>227</v>
      </c>
      <c r="U1077" s="45" t="n">
        <f aca="false">IF(J1077="BUY",S1077-M1077,M1077-S1077)</f>
        <v>188.299999999999</v>
      </c>
      <c r="V1077" s="46" t="n">
        <v>0</v>
      </c>
      <c r="W1077" s="46" t="n">
        <v>0</v>
      </c>
      <c r="X1077" s="46" t="n">
        <v>564.9</v>
      </c>
      <c r="Y1077" s="33" t="n">
        <f aca="false">IFERROR(X1077/R1077,0)</f>
        <v>2.45246157853611</v>
      </c>
      <c r="Z1077" s="29" t="str">
        <f aca="false">IF(X1077&gt;0,"Win",IF(X1077&lt;0,"Loss","Flat"))</f>
        <v>Win</v>
      </c>
      <c r="AA1077" s="29" t="n">
        <f aca="false">ROUND((C1077-B1077)*1440,1)</f>
        <v>392.8</v>
      </c>
      <c r="AB1077" s="29" t="str">
        <f aca="false">IF(AA1077&lt;1,"a) &lt;1 min",IF(AA1077&lt;10,"b) 1-10 min",IF(AA1077&lt;60,"c) 10-60 min",IF(AA1077&lt;240,"d) 1-4 h","e) 4 h+"))))</f>
        <v>e) 4 h+</v>
      </c>
      <c r="AC1077" s="29" t="str">
        <f aca="false">IF(P1077&lt;10,"a) &lt;10",IF(P1077&lt;20,"b) 10-20",IF(P1077&lt;40,"c) 20-40",IF(P1077&lt;80,"d) 40-80","e) 80+"))))</f>
        <v>d) 40-80</v>
      </c>
      <c r="AD1077" s="31" t="n">
        <f aca="false">Summary!$C$5+SUM(X$2:X1077)</f>
        <v>23015.58</v>
      </c>
      <c r="AE1077" s="31" t="n">
        <f aca="false">MAX(AE1076,AD1077)</f>
        <v>23611.84</v>
      </c>
      <c r="AF1077" s="31" t="n">
        <f aca="false">AE1077-AD1077</f>
        <v>596.259999999998</v>
      </c>
      <c r="AG1077" s="30" t="n">
        <f aca="false">IFERROR(AF1077/AE1077,0)</f>
        <v>0.0252525851437244</v>
      </c>
    </row>
    <row r="1078" customFormat="false" ht="15" hidden="false" customHeight="false" outlineLevel="0" collapsed="false">
      <c r="A1078" s="29" t="n">
        <v>1077</v>
      </c>
      <c r="B1078" s="44" t="n">
        <v>46189.4951388889</v>
      </c>
      <c r="C1078" s="44" t="n">
        <v>46189.5002199074</v>
      </c>
      <c r="D1078" s="43" t="n">
        <f aca="false">INT(C1078)</f>
        <v>46189</v>
      </c>
      <c r="E1078" s="43" t="n">
        <f aca="false">D1078-WEEKDAY(D1078,3)</f>
        <v>46188</v>
      </c>
      <c r="F1078" s="29" t="s">
        <v>194</v>
      </c>
      <c r="G1078" s="29" t="n">
        <v>2026</v>
      </c>
      <c r="H1078" s="29" t="s">
        <v>248</v>
      </c>
      <c r="I1078" s="29" t="n">
        <v>11</v>
      </c>
      <c r="J1078" s="29" t="s">
        <v>246</v>
      </c>
      <c r="K1078" s="29" t="s">
        <v>247</v>
      </c>
      <c r="L1078" s="29" t="n">
        <v>0.03</v>
      </c>
      <c r="M1078" s="32" t="n">
        <v>30597.89</v>
      </c>
      <c r="N1078" s="32" t="n">
        <v>30582.62</v>
      </c>
      <c r="O1078" s="32" t="n">
        <v>30629.27</v>
      </c>
      <c r="P1078" s="45" t="n">
        <f aca="false">ABS(M1078-N1078)</f>
        <v>15.2700000000004</v>
      </c>
      <c r="Q1078" s="45" t="n">
        <f aca="false">IF(O1078="","",ABS(O1078-M1078))</f>
        <v>31.380000000001</v>
      </c>
      <c r="R1078" s="31" t="n">
        <f aca="false">P1078*L1078*Summary!$C$6</f>
        <v>45.8100000000013</v>
      </c>
      <c r="S1078" s="32" t="n">
        <v>30596.4</v>
      </c>
      <c r="T1078" s="29" t="s">
        <v>255</v>
      </c>
      <c r="U1078" s="45" t="n">
        <f aca="false">IF(J1078="BUY",S1078-M1078,M1078-S1078)</f>
        <v>-1.48999999999796</v>
      </c>
      <c r="V1078" s="46" t="n">
        <v>0</v>
      </c>
      <c r="W1078" s="46" t="n">
        <v>0</v>
      </c>
      <c r="X1078" s="46" t="n">
        <v>-4.47</v>
      </c>
      <c r="Y1078" s="33" t="n">
        <f aca="false">IFERROR(X1078/R1078,0)</f>
        <v>-0.0975769482645683</v>
      </c>
      <c r="Z1078" s="29" t="str">
        <f aca="false">IF(X1078&gt;0,"Win",IF(X1078&lt;0,"Loss","Flat"))</f>
        <v>Loss</v>
      </c>
      <c r="AA1078" s="29" t="n">
        <f aca="false">ROUND((C1078-B1078)*1440,1)</f>
        <v>7.3</v>
      </c>
      <c r="AB1078" s="29" t="str">
        <f aca="false">IF(AA1078&lt;1,"a) &lt;1 min",IF(AA1078&lt;10,"b) 1-10 min",IF(AA1078&lt;60,"c) 10-60 min",IF(AA1078&lt;240,"d) 1-4 h","e) 4 h+"))))</f>
        <v>b) 1-10 min</v>
      </c>
      <c r="AC1078" s="29" t="str">
        <f aca="false">IF(P1078&lt;10,"a) &lt;10",IF(P1078&lt;20,"b) 10-20",IF(P1078&lt;40,"c) 20-40",IF(P1078&lt;80,"d) 40-80","e) 80+"))))</f>
        <v>b) 10-20</v>
      </c>
      <c r="AD1078" s="31" t="n">
        <f aca="false">Summary!$C$5+SUM(X$2:X1078)</f>
        <v>23011.11</v>
      </c>
      <c r="AE1078" s="31" t="n">
        <f aca="false">MAX(AE1077,AD1078)</f>
        <v>23611.84</v>
      </c>
      <c r="AF1078" s="31" t="n">
        <f aca="false">AE1078-AD1078</f>
        <v>600.73</v>
      </c>
      <c r="AG1078" s="30" t="n">
        <f aca="false">IFERROR(AF1078/AE1078,0)</f>
        <v>0.0254418969466166</v>
      </c>
    </row>
    <row r="1079" customFormat="false" ht="15" hidden="false" customHeight="false" outlineLevel="0" collapsed="false">
      <c r="A1079" s="29" t="n">
        <v>1078</v>
      </c>
      <c r="B1079" s="44" t="n">
        <v>46190.8770833333</v>
      </c>
      <c r="C1079" s="44" t="n">
        <v>46190.8789699074</v>
      </c>
      <c r="D1079" s="43" t="n">
        <f aca="false">INT(C1079)</f>
        <v>46190</v>
      </c>
      <c r="E1079" s="43" t="n">
        <f aca="false">D1079-WEEKDAY(D1079,3)</f>
        <v>46188</v>
      </c>
      <c r="F1079" s="29" t="s">
        <v>194</v>
      </c>
      <c r="G1079" s="29" t="n">
        <v>2026</v>
      </c>
      <c r="H1079" s="29" t="s">
        <v>252</v>
      </c>
      <c r="I1079" s="29" t="n">
        <v>21</v>
      </c>
      <c r="J1079" s="29" t="s">
        <v>250</v>
      </c>
      <c r="K1079" s="29" t="s">
        <v>251</v>
      </c>
      <c r="L1079" s="29" t="n">
        <v>0.03</v>
      </c>
      <c r="M1079" s="32" t="n">
        <v>29927.59</v>
      </c>
      <c r="N1079" s="32" t="n">
        <v>29995.95</v>
      </c>
      <c r="O1079" s="32" t="n">
        <v>29761.72</v>
      </c>
      <c r="P1079" s="45" t="n">
        <f aca="false">ABS(M1079-N1079)</f>
        <v>68.3600000000006</v>
      </c>
      <c r="Q1079" s="45" t="n">
        <f aca="false">IF(O1079="","",ABS(O1079-M1079))</f>
        <v>165.869999999999</v>
      </c>
      <c r="R1079" s="31" t="n">
        <f aca="false">P1079*L1079*Summary!$C$6</f>
        <v>205.080000000002</v>
      </c>
      <c r="S1079" s="32" t="n">
        <v>29761.06</v>
      </c>
      <c r="T1079" s="29" t="s">
        <v>227</v>
      </c>
      <c r="U1079" s="45" t="n">
        <f aca="false">IF(J1079="BUY",S1079-M1079,M1079-S1079)</f>
        <v>166.529999999999</v>
      </c>
      <c r="V1079" s="46" t="n">
        <v>0</v>
      </c>
      <c r="W1079" s="46" t="n">
        <v>0</v>
      </c>
      <c r="X1079" s="46" t="n">
        <v>499.59</v>
      </c>
      <c r="Y1079" s="33" t="n">
        <f aca="false">IFERROR(X1079/R1079,0)</f>
        <v>2.4360737273259</v>
      </c>
      <c r="Z1079" s="29" t="str">
        <f aca="false">IF(X1079&gt;0,"Win",IF(X1079&lt;0,"Loss","Flat"))</f>
        <v>Win</v>
      </c>
      <c r="AA1079" s="29" t="n">
        <f aca="false">ROUND((C1079-B1079)*1440,1)</f>
        <v>2.7</v>
      </c>
      <c r="AB1079" s="29" t="str">
        <f aca="false">IF(AA1079&lt;1,"a) &lt;1 min",IF(AA1079&lt;10,"b) 1-10 min",IF(AA1079&lt;60,"c) 10-60 min",IF(AA1079&lt;240,"d) 1-4 h","e) 4 h+"))))</f>
        <v>b) 1-10 min</v>
      </c>
      <c r="AC1079" s="29" t="str">
        <f aca="false">IF(P1079&lt;10,"a) &lt;10",IF(P1079&lt;20,"b) 10-20",IF(P1079&lt;40,"c) 20-40",IF(P1079&lt;80,"d) 40-80","e) 80+"))))</f>
        <v>d) 40-80</v>
      </c>
      <c r="AD1079" s="31" t="n">
        <f aca="false">Summary!$C$5+SUM(X$2:X1079)</f>
        <v>23510.7</v>
      </c>
      <c r="AE1079" s="31" t="n">
        <f aca="false">MAX(AE1078,AD1079)</f>
        <v>23611.84</v>
      </c>
      <c r="AF1079" s="31" t="n">
        <f aca="false">AE1079-AD1079</f>
        <v>101.140000000003</v>
      </c>
      <c r="AG1079" s="30" t="n">
        <f aca="false">IFERROR(AF1079/AE1079,0)</f>
        <v>0.00428344423814506</v>
      </c>
    </row>
    <row r="1080" customFormat="false" ht="15" hidden="false" customHeight="false" outlineLevel="0" collapsed="false">
      <c r="A1080" s="29" t="n">
        <v>1079</v>
      </c>
      <c r="B1080" s="44" t="n">
        <v>46191.6847222222</v>
      </c>
      <c r="C1080" s="44" t="n">
        <v>46191.687662037</v>
      </c>
      <c r="D1080" s="43" t="n">
        <f aca="false">INT(C1080)</f>
        <v>46191</v>
      </c>
      <c r="E1080" s="43" t="n">
        <f aca="false">D1080-WEEKDAY(D1080,3)</f>
        <v>46188</v>
      </c>
      <c r="F1080" s="29" t="s">
        <v>194</v>
      </c>
      <c r="G1080" s="29" t="n">
        <v>2026</v>
      </c>
      <c r="H1080" s="29" t="s">
        <v>253</v>
      </c>
      <c r="I1080" s="29" t="n">
        <v>16</v>
      </c>
      <c r="J1080" s="29" t="s">
        <v>246</v>
      </c>
      <c r="K1080" s="29" t="s">
        <v>247</v>
      </c>
      <c r="L1080" s="29" t="n">
        <v>0.03</v>
      </c>
      <c r="M1080" s="32" t="n">
        <v>30267</v>
      </c>
      <c r="N1080" s="32" t="n">
        <v>30242.72</v>
      </c>
      <c r="O1080" s="32" t="n">
        <v>30316.49</v>
      </c>
      <c r="P1080" s="45" t="n">
        <f aca="false">ABS(M1080-N1080)</f>
        <v>24.2799999999988</v>
      </c>
      <c r="Q1080" s="45" t="n">
        <f aca="false">IF(O1080="","",ABS(O1080-M1080))</f>
        <v>49.4900000000016</v>
      </c>
      <c r="R1080" s="31" t="n">
        <f aca="false">P1080*L1080*Summary!$C$6</f>
        <v>72.8399999999965</v>
      </c>
      <c r="S1080" s="32" t="n">
        <v>30242.31</v>
      </c>
      <c r="T1080" s="29" t="s">
        <v>249</v>
      </c>
      <c r="U1080" s="45" t="n">
        <f aca="false">IF(J1080="BUY",S1080-M1080,M1080-S1080)</f>
        <v>-24.6899999999987</v>
      </c>
      <c r="V1080" s="46" t="n">
        <v>0</v>
      </c>
      <c r="W1080" s="46" t="n">
        <v>0</v>
      </c>
      <c r="X1080" s="46" t="n">
        <v>-74.07</v>
      </c>
      <c r="Y1080" s="33" t="n">
        <f aca="false">IFERROR(X1080/R1080,0)</f>
        <v>-1.01688632619445</v>
      </c>
      <c r="Z1080" s="29" t="str">
        <f aca="false">IF(X1080&gt;0,"Win",IF(X1080&lt;0,"Loss","Flat"))</f>
        <v>Loss</v>
      </c>
      <c r="AA1080" s="29" t="n">
        <f aca="false">ROUND((C1080-B1080)*1440,1)</f>
        <v>4.2</v>
      </c>
      <c r="AB1080" s="29" t="str">
        <f aca="false">IF(AA1080&lt;1,"a) &lt;1 min",IF(AA1080&lt;10,"b) 1-10 min",IF(AA1080&lt;60,"c) 10-60 min",IF(AA1080&lt;240,"d) 1-4 h","e) 4 h+"))))</f>
        <v>b) 1-10 min</v>
      </c>
      <c r="AC1080" s="29" t="str">
        <f aca="false">IF(P1080&lt;10,"a) &lt;10",IF(P1080&lt;20,"b) 10-20",IF(P1080&lt;40,"c) 20-40",IF(P1080&lt;80,"d) 40-80","e) 80+"))))</f>
        <v>c) 20-40</v>
      </c>
      <c r="AD1080" s="31" t="n">
        <f aca="false">Summary!$C$5+SUM(X$2:X1080)</f>
        <v>23436.63</v>
      </c>
      <c r="AE1080" s="31" t="n">
        <f aca="false">MAX(AE1079,AD1080)</f>
        <v>23611.84</v>
      </c>
      <c r="AF1080" s="31" t="n">
        <f aca="false">AE1080-AD1080</f>
        <v>175.210000000003</v>
      </c>
      <c r="AG1080" s="30" t="n">
        <f aca="false">IFERROR(AF1080/AE1080,0)</f>
        <v>0.00742042975049817</v>
      </c>
    </row>
    <row r="1081" customFormat="false" ht="15" hidden="false" customHeight="false" outlineLevel="0" collapsed="false">
      <c r="A1081" s="29" t="n">
        <v>1080</v>
      </c>
      <c r="B1081" s="44" t="n">
        <v>46195.1090277778</v>
      </c>
      <c r="C1081" s="44" t="n">
        <v>46195.1243402778</v>
      </c>
      <c r="D1081" s="43" t="n">
        <f aca="false">INT(C1081)</f>
        <v>46195</v>
      </c>
      <c r="E1081" s="43" t="n">
        <f aca="false">D1081-WEEKDAY(D1081,3)</f>
        <v>46195</v>
      </c>
      <c r="F1081" s="29" t="s">
        <v>194</v>
      </c>
      <c r="G1081" s="29" t="n">
        <v>2026</v>
      </c>
      <c r="H1081" s="29" t="s">
        <v>245</v>
      </c>
      <c r="I1081" s="29" t="n">
        <v>2</v>
      </c>
      <c r="J1081" s="29" t="s">
        <v>250</v>
      </c>
      <c r="K1081" s="29" t="s">
        <v>251</v>
      </c>
      <c r="L1081" s="29" t="n">
        <v>0.03</v>
      </c>
      <c r="M1081" s="32" t="n">
        <v>30067.42</v>
      </c>
      <c r="N1081" s="32" t="n">
        <v>30085.47</v>
      </c>
      <c r="O1081" s="32" t="n">
        <v>30023.19</v>
      </c>
      <c r="P1081" s="45" t="n">
        <f aca="false">ABS(M1081-N1081)</f>
        <v>18.0500000000029</v>
      </c>
      <c r="Q1081" s="45" t="n">
        <f aca="false">IF(O1081="","",ABS(O1081-M1081))</f>
        <v>44.2299999999996</v>
      </c>
      <c r="R1081" s="31" t="n">
        <f aca="false">P1081*L1081*Summary!$C$6</f>
        <v>54.1500000000087</v>
      </c>
      <c r="S1081" s="32" t="n">
        <v>30022.6</v>
      </c>
      <c r="T1081" s="29" t="s">
        <v>227</v>
      </c>
      <c r="U1081" s="45" t="n">
        <f aca="false">IF(J1081="BUY",S1081-M1081,M1081-S1081)</f>
        <v>44.8199999999997</v>
      </c>
      <c r="V1081" s="46" t="n">
        <v>0</v>
      </c>
      <c r="W1081" s="46" t="n">
        <v>0</v>
      </c>
      <c r="X1081" s="46" t="n">
        <v>134.46</v>
      </c>
      <c r="Y1081" s="33" t="n">
        <f aca="false">IFERROR(X1081/R1081,0)</f>
        <v>2.48310249307439</v>
      </c>
      <c r="Z1081" s="29" t="str">
        <f aca="false">IF(X1081&gt;0,"Win",IF(X1081&lt;0,"Loss","Flat"))</f>
        <v>Win</v>
      </c>
      <c r="AA1081" s="29" t="n">
        <f aca="false">ROUND((C1081-B1081)*1440,1)</f>
        <v>22.1</v>
      </c>
      <c r="AB1081" s="29" t="str">
        <f aca="false">IF(AA1081&lt;1,"a) &lt;1 min",IF(AA1081&lt;10,"b) 1-10 min",IF(AA1081&lt;60,"c) 10-60 min",IF(AA1081&lt;240,"d) 1-4 h","e) 4 h+"))))</f>
        <v>c) 10-60 min</v>
      </c>
      <c r="AC1081" s="29" t="str">
        <f aca="false">IF(P1081&lt;10,"a) &lt;10",IF(P1081&lt;20,"b) 10-20",IF(P1081&lt;40,"c) 20-40",IF(P1081&lt;80,"d) 40-80","e) 80+"))))</f>
        <v>b) 10-20</v>
      </c>
      <c r="AD1081" s="31" t="n">
        <f aca="false">Summary!$C$5+SUM(X$2:X1081)</f>
        <v>23571.09</v>
      </c>
      <c r="AE1081" s="31" t="n">
        <f aca="false">MAX(AE1080,AD1081)</f>
        <v>23611.84</v>
      </c>
      <c r="AF1081" s="31" t="n">
        <f aca="false">AE1081-AD1081</f>
        <v>40.75</v>
      </c>
      <c r="AG1081" s="30" t="n">
        <f aca="false">IFERROR(AF1081/AE1081,0)</f>
        <v>0.00172582907558242</v>
      </c>
    </row>
    <row r="1082" customFormat="false" ht="15" hidden="false" customHeight="false" outlineLevel="0" collapsed="false">
      <c r="A1082" s="29" t="n">
        <v>1081</v>
      </c>
      <c r="B1082" s="44" t="n">
        <v>46195.4201388889</v>
      </c>
      <c r="C1082" s="44" t="n">
        <v>46195.4217476852</v>
      </c>
      <c r="D1082" s="43" t="n">
        <f aca="false">INT(C1082)</f>
        <v>46195</v>
      </c>
      <c r="E1082" s="43" t="n">
        <f aca="false">D1082-WEEKDAY(D1082,3)</f>
        <v>46195</v>
      </c>
      <c r="F1082" s="29" t="s">
        <v>194</v>
      </c>
      <c r="G1082" s="29" t="n">
        <v>2026</v>
      </c>
      <c r="H1082" s="29" t="s">
        <v>245</v>
      </c>
      <c r="I1082" s="29" t="n">
        <v>10</v>
      </c>
      <c r="J1082" s="29" t="s">
        <v>246</v>
      </c>
      <c r="K1082" s="29" t="s">
        <v>247</v>
      </c>
      <c r="L1082" s="29" t="n">
        <v>0.03</v>
      </c>
      <c r="M1082" s="32" t="n">
        <v>30459.48</v>
      </c>
      <c r="N1082" s="32" t="n">
        <v>30447.49</v>
      </c>
      <c r="O1082" s="32" t="n">
        <v>30490.52</v>
      </c>
      <c r="P1082" s="45" t="n">
        <f aca="false">ABS(M1082-N1082)</f>
        <v>11.989999999998</v>
      </c>
      <c r="Q1082" s="45" t="n">
        <f aca="false">IF(O1082="","",ABS(O1082-M1082))</f>
        <v>31.0400000000009</v>
      </c>
      <c r="R1082" s="31" t="n">
        <f aca="false">P1082*L1082*Summary!$C$6</f>
        <v>35.9699999999939</v>
      </c>
      <c r="S1082" s="32" t="n">
        <v>30446.76</v>
      </c>
      <c r="T1082" s="29" t="s">
        <v>249</v>
      </c>
      <c r="U1082" s="45" t="n">
        <f aca="false">IF(J1082="BUY",S1082-M1082,M1082-S1082)</f>
        <v>-12.7200000000012</v>
      </c>
      <c r="V1082" s="46" t="n">
        <v>0</v>
      </c>
      <c r="W1082" s="46" t="n">
        <v>0</v>
      </c>
      <c r="X1082" s="46" t="n">
        <v>-38.16</v>
      </c>
      <c r="Y1082" s="33" t="n">
        <f aca="false">IFERROR(X1082/R1082,0)</f>
        <v>-1.06088407005856</v>
      </c>
      <c r="Z1082" s="29" t="str">
        <f aca="false">IF(X1082&gt;0,"Win",IF(X1082&lt;0,"Loss","Flat"))</f>
        <v>Loss</v>
      </c>
      <c r="AA1082" s="29" t="n">
        <f aca="false">ROUND((C1082-B1082)*1440,1)</f>
        <v>2.3</v>
      </c>
      <c r="AB1082" s="29" t="str">
        <f aca="false">IF(AA1082&lt;1,"a) &lt;1 min",IF(AA1082&lt;10,"b) 1-10 min",IF(AA1082&lt;60,"c) 10-60 min",IF(AA1082&lt;240,"d) 1-4 h","e) 4 h+"))))</f>
        <v>b) 1-10 min</v>
      </c>
      <c r="AC1082" s="29" t="str">
        <f aca="false">IF(P1082&lt;10,"a) &lt;10",IF(P1082&lt;20,"b) 10-20",IF(P1082&lt;40,"c) 20-40",IF(P1082&lt;80,"d) 40-80","e) 80+"))))</f>
        <v>b) 10-20</v>
      </c>
      <c r="AD1082" s="31" t="n">
        <f aca="false">Summary!$C$5+SUM(X$2:X1082)</f>
        <v>23532.93</v>
      </c>
      <c r="AE1082" s="31" t="n">
        <f aca="false">MAX(AE1081,AD1082)</f>
        <v>23611.84</v>
      </c>
      <c r="AF1082" s="31" t="n">
        <f aca="false">AE1082-AD1082</f>
        <v>78.9099999999999</v>
      </c>
      <c r="AG1082" s="30" t="n">
        <f aca="false">IFERROR(AF1082/AE1082,0)</f>
        <v>0.00334196741973518</v>
      </c>
    </row>
    <row r="1083" customFormat="false" ht="15" hidden="false" customHeight="false" outlineLevel="0" collapsed="false">
      <c r="A1083" s="29" t="n">
        <v>1082</v>
      </c>
      <c r="B1083" s="44" t="n">
        <v>46196.2763888889</v>
      </c>
      <c r="C1083" s="44" t="n">
        <v>46196.2796990741</v>
      </c>
      <c r="D1083" s="43" t="n">
        <f aca="false">INT(C1083)</f>
        <v>46196</v>
      </c>
      <c r="E1083" s="43" t="n">
        <f aca="false">D1083-WEEKDAY(D1083,3)</f>
        <v>46195</v>
      </c>
      <c r="F1083" s="29" t="s">
        <v>194</v>
      </c>
      <c r="G1083" s="29" t="n">
        <v>2026</v>
      </c>
      <c r="H1083" s="29" t="s">
        <v>248</v>
      </c>
      <c r="I1083" s="29" t="n">
        <v>6</v>
      </c>
      <c r="J1083" s="29" t="s">
        <v>250</v>
      </c>
      <c r="K1083" s="29" t="s">
        <v>251</v>
      </c>
      <c r="L1083" s="29" t="n">
        <v>0.03</v>
      </c>
      <c r="M1083" s="32" t="n">
        <v>30011.96</v>
      </c>
      <c r="N1083" s="32" t="n">
        <v>30026.18</v>
      </c>
      <c r="O1083" s="32" t="n">
        <v>29977.13</v>
      </c>
      <c r="P1083" s="45" t="n">
        <f aca="false">ABS(M1083-N1083)</f>
        <v>14.2200000000012</v>
      </c>
      <c r="Q1083" s="45" t="n">
        <f aca="false">IF(O1083="","",ABS(O1083-M1083))</f>
        <v>34.8299999999981</v>
      </c>
      <c r="R1083" s="31" t="n">
        <f aca="false">P1083*L1083*Summary!$C$6</f>
        <v>42.6600000000035</v>
      </c>
      <c r="S1083" s="32" t="n">
        <v>30012.78</v>
      </c>
      <c r="T1083" s="29" t="s">
        <v>255</v>
      </c>
      <c r="U1083" s="45" t="n">
        <f aca="false">IF(J1083="BUY",S1083-M1083,M1083-S1083)</f>
        <v>-0.819999999999709</v>
      </c>
      <c r="V1083" s="46" t="n">
        <v>0</v>
      </c>
      <c r="W1083" s="46" t="n">
        <v>0</v>
      </c>
      <c r="X1083" s="46" t="n">
        <v>-2.46</v>
      </c>
      <c r="Y1083" s="33" t="n">
        <f aca="false">IFERROR(X1083/R1083,0)</f>
        <v>-0.0576652601969011</v>
      </c>
      <c r="Z1083" s="29" t="str">
        <f aca="false">IF(X1083&gt;0,"Win",IF(X1083&lt;0,"Loss","Flat"))</f>
        <v>Loss</v>
      </c>
      <c r="AA1083" s="29" t="n">
        <f aca="false">ROUND((C1083-B1083)*1440,1)</f>
        <v>4.8</v>
      </c>
      <c r="AB1083" s="29" t="str">
        <f aca="false">IF(AA1083&lt;1,"a) &lt;1 min",IF(AA1083&lt;10,"b) 1-10 min",IF(AA1083&lt;60,"c) 10-60 min",IF(AA1083&lt;240,"d) 1-4 h","e) 4 h+"))))</f>
        <v>b) 1-10 min</v>
      </c>
      <c r="AC1083" s="29" t="str">
        <f aca="false">IF(P1083&lt;10,"a) &lt;10",IF(P1083&lt;20,"b) 10-20",IF(P1083&lt;40,"c) 20-40",IF(P1083&lt;80,"d) 40-80","e) 80+"))))</f>
        <v>b) 10-20</v>
      </c>
      <c r="AD1083" s="31" t="n">
        <f aca="false">Summary!$C$5+SUM(X$2:X1083)</f>
        <v>23530.47</v>
      </c>
      <c r="AE1083" s="31" t="n">
        <f aca="false">MAX(AE1082,AD1083)</f>
        <v>23611.84</v>
      </c>
      <c r="AF1083" s="31" t="n">
        <f aca="false">AE1083-AD1083</f>
        <v>81.369999999999</v>
      </c>
      <c r="AG1083" s="30" t="n">
        <f aca="false">IFERROR(AF1083/AE1083,0)</f>
        <v>0.00344615243877644</v>
      </c>
    </row>
    <row r="1084" customFormat="false" ht="15" hidden="false" customHeight="false" outlineLevel="0" collapsed="false">
      <c r="A1084" s="29" t="n">
        <v>1083</v>
      </c>
      <c r="B1084" s="44" t="n">
        <v>46197.7229166667</v>
      </c>
      <c r="C1084" s="44" t="n">
        <v>46197.7234027778</v>
      </c>
      <c r="D1084" s="43" t="n">
        <f aca="false">INT(C1084)</f>
        <v>46197</v>
      </c>
      <c r="E1084" s="43" t="n">
        <f aca="false">D1084-WEEKDAY(D1084,3)</f>
        <v>46195</v>
      </c>
      <c r="F1084" s="29" t="s">
        <v>194</v>
      </c>
      <c r="G1084" s="29" t="n">
        <v>2026</v>
      </c>
      <c r="H1084" s="29" t="s">
        <v>252</v>
      </c>
      <c r="I1084" s="29" t="n">
        <v>17</v>
      </c>
      <c r="J1084" s="29" t="s">
        <v>250</v>
      </c>
      <c r="K1084" s="29" t="s">
        <v>251</v>
      </c>
      <c r="L1084" s="29" t="n">
        <v>0.04</v>
      </c>
      <c r="M1084" s="32" t="n">
        <v>29264.07</v>
      </c>
      <c r="N1084" s="32" t="n">
        <v>29303.2</v>
      </c>
      <c r="O1084" s="32" t="n">
        <v>29168.2</v>
      </c>
      <c r="P1084" s="45" t="n">
        <f aca="false">ABS(M1084-N1084)</f>
        <v>39.130000000001</v>
      </c>
      <c r="Q1084" s="45" t="n">
        <f aca="false">IF(O1084="","",ABS(O1084-M1084))</f>
        <v>95.869999999999</v>
      </c>
      <c r="R1084" s="31" t="n">
        <f aca="false">P1084*L1084*Summary!$C$6</f>
        <v>156.520000000004</v>
      </c>
      <c r="S1084" s="32" t="n">
        <v>29303.4</v>
      </c>
      <c r="T1084" s="29" t="s">
        <v>249</v>
      </c>
      <c r="U1084" s="45" t="n">
        <f aca="false">IF(J1084="BUY",S1084-M1084,M1084-S1084)</f>
        <v>-39.3300000000017</v>
      </c>
      <c r="V1084" s="46" t="n">
        <v>0</v>
      </c>
      <c r="W1084" s="46" t="n">
        <v>0</v>
      </c>
      <c r="X1084" s="46" t="n">
        <v>-157.32</v>
      </c>
      <c r="Y1084" s="33" t="n">
        <f aca="false">IFERROR(X1084/R1084,0)</f>
        <v>-1.00511116790184</v>
      </c>
      <c r="Z1084" s="29" t="str">
        <f aca="false">IF(X1084&gt;0,"Win",IF(X1084&lt;0,"Loss","Flat"))</f>
        <v>Loss</v>
      </c>
      <c r="AA1084" s="29" t="n">
        <f aca="false">ROUND((C1084-B1084)*1440,1)</f>
        <v>0.7</v>
      </c>
      <c r="AB1084" s="29" t="str">
        <f aca="false">IF(AA1084&lt;1,"a) &lt;1 min",IF(AA1084&lt;10,"b) 1-10 min",IF(AA1084&lt;60,"c) 10-60 min",IF(AA1084&lt;240,"d) 1-4 h","e) 4 h+"))))</f>
        <v>a) &lt;1 min</v>
      </c>
      <c r="AC1084" s="29" t="str">
        <f aca="false">IF(P1084&lt;10,"a) &lt;10",IF(P1084&lt;20,"b) 10-20",IF(P1084&lt;40,"c) 20-40",IF(P1084&lt;80,"d) 40-80","e) 80+"))))</f>
        <v>c) 20-40</v>
      </c>
      <c r="AD1084" s="31" t="n">
        <f aca="false">Summary!$C$5+SUM(X$2:X1084)</f>
        <v>23373.15</v>
      </c>
      <c r="AE1084" s="31" t="n">
        <f aca="false">MAX(AE1083,AD1084)</f>
        <v>23611.84</v>
      </c>
      <c r="AF1084" s="31" t="n">
        <f aca="false">AE1084-AD1084</f>
        <v>238.689999999999</v>
      </c>
      <c r="AG1084" s="30" t="n">
        <f aca="false">IFERROR(AF1084/AE1084,0)</f>
        <v>0.0101089114613685</v>
      </c>
    </row>
    <row r="1085" customFormat="false" ht="15" hidden="false" customHeight="false" outlineLevel="0" collapsed="false">
      <c r="A1085" s="29" t="n">
        <v>1084</v>
      </c>
      <c r="B1085" s="44" t="n">
        <v>46198.0423611111</v>
      </c>
      <c r="C1085" s="44" t="n">
        <v>46198.0458564815</v>
      </c>
      <c r="D1085" s="43" t="n">
        <f aca="false">INT(C1085)</f>
        <v>46198</v>
      </c>
      <c r="E1085" s="43" t="n">
        <f aca="false">D1085-WEEKDAY(D1085,3)</f>
        <v>46195</v>
      </c>
      <c r="F1085" s="29" t="s">
        <v>194</v>
      </c>
      <c r="G1085" s="29" t="n">
        <v>2026</v>
      </c>
      <c r="H1085" s="29" t="s">
        <v>253</v>
      </c>
      <c r="I1085" s="29" t="n">
        <v>1</v>
      </c>
      <c r="J1085" s="29" t="s">
        <v>246</v>
      </c>
      <c r="K1085" s="29" t="s">
        <v>247</v>
      </c>
      <c r="L1085" s="29" t="n">
        <v>0.03</v>
      </c>
      <c r="M1085" s="32" t="n">
        <v>29853.91</v>
      </c>
      <c r="N1085" s="32" t="n">
        <v>29769.29</v>
      </c>
      <c r="O1085" s="32" t="n">
        <v>30061.23</v>
      </c>
      <c r="P1085" s="45" t="n">
        <f aca="false">ABS(M1085-N1085)</f>
        <v>84.619999999999</v>
      </c>
      <c r="Q1085" s="45" t="n">
        <f aca="false">IF(O1085="","",ABS(O1085-M1085))</f>
        <v>207.32</v>
      </c>
      <c r="R1085" s="31" t="n">
        <f aca="false">P1085*L1085*Summary!$C$6</f>
        <v>253.859999999997</v>
      </c>
      <c r="S1085" s="32" t="n">
        <v>29768.99</v>
      </c>
      <c r="T1085" s="29" t="s">
        <v>249</v>
      </c>
      <c r="U1085" s="45" t="n">
        <f aca="false">IF(J1085="BUY",S1085-M1085,M1085-S1085)</f>
        <v>-84.9199999999983</v>
      </c>
      <c r="V1085" s="46" t="n">
        <v>0</v>
      </c>
      <c r="W1085" s="46" t="n">
        <v>0</v>
      </c>
      <c r="X1085" s="46" t="n">
        <v>-254.76</v>
      </c>
      <c r="Y1085" s="33" t="n">
        <f aca="false">IFERROR(X1085/R1085,0)</f>
        <v>-1.00354526116758</v>
      </c>
      <c r="Z1085" s="29" t="str">
        <f aca="false">IF(X1085&gt;0,"Win",IF(X1085&lt;0,"Loss","Flat"))</f>
        <v>Loss</v>
      </c>
      <c r="AA1085" s="29" t="n">
        <f aca="false">ROUND((C1085-B1085)*1440,1)</f>
        <v>5</v>
      </c>
      <c r="AB1085" s="29" t="str">
        <f aca="false">IF(AA1085&lt;1,"a) &lt;1 min",IF(AA1085&lt;10,"b) 1-10 min",IF(AA1085&lt;60,"c) 10-60 min",IF(AA1085&lt;240,"d) 1-4 h","e) 4 h+"))))</f>
        <v>b) 1-10 min</v>
      </c>
      <c r="AC1085" s="29" t="str">
        <f aca="false">IF(P1085&lt;10,"a) &lt;10",IF(P1085&lt;20,"b) 10-20",IF(P1085&lt;40,"c) 20-40",IF(P1085&lt;80,"d) 40-80","e) 80+"))))</f>
        <v>e) 80+</v>
      </c>
      <c r="AD1085" s="31" t="n">
        <f aca="false">Summary!$C$5+SUM(X$2:X1085)</f>
        <v>23118.39</v>
      </c>
      <c r="AE1085" s="31" t="n">
        <f aca="false">MAX(AE1084,AD1085)</f>
        <v>23611.84</v>
      </c>
      <c r="AF1085" s="31" t="n">
        <f aca="false">AE1085-AD1085</f>
        <v>493.450000000001</v>
      </c>
      <c r="AG1085" s="30" t="n">
        <f aca="false">IFERROR(AF1085/AE1085,0)</f>
        <v>0.020898413677206</v>
      </c>
    </row>
    <row r="1086" customFormat="false" ht="15" hidden="false" customHeight="false" outlineLevel="0" collapsed="false">
      <c r="A1086" s="29" t="n">
        <v>1085</v>
      </c>
      <c r="B1086" s="44" t="n">
        <v>46199.2458333333</v>
      </c>
      <c r="C1086" s="44" t="n">
        <v>46199.2473263889</v>
      </c>
      <c r="D1086" s="43" t="n">
        <f aca="false">INT(C1086)</f>
        <v>46199</v>
      </c>
      <c r="E1086" s="43" t="n">
        <f aca="false">D1086-WEEKDAY(D1086,3)</f>
        <v>46195</v>
      </c>
      <c r="F1086" s="29" t="s">
        <v>194</v>
      </c>
      <c r="G1086" s="29" t="n">
        <v>2026</v>
      </c>
      <c r="H1086" s="29" t="s">
        <v>254</v>
      </c>
      <c r="I1086" s="29" t="n">
        <v>5</v>
      </c>
      <c r="J1086" s="29" t="s">
        <v>250</v>
      </c>
      <c r="K1086" s="29" t="s">
        <v>251</v>
      </c>
      <c r="L1086" s="29" t="n">
        <v>0.03</v>
      </c>
      <c r="M1086" s="32" t="n">
        <v>28981.34</v>
      </c>
      <c r="N1086" s="32" t="n">
        <v>28998.3</v>
      </c>
      <c r="O1086" s="32" t="n">
        <v>28939.79</v>
      </c>
      <c r="P1086" s="45" t="n">
        <f aca="false">ABS(M1086-N1086)</f>
        <v>16.9599999999991</v>
      </c>
      <c r="Q1086" s="45" t="n">
        <f aca="false">IF(O1086="","",ABS(O1086-M1086))</f>
        <v>41.5499999999993</v>
      </c>
      <c r="R1086" s="31" t="n">
        <f aca="false">P1086*L1086*Summary!$C$6</f>
        <v>50.8799999999974</v>
      </c>
      <c r="S1086" s="32" t="n">
        <v>28939.68</v>
      </c>
      <c r="T1086" s="29" t="s">
        <v>227</v>
      </c>
      <c r="U1086" s="45" t="n">
        <f aca="false">IF(J1086="BUY",S1086-M1086,M1086-S1086)</f>
        <v>41.6599999999999</v>
      </c>
      <c r="V1086" s="46" t="n">
        <v>0</v>
      </c>
      <c r="W1086" s="46" t="n">
        <v>0</v>
      </c>
      <c r="X1086" s="46" t="n">
        <v>124.98</v>
      </c>
      <c r="Y1086" s="33" t="n">
        <f aca="false">IFERROR(X1086/R1086,0)</f>
        <v>2.45636792452843</v>
      </c>
      <c r="Z1086" s="29" t="str">
        <f aca="false">IF(X1086&gt;0,"Win",IF(X1086&lt;0,"Loss","Flat"))</f>
        <v>Win</v>
      </c>
      <c r="AA1086" s="29" t="n">
        <f aca="false">ROUND((C1086-B1086)*1440,1)</f>
        <v>2.2</v>
      </c>
      <c r="AB1086" s="29" t="str">
        <f aca="false">IF(AA1086&lt;1,"a) &lt;1 min",IF(AA1086&lt;10,"b) 1-10 min",IF(AA1086&lt;60,"c) 10-60 min",IF(AA1086&lt;240,"d) 1-4 h","e) 4 h+"))))</f>
        <v>b) 1-10 min</v>
      </c>
      <c r="AC1086" s="29" t="str">
        <f aca="false">IF(P1086&lt;10,"a) &lt;10",IF(P1086&lt;20,"b) 10-20",IF(P1086&lt;40,"c) 20-40",IF(P1086&lt;80,"d) 40-80","e) 80+"))))</f>
        <v>b) 10-20</v>
      </c>
      <c r="AD1086" s="31" t="n">
        <f aca="false">Summary!$C$5+SUM(X$2:X1086)</f>
        <v>23243.37</v>
      </c>
      <c r="AE1086" s="31" t="n">
        <f aca="false">MAX(AE1085,AD1086)</f>
        <v>23611.84</v>
      </c>
      <c r="AF1086" s="31" t="n">
        <f aca="false">AE1086-AD1086</f>
        <v>368.470000000001</v>
      </c>
      <c r="AG1086" s="30" t="n">
        <f aca="false">IFERROR(AF1086/AE1086,0)</f>
        <v>0.0156053064903032</v>
      </c>
    </row>
    <row r="1087" customFormat="false" ht="15" hidden="false" customHeight="false" outlineLevel="0" collapsed="false">
      <c r="A1087" s="29" t="n">
        <v>1086</v>
      </c>
      <c r="B1087" s="44" t="n">
        <v>46202.8034722222</v>
      </c>
      <c r="C1087" s="44" t="n">
        <v>46202.8039467593</v>
      </c>
      <c r="D1087" s="43" t="n">
        <f aca="false">INT(C1087)</f>
        <v>46202</v>
      </c>
      <c r="E1087" s="43" t="n">
        <f aca="false">D1087-WEEKDAY(D1087,3)</f>
        <v>46202</v>
      </c>
      <c r="F1087" s="29" t="s">
        <v>194</v>
      </c>
      <c r="G1087" s="29" t="n">
        <v>2026</v>
      </c>
      <c r="H1087" s="29" t="s">
        <v>245</v>
      </c>
      <c r="I1087" s="29" t="n">
        <v>19</v>
      </c>
      <c r="J1087" s="29" t="s">
        <v>246</v>
      </c>
      <c r="K1087" s="29" t="s">
        <v>247</v>
      </c>
      <c r="L1087" s="29" t="n">
        <v>0.03</v>
      </c>
      <c r="M1087" s="32" t="n">
        <v>29602.43</v>
      </c>
      <c r="N1087" s="32" t="n">
        <v>29585.71</v>
      </c>
      <c r="O1087" s="32" t="n">
        <v>29642.67</v>
      </c>
      <c r="P1087" s="45" t="n">
        <f aca="false">ABS(M1087-N1087)</f>
        <v>16.7200000000012</v>
      </c>
      <c r="Q1087" s="45" t="n">
        <f aca="false">IF(O1087="","",ABS(O1087-M1087))</f>
        <v>40.239999999998</v>
      </c>
      <c r="R1087" s="31" t="n">
        <f aca="false">P1087*L1087*Summary!$C$6</f>
        <v>50.1600000000035</v>
      </c>
      <c r="S1087" s="32" t="n">
        <v>29585.38</v>
      </c>
      <c r="T1087" s="29" t="s">
        <v>249</v>
      </c>
      <c r="U1087" s="45" t="n">
        <f aca="false">IF(J1087="BUY",S1087-M1087,M1087-S1087)</f>
        <v>-17.0499999999993</v>
      </c>
      <c r="V1087" s="46" t="n">
        <v>0</v>
      </c>
      <c r="W1087" s="46" t="n">
        <v>0</v>
      </c>
      <c r="X1087" s="46" t="n">
        <v>-51.15</v>
      </c>
      <c r="Y1087" s="33" t="n">
        <f aca="false">IFERROR(X1087/R1087,0)</f>
        <v>-1.01973684210519</v>
      </c>
      <c r="Z1087" s="29" t="str">
        <f aca="false">IF(X1087&gt;0,"Win",IF(X1087&lt;0,"Loss","Flat"))</f>
        <v>Loss</v>
      </c>
      <c r="AA1087" s="29" t="n">
        <f aca="false">ROUND((C1087-B1087)*1440,1)</f>
        <v>0.7</v>
      </c>
      <c r="AB1087" s="29" t="str">
        <f aca="false">IF(AA1087&lt;1,"a) &lt;1 min",IF(AA1087&lt;10,"b) 1-10 min",IF(AA1087&lt;60,"c) 10-60 min",IF(AA1087&lt;240,"d) 1-4 h","e) 4 h+"))))</f>
        <v>a) &lt;1 min</v>
      </c>
      <c r="AC1087" s="29" t="str">
        <f aca="false">IF(P1087&lt;10,"a) &lt;10",IF(P1087&lt;20,"b) 10-20",IF(P1087&lt;40,"c) 20-40",IF(P1087&lt;80,"d) 40-80","e) 80+"))))</f>
        <v>b) 10-20</v>
      </c>
      <c r="AD1087" s="31" t="n">
        <f aca="false">Summary!$C$5+SUM(X$2:X1087)</f>
        <v>23192.22</v>
      </c>
      <c r="AE1087" s="31" t="n">
        <f aca="false">MAX(AE1086,AD1087)</f>
        <v>23611.84</v>
      </c>
      <c r="AF1087" s="31" t="n">
        <f aca="false">AE1087-AD1087</f>
        <v>419.619999999999</v>
      </c>
      <c r="AG1087" s="30" t="n">
        <f aca="false">IFERROR(AF1087/AE1087,0)</f>
        <v>0.0177715925569544</v>
      </c>
    </row>
    <row r="1088" customFormat="false" ht="15" hidden="false" customHeight="false" outlineLevel="0" collapsed="false">
      <c r="A1088" s="29" t="n">
        <v>1087</v>
      </c>
      <c r="B1088" s="44" t="n">
        <v>46203.1298611111</v>
      </c>
      <c r="C1088" s="44" t="n">
        <v>46203.1319328704</v>
      </c>
      <c r="D1088" s="43" t="n">
        <f aca="false">INT(C1088)</f>
        <v>46203</v>
      </c>
      <c r="E1088" s="43" t="n">
        <f aca="false">D1088-WEEKDAY(D1088,3)</f>
        <v>46202</v>
      </c>
      <c r="F1088" s="29" t="s">
        <v>194</v>
      </c>
      <c r="G1088" s="29" t="n">
        <v>2026</v>
      </c>
      <c r="H1088" s="29" t="s">
        <v>248</v>
      </c>
      <c r="I1088" s="29" t="n">
        <v>3</v>
      </c>
      <c r="J1088" s="29" t="s">
        <v>246</v>
      </c>
      <c r="K1088" s="29" t="s">
        <v>247</v>
      </c>
      <c r="L1088" s="29" t="n">
        <v>0.03</v>
      </c>
      <c r="M1088" s="32" t="n">
        <v>29793.15</v>
      </c>
      <c r="N1088" s="32" t="n">
        <v>29774.02</v>
      </c>
      <c r="O1088" s="32" t="n">
        <v>29840.03</v>
      </c>
      <c r="P1088" s="45" t="n">
        <f aca="false">ABS(M1088-N1088)</f>
        <v>19.130000000001</v>
      </c>
      <c r="Q1088" s="45" t="n">
        <f aca="false">IF(O1088="","",ABS(O1088-M1088))</f>
        <v>46.8799999999974</v>
      </c>
      <c r="R1088" s="31" t="n">
        <f aca="false">P1088*L1088*Summary!$C$6</f>
        <v>57.3900000000031</v>
      </c>
      <c r="S1088" s="32" t="n">
        <v>29773.01</v>
      </c>
      <c r="T1088" s="29" t="s">
        <v>249</v>
      </c>
      <c r="U1088" s="45" t="n">
        <f aca="false">IF(J1088="BUY",S1088-M1088,M1088-S1088)</f>
        <v>-20.1400000000031</v>
      </c>
      <c r="V1088" s="46" t="n">
        <v>0</v>
      </c>
      <c r="W1088" s="46" t="n">
        <v>0</v>
      </c>
      <c r="X1088" s="46" t="n">
        <v>-60.42</v>
      </c>
      <c r="Y1088" s="33" t="n">
        <f aca="false">IFERROR(X1088/R1088,0)</f>
        <v>-1.05279665446936</v>
      </c>
      <c r="Z1088" s="29" t="str">
        <f aca="false">IF(X1088&gt;0,"Win",IF(X1088&lt;0,"Loss","Flat"))</f>
        <v>Loss</v>
      </c>
      <c r="AA1088" s="29" t="n">
        <f aca="false">ROUND((C1088-B1088)*1440,1)</f>
        <v>3</v>
      </c>
      <c r="AB1088" s="29" t="str">
        <f aca="false">IF(AA1088&lt;1,"a) &lt;1 min",IF(AA1088&lt;10,"b) 1-10 min",IF(AA1088&lt;60,"c) 10-60 min",IF(AA1088&lt;240,"d) 1-4 h","e) 4 h+"))))</f>
        <v>b) 1-10 min</v>
      </c>
      <c r="AC1088" s="29" t="str">
        <f aca="false">IF(P1088&lt;10,"a) &lt;10",IF(P1088&lt;20,"b) 10-20",IF(P1088&lt;40,"c) 20-40",IF(P1088&lt;80,"d) 40-80","e) 80+"))))</f>
        <v>b) 10-20</v>
      </c>
      <c r="AD1088" s="31" t="n">
        <f aca="false">Summary!$C$5+SUM(X$2:X1088)</f>
        <v>23131.8</v>
      </c>
      <c r="AE1088" s="31" t="n">
        <f aca="false">MAX(AE1087,AD1088)</f>
        <v>23611.84</v>
      </c>
      <c r="AF1088" s="31" t="n">
        <f aca="false">AE1088-AD1088</f>
        <v>480.040000000001</v>
      </c>
      <c r="AG1088" s="30" t="n">
        <f aca="false">IFERROR(AF1088/AE1088,0)</f>
        <v>0.0203304782685297</v>
      </c>
    </row>
    <row r="1089" customFormat="false" ht="15" hidden="false" customHeight="false" outlineLevel="0" collapsed="false">
      <c r="A1089" s="29" t="n">
        <v>1088</v>
      </c>
      <c r="B1089" s="44" t="n">
        <v>46205.1263888889</v>
      </c>
      <c r="C1089" s="44" t="n">
        <v>46205.1291898148</v>
      </c>
      <c r="D1089" s="43" t="n">
        <f aca="false">INT(C1089)</f>
        <v>46205</v>
      </c>
      <c r="E1089" s="43" t="n">
        <f aca="false">D1089-WEEKDAY(D1089,3)</f>
        <v>46202</v>
      </c>
      <c r="F1089" s="29" t="s">
        <v>195</v>
      </c>
      <c r="G1089" s="29" t="n">
        <v>2026</v>
      </c>
      <c r="H1089" s="29" t="s">
        <v>253</v>
      </c>
      <c r="I1089" s="29" t="n">
        <v>3</v>
      </c>
      <c r="J1089" s="29" t="s">
        <v>250</v>
      </c>
      <c r="K1089" s="29" t="s">
        <v>251</v>
      </c>
      <c r="L1089" s="29" t="n">
        <v>0.03</v>
      </c>
      <c r="M1089" s="32" t="n">
        <v>29727.01</v>
      </c>
      <c r="N1089" s="32" t="n">
        <v>29748.99</v>
      </c>
      <c r="O1089" s="32" t="n">
        <v>29674.86</v>
      </c>
      <c r="P1089" s="45" t="n">
        <f aca="false">ABS(M1089-N1089)</f>
        <v>21.9800000000032</v>
      </c>
      <c r="Q1089" s="45" t="n">
        <f aca="false">IF(O1089="","",ABS(O1089-M1089))</f>
        <v>52.1499999999978</v>
      </c>
      <c r="R1089" s="31" t="n">
        <f aca="false">P1089*L1089*Summary!$C$6</f>
        <v>65.9400000000096</v>
      </c>
      <c r="S1089" s="32" t="n">
        <v>29729</v>
      </c>
      <c r="T1089" s="29" t="s">
        <v>255</v>
      </c>
      <c r="U1089" s="45" t="n">
        <f aca="false">IF(J1089="BUY",S1089-M1089,M1089-S1089)</f>
        <v>-1.9900000000016</v>
      </c>
      <c r="V1089" s="46" t="n">
        <v>0</v>
      </c>
      <c r="W1089" s="46" t="n">
        <v>0</v>
      </c>
      <c r="X1089" s="46" t="n">
        <v>-5.97</v>
      </c>
      <c r="Y1089" s="33" t="n">
        <f aca="false">IFERROR(X1089/R1089,0)</f>
        <v>-0.0905368516833353</v>
      </c>
      <c r="Z1089" s="29" t="str">
        <f aca="false">IF(X1089&gt;0,"Win",IF(X1089&lt;0,"Loss","Flat"))</f>
        <v>Loss</v>
      </c>
      <c r="AA1089" s="29" t="n">
        <f aca="false">ROUND((C1089-B1089)*1440,1)</f>
        <v>4</v>
      </c>
      <c r="AB1089" s="29" t="str">
        <f aca="false">IF(AA1089&lt;1,"a) &lt;1 min",IF(AA1089&lt;10,"b) 1-10 min",IF(AA1089&lt;60,"c) 10-60 min",IF(AA1089&lt;240,"d) 1-4 h","e) 4 h+"))))</f>
        <v>b) 1-10 min</v>
      </c>
      <c r="AC1089" s="29" t="str">
        <f aca="false">IF(P1089&lt;10,"a) &lt;10",IF(P1089&lt;20,"b) 10-20",IF(P1089&lt;40,"c) 20-40",IF(P1089&lt;80,"d) 40-80","e) 80+"))))</f>
        <v>c) 20-40</v>
      </c>
      <c r="AD1089" s="31" t="n">
        <f aca="false">Summary!$C$5+SUM(X$2:X1089)</f>
        <v>23125.83</v>
      </c>
      <c r="AE1089" s="31" t="n">
        <f aca="false">MAX(AE1088,AD1089)</f>
        <v>23611.84</v>
      </c>
      <c r="AF1089" s="31" t="n">
        <f aca="false">AE1089-AD1089</f>
        <v>486.009999999998</v>
      </c>
      <c r="AG1089" s="30" t="n">
        <f aca="false">IFERROR(AF1089/AE1089,0)</f>
        <v>0.0205833175220567</v>
      </c>
    </row>
    <row r="1090" customFormat="false" ht="15" hidden="false" customHeight="false" outlineLevel="0" collapsed="false">
      <c r="A1090" s="29" t="n">
        <v>1089</v>
      </c>
      <c r="B1090" s="44" t="n">
        <v>46209.0645833333</v>
      </c>
      <c r="C1090" s="44" t="n">
        <v>46209.067037037</v>
      </c>
      <c r="D1090" s="43" t="n">
        <f aca="false">INT(C1090)</f>
        <v>46209</v>
      </c>
      <c r="E1090" s="43" t="n">
        <f aca="false">D1090-WEEKDAY(D1090,3)</f>
        <v>46209</v>
      </c>
      <c r="F1090" s="29" t="s">
        <v>195</v>
      </c>
      <c r="G1090" s="29" t="n">
        <v>2026</v>
      </c>
      <c r="H1090" s="29" t="s">
        <v>245</v>
      </c>
      <c r="I1090" s="29" t="n">
        <v>1</v>
      </c>
      <c r="J1090" s="29" t="s">
        <v>246</v>
      </c>
      <c r="K1090" s="29" t="s">
        <v>247</v>
      </c>
      <c r="L1090" s="29" t="n">
        <v>0.03</v>
      </c>
      <c r="M1090" s="32" t="n">
        <v>29723.4</v>
      </c>
      <c r="N1090" s="32" t="n">
        <v>29711.76</v>
      </c>
      <c r="O1090" s="32" t="n">
        <v>29751.91</v>
      </c>
      <c r="P1090" s="45" t="n">
        <f aca="false">ABS(M1090-N1090)</f>
        <v>11.6400000000031</v>
      </c>
      <c r="Q1090" s="45" t="n">
        <f aca="false">IF(O1090="","",ABS(O1090-M1090))</f>
        <v>28.5099999999984</v>
      </c>
      <c r="R1090" s="31" t="n">
        <f aca="false">P1090*L1090*Summary!$C$6</f>
        <v>34.9200000000092</v>
      </c>
      <c r="S1090" s="32" t="n">
        <v>29711.29</v>
      </c>
      <c r="T1090" s="29" t="s">
        <v>249</v>
      </c>
      <c r="U1090" s="45" t="n">
        <f aca="false">IF(J1090="BUY",S1090-M1090,M1090-S1090)</f>
        <v>-12.1100000000006</v>
      </c>
      <c r="V1090" s="46" t="n">
        <v>0</v>
      </c>
      <c r="W1090" s="46" t="n">
        <v>0</v>
      </c>
      <c r="X1090" s="46" t="n">
        <v>-36.33</v>
      </c>
      <c r="Y1090" s="33" t="n">
        <f aca="false">IFERROR(X1090/R1090,0)</f>
        <v>-1.04037800687258</v>
      </c>
      <c r="Z1090" s="29" t="str">
        <f aca="false">IF(X1090&gt;0,"Win",IF(X1090&lt;0,"Loss","Flat"))</f>
        <v>Loss</v>
      </c>
      <c r="AA1090" s="29" t="n">
        <f aca="false">ROUND((C1090-B1090)*1440,1)</f>
        <v>3.5</v>
      </c>
      <c r="AB1090" s="29" t="str">
        <f aca="false">IF(AA1090&lt;1,"a) &lt;1 min",IF(AA1090&lt;10,"b) 1-10 min",IF(AA1090&lt;60,"c) 10-60 min",IF(AA1090&lt;240,"d) 1-4 h","e) 4 h+"))))</f>
        <v>b) 1-10 min</v>
      </c>
      <c r="AC1090" s="29" t="str">
        <f aca="false">IF(P1090&lt;10,"a) &lt;10",IF(P1090&lt;20,"b) 10-20",IF(P1090&lt;40,"c) 20-40",IF(P1090&lt;80,"d) 40-80","e) 80+"))))</f>
        <v>b) 10-20</v>
      </c>
      <c r="AD1090" s="31" t="n">
        <f aca="false">Summary!$C$5+SUM(X$2:X1090)</f>
        <v>23089.5</v>
      </c>
      <c r="AE1090" s="31" t="n">
        <f aca="false">MAX(AE1089,AD1090)</f>
        <v>23611.84</v>
      </c>
      <c r="AF1090" s="31" t="n">
        <f aca="false">AE1090-AD1090</f>
        <v>522.34</v>
      </c>
      <c r="AG1090" s="30" t="n">
        <f aca="false">IFERROR(AF1090/AE1090,0)</f>
        <v>0.0221219523764349</v>
      </c>
    </row>
    <row r="1091" customFormat="false" ht="15" hidden="false" customHeight="false" outlineLevel="0" collapsed="false">
      <c r="A1091" s="29" t="n">
        <v>1090</v>
      </c>
      <c r="B1091" s="44" t="n">
        <v>46210.2708333333</v>
      </c>
      <c r="C1091" s="44" t="n">
        <v>46210.2715740741</v>
      </c>
      <c r="D1091" s="43" t="n">
        <f aca="false">INT(C1091)</f>
        <v>46210</v>
      </c>
      <c r="E1091" s="43" t="n">
        <f aca="false">D1091-WEEKDAY(D1091,3)</f>
        <v>46209</v>
      </c>
      <c r="F1091" s="29" t="s">
        <v>195</v>
      </c>
      <c r="G1091" s="29" t="n">
        <v>2026</v>
      </c>
      <c r="H1091" s="29" t="s">
        <v>248</v>
      </c>
      <c r="I1091" s="29" t="n">
        <v>6</v>
      </c>
      <c r="J1091" s="29" t="s">
        <v>250</v>
      </c>
      <c r="K1091" s="29" t="s">
        <v>251</v>
      </c>
      <c r="L1091" s="29" t="n">
        <v>0.03</v>
      </c>
      <c r="M1091" s="32" t="n">
        <v>29447.54</v>
      </c>
      <c r="N1091" s="32" t="n">
        <v>29462.59</v>
      </c>
      <c r="O1091" s="32" t="n">
        <v>29408.83</v>
      </c>
      <c r="P1091" s="45" t="n">
        <f aca="false">ABS(M1091-N1091)</f>
        <v>15.0499999999993</v>
      </c>
      <c r="Q1091" s="45" t="n">
        <f aca="false">IF(O1091="","",ABS(O1091-M1091))</f>
        <v>38.7099999999991</v>
      </c>
      <c r="R1091" s="31" t="n">
        <f aca="false">P1091*L1091*Summary!$C$6</f>
        <v>45.1499999999978</v>
      </c>
      <c r="S1091" s="32" t="n">
        <v>29462.85</v>
      </c>
      <c r="T1091" s="29" t="s">
        <v>249</v>
      </c>
      <c r="U1091" s="45" t="n">
        <f aca="false">IF(J1091="BUY",S1091-M1091,M1091-S1091)</f>
        <v>-15.3099999999977</v>
      </c>
      <c r="V1091" s="46" t="n">
        <v>0</v>
      </c>
      <c r="W1091" s="46" t="n">
        <v>0</v>
      </c>
      <c r="X1091" s="46" t="n">
        <v>-45.93</v>
      </c>
      <c r="Y1091" s="33" t="n">
        <f aca="false">IFERROR(X1091/R1091,0)</f>
        <v>-1.01727574750836</v>
      </c>
      <c r="Z1091" s="29" t="str">
        <f aca="false">IF(X1091&gt;0,"Win",IF(X1091&lt;0,"Loss","Flat"))</f>
        <v>Loss</v>
      </c>
      <c r="AA1091" s="29" t="n">
        <f aca="false">ROUND((C1091-B1091)*1440,1)</f>
        <v>1.1</v>
      </c>
      <c r="AB1091" s="29" t="str">
        <f aca="false">IF(AA1091&lt;1,"a) &lt;1 min",IF(AA1091&lt;10,"b) 1-10 min",IF(AA1091&lt;60,"c) 10-60 min",IF(AA1091&lt;240,"d) 1-4 h","e) 4 h+"))))</f>
        <v>b) 1-10 min</v>
      </c>
      <c r="AC1091" s="29" t="str">
        <f aca="false">IF(P1091&lt;10,"a) &lt;10",IF(P1091&lt;20,"b) 10-20",IF(P1091&lt;40,"c) 20-40",IF(P1091&lt;80,"d) 40-80","e) 80+"))))</f>
        <v>b) 10-20</v>
      </c>
      <c r="AD1091" s="31" t="n">
        <f aca="false">Summary!$C$5+SUM(X$2:X1091)</f>
        <v>23043.57</v>
      </c>
      <c r="AE1091" s="31" t="n">
        <f aca="false">MAX(AE1090,AD1091)</f>
        <v>23611.84</v>
      </c>
      <c r="AF1091" s="31" t="n">
        <f aca="false">AE1091-AD1091</f>
        <v>568.27</v>
      </c>
      <c r="AG1091" s="30" t="n">
        <f aca="false">IFERROR(AF1091/AE1091,0)</f>
        <v>0.0240671629148766</v>
      </c>
    </row>
    <row r="1092" customFormat="false" ht="15" hidden="false" customHeight="false" outlineLevel="0" collapsed="false">
      <c r="A1092" s="29" t="n">
        <v>1091</v>
      </c>
      <c r="B1092" s="44" t="n">
        <v>46211.475</v>
      </c>
      <c r="C1092" s="44" t="n">
        <v>46211.478287037</v>
      </c>
      <c r="D1092" s="43" t="n">
        <f aca="false">INT(C1092)</f>
        <v>46211</v>
      </c>
      <c r="E1092" s="43" t="n">
        <f aca="false">D1092-WEEKDAY(D1092,3)</f>
        <v>46209</v>
      </c>
      <c r="F1092" s="29" t="s">
        <v>195</v>
      </c>
      <c r="G1092" s="29" t="n">
        <v>2026</v>
      </c>
      <c r="H1092" s="29" t="s">
        <v>252</v>
      </c>
      <c r="I1092" s="29" t="n">
        <v>11</v>
      </c>
      <c r="J1092" s="29" t="s">
        <v>250</v>
      </c>
      <c r="K1092" s="29" t="s">
        <v>251</v>
      </c>
      <c r="L1092" s="29" t="n">
        <v>0.03</v>
      </c>
      <c r="M1092" s="32" t="n">
        <v>28936.61</v>
      </c>
      <c r="N1092" s="32" t="n">
        <v>28980.47</v>
      </c>
      <c r="O1092" s="32" t="n">
        <v>28841.77</v>
      </c>
      <c r="P1092" s="45" t="n">
        <f aca="false">ABS(M1092-N1092)</f>
        <v>43.8600000000006</v>
      </c>
      <c r="Q1092" s="45" t="n">
        <f aca="false">IF(O1092="","",ABS(O1092-M1092))</f>
        <v>94.8400000000002</v>
      </c>
      <c r="R1092" s="31" t="n">
        <f aca="false">P1092*L1092*Summary!$C$6</f>
        <v>131.580000000002</v>
      </c>
      <c r="S1092" s="32" t="n">
        <v>28839.48</v>
      </c>
      <c r="T1092" s="29" t="s">
        <v>227</v>
      </c>
      <c r="U1092" s="45" t="n">
        <f aca="false">IF(J1092="BUY",S1092-M1092,M1092-S1092)</f>
        <v>97.130000000001</v>
      </c>
      <c r="V1092" s="46" t="n">
        <v>0</v>
      </c>
      <c r="W1092" s="46" t="n">
        <v>0</v>
      </c>
      <c r="X1092" s="46" t="n">
        <v>291.39</v>
      </c>
      <c r="Y1092" s="33" t="n">
        <f aca="false">IFERROR(X1092/R1092,0)</f>
        <v>2.2145462836297</v>
      </c>
      <c r="Z1092" s="29" t="str">
        <f aca="false">IF(X1092&gt;0,"Win",IF(X1092&lt;0,"Loss","Flat"))</f>
        <v>Win</v>
      </c>
      <c r="AA1092" s="29" t="n">
        <f aca="false">ROUND((C1092-B1092)*1440,1)</f>
        <v>4.7</v>
      </c>
      <c r="AB1092" s="29" t="str">
        <f aca="false">IF(AA1092&lt;1,"a) &lt;1 min",IF(AA1092&lt;10,"b) 1-10 min",IF(AA1092&lt;60,"c) 10-60 min",IF(AA1092&lt;240,"d) 1-4 h","e) 4 h+"))))</f>
        <v>b) 1-10 min</v>
      </c>
      <c r="AC1092" s="29" t="str">
        <f aca="false">IF(P1092&lt;10,"a) &lt;10",IF(P1092&lt;20,"b) 10-20",IF(P1092&lt;40,"c) 20-40",IF(P1092&lt;80,"d) 40-80","e) 80+"))))</f>
        <v>d) 40-80</v>
      </c>
      <c r="AD1092" s="31" t="n">
        <f aca="false">Summary!$C$5+SUM(X$2:X1092)</f>
        <v>23334.96</v>
      </c>
      <c r="AE1092" s="31" t="n">
        <f aca="false">MAX(AE1091,AD1092)</f>
        <v>23611.84</v>
      </c>
      <c r="AF1092" s="31" t="n">
        <f aca="false">AE1092-AD1092</f>
        <v>276.880000000001</v>
      </c>
      <c r="AG1092" s="30" t="n">
        <f aca="false">IFERROR(AF1092/AE1092,0)</f>
        <v>0.011726320354534</v>
      </c>
    </row>
    <row r="1093" customFormat="false" ht="15" hidden="false" customHeight="false" outlineLevel="0" collapsed="false">
      <c r="A1093" s="29" t="n">
        <v>1092</v>
      </c>
      <c r="B1093" s="44" t="n">
        <v>46212.13125</v>
      </c>
      <c r="C1093" s="44" t="n">
        <v>46212.1369791667</v>
      </c>
      <c r="D1093" s="43" t="n">
        <f aca="false">INT(C1093)</f>
        <v>46212</v>
      </c>
      <c r="E1093" s="43" t="n">
        <f aca="false">D1093-WEEKDAY(D1093,3)</f>
        <v>46209</v>
      </c>
      <c r="F1093" s="29" t="s">
        <v>195</v>
      </c>
      <c r="G1093" s="29" t="n">
        <v>2026</v>
      </c>
      <c r="H1093" s="29" t="s">
        <v>253</v>
      </c>
      <c r="I1093" s="29" t="n">
        <v>3</v>
      </c>
      <c r="J1093" s="29" t="s">
        <v>246</v>
      </c>
      <c r="K1093" s="29" t="s">
        <v>247</v>
      </c>
      <c r="L1093" s="29" t="n">
        <v>0.03</v>
      </c>
      <c r="M1093" s="32" t="n">
        <v>29327.89</v>
      </c>
      <c r="N1093" s="32" t="n">
        <v>29309.76</v>
      </c>
      <c r="O1093" s="32" t="n">
        <v>29372.3</v>
      </c>
      <c r="P1093" s="45" t="n">
        <f aca="false">ABS(M1093-N1093)</f>
        <v>18.130000000001</v>
      </c>
      <c r="Q1093" s="45" t="n">
        <f aca="false">IF(O1093="","",ABS(O1093-M1093))</f>
        <v>44.4099999999999</v>
      </c>
      <c r="R1093" s="31" t="n">
        <f aca="false">P1093*L1093*Summary!$C$6</f>
        <v>54.3900000000031</v>
      </c>
      <c r="S1093" s="32" t="n">
        <v>29327.86</v>
      </c>
      <c r="T1093" s="29" t="s">
        <v>255</v>
      </c>
      <c r="U1093" s="45" t="n">
        <f aca="false">IF(J1093="BUY",S1093-M1093,M1093-S1093)</f>
        <v>-0.0299999999988358</v>
      </c>
      <c r="V1093" s="46" t="n">
        <v>0</v>
      </c>
      <c r="W1093" s="46" t="n">
        <v>0</v>
      </c>
      <c r="X1093" s="46" t="n">
        <v>-0.09</v>
      </c>
      <c r="Y1093" s="33" t="n">
        <f aca="false">IFERROR(X1093/R1093,0)</f>
        <v>-0.00165471594043013</v>
      </c>
      <c r="Z1093" s="29" t="str">
        <f aca="false">IF(X1093&gt;0,"Win",IF(X1093&lt;0,"Loss","Flat"))</f>
        <v>Loss</v>
      </c>
      <c r="AA1093" s="29" t="n">
        <f aca="false">ROUND((C1093-B1093)*1440,1)</f>
        <v>8.3</v>
      </c>
      <c r="AB1093" s="29" t="str">
        <f aca="false">IF(AA1093&lt;1,"a) &lt;1 min",IF(AA1093&lt;10,"b) 1-10 min",IF(AA1093&lt;60,"c) 10-60 min",IF(AA1093&lt;240,"d) 1-4 h","e) 4 h+"))))</f>
        <v>b) 1-10 min</v>
      </c>
      <c r="AC1093" s="29" t="str">
        <f aca="false">IF(P1093&lt;10,"a) &lt;10",IF(P1093&lt;20,"b) 10-20",IF(P1093&lt;40,"c) 20-40",IF(P1093&lt;80,"d) 40-80","e) 80+"))))</f>
        <v>b) 10-20</v>
      </c>
      <c r="AD1093" s="31" t="n">
        <f aca="false">Summary!$C$5+SUM(X$2:X1093)</f>
        <v>23334.87</v>
      </c>
      <c r="AE1093" s="31" t="n">
        <f aca="false">MAX(AE1092,AD1093)</f>
        <v>23611.84</v>
      </c>
      <c r="AF1093" s="31" t="n">
        <f aca="false">AE1093-AD1093</f>
        <v>276.970000000001</v>
      </c>
      <c r="AG1093" s="30" t="n">
        <f aca="false">IFERROR(AF1093/AE1093,0)</f>
        <v>0.0117301320015721</v>
      </c>
    </row>
    <row r="1094" customFormat="false" ht="15" hidden="false" customHeight="false" outlineLevel="0" collapsed="false">
      <c r="A1094" s="29" t="n">
        <v>1093</v>
      </c>
      <c r="B1094" s="44" t="n">
        <v>46213.7729166667</v>
      </c>
      <c r="C1094" s="44" t="n">
        <v>46213.7746296296</v>
      </c>
      <c r="D1094" s="43" t="n">
        <f aca="false">INT(C1094)</f>
        <v>46213</v>
      </c>
      <c r="E1094" s="43" t="n">
        <f aca="false">D1094-WEEKDAY(D1094,3)</f>
        <v>46209</v>
      </c>
      <c r="F1094" s="29" t="s">
        <v>195</v>
      </c>
      <c r="G1094" s="29" t="n">
        <v>2026</v>
      </c>
      <c r="H1094" s="29" t="s">
        <v>254</v>
      </c>
      <c r="I1094" s="29" t="n">
        <v>18</v>
      </c>
      <c r="J1094" s="29" t="s">
        <v>246</v>
      </c>
      <c r="K1094" s="29" t="s">
        <v>247</v>
      </c>
      <c r="L1094" s="29" t="n">
        <v>0.03</v>
      </c>
      <c r="M1094" s="32" t="n">
        <v>29772.86</v>
      </c>
      <c r="N1094" s="32" t="n">
        <v>29758.51</v>
      </c>
      <c r="O1094" s="32" t="n">
        <v>29808.49</v>
      </c>
      <c r="P1094" s="45" t="n">
        <f aca="false">ABS(M1094-N1094)</f>
        <v>14.3500000000022</v>
      </c>
      <c r="Q1094" s="45" t="n">
        <f aca="false">IF(O1094="","",ABS(O1094-M1094))</f>
        <v>35.630000000001</v>
      </c>
      <c r="R1094" s="31" t="n">
        <f aca="false">P1094*L1094*Summary!$C$6</f>
        <v>43.0500000000065</v>
      </c>
      <c r="S1094" s="32" t="n">
        <v>29757.11</v>
      </c>
      <c r="T1094" s="29" t="s">
        <v>249</v>
      </c>
      <c r="U1094" s="45" t="n">
        <f aca="false">IF(J1094="BUY",S1094-M1094,M1094-S1094)</f>
        <v>-15.75</v>
      </c>
      <c r="V1094" s="46" t="n">
        <v>0</v>
      </c>
      <c r="W1094" s="46" t="n">
        <v>0</v>
      </c>
      <c r="X1094" s="46" t="n">
        <v>-47.25</v>
      </c>
      <c r="Y1094" s="33" t="n">
        <f aca="false">IFERROR(X1094/R1094,0)</f>
        <v>-1.09756097560959</v>
      </c>
      <c r="Z1094" s="29" t="str">
        <f aca="false">IF(X1094&gt;0,"Win",IF(X1094&lt;0,"Loss","Flat"))</f>
        <v>Loss</v>
      </c>
      <c r="AA1094" s="29" t="n">
        <f aca="false">ROUND((C1094-B1094)*1440,1)</f>
        <v>2.5</v>
      </c>
      <c r="AB1094" s="29" t="str">
        <f aca="false">IF(AA1094&lt;1,"a) &lt;1 min",IF(AA1094&lt;10,"b) 1-10 min",IF(AA1094&lt;60,"c) 10-60 min",IF(AA1094&lt;240,"d) 1-4 h","e) 4 h+"))))</f>
        <v>b) 1-10 min</v>
      </c>
      <c r="AC1094" s="29" t="str">
        <f aca="false">IF(P1094&lt;10,"a) &lt;10",IF(P1094&lt;20,"b) 10-20",IF(P1094&lt;40,"c) 20-40",IF(P1094&lt;80,"d) 40-80","e) 80+"))))</f>
        <v>b) 10-20</v>
      </c>
      <c r="AD1094" s="31" t="n">
        <f aca="false">Summary!$C$5+SUM(X$2:X1094)</f>
        <v>23287.62</v>
      </c>
      <c r="AE1094" s="31" t="n">
        <f aca="false">MAX(AE1093,AD1094)</f>
        <v>23611.84</v>
      </c>
      <c r="AF1094" s="31" t="n">
        <f aca="false">AE1094-AD1094</f>
        <v>324.220000000001</v>
      </c>
      <c r="AG1094" s="30" t="n">
        <f aca="false">IFERROR(AF1094/AE1094,0)</f>
        <v>0.0137312466965726</v>
      </c>
    </row>
    <row r="1095" customFormat="false" ht="15" hidden="false" customHeight="false" outlineLevel="0" collapsed="false">
      <c r="A1095" s="29" t="n">
        <v>1094</v>
      </c>
      <c r="B1095" s="44" t="n">
        <v>46216.2923611111</v>
      </c>
      <c r="C1095" s="44" t="n">
        <v>46216.3060532407</v>
      </c>
      <c r="D1095" s="43" t="n">
        <f aca="false">INT(C1095)</f>
        <v>46216</v>
      </c>
      <c r="E1095" s="43" t="n">
        <f aca="false">D1095-WEEKDAY(D1095,3)</f>
        <v>46216</v>
      </c>
      <c r="F1095" s="29" t="s">
        <v>195</v>
      </c>
      <c r="G1095" s="29" t="n">
        <v>2026</v>
      </c>
      <c r="H1095" s="29" t="s">
        <v>245</v>
      </c>
      <c r="I1095" s="29" t="n">
        <v>7</v>
      </c>
      <c r="J1095" s="29" t="s">
        <v>250</v>
      </c>
      <c r="K1095" s="29" t="s">
        <v>251</v>
      </c>
      <c r="L1095" s="29" t="n">
        <v>0.03</v>
      </c>
      <c r="M1095" s="32" t="n">
        <v>29464.97</v>
      </c>
      <c r="N1095" s="32" t="n">
        <v>29475.76</v>
      </c>
      <c r="O1095" s="32" t="n">
        <v>29437.54</v>
      </c>
      <c r="P1095" s="45" t="n">
        <f aca="false">ABS(M1095-N1095)</f>
        <v>10.7899999999972</v>
      </c>
      <c r="Q1095" s="45" t="n">
        <f aca="false">IF(O1095="","",ABS(O1095-M1095))</f>
        <v>27.4300000000003</v>
      </c>
      <c r="R1095" s="31" t="n">
        <f aca="false">P1095*L1095*Summary!$C$6</f>
        <v>32.3699999999917</v>
      </c>
      <c r="S1095" s="32" t="n">
        <v>29465.13</v>
      </c>
      <c r="T1095" s="29" t="s">
        <v>255</v>
      </c>
      <c r="U1095" s="45" t="n">
        <f aca="false">IF(J1095="BUY",S1095-M1095,M1095-S1095)</f>
        <v>-0.159999999999854</v>
      </c>
      <c r="V1095" s="46" t="n">
        <v>0</v>
      </c>
      <c r="W1095" s="46" t="n">
        <v>0</v>
      </c>
      <c r="X1095" s="46" t="n">
        <v>-0.48</v>
      </c>
      <c r="Y1095" s="33" t="n">
        <f aca="false">IFERROR(X1095/R1095,0)</f>
        <v>-0.0148285449490307</v>
      </c>
      <c r="Z1095" s="29" t="str">
        <f aca="false">IF(X1095&gt;0,"Win",IF(X1095&lt;0,"Loss","Flat"))</f>
        <v>Loss</v>
      </c>
      <c r="AA1095" s="29" t="n">
        <f aca="false">ROUND((C1095-B1095)*1440,1)</f>
        <v>19.7</v>
      </c>
      <c r="AB1095" s="29" t="str">
        <f aca="false">IF(AA1095&lt;1,"a) &lt;1 min",IF(AA1095&lt;10,"b) 1-10 min",IF(AA1095&lt;60,"c) 10-60 min",IF(AA1095&lt;240,"d) 1-4 h","e) 4 h+"))))</f>
        <v>c) 10-60 min</v>
      </c>
      <c r="AC1095" s="29" t="str">
        <f aca="false">IF(P1095&lt;10,"a) &lt;10",IF(P1095&lt;20,"b) 10-20",IF(P1095&lt;40,"c) 20-40",IF(P1095&lt;80,"d) 40-80","e) 80+"))))</f>
        <v>b) 10-20</v>
      </c>
      <c r="AD1095" s="31" t="n">
        <f aca="false">Summary!$C$5+SUM(X$2:X1095)</f>
        <v>23287.14</v>
      </c>
      <c r="AE1095" s="31" t="n">
        <f aca="false">MAX(AE1094,AD1095)</f>
        <v>23611.84</v>
      </c>
      <c r="AF1095" s="31" t="n">
        <f aca="false">AE1095-AD1095</f>
        <v>324.700000000001</v>
      </c>
      <c r="AG1095" s="30" t="n">
        <f aca="false">IFERROR(AF1095/AE1095,0)</f>
        <v>0.0137515754807758</v>
      </c>
    </row>
    <row r="1096" customFormat="false" ht="15" hidden="false" customHeight="false" outlineLevel="0" collapsed="false">
      <c r="A1096" s="29" t="n">
        <v>1095</v>
      </c>
      <c r="B1096" s="44" t="n">
        <v>46217.0861111111</v>
      </c>
      <c r="C1096" s="44" t="n">
        <v>46217.0862384259</v>
      </c>
      <c r="D1096" s="43" t="n">
        <f aca="false">INT(C1096)</f>
        <v>46217</v>
      </c>
      <c r="E1096" s="43" t="n">
        <f aca="false">D1096-WEEKDAY(D1096,3)</f>
        <v>46216</v>
      </c>
      <c r="F1096" s="29" t="s">
        <v>195</v>
      </c>
      <c r="G1096" s="29" t="n">
        <v>2026</v>
      </c>
      <c r="H1096" s="29" t="s">
        <v>248</v>
      </c>
      <c r="I1096" s="29" t="n">
        <v>2</v>
      </c>
      <c r="J1096" s="29" t="s">
        <v>250</v>
      </c>
      <c r="K1096" s="29" t="s">
        <v>251</v>
      </c>
      <c r="L1096" s="29" t="n">
        <v>0.03</v>
      </c>
      <c r="M1096" s="32" t="n">
        <v>29188.85</v>
      </c>
      <c r="N1096" s="32" t="n">
        <v>29196.4</v>
      </c>
      <c r="O1096" s="32" t="n">
        <v>29170.34</v>
      </c>
      <c r="P1096" s="45" t="n">
        <f aca="false">ABS(M1096-N1096)</f>
        <v>7.55000000000291</v>
      </c>
      <c r="Q1096" s="45" t="n">
        <f aca="false">IF(O1096="","",ABS(O1096-M1096))</f>
        <v>18.5099999999984</v>
      </c>
      <c r="R1096" s="31" t="n">
        <f aca="false">P1096*L1096*Summary!$C$6</f>
        <v>22.6500000000087</v>
      </c>
      <c r="S1096" s="32" t="n">
        <v>29170.22</v>
      </c>
      <c r="T1096" s="29" t="s">
        <v>227</v>
      </c>
      <c r="U1096" s="45" t="n">
        <f aca="false">IF(J1096="BUY",S1096-M1096,M1096-S1096)</f>
        <v>18.6299999999974</v>
      </c>
      <c r="V1096" s="46" t="n">
        <v>0</v>
      </c>
      <c r="W1096" s="46" t="n">
        <v>0</v>
      </c>
      <c r="X1096" s="46" t="n">
        <v>55.89</v>
      </c>
      <c r="Y1096" s="33" t="n">
        <f aca="false">IFERROR(X1096/R1096,0)</f>
        <v>2.46754966887322</v>
      </c>
      <c r="Z1096" s="29" t="str">
        <f aca="false">IF(X1096&gt;0,"Win",IF(X1096&lt;0,"Loss","Flat"))</f>
        <v>Win</v>
      </c>
      <c r="AA1096" s="29" t="n">
        <f aca="false">ROUND((C1096-B1096)*1440,1)</f>
        <v>0.2</v>
      </c>
      <c r="AB1096" s="29" t="str">
        <f aca="false">IF(AA1096&lt;1,"a) &lt;1 min",IF(AA1096&lt;10,"b) 1-10 min",IF(AA1096&lt;60,"c) 10-60 min",IF(AA1096&lt;240,"d) 1-4 h","e) 4 h+"))))</f>
        <v>a) &lt;1 min</v>
      </c>
      <c r="AC1096" s="29" t="str">
        <f aca="false">IF(P1096&lt;10,"a) &lt;10",IF(P1096&lt;20,"b) 10-20",IF(P1096&lt;40,"c) 20-40",IF(P1096&lt;80,"d) 40-80","e) 80+"))))</f>
        <v>a) &lt;10</v>
      </c>
      <c r="AD1096" s="31" t="n">
        <f aca="false">Summary!$C$5+SUM(X$2:X1096)</f>
        <v>23343.03</v>
      </c>
      <c r="AE1096" s="31" t="n">
        <f aca="false">MAX(AE1095,AD1096)</f>
        <v>23611.84</v>
      </c>
      <c r="AF1096" s="31" t="n">
        <f aca="false">AE1096-AD1096</f>
        <v>268.810000000001</v>
      </c>
      <c r="AG1096" s="30" t="n">
        <f aca="false">IFERROR(AF1096/AE1096,0)</f>
        <v>0.0113845426701181</v>
      </c>
    </row>
    <row r="1097" customFormat="false" ht="15" hidden="false" customHeight="false" outlineLevel="0" collapsed="false">
      <c r="A1097" s="29" t="n">
        <v>1096</v>
      </c>
      <c r="B1097" s="44" t="n">
        <v>46218.1395833333</v>
      </c>
      <c r="C1097" s="44" t="n">
        <v>46218.1431018519</v>
      </c>
      <c r="D1097" s="43" t="n">
        <f aca="false">INT(C1097)</f>
        <v>46218</v>
      </c>
      <c r="E1097" s="43" t="n">
        <f aca="false">D1097-WEEKDAY(D1097,3)</f>
        <v>46216</v>
      </c>
      <c r="F1097" s="29" t="s">
        <v>195</v>
      </c>
      <c r="G1097" s="29" t="n">
        <v>2026</v>
      </c>
      <c r="H1097" s="29" t="s">
        <v>252</v>
      </c>
      <c r="I1097" s="29" t="n">
        <v>3</v>
      </c>
      <c r="J1097" s="29" t="s">
        <v>246</v>
      </c>
      <c r="K1097" s="29" t="s">
        <v>247</v>
      </c>
      <c r="L1097" s="29" t="n">
        <v>0.03</v>
      </c>
      <c r="M1097" s="32" t="n">
        <v>29723.87</v>
      </c>
      <c r="N1097" s="32" t="n">
        <v>29706.5</v>
      </c>
      <c r="O1097" s="32" t="n">
        <v>29766.42</v>
      </c>
      <c r="P1097" s="45" t="n">
        <f aca="false">ABS(M1097-N1097)</f>
        <v>17.369999999999</v>
      </c>
      <c r="Q1097" s="45" t="n">
        <f aca="false">IF(O1097="","",ABS(O1097-M1097))</f>
        <v>42.5499999999993</v>
      </c>
      <c r="R1097" s="31" t="n">
        <f aca="false">P1097*L1097*Summary!$C$6</f>
        <v>52.1099999999969</v>
      </c>
      <c r="S1097" s="32" t="n">
        <v>29706.48</v>
      </c>
      <c r="T1097" s="29" t="s">
        <v>249</v>
      </c>
      <c r="U1097" s="45" t="n">
        <f aca="false">IF(J1097="BUY",S1097-M1097,M1097-S1097)</f>
        <v>-17.3899999999994</v>
      </c>
      <c r="V1097" s="46" t="n">
        <v>0</v>
      </c>
      <c r="W1097" s="46" t="n">
        <v>0</v>
      </c>
      <c r="X1097" s="46" t="n">
        <v>-52.17</v>
      </c>
      <c r="Y1097" s="33" t="n">
        <f aca="false">IFERROR(X1097/R1097,0)</f>
        <v>-1.00115141047789</v>
      </c>
      <c r="Z1097" s="29" t="str">
        <f aca="false">IF(X1097&gt;0,"Win",IF(X1097&lt;0,"Loss","Flat"))</f>
        <v>Loss</v>
      </c>
      <c r="AA1097" s="29" t="n">
        <f aca="false">ROUND((C1097-B1097)*1440,1)</f>
        <v>5.1</v>
      </c>
      <c r="AB1097" s="29" t="str">
        <f aca="false">IF(AA1097&lt;1,"a) &lt;1 min",IF(AA1097&lt;10,"b) 1-10 min",IF(AA1097&lt;60,"c) 10-60 min",IF(AA1097&lt;240,"d) 1-4 h","e) 4 h+"))))</f>
        <v>b) 1-10 min</v>
      </c>
      <c r="AC1097" s="29" t="str">
        <f aca="false">IF(P1097&lt;10,"a) &lt;10",IF(P1097&lt;20,"b) 10-20",IF(P1097&lt;40,"c) 20-40",IF(P1097&lt;80,"d) 40-80","e) 80+"))))</f>
        <v>b) 10-20</v>
      </c>
      <c r="AD1097" s="31" t="n">
        <f aca="false">Summary!$C$5+SUM(X$2:X1097)</f>
        <v>23290.86</v>
      </c>
      <c r="AE1097" s="31" t="n">
        <f aca="false">MAX(AE1096,AD1097)</f>
        <v>23611.84</v>
      </c>
      <c r="AF1097" s="31" t="n">
        <f aca="false">AE1097-AD1097</f>
        <v>320.98</v>
      </c>
      <c r="AG1097" s="30" t="n">
        <f aca="false">IFERROR(AF1097/AE1097,0)</f>
        <v>0.0135940274032011</v>
      </c>
    </row>
    <row r="1098" customFormat="false" ht="15" hidden="false" customHeight="false" outlineLevel="0" collapsed="false">
      <c r="A1098" s="29" t="n">
        <v>1097</v>
      </c>
      <c r="B1098" s="44" t="n">
        <v>46219.6180555556</v>
      </c>
      <c r="C1098" s="44" t="n">
        <v>46219.6185532407</v>
      </c>
      <c r="D1098" s="43" t="n">
        <f aca="false">INT(C1098)</f>
        <v>46219</v>
      </c>
      <c r="E1098" s="43" t="n">
        <f aca="false">D1098-WEEKDAY(D1098,3)</f>
        <v>46216</v>
      </c>
      <c r="F1098" s="29" t="s">
        <v>195</v>
      </c>
      <c r="G1098" s="29" t="n">
        <v>2026</v>
      </c>
      <c r="H1098" s="29" t="s">
        <v>253</v>
      </c>
      <c r="I1098" s="29" t="n">
        <v>14</v>
      </c>
      <c r="J1098" s="29" t="s">
        <v>250</v>
      </c>
      <c r="K1098" s="29" t="s">
        <v>251</v>
      </c>
      <c r="L1098" s="29" t="n">
        <v>0.03</v>
      </c>
      <c r="M1098" s="32" t="n">
        <v>29188.79</v>
      </c>
      <c r="N1098" s="32" t="n">
        <v>29216.79</v>
      </c>
      <c r="O1098" s="32" t="n">
        <v>29120.19</v>
      </c>
      <c r="P1098" s="45" t="n">
        <f aca="false">ABS(M1098-N1098)</f>
        <v>28</v>
      </c>
      <c r="Q1098" s="45" t="n">
        <f aca="false">IF(O1098="","",ABS(O1098-M1098))</f>
        <v>68.6000000000022</v>
      </c>
      <c r="R1098" s="31" t="n">
        <f aca="false">P1098*L1098*Summary!$C$6</f>
        <v>84</v>
      </c>
      <c r="S1098" s="32" t="n">
        <v>29216.81</v>
      </c>
      <c r="T1098" s="29" t="s">
        <v>249</v>
      </c>
      <c r="U1098" s="45" t="n">
        <f aca="false">IF(J1098="BUY",S1098-M1098,M1098-S1098)</f>
        <v>-28.0200000000004</v>
      </c>
      <c r="V1098" s="46" t="n">
        <v>0</v>
      </c>
      <c r="W1098" s="46" t="n">
        <v>0</v>
      </c>
      <c r="X1098" s="46" t="n">
        <v>-84.06</v>
      </c>
      <c r="Y1098" s="33" t="n">
        <f aca="false">IFERROR(X1098/R1098,0)</f>
        <v>-1.00071428571429</v>
      </c>
      <c r="Z1098" s="29" t="str">
        <f aca="false">IF(X1098&gt;0,"Win",IF(X1098&lt;0,"Loss","Flat"))</f>
        <v>Loss</v>
      </c>
      <c r="AA1098" s="29" t="n">
        <f aca="false">ROUND((C1098-B1098)*1440,1)</f>
        <v>0.7</v>
      </c>
      <c r="AB1098" s="29" t="str">
        <f aca="false">IF(AA1098&lt;1,"a) &lt;1 min",IF(AA1098&lt;10,"b) 1-10 min",IF(AA1098&lt;60,"c) 10-60 min",IF(AA1098&lt;240,"d) 1-4 h","e) 4 h+"))))</f>
        <v>a) &lt;1 min</v>
      </c>
      <c r="AC1098" s="29" t="str">
        <f aca="false">IF(P1098&lt;10,"a) &lt;10",IF(P1098&lt;20,"b) 10-20",IF(P1098&lt;40,"c) 20-40",IF(P1098&lt;80,"d) 40-80","e) 80+"))))</f>
        <v>c) 20-40</v>
      </c>
      <c r="AD1098" s="31" t="n">
        <f aca="false">Summary!$C$5+SUM(X$2:X1098)</f>
        <v>23206.8</v>
      </c>
      <c r="AE1098" s="31" t="n">
        <f aca="false">MAX(AE1097,AD1098)</f>
        <v>23611.84</v>
      </c>
      <c r="AF1098" s="31" t="n">
        <f aca="false">AE1098-AD1098</f>
        <v>405.040000000001</v>
      </c>
      <c r="AG1098" s="30" t="n">
        <f aca="false">IFERROR(AF1098/AE1098,0)</f>
        <v>0.0171541057367829</v>
      </c>
    </row>
    <row r="1099" customFormat="false" ht="15" hidden="false" customHeight="false" outlineLevel="0" collapsed="false">
      <c r="A1099" s="29" t="n">
        <v>1098</v>
      </c>
      <c r="B1099" s="44" t="n">
        <v>46220.1069444444</v>
      </c>
      <c r="C1099" s="44" t="n">
        <v>46220.1071064815</v>
      </c>
      <c r="D1099" s="43" t="n">
        <f aca="false">INT(C1099)</f>
        <v>46220</v>
      </c>
      <c r="E1099" s="43" t="n">
        <f aca="false">D1099-WEEKDAY(D1099,3)</f>
        <v>46216</v>
      </c>
      <c r="F1099" s="29" t="s">
        <v>195</v>
      </c>
      <c r="G1099" s="29" t="n">
        <v>2026</v>
      </c>
      <c r="H1099" s="29" t="s">
        <v>254</v>
      </c>
      <c r="I1099" s="29" t="n">
        <v>2</v>
      </c>
      <c r="J1099" s="29" t="s">
        <v>250</v>
      </c>
      <c r="K1099" s="29" t="s">
        <v>251</v>
      </c>
      <c r="L1099" s="29" t="n">
        <v>0.04</v>
      </c>
      <c r="M1099" s="32" t="n">
        <v>28881.57</v>
      </c>
      <c r="N1099" s="32" t="n">
        <v>28893.95</v>
      </c>
      <c r="O1099" s="32" t="n">
        <v>28851.24</v>
      </c>
      <c r="P1099" s="45" t="n">
        <f aca="false">ABS(M1099-N1099)</f>
        <v>12.380000000001</v>
      </c>
      <c r="Q1099" s="45" t="n">
        <f aca="false">IF(O1099="","",ABS(O1099-M1099))</f>
        <v>30.3299999999981</v>
      </c>
      <c r="R1099" s="31" t="n">
        <f aca="false">P1099*L1099*Summary!$C$6</f>
        <v>49.5200000000041</v>
      </c>
      <c r="S1099" s="32" t="n">
        <v>28895.29</v>
      </c>
      <c r="T1099" s="29" t="s">
        <v>249</v>
      </c>
      <c r="U1099" s="45" t="n">
        <f aca="false">IF(J1099="BUY",S1099-M1099,M1099-S1099)</f>
        <v>-13.7200000000012</v>
      </c>
      <c r="V1099" s="46" t="n">
        <v>0</v>
      </c>
      <c r="W1099" s="46" t="n">
        <v>0</v>
      </c>
      <c r="X1099" s="46" t="n">
        <v>-54.88</v>
      </c>
      <c r="Y1099" s="33" t="n">
        <f aca="false">IFERROR(X1099/R1099,0)</f>
        <v>-1.10823909531493</v>
      </c>
      <c r="Z1099" s="29" t="str">
        <f aca="false">IF(X1099&gt;0,"Win",IF(X1099&lt;0,"Loss","Flat"))</f>
        <v>Loss</v>
      </c>
      <c r="AA1099" s="29" t="n">
        <f aca="false">ROUND((C1099-B1099)*1440,1)</f>
        <v>0.2</v>
      </c>
      <c r="AB1099" s="29" t="str">
        <f aca="false">IF(AA1099&lt;1,"a) &lt;1 min",IF(AA1099&lt;10,"b) 1-10 min",IF(AA1099&lt;60,"c) 10-60 min",IF(AA1099&lt;240,"d) 1-4 h","e) 4 h+"))))</f>
        <v>a) &lt;1 min</v>
      </c>
      <c r="AC1099" s="29" t="str">
        <f aca="false">IF(P1099&lt;10,"a) &lt;10",IF(P1099&lt;20,"b) 10-20",IF(P1099&lt;40,"c) 20-40",IF(P1099&lt;80,"d) 40-80","e) 80+"))))</f>
        <v>b) 10-20</v>
      </c>
      <c r="AD1099" s="31" t="n">
        <f aca="false">Summary!$C$5+SUM(X$2:X1099)</f>
        <v>23151.92</v>
      </c>
      <c r="AE1099" s="31" t="n">
        <f aca="false">MAX(AE1098,AD1099)</f>
        <v>23611.84</v>
      </c>
      <c r="AF1099" s="31" t="n">
        <f aca="false">AE1099-AD1099</f>
        <v>459.920000000002</v>
      </c>
      <c r="AG1099" s="30" t="n">
        <f aca="false">IFERROR(AF1099/AE1099,0)</f>
        <v>0.0194783633973465</v>
      </c>
    </row>
    <row r="1100" customFormat="false" ht="15" hidden="false" customHeight="false" outlineLevel="0" collapsed="false">
      <c r="A1100" s="29" t="n">
        <v>1099</v>
      </c>
      <c r="B1100" s="44" t="n">
        <v>46224.5125</v>
      </c>
      <c r="C1100" s="44" t="n">
        <v>46224.513900463</v>
      </c>
      <c r="D1100" s="43" t="n">
        <f aca="false">INT(C1100)</f>
        <v>46224</v>
      </c>
      <c r="E1100" s="43" t="n">
        <f aca="false">D1100-WEEKDAY(D1100,3)</f>
        <v>46223</v>
      </c>
      <c r="F1100" s="29" t="s">
        <v>195</v>
      </c>
      <c r="G1100" s="29" t="n">
        <v>2026</v>
      </c>
      <c r="H1100" s="29" t="s">
        <v>248</v>
      </c>
      <c r="I1100" s="29" t="n">
        <v>12</v>
      </c>
      <c r="J1100" s="29" t="s">
        <v>246</v>
      </c>
      <c r="K1100" s="29" t="s">
        <v>247</v>
      </c>
      <c r="L1100" s="29" t="n">
        <v>0.03</v>
      </c>
      <c r="M1100" s="32" t="n">
        <v>29016.75</v>
      </c>
      <c r="N1100" s="32" t="n">
        <v>29010.03</v>
      </c>
      <c r="O1100" s="32" t="n">
        <v>29033.21</v>
      </c>
      <c r="P1100" s="45" t="n">
        <f aca="false">ABS(M1100-N1100)</f>
        <v>6.72000000000116</v>
      </c>
      <c r="Q1100" s="45" t="n">
        <f aca="false">IF(O1100="","",ABS(O1100-M1100))</f>
        <v>16.4599999999991</v>
      </c>
      <c r="R1100" s="31" t="n">
        <f aca="false">P1100*L1100*Summary!$C$6</f>
        <v>20.1600000000035</v>
      </c>
      <c r="S1100" s="32" t="n">
        <v>29016.33</v>
      </c>
      <c r="T1100" s="29" t="s">
        <v>255</v>
      </c>
      <c r="U1100" s="45" t="n">
        <f aca="false">IF(J1100="BUY",S1100-M1100,M1100-S1100)</f>
        <v>-0.419999999998254</v>
      </c>
      <c r="V1100" s="46" t="n">
        <v>0</v>
      </c>
      <c r="W1100" s="46" t="n">
        <v>0</v>
      </c>
      <c r="X1100" s="46" t="n">
        <v>-1.26</v>
      </c>
      <c r="Y1100" s="33" t="n">
        <f aca="false">IFERROR(X1100/R1100,0)</f>
        <v>-0.0624999999999892</v>
      </c>
      <c r="Z1100" s="29" t="str">
        <f aca="false">IF(X1100&gt;0,"Win",IF(X1100&lt;0,"Loss","Flat"))</f>
        <v>Loss</v>
      </c>
      <c r="AA1100" s="29" t="n">
        <f aca="false">ROUND((C1100-B1100)*1440,1)</f>
        <v>2</v>
      </c>
      <c r="AB1100" s="29" t="str">
        <f aca="false">IF(AA1100&lt;1,"a) &lt;1 min",IF(AA1100&lt;10,"b) 1-10 min",IF(AA1100&lt;60,"c) 10-60 min",IF(AA1100&lt;240,"d) 1-4 h","e) 4 h+"))))</f>
        <v>b) 1-10 min</v>
      </c>
      <c r="AC1100" s="29" t="str">
        <f aca="false">IF(P1100&lt;10,"a) &lt;10",IF(P1100&lt;20,"b) 10-20",IF(P1100&lt;40,"c) 20-40",IF(P1100&lt;80,"d) 40-80","e) 80+"))))</f>
        <v>a) &lt;10</v>
      </c>
      <c r="AD1100" s="31" t="n">
        <f aca="false">Summary!$C$5+SUM(X$2:X1100)</f>
        <v>23150.66</v>
      </c>
      <c r="AE1100" s="31" t="n">
        <f aca="false">MAX(AE1099,AD1100)</f>
        <v>23611.84</v>
      </c>
      <c r="AF1100" s="31" t="n">
        <f aca="false">AE1100-AD1100</f>
        <v>461.18</v>
      </c>
      <c r="AG1100" s="30" t="n">
        <f aca="false">IFERROR(AF1100/AE1100,0)</f>
        <v>0.0195317264558798</v>
      </c>
    </row>
    <row r="1101" customFormat="false" ht="15" hidden="false" customHeight="false" outlineLevel="0" collapsed="false">
      <c r="A1101" s="29" t="n">
        <v>1100</v>
      </c>
      <c r="B1101" s="44" t="n">
        <v>46226.4256944444</v>
      </c>
      <c r="C1101" s="44" t="n">
        <v>46226.4265046296</v>
      </c>
      <c r="D1101" s="43" t="n">
        <f aca="false">INT(C1101)</f>
        <v>46226</v>
      </c>
      <c r="E1101" s="43" t="n">
        <f aca="false">D1101-WEEKDAY(D1101,3)</f>
        <v>46223</v>
      </c>
      <c r="F1101" s="29" t="s">
        <v>195</v>
      </c>
      <c r="G1101" s="29" t="n">
        <v>2026</v>
      </c>
      <c r="H1101" s="29" t="s">
        <v>253</v>
      </c>
      <c r="I1101" s="29" t="n">
        <v>10</v>
      </c>
      <c r="J1101" s="29" t="s">
        <v>250</v>
      </c>
      <c r="K1101" s="29" t="s">
        <v>251</v>
      </c>
      <c r="L1101" s="29" t="n">
        <v>0.04</v>
      </c>
      <c r="M1101" s="32" t="n">
        <v>28795.59</v>
      </c>
      <c r="N1101" s="32" t="n">
        <v>28816.61</v>
      </c>
      <c r="O1101" s="32" t="n">
        <v>28744.09</v>
      </c>
      <c r="P1101" s="45" t="n">
        <f aca="false">ABS(M1101-N1101)</f>
        <v>21.0200000000004</v>
      </c>
      <c r="Q1101" s="45" t="n">
        <f aca="false">IF(O1101="","",ABS(O1101-M1101))</f>
        <v>51.5</v>
      </c>
      <c r="R1101" s="31" t="n">
        <f aca="false">P1101*L1101*Summary!$C$6</f>
        <v>84.0800000000018</v>
      </c>
      <c r="S1101" s="32" t="n">
        <v>28817.92</v>
      </c>
      <c r="T1101" s="29" t="s">
        <v>249</v>
      </c>
      <c r="U1101" s="45" t="n">
        <f aca="false">IF(J1101="BUY",S1101-M1101,M1101-S1101)</f>
        <v>-22.3299999999981</v>
      </c>
      <c r="V1101" s="46" t="n">
        <v>0</v>
      </c>
      <c r="W1101" s="46" t="n">
        <v>0</v>
      </c>
      <c r="X1101" s="46" t="n">
        <v>-89.32</v>
      </c>
      <c r="Y1101" s="33" t="n">
        <f aca="false">IFERROR(X1101/R1101,0)</f>
        <v>-1.06232159847762</v>
      </c>
      <c r="Z1101" s="29" t="str">
        <f aca="false">IF(X1101&gt;0,"Win",IF(X1101&lt;0,"Loss","Flat"))</f>
        <v>Loss</v>
      </c>
      <c r="AA1101" s="29" t="n">
        <f aca="false">ROUND((C1101-B1101)*1440,1)</f>
        <v>1.2</v>
      </c>
      <c r="AB1101" s="29" t="str">
        <f aca="false">IF(AA1101&lt;1,"a) &lt;1 min",IF(AA1101&lt;10,"b) 1-10 min",IF(AA1101&lt;60,"c) 10-60 min",IF(AA1101&lt;240,"d) 1-4 h","e) 4 h+"))))</f>
        <v>b) 1-10 min</v>
      </c>
      <c r="AC1101" s="29" t="str">
        <f aca="false">IF(P1101&lt;10,"a) &lt;10",IF(P1101&lt;20,"b) 10-20",IF(P1101&lt;40,"c) 20-40",IF(P1101&lt;80,"d) 40-80","e) 80+"))))</f>
        <v>c) 20-40</v>
      </c>
      <c r="AD1101" s="31" t="n">
        <f aca="false">Summary!$C$5+SUM(X$2:X1101)</f>
        <v>23061.34</v>
      </c>
      <c r="AE1101" s="31" t="n">
        <f aca="false">MAX(AE1100,AD1101)</f>
        <v>23611.84</v>
      </c>
      <c r="AF1101" s="31" t="n">
        <f aca="false">AE1101-AD1101</f>
        <v>550.5</v>
      </c>
      <c r="AG1101" s="30" t="n">
        <f aca="false">IFERROR(AF1101/AE1101,0)</f>
        <v>0.0233145743830214</v>
      </c>
    </row>
    <row r="1102" customFormat="false" ht="15" hidden="false" customHeight="false" outlineLevel="0" collapsed="false">
      <c r="A1102" s="29" t="n">
        <v>1101</v>
      </c>
      <c r="B1102" s="44" t="n">
        <v>46227.7027777778</v>
      </c>
      <c r="C1102" s="44" t="n">
        <v>46227.7136458333</v>
      </c>
      <c r="D1102" s="43" t="n">
        <f aca="false">INT(C1102)</f>
        <v>46227</v>
      </c>
      <c r="E1102" s="43" t="n">
        <f aca="false">D1102-WEEKDAY(D1102,3)</f>
        <v>46223</v>
      </c>
      <c r="F1102" s="29" t="s">
        <v>195</v>
      </c>
      <c r="G1102" s="29" t="n">
        <v>2026</v>
      </c>
      <c r="H1102" s="29" t="s">
        <v>254</v>
      </c>
      <c r="I1102" s="29" t="n">
        <v>16</v>
      </c>
      <c r="J1102" s="29" t="s">
        <v>250</v>
      </c>
      <c r="K1102" s="29" t="s">
        <v>251</v>
      </c>
      <c r="L1102" s="29" t="n">
        <v>0.04</v>
      </c>
      <c r="M1102" s="32" t="n">
        <v>28240.64</v>
      </c>
      <c r="N1102" s="32" t="n">
        <v>28288.6</v>
      </c>
      <c r="O1102" s="32" t="n">
        <v>28122.94</v>
      </c>
      <c r="P1102" s="45" t="n">
        <f aca="false">ABS(M1102-N1102)</f>
        <v>47.9599999999991</v>
      </c>
      <c r="Q1102" s="45" t="n">
        <f aca="false">IF(O1102="","",ABS(O1102-M1102))</f>
        <v>117.700000000001</v>
      </c>
      <c r="R1102" s="31" t="n">
        <f aca="false">P1102*L1102*Summary!$C$6</f>
        <v>191.839999999997</v>
      </c>
      <c r="S1102" s="32" t="n">
        <v>28242.31</v>
      </c>
      <c r="T1102" s="29" t="s">
        <v>255</v>
      </c>
      <c r="U1102" s="45" t="n">
        <f aca="false">IF(J1102="BUY",S1102-M1102,M1102-S1102)</f>
        <v>-1.67000000000189</v>
      </c>
      <c r="V1102" s="46" t="n">
        <v>0</v>
      </c>
      <c r="W1102" s="46" t="n">
        <v>0</v>
      </c>
      <c r="X1102" s="46" t="n">
        <v>-6.68</v>
      </c>
      <c r="Y1102" s="33" t="n">
        <f aca="false">IFERROR(X1102/R1102,0)</f>
        <v>-0.0348206839032533</v>
      </c>
      <c r="Z1102" s="29" t="str">
        <f aca="false">IF(X1102&gt;0,"Win",IF(X1102&lt;0,"Loss","Flat"))</f>
        <v>Loss</v>
      </c>
      <c r="AA1102" s="29" t="n">
        <f aca="false">ROUND((C1102-B1102)*1440,1)</f>
        <v>15.7</v>
      </c>
      <c r="AB1102" s="29" t="str">
        <f aca="false">IF(AA1102&lt;1,"a) &lt;1 min",IF(AA1102&lt;10,"b) 1-10 min",IF(AA1102&lt;60,"c) 10-60 min",IF(AA1102&lt;240,"d) 1-4 h","e) 4 h+"))))</f>
        <v>c) 10-60 min</v>
      </c>
      <c r="AC1102" s="29" t="str">
        <f aca="false">IF(P1102&lt;10,"a) &lt;10",IF(P1102&lt;20,"b) 10-20",IF(P1102&lt;40,"c) 20-40",IF(P1102&lt;80,"d) 40-80","e) 80+"))))</f>
        <v>d) 40-80</v>
      </c>
      <c r="AD1102" s="31" t="n">
        <f aca="false">Summary!$C$5+SUM(X$2:X1102)</f>
        <v>23054.66</v>
      </c>
      <c r="AE1102" s="31" t="n">
        <f aca="false">MAX(AE1101,AD1102)</f>
        <v>23611.84</v>
      </c>
      <c r="AF1102" s="31" t="n">
        <f aca="false">AE1102-AD1102</f>
        <v>557.18</v>
      </c>
      <c r="AG1102" s="30" t="n">
        <f aca="false">IFERROR(AF1102/AE1102,0)</f>
        <v>0.0235974832965157</v>
      </c>
    </row>
    <row r="1103" customFormat="false" ht="15" hidden="false" customHeight="false" outlineLevel="0" collapsed="false">
      <c r="A1103" s="29" t="n">
        <v>1102</v>
      </c>
      <c r="B1103" s="44" t="n">
        <v>46230.4881944444</v>
      </c>
      <c r="C1103" s="44" t="n">
        <v>46230.4947916667</v>
      </c>
      <c r="D1103" s="43" t="n">
        <f aca="false">INT(C1103)</f>
        <v>46230</v>
      </c>
      <c r="E1103" s="43" t="n">
        <f aca="false">D1103-WEEKDAY(D1103,3)</f>
        <v>46230</v>
      </c>
      <c r="F1103" s="29" t="s">
        <v>195</v>
      </c>
      <c r="G1103" s="29" t="n">
        <v>2026</v>
      </c>
      <c r="H1103" s="29" t="s">
        <v>245</v>
      </c>
      <c r="I1103" s="29" t="n">
        <v>11</v>
      </c>
      <c r="J1103" s="29" t="s">
        <v>246</v>
      </c>
      <c r="K1103" s="29" t="s">
        <v>247</v>
      </c>
      <c r="L1103" s="29" t="n">
        <v>0.04</v>
      </c>
      <c r="M1103" s="32" t="n">
        <v>28583.12</v>
      </c>
      <c r="N1103" s="32" t="n">
        <v>28573.46</v>
      </c>
      <c r="O1103" s="32" t="n">
        <v>28605.31</v>
      </c>
      <c r="P1103" s="45" t="n">
        <f aca="false">ABS(M1103-N1103)</f>
        <v>9.65999999999985</v>
      </c>
      <c r="Q1103" s="45" t="n">
        <f aca="false">IF(O1103="","",ABS(O1103-M1103))</f>
        <v>22.1900000000023</v>
      </c>
      <c r="R1103" s="31" t="n">
        <f aca="false">P1103*L1103*Summary!$C$6</f>
        <v>38.6399999999994</v>
      </c>
      <c r="S1103" s="32" t="n">
        <v>28573.32</v>
      </c>
      <c r="T1103" s="29" t="s">
        <v>249</v>
      </c>
      <c r="U1103" s="45" t="n">
        <f aca="false">IF(J1103="BUY",S1103-M1103,M1103-S1103)</f>
        <v>-9.79999999999927</v>
      </c>
      <c r="V1103" s="46" t="n">
        <v>0</v>
      </c>
      <c r="W1103" s="46" t="n">
        <v>0</v>
      </c>
      <c r="X1103" s="46" t="n">
        <v>-39.2</v>
      </c>
      <c r="Y1103" s="33" t="n">
        <f aca="false">IFERROR(X1103/R1103,0)</f>
        <v>-1.0144927536232</v>
      </c>
      <c r="Z1103" s="29" t="str">
        <f aca="false">IF(X1103&gt;0,"Win",IF(X1103&lt;0,"Loss","Flat"))</f>
        <v>Loss</v>
      </c>
      <c r="AA1103" s="29" t="n">
        <f aca="false">ROUND((C1103-B1103)*1440,1)</f>
        <v>9.5</v>
      </c>
      <c r="AB1103" s="29" t="str">
        <f aca="false">IF(AA1103&lt;1,"a) &lt;1 min",IF(AA1103&lt;10,"b) 1-10 min",IF(AA1103&lt;60,"c) 10-60 min",IF(AA1103&lt;240,"d) 1-4 h","e) 4 h+"))))</f>
        <v>b) 1-10 min</v>
      </c>
      <c r="AC1103" s="29" t="str">
        <f aca="false">IF(P1103&lt;10,"a) &lt;10",IF(P1103&lt;20,"b) 10-20",IF(P1103&lt;40,"c) 20-40",IF(P1103&lt;80,"d) 40-80","e) 80+"))))</f>
        <v>a) &lt;10</v>
      </c>
      <c r="AD1103" s="31" t="n">
        <f aca="false">Summary!$C$5+SUM(X$2:X1103)</f>
        <v>23015.46</v>
      </c>
      <c r="AE1103" s="31" t="n">
        <f aca="false">MAX(AE1102,AD1103)</f>
        <v>23611.84</v>
      </c>
      <c r="AF1103" s="31" t="n">
        <f aca="false">AE1103-AD1103</f>
        <v>596.380000000001</v>
      </c>
      <c r="AG1103" s="30" t="n">
        <f aca="false">IFERROR(AF1103/AE1103,0)</f>
        <v>0.0252576673397753</v>
      </c>
    </row>
    <row r="1104" customFormat="false" ht="15" hidden="false" customHeight="false" outlineLevel="0" collapsed="false">
      <c r="A1104" s="29" t="n">
        <v>1103</v>
      </c>
      <c r="B1104" s="44" t="n">
        <v>46230.725</v>
      </c>
      <c r="C1104" s="44" t="n">
        <v>46230.7291319444</v>
      </c>
      <c r="D1104" s="43" t="n">
        <f aca="false">INT(C1104)</f>
        <v>46230</v>
      </c>
      <c r="E1104" s="43" t="n">
        <f aca="false">D1104-WEEKDAY(D1104,3)</f>
        <v>46230</v>
      </c>
      <c r="F1104" s="29" t="s">
        <v>195</v>
      </c>
      <c r="G1104" s="29" t="n">
        <v>2026</v>
      </c>
      <c r="H1104" s="29" t="s">
        <v>245</v>
      </c>
      <c r="I1104" s="29" t="n">
        <v>17</v>
      </c>
      <c r="J1104" s="29" t="s">
        <v>250</v>
      </c>
      <c r="K1104" s="29" t="s">
        <v>251</v>
      </c>
      <c r="L1104" s="29" t="n">
        <v>0.04</v>
      </c>
      <c r="M1104" s="32" t="n">
        <v>28030.12</v>
      </c>
      <c r="N1104" s="32" t="n">
        <v>28073.32</v>
      </c>
      <c r="O1104" s="32" t="n">
        <v>27926.1</v>
      </c>
      <c r="P1104" s="45" t="n">
        <f aca="false">ABS(M1104-N1104)</f>
        <v>43.2000000000007</v>
      </c>
      <c r="Q1104" s="45" t="n">
        <f aca="false">IF(O1104="","",ABS(O1104-M1104))</f>
        <v>104.02</v>
      </c>
      <c r="R1104" s="31" t="n">
        <f aca="false">P1104*L1104*Summary!$C$6</f>
        <v>172.800000000003</v>
      </c>
      <c r="S1104" s="32" t="n">
        <v>27924.99</v>
      </c>
      <c r="T1104" s="29" t="s">
        <v>227</v>
      </c>
      <c r="U1104" s="45" t="n">
        <f aca="false">IF(J1104="BUY",S1104-M1104,M1104-S1104)</f>
        <v>105.129999999997</v>
      </c>
      <c r="V1104" s="46" t="n">
        <v>0</v>
      </c>
      <c r="W1104" s="46" t="n">
        <v>0</v>
      </c>
      <c r="X1104" s="46" t="n">
        <v>420.52</v>
      </c>
      <c r="Y1104" s="33" t="n">
        <f aca="false">IFERROR(X1104/R1104,0)</f>
        <v>2.43356481481477</v>
      </c>
      <c r="Z1104" s="29" t="str">
        <f aca="false">IF(X1104&gt;0,"Win",IF(X1104&lt;0,"Loss","Flat"))</f>
        <v>Win</v>
      </c>
      <c r="AA1104" s="29" t="n">
        <f aca="false">ROUND((C1104-B1104)*1440,1)</f>
        <v>6</v>
      </c>
      <c r="AB1104" s="29" t="str">
        <f aca="false">IF(AA1104&lt;1,"a) &lt;1 min",IF(AA1104&lt;10,"b) 1-10 min",IF(AA1104&lt;60,"c) 10-60 min",IF(AA1104&lt;240,"d) 1-4 h","e) 4 h+"))))</f>
        <v>b) 1-10 min</v>
      </c>
      <c r="AC1104" s="29" t="str">
        <f aca="false">IF(P1104&lt;10,"a) &lt;10",IF(P1104&lt;20,"b) 10-20",IF(P1104&lt;40,"c) 20-40",IF(P1104&lt;80,"d) 40-80","e) 80+"))))</f>
        <v>d) 40-80</v>
      </c>
      <c r="AD1104" s="31" t="n">
        <f aca="false">Summary!$C$5+SUM(X$2:X1104)</f>
        <v>23435.98</v>
      </c>
      <c r="AE1104" s="31" t="n">
        <f aca="false">MAX(AE1103,AD1104)</f>
        <v>23611.84</v>
      </c>
      <c r="AF1104" s="31" t="n">
        <f aca="false">AE1104-AD1104</f>
        <v>175.860000000001</v>
      </c>
      <c r="AG1104" s="30" t="n">
        <f aca="false">IFERROR(AF1104/AE1104,0)</f>
        <v>0.00744795831243989</v>
      </c>
    </row>
    <row r="1105" customFormat="false" ht="15" hidden="false" customHeight="false" outlineLevel="0" collapsed="false">
      <c r="A1105" s="29" t="n">
        <v>1104</v>
      </c>
      <c r="B1105" s="44" t="n">
        <v>46231.3486111111</v>
      </c>
      <c r="C1105" s="44" t="n">
        <v>46231.3498726852</v>
      </c>
      <c r="D1105" s="43" t="n">
        <f aca="false">INT(C1105)</f>
        <v>46231</v>
      </c>
      <c r="E1105" s="43" t="n">
        <f aca="false">D1105-WEEKDAY(D1105,3)</f>
        <v>46230</v>
      </c>
      <c r="F1105" s="29" t="s">
        <v>195</v>
      </c>
      <c r="G1105" s="29" t="n">
        <v>2026</v>
      </c>
      <c r="H1105" s="29" t="s">
        <v>248</v>
      </c>
      <c r="I1105" s="29" t="n">
        <v>8</v>
      </c>
      <c r="J1105" s="29" t="s">
        <v>250</v>
      </c>
      <c r="K1105" s="29" t="s">
        <v>251</v>
      </c>
      <c r="L1105" s="29" t="n">
        <v>0.04</v>
      </c>
      <c r="M1105" s="32" t="n">
        <v>27784.63</v>
      </c>
      <c r="N1105" s="32" t="n">
        <v>27793.01</v>
      </c>
      <c r="O1105" s="32" t="n">
        <v>27764.09</v>
      </c>
      <c r="P1105" s="45" t="n">
        <f aca="false">ABS(M1105-N1105)</f>
        <v>8.37999999999738</v>
      </c>
      <c r="Q1105" s="45" t="n">
        <f aca="false">IF(O1105="","",ABS(O1105-M1105))</f>
        <v>20.5400000000009</v>
      </c>
      <c r="R1105" s="31" t="n">
        <f aca="false">P1105*L1105*Summary!$C$6</f>
        <v>33.5199999999895</v>
      </c>
      <c r="S1105" s="32" t="n">
        <v>27784.82</v>
      </c>
      <c r="T1105" s="29" t="s">
        <v>255</v>
      </c>
      <c r="U1105" s="45" t="n">
        <f aca="false">IF(J1105="BUY",S1105-M1105,M1105-S1105)</f>
        <v>-0.18999999999869</v>
      </c>
      <c r="V1105" s="46" t="n">
        <v>0</v>
      </c>
      <c r="W1105" s="46" t="n">
        <v>0</v>
      </c>
      <c r="X1105" s="46" t="n">
        <v>-0.76</v>
      </c>
      <c r="Y1105" s="33" t="n">
        <f aca="false">IFERROR(X1105/R1105,0)</f>
        <v>-0.0226730310262601</v>
      </c>
      <c r="Z1105" s="29" t="str">
        <f aca="false">IF(X1105&gt;0,"Win",IF(X1105&lt;0,"Loss","Flat"))</f>
        <v>Loss</v>
      </c>
      <c r="AA1105" s="29" t="n">
        <f aca="false">ROUND((C1105-B1105)*1440,1)</f>
        <v>1.8</v>
      </c>
      <c r="AB1105" s="29" t="str">
        <f aca="false">IF(AA1105&lt;1,"a) &lt;1 min",IF(AA1105&lt;10,"b) 1-10 min",IF(AA1105&lt;60,"c) 10-60 min",IF(AA1105&lt;240,"d) 1-4 h","e) 4 h+"))))</f>
        <v>b) 1-10 min</v>
      </c>
      <c r="AC1105" s="29" t="str">
        <f aca="false">IF(P1105&lt;10,"a) &lt;10",IF(P1105&lt;20,"b) 10-20",IF(P1105&lt;40,"c) 20-40",IF(P1105&lt;80,"d) 40-80","e) 80+"))))</f>
        <v>a) &lt;10</v>
      </c>
      <c r="AD1105" s="31" t="n">
        <f aca="false">Summary!$C$5+SUM(X$2:X1105)</f>
        <v>23435.22</v>
      </c>
      <c r="AE1105" s="31" t="n">
        <f aca="false">MAX(AE1104,AD1105)</f>
        <v>23611.84</v>
      </c>
      <c r="AF1105" s="31" t="n">
        <f aca="false">AE1105-AD1105</f>
        <v>176.619999999999</v>
      </c>
      <c r="AG1105" s="30" t="n">
        <f aca="false">IFERROR(AF1105/AE1105,0)</f>
        <v>0.00748014555409485</v>
      </c>
    </row>
    <row r="1106" customFormat="false" ht="15" hidden="false" customHeight="false" outlineLevel="0" collapsed="false">
      <c r="A1106" s="29" t="n">
        <v>1105</v>
      </c>
      <c r="B1106" s="44" t="n">
        <v>46232.7263888889</v>
      </c>
      <c r="C1106" s="44" t="n">
        <v>46232.7282175926</v>
      </c>
      <c r="D1106" s="43" t="n">
        <f aca="false">INT(C1106)</f>
        <v>46232</v>
      </c>
      <c r="E1106" s="43" t="n">
        <f aca="false">D1106-WEEKDAY(D1106,3)</f>
        <v>46230</v>
      </c>
      <c r="F1106" s="29" t="s">
        <v>195</v>
      </c>
      <c r="G1106" s="29" t="n">
        <v>2026</v>
      </c>
      <c r="H1106" s="29" t="s">
        <v>252</v>
      </c>
      <c r="I1106" s="29" t="n">
        <v>17</v>
      </c>
      <c r="J1106" s="29" t="s">
        <v>250</v>
      </c>
      <c r="K1106" s="29" t="s">
        <v>251</v>
      </c>
      <c r="L1106" s="29" t="n">
        <v>0.04</v>
      </c>
      <c r="M1106" s="32" t="n">
        <v>27430.39</v>
      </c>
      <c r="N1106" s="32" t="n">
        <v>27466.06</v>
      </c>
      <c r="O1106" s="32" t="n">
        <v>27343</v>
      </c>
      <c r="P1106" s="45" t="n">
        <f aca="false">ABS(M1106-N1106)</f>
        <v>35.6700000000019</v>
      </c>
      <c r="Q1106" s="45" t="n">
        <f aca="false">IF(O1106="","",ABS(O1106-M1106))</f>
        <v>87.3899999999994</v>
      </c>
      <c r="R1106" s="31" t="n">
        <f aca="false">P1106*L1106*Summary!$C$6</f>
        <v>142.680000000008</v>
      </c>
      <c r="S1106" s="32" t="n">
        <v>27431.83</v>
      </c>
      <c r="T1106" s="29" t="s">
        <v>255</v>
      </c>
      <c r="U1106" s="45" t="n">
        <f aca="false">IF(J1106="BUY",S1106-M1106,M1106-S1106)</f>
        <v>-1.44000000000233</v>
      </c>
      <c r="V1106" s="46" t="n">
        <v>0</v>
      </c>
      <c r="W1106" s="46" t="n">
        <v>0</v>
      </c>
      <c r="X1106" s="46" t="n">
        <v>-5.76</v>
      </c>
      <c r="Y1106" s="33" t="n">
        <f aca="false">IFERROR(X1106/R1106,0)</f>
        <v>-0.0403700588730004</v>
      </c>
      <c r="Z1106" s="29" t="str">
        <f aca="false">IF(X1106&gt;0,"Win",IF(X1106&lt;0,"Loss","Flat"))</f>
        <v>Loss</v>
      </c>
      <c r="AA1106" s="29" t="n">
        <f aca="false">ROUND((C1106-B1106)*1440,1)</f>
        <v>2.6</v>
      </c>
      <c r="AB1106" s="29" t="str">
        <f aca="false">IF(AA1106&lt;1,"a) &lt;1 min",IF(AA1106&lt;10,"b) 1-10 min",IF(AA1106&lt;60,"c) 10-60 min",IF(AA1106&lt;240,"d) 1-4 h","e) 4 h+"))))</f>
        <v>b) 1-10 min</v>
      </c>
      <c r="AC1106" s="29" t="str">
        <f aca="false">IF(P1106&lt;10,"a) &lt;10",IF(P1106&lt;20,"b) 10-20",IF(P1106&lt;40,"c) 20-40",IF(P1106&lt;80,"d) 40-80","e) 80+"))))</f>
        <v>c) 20-40</v>
      </c>
      <c r="AD1106" s="31" t="n">
        <f aca="false">Summary!$C$5+SUM(X$2:X1106)</f>
        <v>23429.46</v>
      </c>
      <c r="AE1106" s="31" t="n">
        <f aca="false">MAX(AE1105,AD1106)</f>
        <v>23611.84</v>
      </c>
      <c r="AF1106" s="31" t="n">
        <f aca="false">AE1106-AD1106</f>
        <v>182.380000000001</v>
      </c>
      <c r="AG1106" s="30" t="n">
        <f aca="false">IFERROR(AF1106/AE1106,0)</f>
        <v>0.00772409096453309</v>
      </c>
    </row>
    <row r="1107" customFormat="false" ht="15" hidden="false" customHeight="false" outlineLevel="0" collapsed="false">
      <c r="A1107" s="29" t="n">
        <v>1106</v>
      </c>
      <c r="B1107" s="44" t="n">
        <v>46233.7097222222</v>
      </c>
      <c r="C1107" s="44" t="n">
        <v>46233.7105787037</v>
      </c>
      <c r="D1107" s="43" t="n">
        <f aca="false">INT(C1107)</f>
        <v>46233</v>
      </c>
      <c r="E1107" s="43" t="n">
        <f aca="false">D1107-WEEKDAY(D1107,3)</f>
        <v>46230</v>
      </c>
      <c r="F1107" s="29" t="s">
        <v>195</v>
      </c>
      <c r="G1107" s="29" t="n">
        <v>2026</v>
      </c>
      <c r="H1107" s="29" t="s">
        <v>253</v>
      </c>
      <c r="I1107" s="29" t="n">
        <v>17</v>
      </c>
      <c r="J1107" s="29" t="s">
        <v>246</v>
      </c>
      <c r="K1107" s="29" t="s">
        <v>247</v>
      </c>
      <c r="L1107" s="29" t="n">
        <v>0.04</v>
      </c>
      <c r="M1107" s="32" t="n">
        <v>28030.02</v>
      </c>
      <c r="N1107" s="32" t="n">
        <v>28002.78</v>
      </c>
      <c r="O1107" s="32" t="n">
        <v>28096.76</v>
      </c>
      <c r="P1107" s="45" t="n">
        <f aca="false">ABS(M1107-N1107)</f>
        <v>27.2400000000016</v>
      </c>
      <c r="Q1107" s="45" t="n">
        <f aca="false">IF(O1107="","",ABS(O1107-M1107))</f>
        <v>66.739999999998</v>
      </c>
      <c r="R1107" s="31" t="n">
        <f aca="false">P1107*L1107*Summary!$C$6</f>
        <v>108.960000000006</v>
      </c>
      <c r="S1107" s="32" t="n">
        <v>28001.41</v>
      </c>
      <c r="T1107" s="29" t="s">
        <v>249</v>
      </c>
      <c r="U1107" s="45" t="n">
        <f aca="false">IF(J1107="BUY",S1107-M1107,M1107-S1107)</f>
        <v>-28.6100000000006</v>
      </c>
      <c r="V1107" s="46" t="n">
        <v>0</v>
      </c>
      <c r="W1107" s="46" t="n">
        <v>0</v>
      </c>
      <c r="X1107" s="46" t="n">
        <v>-114.44</v>
      </c>
      <c r="Y1107" s="33" t="n">
        <f aca="false">IFERROR(X1107/R1107,0)</f>
        <v>-1.05029368575618</v>
      </c>
      <c r="Z1107" s="29" t="str">
        <f aca="false">IF(X1107&gt;0,"Win",IF(X1107&lt;0,"Loss","Flat"))</f>
        <v>Loss</v>
      </c>
      <c r="AA1107" s="29" t="n">
        <f aca="false">ROUND((C1107-B1107)*1440,1)</f>
        <v>1.2</v>
      </c>
      <c r="AB1107" s="29" t="str">
        <f aca="false">IF(AA1107&lt;1,"a) &lt;1 min",IF(AA1107&lt;10,"b) 1-10 min",IF(AA1107&lt;60,"c) 10-60 min",IF(AA1107&lt;240,"d) 1-4 h","e) 4 h+"))))</f>
        <v>b) 1-10 min</v>
      </c>
      <c r="AC1107" s="29" t="str">
        <f aca="false">IF(P1107&lt;10,"a) &lt;10",IF(P1107&lt;20,"b) 10-20",IF(P1107&lt;40,"c) 20-40",IF(P1107&lt;80,"d) 40-80","e) 80+"))))</f>
        <v>c) 20-40</v>
      </c>
      <c r="AD1107" s="31" t="n">
        <f aca="false">Summary!$C$5+SUM(X$2:X1107)</f>
        <v>23315.02</v>
      </c>
      <c r="AE1107" s="31" t="n">
        <f aca="false">MAX(AE1106,AD1107)</f>
        <v>23611.84</v>
      </c>
      <c r="AF1107" s="31" t="n">
        <f aca="false">AE1107-AD1107</f>
        <v>296.82</v>
      </c>
      <c r="AG1107" s="30" t="n">
        <f aca="false">IFERROR(AF1107/AE1107,0)</f>
        <v>0.0125708119316411</v>
      </c>
    </row>
    <row r="1108" customFormat="false" ht="15" hidden="false" customHeight="false" outlineLevel="0" collapsed="false">
      <c r="A1108" s="29" t="n">
        <v>1107</v>
      </c>
      <c r="B1108" s="44" t="n">
        <v>46234.0430555556</v>
      </c>
      <c r="C1108" s="44" t="n">
        <v>46234.0578935185</v>
      </c>
      <c r="D1108" s="43" t="n">
        <f aca="false">INT(C1108)</f>
        <v>46234</v>
      </c>
      <c r="E1108" s="43" t="n">
        <f aca="false">D1108-WEEKDAY(D1108,3)</f>
        <v>46230</v>
      </c>
      <c r="F1108" s="29" t="s">
        <v>195</v>
      </c>
      <c r="G1108" s="29" t="n">
        <v>2026</v>
      </c>
      <c r="H1108" s="29" t="s">
        <v>254</v>
      </c>
      <c r="I1108" s="29" t="n">
        <v>1</v>
      </c>
      <c r="J1108" s="29" t="s">
        <v>246</v>
      </c>
      <c r="K1108" s="29" t="s">
        <v>247</v>
      </c>
      <c r="L1108" s="29" t="n">
        <v>0.04</v>
      </c>
      <c r="M1108" s="32" t="n">
        <v>28265.88</v>
      </c>
      <c r="N1108" s="32" t="n">
        <v>28234.4</v>
      </c>
      <c r="O1108" s="32" t="n">
        <v>28343.01</v>
      </c>
      <c r="P1108" s="45" t="n">
        <f aca="false">ABS(M1108-N1108)</f>
        <v>31.4799999999996</v>
      </c>
      <c r="Q1108" s="45" t="n">
        <f aca="false">IF(O1108="","",ABS(O1108-M1108))</f>
        <v>77.1299999999974</v>
      </c>
      <c r="R1108" s="31" t="n">
        <f aca="false">P1108*L1108*Summary!$C$6</f>
        <v>125.919999999998</v>
      </c>
      <c r="S1108" s="32" t="n">
        <v>28233.87</v>
      </c>
      <c r="T1108" s="29" t="s">
        <v>249</v>
      </c>
      <c r="U1108" s="45" t="n">
        <f aca="false">IF(J1108="BUY",S1108-M1108,M1108-S1108)</f>
        <v>-32.010000000002</v>
      </c>
      <c r="V1108" s="46" t="n">
        <v>0</v>
      </c>
      <c r="W1108" s="46" t="n">
        <v>0</v>
      </c>
      <c r="X1108" s="46" t="n">
        <v>-128.04</v>
      </c>
      <c r="Y1108" s="33" t="n">
        <f aca="false">IFERROR(X1108/R1108,0)</f>
        <v>-1.01683608640408</v>
      </c>
      <c r="Z1108" s="29" t="str">
        <f aca="false">IF(X1108&gt;0,"Win",IF(X1108&lt;0,"Loss","Flat"))</f>
        <v>Loss</v>
      </c>
      <c r="AA1108" s="29" t="n">
        <f aca="false">ROUND((C1108-B1108)*1440,1)</f>
        <v>21.4</v>
      </c>
      <c r="AB1108" s="29" t="str">
        <f aca="false">IF(AA1108&lt;1,"a) &lt;1 min",IF(AA1108&lt;10,"b) 1-10 min",IF(AA1108&lt;60,"c) 10-60 min",IF(AA1108&lt;240,"d) 1-4 h","e) 4 h+"))))</f>
        <v>c) 10-60 min</v>
      </c>
      <c r="AC1108" s="29" t="str">
        <f aca="false">IF(P1108&lt;10,"a) &lt;10",IF(P1108&lt;20,"b) 10-20",IF(P1108&lt;40,"c) 20-40",IF(P1108&lt;80,"d) 40-80","e) 80+"))))</f>
        <v>c) 20-40</v>
      </c>
      <c r="AD1108" s="31" t="n">
        <f aca="false">Summary!$C$5+SUM(X$2:X1108)</f>
        <v>23186.98</v>
      </c>
      <c r="AE1108" s="31" t="n">
        <f aca="false">MAX(AE1107,AD1108)</f>
        <v>23611.84</v>
      </c>
      <c r="AF1108" s="31" t="n">
        <f aca="false">AE1108-AD1108</f>
        <v>424.860000000001</v>
      </c>
      <c r="AG1108" s="30" t="n">
        <f aca="false">IFERROR(AF1108/AE1108,0)</f>
        <v>0.0179935151178392</v>
      </c>
    </row>
    <row r="1109" customFormat="false" ht="15" hidden="false" customHeight="false" outlineLevel="0" collapsed="false">
      <c r="A1109" s="29" t="n">
        <v>1108</v>
      </c>
      <c r="B1109" s="44" t="n">
        <v>46237.7368055556</v>
      </c>
      <c r="C1109" s="44" t="n">
        <v>46237.7377662037</v>
      </c>
      <c r="D1109" s="43" t="n">
        <f aca="false">INT(C1109)</f>
        <v>46237</v>
      </c>
      <c r="E1109" s="43" t="n">
        <f aca="false">D1109-WEEKDAY(D1109,3)</f>
        <v>46237</v>
      </c>
      <c r="F1109" s="29" t="s">
        <v>196</v>
      </c>
      <c r="G1109" s="29" t="n">
        <v>2026</v>
      </c>
      <c r="H1109" s="29" t="s">
        <v>245</v>
      </c>
      <c r="I1109" s="29" t="n">
        <v>17</v>
      </c>
      <c r="J1109" s="29" t="s">
        <v>246</v>
      </c>
      <c r="K1109" s="29" t="s">
        <v>247</v>
      </c>
      <c r="L1109" s="29" t="n">
        <v>0.04</v>
      </c>
      <c r="M1109" s="32" t="n">
        <v>28601.58</v>
      </c>
      <c r="N1109" s="32" t="n">
        <v>28583.41</v>
      </c>
      <c r="O1109" s="32" t="n">
        <v>28646.41</v>
      </c>
      <c r="P1109" s="45" t="n">
        <f aca="false">ABS(M1109-N1109)</f>
        <v>18.1700000000019</v>
      </c>
      <c r="Q1109" s="45" t="n">
        <f aca="false">IF(O1109="","",ABS(O1109-M1109))</f>
        <v>44.8299999999981</v>
      </c>
      <c r="R1109" s="31" t="n">
        <f aca="false">P1109*L1109*Summary!$C$6</f>
        <v>72.6800000000076</v>
      </c>
      <c r="S1109" s="32" t="n">
        <v>28583.12</v>
      </c>
      <c r="T1109" s="29" t="s">
        <v>249</v>
      </c>
      <c r="U1109" s="45" t="n">
        <f aca="false">IF(J1109="BUY",S1109-M1109,M1109-S1109)</f>
        <v>-18.4600000000028</v>
      </c>
      <c r="V1109" s="46" t="n">
        <v>0</v>
      </c>
      <c r="W1109" s="46" t="n">
        <v>0</v>
      </c>
      <c r="X1109" s="46" t="n">
        <v>-73.84</v>
      </c>
      <c r="Y1109" s="33" t="n">
        <f aca="false">IFERROR(X1109/R1109,0)</f>
        <v>-1.01596037424315</v>
      </c>
      <c r="Z1109" s="29" t="str">
        <f aca="false">IF(X1109&gt;0,"Win",IF(X1109&lt;0,"Loss","Flat"))</f>
        <v>Loss</v>
      </c>
      <c r="AA1109" s="29" t="n">
        <f aca="false">ROUND((C1109-B1109)*1440,1)</f>
        <v>1.4</v>
      </c>
      <c r="AB1109" s="29" t="str">
        <f aca="false">IF(AA1109&lt;1,"a) &lt;1 min",IF(AA1109&lt;10,"b) 1-10 min",IF(AA1109&lt;60,"c) 10-60 min",IF(AA1109&lt;240,"d) 1-4 h","e) 4 h+"))))</f>
        <v>b) 1-10 min</v>
      </c>
      <c r="AC1109" s="29" t="str">
        <f aca="false">IF(P1109&lt;10,"a) &lt;10",IF(P1109&lt;20,"b) 10-20",IF(P1109&lt;40,"c) 20-40",IF(P1109&lt;80,"d) 40-80","e) 80+"))))</f>
        <v>b) 10-20</v>
      </c>
      <c r="AD1109" s="31" t="n">
        <f aca="false">Summary!$C$5+SUM(X$2:X1109)</f>
        <v>23113.14</v>
      </c>
      <c r="AE1109" s="31" t="n">
        <f aca="false">MAX(AE1108,AD1109)</f>
        <v>23611.84</v>
      </c>
      <c r="AF1109" s="31" t="n">
        <f aca="false">AE1109-AD1109</f>
        <v>498.700000000001</v>
      </c>
      <c r="AG1109" s="30" t="n">
        <f aca="false">IFERROR(AF1109/AE1109,0)</f>
        <v>0.0211207597544283</v>
      </c>
    </row>
    <row r="1110" customFormat="false" ht="15" hidden="false" customHeight="false" outlineLevel="0" collapsed="false">
      <c r="A1110" s="29" t="n">
        <v>1109</v>
      </c>
      <c r="B1110" s="44" t="n">
        <v>46238.1243055556</v>
      </c>
      <c r="C1110" s="44" t="n">
        <v>46238.1250694445</v>
      </c>
      <c r="D1110" s="43" t="n">
        <f aca="false">INT(C1110)</f>
        <v>46238</v>
      </c>
      <c r="E1110" s="43" t="n">
        <f aca="false">D1110-WEEKDAY(D1110,3)</f>
        <v>46237</v>
      </c>
      <c r="F1110" s="29" t="s">
        <v>196</v>
      </c>
      <c r="G1110" s="29" t="n">
        <v>2026</v>
      </c>
      <c r="H1110" s="29" t="s">
        <v>248</v>
      </c>
      <c r="I1110" s="29" t="n">
        <v>2</v>
      </c>
      <c r="J1110" s="29" t="s">
        <v>246</v>
      </c>
      <c r="K1110" s="29" t="s">
        <v>247</v>
      </c>
      <c r="L1110" s="29" t="n">
        <v>0.04</v>
      </c>
      <c r="M1110" s="32" t="n">
        <v>28839.54</v>
      </c>
      <c r="N1110" s="32" t="n">
        <v>28833.33</v>
      </c>
      <c r="O1110" s="32" t="n">
        <v>28854.75</v>
      </c>
      <c r="P1110" s="45" t="n">
        <f aca="false">ABS(M1110-N1110)</f>
        <v>6.20999999999913</v>
      </c>
      <c r="Q1110" s="45" t="n">
        <f aca="false">IF(O1110="","",ABS(O1110-M1110))</f>
        <v>15.2099999999991</v>
      </c>
      <c r="R1110" s="31" t="n">
        <f aca="false">P1110*L1110*Summary!$C$6</f>
        <v>24.8399999999965</v>
      </c>
      <c r="S1110" s="32" t="n">
        <v>28838.55</v>
      </c>
      <c r="T1110" s="29" t="s">
        <v>255</v>
      </c>
      <c r="U1110" s="45" t="n">
        <f aca="false">IF(J1110="BUY",S1110-M1110,M1110-S1110)</f>
        <v>-0.990000000001601</v>
      </c>
      <c r="V1110" s="46" t="n">
        <v>0</v>
      </c>
      <c r="W1110" s="46" t="n">
        <v>0</v>
      </c>
      <c r="X1110" s="46" t="n">
        <v>-3.96</v>
      </c>
      <c r="Y1110" s="33" t="n">
        <f aca="false">IFERROR(X1110/R1110,0)</f>
        <v>-0.159420289855095</v>
      </c>
      <c r="Z1110" s="29" t="str">
        <f aca="false">IF(X1110&gt;0,"Win",IF(X1110&lt;0,"Loss","Flat"))</f>
        <v>Loss</v>
      </c>
      <c r="AA1110" s="29" t="n">
        <f aca="false">ROUND((C1110-B1110)*1440,1)</f>
        <v>1.1</v>
      </c>
      <c r="AB1110" s="29" t="str">
        <f aca="false">IF(AA1110&lt;1,"a) &lt;1 min",IF(AA1110&lt;10,"b) 1-10 min",IF(AA1110&lt;60,"c) 10-60 min",IF(AA1110&lt;240,"d) 1-4 h","e) 4 h+"))))</f>
        <v>b) 1-10 min</v>
      </c>
      <c r="AC1110" s="29" t="str">
        <f aca="false">IF(P1110&lt;10,"a) &lt;10",IF(P1110&lt;20,"b) 10-20",IF(P1110&lt;40,"c) 20-40",IF(P1110&lt;80,"d) 40-80","e) 80+"))))</f>
        <v>a) &lt;10</v>
      </c>
      <c r="AD1110" s="31" t="n">
        <f aca="false">Summary!$C$5+SUM(X$2:X1110)</f>
        <v>23109.18</v>
      </c>
      <c r="AE1110" s="31" t="n">
        <f aca="false">MAX(AE1109,AD1110)</f>
        <v>23611.84</v>
      </c>
      <c r="AF1110" s="31" t="n">
        <f aca="false">AE1110-AD1110</f>
        <v>502.66</v>
      </c>
      <c r="AG1110" s="30" t="n">
        <f aca="false">IFERROR(AF1110/AE1110,0)</f>
        <v>0.0212884722241045</v>
      </c>
    </row>
    <row r="1111" customFormat="false" ht="15" hidden="false" customHeight="false" outlineLevel="0" collapsed="false">
      <c r="A1111" s="29" t="n">
        <v>1110</v>
      </c>
      <c r="B1111" s="44" t="n">
        <v>46239.3694444444</v>
      </c>
      <c r="C1111" s="44" t="n">
        <v>46239.3718402778</v>
      </c>
      <c r="D1111" s="43" t="n">
        <f aca="false">INT(C1111)</f>
        <v>46239</v>
      </c>
      <c r="E1111" s="43" t="n">
        <f aca="false">D1111-WEEKDAY(D1111,3)</f>
        <v>46237</v>
      </c>
      <c r="F1111" s="29" t="s">
        <v>196</v>
      </c>
      <c r="G1111" s="29" t="n">
        <v>2026</v>
      </c>
      <c r="H1111" s="29" t="s">
        <v>252</v>
      </c>
      <c r="I1111" s="29" t="n">
        <v>8</v>
      </c>
      <c r="J1111" s="29" t="s">
        <v>246</v>
      </c>
      <c r="K1111" s="29" t="s">
        <v>247</v>
      </c>
      <c r="L1111" s="29" t="n">
        <v>0.03</v>
      </c>
      <c r="M1111" s="32" t="n">
        <v>29838.69</v>
      </c>
      <c r="N1111" s="32" t="n">
        <v>29832.48</v>
      </c>
      <c r="O1111" s="32" t="n">
        <v>29853.9</v>
      </c>
      <c r="P1111" s="45" t="n">
        <f aca="false">ABS(M1111-N1111)</f>
        <v>6.20999999999913</v>
      </c>
      <c r="Q1111" s="45" t="n">
        <f aca="false">IF(O1111="","",ABS(O1111-M1111))</f>
        <v>15.2100000000028</v>
      </c>
      <c r="R1111" s="31" t="n">
        <f aca="false">P1111*L1111*Summary!$C$6</f>
        <v>18.6299999999974</v>
      </c>
      <c r="S1111" s="32" t="n">
        <v>29854.5</v>
      </c>
      <c r="T1111" s="29" t="s">
        <v>227</v>
      </c>
      <c r="U1111" s="45" t="n">
        <f aca="false">IF(J1111="BUY",S1111-M1111,M1111-S1111)</f>
        <v>15.8100000000013</v>
      </c>
      <c r="V1111" s="46" t="n">
        <v>0</v>
      </c>
      <c r="W1111" s="46" t="n">
        <v>0</v>
      </c>
      <c r="X1111" s="46" t="n">
        <v>47.43</v>
      </c>
      <c r="Y1111" s="33" t="n">
        <f aca="false">IFERROR(X1111/R1111,0)</f>
        <v>2.54589371980712</v>
      </c>
      <c r="Z1111" s="29" t="str">
        <f aca="false">IF(X1111&gt;0,"Win",IF(X1111&lt;0,"Loss","Flat"))</f>
        <v>Win</v>
      </c>
      <c r="AA1111" s="29" t="n">
        <f aca="false">ROUND((C1111-B1111)*1440,1)</f>
        <v>3.5</v>
      </c>
      <c r="AB1111" s="29" t="str">
        <f aca="false">IF(AA1111&lt;1,"a) &lt;1 min",IF(AA1111&lt;10,"b) 1-10 min",IF(AA1111&lt;60,"c) 10-60 min",IF(AA1111&lt;240,"d) 1-4 h","e) 4 h+"))))</f>
        <v>b) 1-10 min</v>
      </c>
      <c r="AC1111" s="29" t="str">
        <f aca="false">IF(P1111&lt;10,"a) &lt;10",IF(P1111&lt;20,"b) 10-20",IF(P1111&lt;40,"c) 20-40",IF(P1111&lt;80,"d) 40-80","e) 80+"))))</f>
        <v>a) &lt;10</v>
      </c>
      <c r="AD1111" s="31" t="n">
        <f aca="false">Summary!$C$5+SUM(X$2:X1111)</f>
        <v>23156.61</v>
      </c>
      <c r="AE1111" s="31" t="n">
        <f aca="false">MAX(AE1110,AD1111)</f>
        <v>23611.84</v>
      </c>
      <c r="AF1111" s="31" t="n">
        <f aca="false">AE1111-AD1111</f>
        <v>455.23</v>
      </c>
      <c r="AG1111" s="30" t="n">
        <f aca="false">IFERROR(AF1111/AE1111,0)</f>
        <v>0.0192797342350278</v>
      </c>
    </row>
    <row r="1112" customFormat="false" ht="15" hidden="false" customHeight="false" outlineLevel="0" collapsed="false">
      <c r="A1112" s="29" t="n">
        <v>1111</v>
      </c>
      <c r="B1112" s="44" t="n">
        <v>46240.1673611111</v>
      </c>
      <c r="C1112" s="44" t="n">
        <v>46240.1721990741</v>
      </c>
      <c r="D1112" s="43" t="n">
        <f aca="false">INT(C1112)</f>
        <v>46240</v>
      </c>
      <c r="E1112" s="43" t="n">
        <f aca="false">D1112-WEEKDAY(D1112,3)</f>
        <v>46237</v>
      </c>
      <c r="F1112" s="29" t="s">
        <v>196</v>
      </c>
      <c r="G1112" s="29" t="n">
        <v>2026</v>
      </c>
      <c r="H1112" s="29" t="s">
        <v>253</v>
      </c>
      <c r="I1112" s="29" t="n">
        <v>4</v>
      </c>
      <c r="J1112" s="29" t="s">
        <v>250</v>
      </c>
      <c r="K1112" s="29" t="s">
        <v>251</v>
      </c>
      <c r="L1112" s="29" t="n">
        <v>0.03</v>
      </c>
      <c r="M1112" s="32" t="n">
        <v>29402.53</v>
      </c>
      <c r="N1112" s="32" t="n">
        <v>29411.58</v>
      </c>
      <c r="O1112" s="32" t="n">
        <v>29380.36</v>
      </c>
      <c r="P1112" s="45" t="n">
        <f aca="false">ABS(M1112-N1112)</f>
        <v>9.05000000000291</v>
      </c>
      <c r="Q1112" s="45" t="n">
        <f aca="false">IF(O1112="","",ABS(O1112-M1112))</f>
        <v>22.1699999999983</v>
      </c>
      <c r="R1112" s="31" t="n">
        <f aca="false">P1112*L1112*Summary!$C$6</f>
        <v>27.1500000000087</v>
      </c>
      <c r="S1112" s="32" t="n">
        <v>29403.1</v>
      </c>
      <c r="T1112" s="29" t="s">
        <v>255</v>
      </c>
      <c r="U1112" s="45" t="n">
        <f aca="false">IF(J1112="BUY",S1112-M1112,M1112-S1112)</f>
        <v>-0.569999999999709</v>
      </c>
      <c r="V1112" s="46" t="n">
        <v>0</v>
      </c>
      <c r="W1112" s="46" t="n">
        <v>0</v>
      </c>
      <c r="X1112" s="46" t="n">
        <v>-1.71</v>
      </c>
      <c r="Y1112" s="33" t="n">
        <f aca="false">IFERROR(X1112/R1112,0)</f>
        <v>-0.0629834254143444</v>
      </c>
      <c r="Z1112" s="29" t="str">
        <f aca="false">IF(X1112&gt;0,"Win",IF(X1112&lt;0,"Loss","Flat"))</f>
        <v>Loss</v>
      </c>
      <c r="AA1112" s="29" t="n">
        <f aca="false">ROUND((C1112-B1112)*1440,1)</f>
        <v>7</v>
      </c>
      <c r="AB1112" s="29" t="str">
        <f aca="false">IF(AA1112&lt;1,"a) &lt;1 min",IF(AA1112&lt;10,"b) 1-10 min",IF(AA1112&lt;60,"c) 10-60 min",IF(AA1112&lt;240,"d) 1-4 h","e) 4 h+"))))</f>
        <v>b) 1-10 min</v>
      </c>
      <c r="AC1112" s="29" t="str">
        <f aca="false">IF(P1112&lt;10,"a) &lt;10",IF(P1112&lt;20,"b) 10-20",IF(P1112&lt;40,"c) 20-40",IF(P1112&lt;80,"d) 40-80","e) 80+"))))</f>
        <v>a) &lt;10</v>
      </c>
      <c r="AD1112" s="31" t="n">
        <f aca="false">Summary!$C$5+SUM(X$2:X1112)</f>
        <v>23154.9</v>
      </c>
      <c r="AE1112" s="31" t="n">
        <f aca="false">MAX(AE1111,AD1112)</f>
        <v>23611.84</v>
      </c>
      <c r="AF1112" s="31" t="n">
        <f aca="false">AE1112-AD1112</f>
        <v>456.939999999999</v>
      </c>
      <c r="AG1112" s="30" t="n">
        <f aca="false">IFERROR(AF1112/AE1112,0)</f>
        <v>0.0193521555287516</v>
      </c>
    </row>
    <row r="1113" customFormat="false" ht="15" hidden="false" customHeight="false" outlineLevel="0" collapsed="false">
      <c r="A1113" s="29" t="n">
        <v>1112</v>
      </c>
      <c r="B1113" s="44" t="n">
        <v>46241.6465277778</v>
      </c>
      <c r="C1113" s="44" t="n">
        <v>46241.654837963</v>
      </c>
      <c r="D1113" s="43" t="n">
        <f aca="false">INT(C1113)</f>
        <v>46241</v>
      </c>
      <c r="E1113" s="43" t="n">
        <f aca="false">D1113-WEEKDAY(D1113,3)</f>
        <v>46237</v>
      </c>
      <c r="F1113" s="29" t="s">
        <v>196</v>
      </c>
      <c r="G1113" s="29" t="n">
        <v>2026</v>
      </c>
      <c r="H1113" s="29" t="s">
        <v>254</v>
      </c>
      <c r="I1113" s="29" t="n">
        <v>15</v>
      </c>
      <c r="J1113" s="29" t="s">
        <v>246</v>
      </c>
      <c r="K1113" s="29" t="s">
        <v>247</v>
      </c>
      <c r="L1113" s="29" t="n">
        <v>0.03</v>
      </c>
      <c r="M1113" s="32" t="n">
        <v>29604.22</v>
      </c>
      <c r="N1113" s="32" t="n">
        <v>29567.24</v>
      </c>
      <c r="O1113" s="32" t="n">
        <v>29698.03</v>
      </c>
      <c r="P1113" s="45" t="n">
        <f aca="false">ABS(M1113-N1113)</f>
        <v>36.9799999999996</v>
      </c>
      <c r="Q1113" s="45" t="n">
        <f aca="false">IF(O1113="","",ABS(O1113-M1113))</f>
        <v>93.8099999999977</v>
      </c>
      <c r="R1113" s="31" t="n">
        <f aca="false">P1113*L1113*Summary!$C$6</f>
        <v>110.939999999999</v>
      </c>
      <c r="S1113" s="32" t="n">
        <v>29698.56</v>
      </c>
      <c r="T1113" s="29" t="s">
        <v>227</v>
      </c>
      <c r="U1113" s="45" t="n">
        <f aca="false">IF(J1113="BUY",S1113-M1113,M1113-S1113)</f>
        <v>94.3400000000002</v>
      </c>
      <c r="V1113" s="46" t="n">
        <v>0</v>
      </c>
      <c r="W1113" s="46" t="n">
        <v>0</v>
      </c>
      <c r="X1113" s="46" t="n">
        <v>283.02</v>
      </c>
      <c r="Y1113" s="33" t="n">
        <f aca="false">IFERROR(X1113/R1113,0)</f>
        <v>2.55110870740944</v>
      </c>
      <c r="Z1113" s="29" t="str">
        <f aca="false">IF(X1113&gt;0,"Win",IF(X1113&lt;0,"Loss","Flat"))</f>
        <v>Win</v>
      </c>
      <c r="AA1113" s="29" t="n">
        <f aca="false">ROUND((C1113-B1113)*1440,1)</f>
        <v>12</v>
      </c>
      <c r="AB1113" s="29" t="str">
        <f aca="false">IF(AA1113&lt;1,"a) &lt;1 min",IF(AA1113&lt;10,"b) 1-10 min",IF(AA1113&lt;60,"c) 10-60 min",IF(AA1113&lt;240,"d) 1-4 h","e) 4 h+"))))</f>
        <v>c) 10-60 min</v>
      </c>
      <c r="AC1113" s="29" t="str">
        <f aca="false">IF(P1113&lt;10,"a) &lt;10",IF(P1113&lt;20,"b) 10-20",IF(P1113&lt;40,"c) 20-40",IF(P1113&lt;80,"d) 40-80","e) 80+"))))</f>
        <v>c) 20-40</v>
      </c>
      <c r="AD1113" s="31" t="n">
        <f aca="false">Summary!$C$5+SUM(X$2:X1113)</f>
        <v>23437.92</v>
      </c>
      <c r="AE1113" s="31" t="n">
        <f aca="false">MAX(AE1112,AD1113)</f>
        <v>23611.84</v>
      </c>
      <c r="AF1113" s="31" t="n">
        <f aca="false">AE1113-AD1113</f>
        <v>173.920000000002</v>
      </c>
      <c r="AG1113" s="30" t="n">
        <f aca="false">IFERROR(AF1113/AE1113,0)</f>
        <v>0.00736579614295209</v>
      </c>
    </row>
    <row r="1114" customFormat="false" ht="15" hidden="false" customHeight="false" outlineLevel="0" collapsed="false">
      <c r="A1114" s="29" t="n">
        <v>1113</v>
      </c>
      <c r="B1114" s="44" t="n">
        <v>46244.0423611111</v>
      </c>
      <c r="C1114" s="44" t="n">
        <v>46244.0453125</v>
      </c>
      <c r="D1114" s="43" t="n">
        <f aca="false">INT(C1114)</f>
        <v>46244</v>
      </c>
      <c r="E1114" s="43" t="n">
        <f aca="false">D1114-WEEKDAY(D1114,3)</f>
        <v>46244</v>
      </c>
      <c r="F1114" s="29" t="s">
        <v>196</v>
      </c>
      <c r="G1114" s="29" t="n">
        <v>2026</v>
      </c>
      <c r="H1114" s="29" t="s">
        <v>245</v>
      </c>
      <c r="I1114" s="29" t="n">
        <v>1</v>
      </c>
      <c r="J1114" s="29" t="s">
        <v>246</v>
      </c>
      <c r="K1114" s="29" t="s">
        <v>247</v>
      </c>
      <c r="L1114" s="29" t="n">
        <v>0.03</v>
      </c>
      <c r="M1114" s="32" t="n">
        <v>29765.43</v>
      </c>
      <c r="N1114" s="32" t="n">
        <v>29745.6</v>
      </c>
      <c r="O1114" s="32" t="n">
        <v>29814.02</v>
      </c>
      <c r="P1114" s="45" t="n">
        <f aca="false">ABS(M1114-N1114)</f>
        <v>19.8300000000017</v>
      </c>
      <c r="Q1114" s="45" t="n">
        <f aca="false">IF(O1114="","",ABS(O1114-M1114))</f>
        <v>48.5900000000001</v>
      </c>
      <c r="R1114" s="31" t="n">
        <f aca="false">P1114*L1114*Summary!$C$6</f>
        <v>59.4900000000052</v>
      </c>
      <c r="S1114" s="32" t="n">
        <v>29745.45</v>
      </c>
      <c r="T1114" s="29" t="s">
        <v>249</v>
      </c>
      <c r="U1114" s="45" t="n">
        <f aca="false">IF(J1114="BUY",S1114-M1114,M1114-S1114)</f>
        <v>-19.9799999999996</v>
      </c>
      <c r="V1114" s="46" t="n">
        <v>0</v>
      </c>
      <c r="W1114" s="46" t="n">
        <v>0</v>
      </c>
      <c r="X1114" s="46" t="n">
        <v>-59.94</v>
      </c>
      <c r="Y1114" s="33" t="n">
        <f aca="false">IFERROR(X1114/R1114,0)</f>
        <v>-1.00756429652033</v>
      </c>
      <c r="Z1114" s="29" t="str">
        <f aca="false">IF(X1114&gt;0,"Win",IF(X1114&lt;0,"Loss","Flat"))</f>
        <v>Loss</v>
      </c>
      <c r="AA1114" s="29" t="n">
        <f aca="false">ROUND((C1114-B1114)*1440,1)</f>
        <v>4.3</v>
      </c>
      <c r="AB1114" s="29" t="str">
        <f aca="false">IF(AA1114&lt;1,"a) &lt;1 min",IF(AA1114&lt;10,"b) 1-10 min",IF(AA1114&lt;60,"c) 10-60 min",IF(AA1114&lt;240,"d) 1-4 h","e) 4 h+"))))</f>
        <v>b) 1-10 min</v>
      </c>
      <c r="AC1114" s="29" t="str">
        <f aca="false">IF(P1114&lt;10,"a) &lt;10",IF(P1114&lt;20,"b) 10-20",IF(P1114&lt;40,"c) 20-40",IF(P1114&lt;80,"d) 40-80","e) 80+"))))</f>
        <v>b) 10-20</v>
      </c>
      <c r="AD1114" s="31" t="n">
        <f aca="false">Summary!$C$5+SUM(X$2:X1114)</f>
        <v>23377.98</v>
      </c>
      <c r="AE1114" s="31" t="n">
        <f aca="false">MAX(AE1113,AD1114)</f>
        <v>23611.84</v>
      </c>
      <c r="AF1114" s="31" t="n">
        <f aca="false">AE1114-AD1114</f>
        <v>233.860000000001</v>
      </c>
      <c r="AG1114" s="30" t="n">
        <f aca="false">IFERROR(AF1114/AE1114,0)</f>
        <v>0.00990435307032407</v>
      </c>
    </row>
    <row r="1115" customFormat="false" ht="15" hidden="false" customHeight="false" outlineLevel="0" collapsed="false">
      <c r="A1115" s="29" t="n">
        <v>1114</v>
      </c>
      <c r="B1115" s="44" t="n">
        <v>46245.0979166667</v>
      </c>
      <c r="C1115" s="44" t="n">
        <v>46245.0980324074</v>
      </c>
      <c r="D1115" s="43" t="n">
        <f aca="false">INT(C1115)</f>
        <v>46245</v>
      </c>
      <c r="E1115" s="43" t="n">
        <f aca="false">D1115-WEEKDAY(D1115,3)</f>
        <v>46244</v>
      </c>
      <c r="F1115" s="29" t="s">
        <v>196</v>
      </c>
      <c r="G1115" s="29" t="n">
        <v>2026</v>
      </c>
      <c r="H1115" s="29" t="s">
        <v>248</v>
      </c>
      <c r="I1115" s="29" t="n">
        <v>2</v>
      </c>
      <c r="J1115" s="29" t="s">
        <v>250</v>
      </c>
      <c r="K1115" s="29" t="s">
        <v>251</v>
      </c>
      <c r="L1115" s="29" t="n">
        <v>0.03</v>
      </c>
      <c r="M1115" s="32" t="n">
        <v>29603.59</v>
      </c>
      <c r="N1115" s="32" t="n">
        <v>29608.72</v>
      </c>
      <c r="O1115" s="32" t="n">
        <v>29591.02</v>
      </c>
      <c r="P1115" s="45" t="n">
        <f aca="false">ABS(M1115-N1115)</f>
        <v>5.13000000000102</v>
      </c>
      <c r="Q1115" s="45" t="n">
        <f aca="false">IF(O1115="","",ABS(O1115-M1115))</f>
        <v>12.5699999999997</v>
      </c>
      <c r="R1115" s="31" t="n">
        <f aca="false">P1115*L1115*Summary!$C$6</f>
        <v>15.3900000000031</v>
      </c>
      <c r="S1115" s="32" t="n">
        <v>29609</v>
      </c>
      <c r="T1115" s="29" t="s">
        <v>249</v>
      </c>
      <c r="U1115" s="45" t="n">
        <f aca="false">IF(J1115="BUY",S1115-M1115,M1115-S1115)</f>
        <v>-5.40999999999985</v>
      </c>
      <c r="V1115" s="46" t="n">
        <v>0</v>
      </c>
      <c r="W1115" s="46" t="n">
        <v>0</v>
      </c>
      <c r="X1115" s="46" t="n">
        <v>-16.23</v>
      </c>
      <c r="Y1115" s="33" t="n">
        <f aca="false">IFERROR(X1115/R1115,0)</f>
        <v>-1.05458089668595</v>
      </c>
      <c r="Z1115" s="29" t="str">
        <f aca="false">IF(X1115&gt;0,"Win",IF(X1115&lt;0,"Loss","Flat"))</f>
        <v>Loss</v>
      </c>
      <c r="AA1115" s="29" t="n">
        <f aca="false">ROUND((C1115-B1115)*1440,1)</f>
        <v>0.2</v>
      </c>
      <c r="AB1115" s="29" t="str">
        <f aca="false">IF(AA1115&lt;1,"a) &lt;1 min",IF(AA1115&lt;10,"b) 1-10 min",IF(AA1115&lt;60,"c) 10-60 min",IF(AA1115&lt;240,"d) 1-4 h","e) 4 h+"))))</f>
        <v>a) &lt;1 min</v>
      </c>
      <c r="AC1115" s="29" t="str">
        <f aca="false">IF(P1115&lt;10,"a) &lt;10",IF(P1115&lt;20,"b) 10-20",IF(P1115&lt;40,"c) 20-40",IF(P1115&lt;80,"d) 40-80","e) 80+"))))</f>
        <v>a) &lt;10</v>
      </c>
      <c r="AD1115" s="31" t="n">
        <f aca="false">Summary!$C$5+SUM(X$2:X1115)</f>
        <v>23361.75</v>
      </c>
      <c r="AE1115" s="31" t="n">
        <f aca="false">MAX(AE1114,AD1115)</f>
        <v>23611.84</v>
      </c>
      <c r="AF1115" s="31" t="n">
        <f aca="false">AE1115-AD1115</f>
        <v>250.09</v>
      </c>
      <c r="AG1115" s="30" t="n">
        <f aca="false">IFERROR(AF1115/AE1115,0)</f>
        <v>0.0105917200861941</v>
      </c>
    </row>
    <row r="1116" customFormat="false" ht="15" hidden="false" customHeight="false" outlineLevel="0" collapsed="false">
      <c r="A1116" s="29" t="n">
        <v>1115</v>
      </c>
      <c r="B1116" s="44" t="n">
        <v>46246.6458564815</v>
      </c>
      <c r="C1116" s="44" t="n">
        <v>46246.6458796296</v>
      </c>
      <c r="D1116" s="43" t="n">
        <f aca="false">INT(C1116)</f>
        <v>46246</v>
      </c>
      <c r="E1116" s="43" t="n">
        <f aca="false">D1116-WEEKDAY(D1116,3)</f>
        <v>46244</v>
      </c>
      <c r="F1116" s="29" t="s">
        <v>196</v>
      </c>
      <c r="G1116" s="29" t="n">
        <v>2026</v>
      </c>
      <c r="H1116" s="29" t="s">
        <v>252</v>
      </c>
      <c r="I1116" s="29" t="n">
        <v>15</v>
      </c>
      <c r="J1116" s="29" t="s">
        <v>246</v>
      </c>
      <c r="K1116" s="29" t="s">
        <v>247</v>
      </c>
      <c r="L1116" s="29" t="n">
        <v>0.03</v>
      </c>
      <c r="M1116" s="32" t="n">
        <v>29817.11</v>
      </c>
      <c r="N1116" s="32" t="n">
        <v>29798.16</v>
      </c>
      <c r="O1116" s="32" t="n">
        <v>29864.46</v>
      </c>
      <c r="P1116" s="45" t="n">
        <f aca="false">ABS(M1116-N1116)</f>
        <v>18.9500000000007</v>
      </c>
      <c r="Q1116" s="45" t="n">
        <f aca="false">IF(O1116="","",ABS(O1116-M1116))</f>
        <v>47.3499999999985</v>
      </c>
      <c r="R1116" s="31" t="n">
        <f aca="false">P1116*L1116*Summary!$C$6</f>
        <v>56.8500000000022</v>
      </c>
      <c r="S1116" s="32" t="n">
        <v>29790.18</v>
      </c>
      <c r="T1116" s="29" t="s">
        <v>249</v>
      </c>
      <c r="U1116" s="45" t="n">
        <f aca="false">IF(J1116="BUY",S1116-M1116,M1116-S1116)</f>
        <v>-26.9300000000003</v>
      </c>
      <c r="V1116" s="46" t="n">
        <v>0</v>
      </c>
      <c r="W1116" s="46" t="n">
        <v>0</v>
      </c>
      <c r="X1116" s="46" t="n">
        <v>-80.79</v>
      </c>
      <c r="Y1116" s="33" t="n">
        <f aca="false">IFERROR(X1116/R1116,0)</f>
        <v>-1.42110817941947</v>
      </c>
      <c r="Z1116" s="29" t="str">
        <f aca="false">IF(X1116&gt;0,"Win",IF(X1116&lt;0,"Loss","Flat"))</f>
        <v>Loss</v>
      </c>
      <c r="AA1116" s="29" t="n">
        <f aca="false">ROUND((C1116-B1116)*1440,1)</f>
        <v>0</v>
      </c>
      <c r="AB1116" s="29" t="str">
        <f aca="false">IF(AA1116&lt;1,"a) &lt;1 min",IF(AA1116&lt;10,"b) 1-10 min",IF(AA1116&lt;60,"c) 10-60 min",IF(AA1116&lt;240,"d) 1-4 h","e) 4 h+"))))</f>
        <v>a) &lt;1 min</v>
      </c>
      <c r="AC1116" s="29" t="str">
        <f aca="false">IF(P1116&lt;10,"a) &lt;10",IF(P1116&lt;20,"b) 10-20",IF(P1116&lt;40,"c) 20-40",IF(P1116&lt;80,"d) 40-80","e) 80+"))))</f>
        <v>b) 10-20</v>
      </c>
      <c r="AD1116" s="31" t="n">
        <f aca="false">Summary!$C$5+SUM(X$2:X1116)</f>
        <v>23280.96</v>
      </c>
      <c r="AE1116" s="31" t="n">
        <f aca="false">MAX(AE1115,AD1116)</f>
        <v>23611.84</v>
      </c>
      <c r="AF1116" s="31" t="n">
        <f aca="false">AE1116-AD1116</f>
        <v>330.880000000001</v>
      </c>
      <c r="AG1116" s="30" t="n">
        <f aca="false">IFERROR(AF1116/AE1116,0)</f>
        <v>0.0140133085773917</v>
      </c>
    </row>
    <row r="1117" customFormat="false" ht="15" hidden="false" customHeight="false" outlineLevel="0" collapsed="false">
      <c r="A1117" s="29" t="n">
        <v>1116</v>
      </c>
      <c r="B1117" s="44" t="n">
        <v>46247.6923611111</v>
      </c>
      <c r="C1117" s="44" t="n">
        <v>46247.7002893519</v>
      </c>
      <c r="D1117" s="43" t="n">
        <f aca="false">INT(C1117)</f>
        <v>46247</v>
      </c>
      <c r="E1117" s="43" t="n">
        <f aca="false">D1117-WEEKDAY(D1117,3)</f>
        <v>46244</v>
      </c>
      <c r="F1117" s="29" t="s">
        <v>196</v>
      </c>
      <c r="G1117" s="29" t="n">
        <v>2026</v>
      </c>
      <c r="H1117" s="29" t="s">
        <v>253</v>
      </c>
      <c r="I1117" s="29" t="n">
        <v>16</v>
      </c>
      <c r="J1117" s="29" t="s">
        <v>246</v>
      </c>
      <c r="K1117" s="29" t="s">
        <v>247</v>
      </c>
      <c r="L1117" s="29" t="n">
        <v>0.03</v>
      </c>
      <c r="M1117" s="32" t="n">
        <v>29921.65</v>
      </c>
      <c r="N1117" s="32" t="n">
        <v>29884.24</v>
      </c>
      <c r="O1117" s="32" t="n">
        <v>30013.31</v>
      </c>
      <c r="P1117" s="45" t="n">
        <f aca="false">ABS(M1117-N1117)</f>
        <v>37.4099999999999</v>
      </c>
      <c r="Q1117" s="45" t="n">
        <f aca="false">IF(O1117="","",ABS(O1117-M1117))</f>
        <v>91.6599999999999</v>
      </c>
      <c r="R1117" s="31" t="n">
        <f aca="false">P1117*L1117*Summary!$C$6</f>
        <v>112.23</v>
      </c>
      <c r="S1117" s="32" t="n">
        <v>30013.46</v>
      </c>
      <c r="T1117" s="29" t="s">
        <v>227</v>
      </c>
      <c r="U1117" s="45" t="n">
        <f aca="false">IF(J1117="BUY",S1117-M1117,M1117-S1117)</f>
        <v>91.8099999999977</v>
      </c>
      <c r="V1117" s="46" t="n">
        <v>0</v>
      </c>
      <c r="W1117" s="46" t="n">
        <v>0</v>
      </c>
      <c r="X1117" s="46" t="n">
        <v>275.43</v>
      </c>
      <c r="Y1117" s="33" t="n">
        <f aca="false">IFERROR(X1117/R1117,0)</f>
        <v>2.45415664260894</v>
      </c>
      <c r="Z1117" s="29" t="str">
        <f aca="false">IF(X1117&gt;0,"Win",IF(X1117&lt;0,"Loss","Flat"))</f>
        <v>Win</v>
      </c>
      <c r="AA1117" s="29" t="n">
        <f aca="false">ROUND((C1117-B1117)*1440,1)</f>
        <v>11.4</v>
      </c>
      <c r="AB1117" s="29" t="str">
        <f aca="false">IF(AA1117&lt;1,"a) &lt;1 min",IF(AA1117&lt;10,"b) 1-10 min",IF(AA1117&lt;60,"c) 10-60 min",IF(AA1117&lt;240,"d) 1-4 h","e) 4 h+"))))</f>
        <v>c) 10-60 min</v>
      </c>
      <c r="AC1117" s="29" t="str">
        <f aca="false">IF(P1117&lt;10,"a) &lt;10",IF(P1117&lt;20,"b) 10-20",IF(P1117&lt;40,"c) 20-40",IF(P1117&lt;80,"d) 40-80","e) 80+"))))</f>
        <v>c) 20-40</v>
      </c>
      <c r="AD1117" s="31" t="n">
        <f aca="false">Summary!$C$5+SUM(X$2:X1117)</f>
        <v>23556.39</v>
      </c>
      <c r="AE1117" s="31" t="n">
        <f aca="false">MAX(AE1116,AD1117)</f>
        <v>23611.84</v>
      </c>
      <c r="AF1117" s="31" t="n">
        <f aca="false">AE1117-AD1117</f>
        <v>55.4500000000007</v>
      </c>
      <c r="AG1117" s="30" t="n">
        <f aca="false">IFERROR(AF1117/AE1117,0)</f>
        <v>0.00234839809180482</v>
      </c>
    </row>
    <row r="1118" customFormat="false" ht="15" hidden="false" customHeight="false" outlineLevel="0" collapsed="false">
      <c r="A1118" s="29" t="n">
        <v>1117</v>
      </c>
      <c r="B1118" s="44" t="n">
        <v>46248.6194560185</v>
      </c>
      <c r="C1118" s="44" t="n">
        <v>46248.6200578704</v>
      </c>
      <c r="D1118" s="43" t="n">
        <f aca="false">INT(C1118)</f>
        <v>46248</v>
      </c>
      <c r="E1118" s="43" t="n">
        <f aca="false">D1118-WEEKDAY(D1118,3)</f>
        <v>46244</v>
      </c>
      <c r="F1118" s="29" t="s">
        <v>196</v>
      </c>
      <c r="G1118" s="29" t="n">
        <v>2026</v>
      </c>
      <c r="H1118" s="29" t="s">
        <v>254</v>
      </c>
      <c r="I1118" s="29" t="n">
        <v>14</v>
      </c>
      <c r="J1118" s="29" t="s">
        <v>246</v>
      </c>
      <c r="K1118" s="29" t="s">
        <v>247</v>
      </c>
      <c r="L1118" s="29" t="n">
        <v>0.03</v>
      </c>
      <c r="M1118" s="32" t="n">
        <v>30167.9</v>
      </c>
      <c r="N1118" s="32" t="n">
        <v>30164.06</v>
      </c>
      <c r="O1118" s="32" t="n">
        <v>30177.3</v>
      </c>
      <c r="P1118" s="45" t="n">
        <f aca="false">ABS(M1118-N1118)</f>
        <v>3.84000000000015</v>
      </c>
      <c r="Q1118" s="45" t="n">
        <f aca="false">IF(O1118="","",ABS(O1118-M1118))</f>
        <v>9.39999999999782</v>
      </c>
      <c r="R1118" s="31" t="n">
        <f aca="false">P1118*L1118*Summary!$C$6</f>
        <v>11.5200000000004</v>
      </c>
      <c r="S1118" s="32" t="n">
        <v>30163.92</v>
      </c>
      <c r="T1118" s="29" t="s">
        <v>249</v>
      </c>
      <c r="U1118" s="45" t="n">
        <f aca="false">IF(J1118="BUY",S1118-M1118,M1118-S1118)</f>
        <v>-3.9800000000032</v>
      </c>
      <c r="V1118" s="46" t="n">
        <v>0</v>
      </c>
      <c r="W1118" s="46" t="n">
        <v>0</v>
      </c>
      <c r="X1118" s="46" t="n">
        <v>-11.94</v>
      </c>
      <c r="Y1118" s="33" t="n">
        <f aca="false">IFERROR(X1118/R1118,0)</f>
        <v>-1.03645833333329</v>
      </c>
      <c r="Z1118" s="29" t="str">
        <f aca="false">IF(X1118&gt;0,"Win",IF(X1118&lt;0,"Loss","Flat"))</f>
        <v>Loss</v>
      </c>
      <c r="AA1118" s="29" t="n">
        <f aca="false">ROUND((C1118-B1118)*1440,1)</f>
        <v>0.9</v>
      </c>
      <c r="AB1118" s="29" t="str">
        <f aca="false">IF(AA1118&lt;1,"a) &lt;1 min",IF(AA1118&lt;10,"b) 1-10 min",IF(AA1118&lt;60,"c) 10-60 min",IF(AA1118&lt;240,"d) 1-4 h","e) 4 h+"))))</f>
        <v>a) &lt;1 min</v>
      </c>
      <c r="AC1118" s="29" t="str">
        <f aca="false">IF(P1118&lt;10,"a) &lt;10",IF(P1118&lt;20,"b) 10-20",IF(P1118&lt;40,"c) 20-40",IF(P1118&lt;80,"d) 40-80","e) 80+"))))</f>
        <v>a) &lt;10</v>
      </c>
      <c r="AD1118" s="31" t="n">
        <f aca="false">Summary!$C$5+SUM(X$2:X1118)</f>
        <v>23544.45</v>
      </c>
      <c r="AE1118" s="31" t="n">
        <f aca="false">MAX(AE1117,AD1118)</f>
        <v>23611.84</v>
      </c>
      <c r="AF1118" s="31" t="n">
        <f aca="false">AE1118-AD1118</f>
        <v>67.3900000000031</v>
      </c>
      <c r="AG1118" s="30" t="n">
        <f aca="false">IFERROR(AF1118/AE1118,0)</f>
        <v>0.00285407659885901</v>
      </c>
    </row>
    <row r="1119" customFormat="false" ht="15" hidden="false" customHeight="false" outlineLevel="0" collapsed="false">
      <c r="A1119" s="29" t="n">
        <v>1118</v>
      </c>
      <c r="B1119" s="44" t="n">
        <v>46251.3770833333</v>
      </c>
      <c r="C1119" s="44" t="n">
        <v>46251.3798611111</v>
      </c>
      <c r="D1119" s="43" t="n">
        <f aca="false">INT(C1119)</f>
        <v>46251</v>
      </c>
      <c r="E1119" s="43" t="n">
        <f aca="false">D1119-WEEKDAY(D1119,3)</f>
        <v>46251</v>
      </c>
      <c r="F1119" s="29" t="s">
        <v>196</v>
      </c>
      <c r="G1119" s="29" t="n">
        <v>2026</v>
      </c>
      <c r="H1119" s="29" t="s">
        <v>245</v>
      </c>
      <c r="I1119" s="29" t="n">
        <v>9</v>
      </c>
      <c r="J1119" s="29" t="s">
        <v>246</v>
      </c>
      <c r="K1119" s="29" t="s">
        <v>247</v>
      </c>
      <c r="L1119" s="29" t="n">
        <v>0.03</v>
      </c>
      <c r="M1119" s="32" t="n">
        <v>30184.9</v>
      </c>
      <c r="N1119" s="32" t="n">
        <v>30179.37</v>
      </c>
      <c r="O1119" s="32" t="n">
        <v>30198.46</v>
      </c>
      <c r="P1119" s="45" t="n">
        <f aca="false">ABS(M1119-N1119)</f>
        <v>5.53000000000247</v>
      </c>
      <c r="Q1119" s="45" t="n">
        <f aca="false">IF(O1119="","",ABS(O1119-M1119))</f>
        <v>13.5599999999977</v>
      </c>
      <c r="R1119" s="31" t="n">
        <f aca="false">P1119*L1119*Summary!$C$6</f>
        <v>16.5900000000074</v>
      </c>
      <c r="S1119" s="32" t="n">
        <v>30198.49</v>
      </c>
      <c r="T1119" s="29" t="s">
        <v>227</v>
      </c>
      <c r="U1119" s="45" t="n">
        <f aca="false">IF(J1119="BUY",S1119-M1119,M1119-S1119)</f>
        <v>13.5900000000001</v>
      </c>
      <c r="V1119" s="46" t="n">
        <v>0</v>
      </c>
      <c r="W1119" s="46" t="n">
        <v>0</v>
      </c>
      <c r="X1119" s="46" t="n">
        <v>40.77</v>
      </c>
      <c r="Y1119" s="33" t="n">
        <f aca="false">IFERROR(X1119/R1119,0)</f>
        <v>2.45750452079456</v>
      </c>
      <c r="Z1119" s="29" t="str">
        <f aca="false">IF(X1119&gt;0,"Win",IF(X1119&lt;0,"Loss","Flat"))</f>
        <v>Win</v>
      </c>
      <c r="AA1119" s="29" t="n">
        <f aca="false">ROUND((C1119-B1119)*1440,1)</f>
        <v>4</v>
      </c>
      <c r="AB1119" s="29" t="str">
        <f aca="false">IF(AA1119&lt;1,"a) &lt;1 min",IF(AA1119&lt;10,"b) 1-10 min",IF(AA1119&lt;60,"c) 10-60 min",IF(AA1119&lt;240,"d) 1-4 h","e) 4 h+"))))</f>
        <v>b) 1-10 min</v>
      </c>
      <c r="AC1119" s="29" t="str">
        <f aca="false">IF(P1119&lt;10,"a) &lt;10",IF(P1119&lt;20,"b) 10-20",IF(P1119&lt;40,"c) 20-40",IF(P1119&lt;80,"d) 40-80","e) 80+"))))</f>
        <v>a) &lt;10</v>
      </c>
      <c r="AD1119" s="31" t="n">
        <f aca="false">Summary!$C$5+SUM(X$2:X1119)</f>
        <v>23585.22</v>
      </c>
      <c r="AE1119" s="31" t="n">
        <f aca="false">MAX(AE1118,AD1119)</f>
        <v>23611.84</v>
      </c>
      <c r="AF1119" s="31" t="n">
        <f aca="false">AE1119-AD1119</f>
        <v>26.619999999999</v>
      </c>
      <c r="AG1119" s="30" t="n">
        <f aca="false">IFERROR(AF1119/AE1119,0)</f>
        <v>0.00112740049060128</v>
      </c>
    </row>
    <row r="1120" customFormat="false" ht="15" hidden="false" customHeight="false" outlineLevel="0" collapsed="false">
      <c r="A1120" s="29" t="n">
        <v>1119</v>
      </c>
      <c r="B1120" s="44" t="n">
        <v>46252.0541666667</v>
      </c>
      <c r="C1120" s="44" t="n">
        <v>46252.054849537</v>
      </c>
      <c r="D1120" s="43" t="n">
        <f aca="false">INT(C1120)</f>
        <v>46252</v>
      </c>
      <c r="E1120" s="43" t="n">
        <f aca="false">D1120-WEEKDAY(D1120,3)</f>
        <v>46251</v>
      </c>
      <c r="F1120" s="29" t="s">
        <v>196</v>
      </c>
      <c r="G1120" s="29" t="n">
        <v>2026</v>
      </c>
      <c r="H1120" s="29" t="s">
        <v>248</v>
      </c>
      <c r="I1120" s="29" t="n">
        <v>1</v>
      </c>
      <c r="J1120" s="29" t="s">
        <v>250</v>
      </c>
      <c r="K1120" s="29" t="s">
        <v>251</v>
      </c>
      <c r="L1120" s="29" t="n">
        <v>0.03</v>
      </c>
      <c r="M1120" s="32" t="n">
        <v>29971.26</v>
      </c>
      <c r="N1120" s="32" t="n">
        <v>29978.65</v>
      </c>
      <c r="O1120" s="32" t="n">
        <v>29953.15</v>
      </c>
      <c r="P1120" s="45" t="n">
        <f aca="false">ABS(M1120-N1120)</f>
        <v>7.39000000000306</v>
      </c>
      <c r="Q1120" s="45" t="n">
        <f aca="false">IF(O1120="","",ABS(O1120-M1120))</f>
        <v>18.1099999999969</v>
      </c>
      <c r="R1120" s="31" t="n">
        <f aca="false">P1120*L1120*Summary!$C$6</f>
        <v>22.1700000000092</v>
      </c>
      <c r="S1120" s="32" t="n">
        <v>29978.8</v>
      </c>
      <c r="T1120" s="29" t="s">
        <v>249</v>
      </c>
      <c r="U1120" s="45" t="n">
        <f aca="false">IF(J1120="BUY",S1120-M1120,M1120-S1120)</f>
        <v>-7.54000000000087</v>
      </c>
      <c r="V1120" s="46" t="n">
        <v>0</v>
      </c>
      <c r="W1120" s="46" t="n">
        <v>0</v>
      </c>
      <c r="X1120" s="46" t="n">
        <v>-22.62</v>
      </c>
      <c r="Y1120" s="33" t="n">
        <f aca="false">IFERROR(X1120/R1120,0)</f>
        <v>-1.02029769959362</v>
      </c>
      <c r="Z1120" s="29" t="str">
        <f aca="false">IF(X1120&gt;0,"Win",IF(X1120&lt;0,"Loss","Flat"))</f>
        <v>Loss</v>
      </c>
      <c r="AA1120" s="29" t="n">
        <f aca="false">ROUND((C1120-B1120)*1440,1)</f>
        <v>1</v>
      </c>
      <c r="AB1120" s="29" t="str">
        <f aca="false">IF(AA1120&lt;1,"a) &lt;1 min",IF(AA1120&lt;10,"b) 1-10 min",IF(AA1120&lt;60,"c) 10-60 min",IF(AA1120&lt;240,"d) 1-4 h","e) 4 h+"))))</f>
        <v>b) 1-10 min</v>
      </c>
      <c r="AC1120" s="29" t="str">
        <f aca="false">IF(P1120&lt;10,"a) &lt;10",IF(P1120&lt;20,"b) 10-20",IF(P1120&lt;40,"c) 20-40",IF(P1120&lt;80,"d) 40-80","e) 80+"))))</f>
        <v>a) &lt;10</v>
      </c>
      <c r="AD1120" s="31" t="n">
        <f aca="false">Summary!$C$5+SUM(X$2:X1120)</f>
        <v>23562.6</v>
      </c>
      <c r="AE1120" s="31" t="n">
        <f aca="false">MAX(AE1119,AD1120)</f>
        <v>23611.84</v>
      </c>
      <c r="AF1120" s="31" t="n">
        <f aca="false">AE1120-AD1120</f>
        <v>49.2400000000016</v>
      </c>
      <c r="AG1120" s="30" t="n">
        <f aca="false">IFERROR(AF1120/AE1120,0)</f>
        <v>0.00208539444617622</v>
      </c>
    </row>
    <row r="1121" customFormat="false" ht="15" hidden="false" customHeight="false" outlineLevel="0" collapsed="false">
      <c r="A1121" s="29" t="n">
        <v>1120</v>
      </c>
      <c r="B1121" s="44" t="n">
        <v>46253.1263888889</v>
      </c>
      <c r="C1121" s="44" t="n">
        <v>46253.1270949074</v>
      </c>
      <c r="D1121" s="43" t="n">
        <f aca="false">INT(C1121)</f>
        <v>46253</v>
      </c>
      <c r="E1121" s="43" t="n">
        <f aca="false">D1121-WEEKDAY(D1121,3)</f>
        <v>46251</v>
      </c>
      <c r="F1121" s="29" t="s">
        <v>196</v>
      </c>
      <c r="G1121" s="29" t="n">
        <v>2026</v>
      </c>
      <c r="H1121" s="29" t="s">
        <v>252</v>
      </c>
      <c r="I1121" s="29" t="n">
        <v>3</v>
      </c>
      <c r="J1121" s="29" t="s">
        <v>250</v>
      </c>
      <c r="K1121" s="29" t="s">
        <v>251</v>
      </c>
      <c r="L1121" s="29" t="n">
        <v>0.04</v>
      </c>
      <c r="M1121" s="32" t="n">
        <v>29384.44</v>
      </c>
      <c r="N1121" s="32" t="n">
        <v>29401.37</v>
      </c>
      <c r="O1121" s="32" t="n">
        <v>29333.09</v>
      </c>
      <c r="P1121" s="45" t="n">
        <f aca="false">ABS(M1121-N1121)</f>
        <v>16.9300000000003</v>
      </c>
      <c r="Q1121" s="45" t="n">
        <f aca="false">IF(O1121="","",ABS(O1121-M1121))</f>
        <v>51.3499999999985</v>
      </c>
      <c r="R1121" s="31" t="n">
        <f aca="false">P1121*L1121*Summary!$C$6</f>
        <v>67.7200000000012</v>
      </c>
      <c r="S1121" s="32" t="n">
        <v>29401.43</v>
      </c>
      <c r="T1121" s="29" t="s">
        <v>249</v>
      </c>
      <c r="U1121" s="45" t="n">
        <f aca="false">IF(J1121="BUY",S1121-M1121,M1121-S1121)</f>
        <v>-16.9900000000016</v>
      </c>
      <c r="V1121" s="46" t="n">
        <v>0</v>
      </c>
      <c r="W1121" s="46" t="n">
        <v>0</v>
      </c>
      <c r="X1121" s="46" t="n">
        <v>-67.96</v>
      </c>
      <c r="Y1121" s="33" t="n">
        <f aca="false">IFERROR(X1121/R1121,0)</f>
        <v>-1.00354400472532</v>
      </c>
      <c r="Z1121" s="29" t="str">
        <f aca="false">IF(X1121&gt;0,"Win",IF(X1121&lt;0,"Loss","Flat"))</f>
        <v>Loss</v>
      </c>
      <c r="AA1121" s="29" t="n">
        <f aca="false">ROUND((C1121-B1121)*1440,1)</f>
        <v>1</v>
      </c>
      <c r="AB1121" s="29" t="str">
        <f aca="false">IF(AA1121&lt;1,"a) &lt;1 min",IF(AA1121&lt;10,"b) 1-10 min",IF(AA1121&lt;60,"c) 10-60 min",IF(AA1121&lt;240,"d) 1-4 h","e) 4 h+"))))</f>
        <v>b) 1-10 min</v>
      </c>
      <c r="AC1121" s="29" t="str">
        <f aca="false">IF(P1121&lt;10,"a) &lt;10",IF(P1121&lt;20,"b) 10-20",IF(P1121&lt;40,"c) 20-40",IF(P1121&lt;80,"d) 40-80","e) 80+"))))</f>
        <v>b) 10-20</v>
      </c>
      <c r="AD1121" s="31" t="n">
        <f aca="false">Summary!$C$5+SUM(X$2:X1121)</f>
        <v>23494.64</v>
      </c>
      <c r="AE1121" s="31" t="n">
        <f aca="false">MAX(AE1120,AD1121)</f>
        <v>23611.84</v>
      </c>
      <c r="AF1121" s="31" t="n">
        <f aca="false">AE1121-AD1121</f>
        <v>117.200000000001</v>
      </c>
      <c r="AG1121" s="30" t="n">
        <f aca="false">IFERROR(AF1121/AE1121,0)</f>
        <v>0.00496361147627634</v>
      </c>
    </row>
    <row r="1122" customFormat="false" ht="15" hidden="false" customHeight="false" outlineLevel="0" collapsed="false">
      <c r="A1122" s="29" t="n">
        <v>1121</v>
      </c>
      <c r="B1122" s="44" t="n">
        <v>46254.6173611111</v>
      </c>
      <c r="C1122" s="44" t="n">
        <v>46254.6272453704</v>
      </c>
      <c r="D1122" s="43" t="n">
        <f aca="false">INT(C1122)</f>
        <v>46254</v>
      </c>
      <c r="E1122" s="43" t="n">
        <f aca="false">D1122-WEEKDAY(D1122,3)</f>
        <v>46251</v>
      </c>
      <c r="F1122" s="29" t="s">
        <v>196</v>
      </c>
      <c r="G1122" s="29" t="n">
        <v>2026</v>
      </c>
      <c r="H1122" s="29" t="s">
        <v>253</v>
      </c>
      <c r="I1122" s="29" t="n">
        <v>14</v>
      </c>
      <c r="J1122" s="29" t="s">
        <v>250</v>
      </c>
      <c r="K1122" s="29" t="s">
        <v>251</v>
      </c>
      <c r="L1122" s="29" t="n">
        <v>0.04</v>
      </c>
      <c r="M1122" s="32" t="n">
        <v>29288.39</v>
      </c>
      <c r="N1122" s="32" t="n">
        <v>29306.53</v>
      </c>
      <c r="O1122" s="32" t="n">
        <v>29242.02</v>
      </c>
      <c r="P1122" s="45" t="n">
        <f aca="false">ABS(M1122-N1122)</f>
        <v>18.1399999999994</v>
      </c>
      <c r="Q1122" s="45" t="n">
        <f aca="false">IF(O1122="","",ABS(O1122-M1122))</f>
        <v>46.369999999999</v>
      </c>
      <c r="R1122" s="31" t="n">
        <f aca="false">P1122*L1122*Summary!$C$6</f>
        <v>72.5599999999977</v>
      </c>
      <c r="S1122" s="32" t="n">
        <v>29241.75</v>
      </c>
      <c r="T1122" s="29" t="s">
        <v>227</v>
      </c>
      <c r="U1122" s="45" t="n">
        <f aca="false">IF(J1122="BUY",S1122-M1122,M1122-S1122)</f>
        <v>46.6399999999994</v>
      </c>
      <c r="V1122" s="46" t="n">
        <v>0</v>
      </c>
      <c r="W1122" s="46" t="n">
        <v>0</v>
      </c>
      <c r="X1122" s="46" t="n">
        <v>186.56</v>
      </c>
      <c r="Y1122" s="33" t="n">
        <f aca="false">IFERROR(X1122/R1122,0)</f>
        <v>2.57111356119082</v>
      </c>
      <c r="Z1122" s="29" t="str">
        <f aca="false">IF(X1122&gt;0,"Win",IF(X1122&lt;0,"Loss","Flat"))</f>
        <v>Win</v>
      </c>
      <c r="AA1122" s="29" t="n">
        <f aca="false">ROUND((C1122-B1122)*1440,1)</f>
        <v>14.2</v>
      </c>
      <c r="AB1122" s="29" t="str">
        <f aca="false">IF(AA1122&lt;1,"a) &lt;1 min",IF(AA1122&lt;10,"b) 1-10 min",IF(AA1122&lt;60,"c) 10-60 min",IF(AA1122&lt;240,"d) 1-4 h","e) 4 h+"))))</f>
        <v>c) 10-60 min</v>
      </c>
      <c r="AC1122" s="29" t="str">
        <f aca="false">IF(P1122&lt;10,"a) &lt;10",IF(P1122&lt;20,"b) 10-20",IF(P1122&lt;40,"c) 20-40",IF(P1122&lt;80,"d) 40-80","e) 80+"))))</f>
        <v>b) 10-20</v>
      </c>
      <c r="AD1122" s="31" t="n">
        <f aca="false">Summary!$C$5+SUM(X$2:X1122)</f>
        <v>23681.2</v>
      </c>
      <c r="AE1122" s="31" t="n">
        <f aca="false">MAX(AE1121,AD1122)</f>
        <v>23681.2</v>
      </c>
      <c r="AF1122" s="31" t="n">
        <f aca="false">AE1122-AD1122</f>
        <v>0</v>
      </c>
      <c r="AG1122" s="30" t="n">
        <f aca="false">IFERROR(AF1122/AE1122,0)</f>
        <v>0</v>
      </c>
    </row>
    <row r="1123" customFormat="false" ht="15" hidden="false" customHeight="false" outlineLevel="0" collapsed="false">
      <c r="A1123" s="29" t="n">
        <v>1122</v>
      </c>
      <c r="B1123" s="44" t="n">
        <v>46258.3583333333</v>
      </c>
      <c r="C1123" s="44" t="n">
        <v>46258.3589236111</v>
      </c>
      <c r="D1123" s="43" t="n">
        <f aca="false">INT(C1123)</f>
        <v>46258</v>
      </c>
      <c r="E1123" s="43" t="n">
        <f aca="false">D1123-WEEKDAY(D1123,3)</f>
        <v>46258</v>
      </c>
      <c r="F1123" s="29" t="s">
        <v>196</v>
      </c>
      <c r="G1123" s="29" t="n">
        <v>2026</v>
      </c>
      <c r="H1123" s="29" t="s">
        <v>245</v>
      </c>
      <c r="I1123" s="29" t="n">
        <v>8</v>
      </c>
      <c r="J1123" s="29" t="s">
        <v>250</v>
      </c>
      <c r="K1123" s="29" t="s">
        <v>251</v>
      </c>
      <c r="L1123" s="29" t="n">
        <v>0.04</v>
      </c>
      <c r="M1123" s="32" t="n">
        <v>29138.22</v>
      </c>
      <c r="N1123" s="32" t="n">
        <v>29148.55</v>
      </c>
      <c r="O1123" s="32" t="n">
        <v>29112.92</v>
      </c>
      <c r="P1123" s="45" t="n">
        <f aca="false">ABS(M1123-N1123)</f>
        <v>10.3299999999981</v>
      </c>
      <c r="Q1123" s="45" t="n">
        <f aca="false">IF(O1123="","",ABS(O1123-M1123))</f>
        <v>25.3000000000029</v>
      </c>
      <c r="R1123" s="31" t="n">
        <f aca="false">P1123*L1123*Summary!$C$6</f>
        <v>41.3199999999924</v>
      </c>
      <c r="S1123" s="32" t="n">
        <v>29149.79</v>
      </c>
      <c r="T1123" s="29" t="s">
        <v>249</v>
      </c>
      <c r="U1123" s="45" t="n">
        <f aca="false">IF(J1123="BUY",S1123-M1123,M1123-S1123)</f>
        <v>-11.5699999999997</v>
      </c>
      <c r="V1123" s="46" t="n">
        <v>0</v>
      </c>
      <c r="W1123" s="46" t="n">
        <v>0</v>
      </c>
      <c r="X1123" s="46" t="n">
        <v>-46.28</v>
      </c>
      <c r="Y1123" s="33" t="n">
        <f aca="false">IFERROR(X1123/R1123,0)</f>
        <v>-1.12003872216865</v>
      </c>
      <c r="Z1123" s="29" t="str">
        <f aca="false">IF(X1123&gt;0,"Win",IF(X1123&lt;0,"Loss","Flat"))</f>
        <v>Loss</v>
      </c>
      <c r="AA1123" s="29" t="n">
        <f aca="false">ROUND((C1123-B1123)*1440,1)</f>
        <v>0.9</v>
      </c>
      <c r="AB1123" s="29" t="str">
        <f aca="false">IF(AA1123&lt;1,"a) &lt;1 min",IF(AA1123&lt;10,"b) 1-10 min",IF(AA1123&lt;60,"c) 10-60 min",IF(AA1123&lt;240,"d) 1-4 h","e) 4 h+"))))</f>
        <v>a) &lt;1 min</v>
      </c>
      <c r="AC1123" s="29" t="str">
        <f aca="false">IF(P1123&lt;10,"a) &lt;10",IF(P1123&lt;20,"b) 10-20",IF(P1123&lt;40,"c) 20-40",IF(P1123&lt;80,"d) 40-80","e) 80+"))))</f>
        <v>b) 10-20</v>
      </c>
      <c r="AD1123" s="31" t="n">
        <f aca="false">Summary!$C$5+SUM(X$2:X1123)</f>
        <v>23634.92</v>
      </c>
      <c r="AE1123" s="31" t="n">
        <f aca="false">MAX(AE1122,AD1123)</f>
        <v>23681.2</v>
      </c>
      <c r="AF1123" s="31" t="n">
        <f aca="false">AE1123-AD1123</f>
        <v>46.2799999999988</v>
      </c>
      <c r="AG1123" s="30" t="n">
        <f aca="false">IFERROR(AF1123/AE1123,0)</f>
        <v>0.00195429285678086</v>
      </c>
    </row>
    <row r="1124" customFormat="false" ht="15" hidden="false" customHeight="false" outlineLevel="0" collapsed="false">
      <c r="A1124" s="29" t="n">
        <v>1123</v>
      </c>
      <c r="B1124" s="44" t="n">
        <v>46261.0423611111</v>
      </c>
      <c r="C1124" s="44" t="n">
        <v>46261.1231018519</v>
      </c>
      <c r="D1124" s="43" t="n">
        <f aca="false">INT(C1124)</f>
        <v>46261</v>
      </c>
      <c r="E1124" s="43" t="n">
        <f aca="false">D1124-WEEKDAY(D1124,3)</f>
        <v>46258</v>
      </c>
      <c r="F1124" s="29" t="s">
        <v>196</v>
      </c>
      <c r="G1124" s="29" t="n">
        <v>2026</v>
      </c>
      <c r="H1124" s="29" t="s">
        <v>253</v>
      </c>
      <c r="I1124" s="29" t="n">
        <v>1</v>
      </c>
      <c r="J1124" s="29" t="s">
        <v>246</v>
      </c>
      <c r="K1124" s="29" t="s">
        <v>247</v>
      </c>
      <c r="L1124" s="29" t="n">
        <v>0.04</v>
      </c>
      <c r="M1124" s="32" t="n">
        <v>29481.68</v>
      </c>
      <c r="N1124" s="32" t="n">
        <v>29437.62</v>
      </c>
      <c r="O1124" s="32" t="n">
        <v>29585.51</v>
      </c>
      <c r="P1124" s="45" t="n">
        <f aca="false">ABS(M1124-N1124)</f>
        <v>44.0600000000013</v>
      </c>
      <c r="Q1124" s="45" t="n">
        <f aca="false">IF(O1124="","",ABS(O1124-M1124))</f>
        <v>103.829999999998</v>
      </c>
      <c r="R1124" s="31" t="n">
        <f aca="false">P1124*L1124*Summary!$C$6</f>
        <v>176.240000000005</v>
      </c>
      <c r="S1124" s="32" t="n">
        <v>29585.55</v>
      </c>
      <c r="T1124" s="29" t="s">
        <v>227</v>
      </c>
      <c r="U1124" s="45" t="n">
        <f aca="false">IF(J1124="BUY",S1124-M1124,M1124-S1124)</f>
        <v>103.869999999999</v>
      </c>
      <c r="V1124" s="46" t="n">
        <v>0</v>
      </c>
      <c r="W1124" s="46" t="n">
        <v>0</v>
      </c>
      <c r="X1124" s="46" t="n">
        <v>415.48</v>
      </c>
      <c r="Y1124" s="33" t="n">
        <f aca="false">IFERROR(X1124/R1124,0)</f>
        <v>2.3574670903313</v>
      </c>
      <c r="Z1124" s="29" t="str">
        <f aca="false">IF(X1124&gt;0,"Win",IF(X1124&lt;0,"Loss","Flat"))</f>
        <v>Win</v>
      </c>
      <c r="AA1124" s="29" t="n">
        <f aca="false">ROUND((C1124-B1124)*1440,1)</f>
        <v>116.3</v>
      </c>
      <c r="AB1124" s="29" t="str">
        <f aca="false">IF(AA1124&lt;1,"a) &lt;1 min",IF(AA1124&lt;10,"b) 1-10 min",IF(AA1124&lt;60,"c) 10-60 min",IF(AA1124&lt;240,"d) 1-4 h","e) 4 h+"))))</f>
        <v>d) 1-4 h</v>
      </c>
      <c r="AC1124" s="29" t="str">
        <f aca="false">IF(P1124&lt;10,"a) &lt;10",IF(P1124&lt;20,"b) 10-20",IF(P1124&lt;40,"c) 20-40",IF(P1124&lt;80,"d) 40-80","e) 80+"))))</f>
        <v>d) 40-80</v>
      </c>
      <c r="AD1124" s="31" t="n">
        <f aca="false">Summary!$C$5+SUM(X$2:X1124)</f>
        <v>24050.4</v>
      </c>
      <c r="AE1124" s="31" t="n">
        <f aca="false">MAX(AE1123,AD1124)</f>
        <v>24050.4</v>
      </c>
      <c r="AF1124" s="31" t="n">
        <f aca="false">AE1124-AD1124</f>
        <v>0</v>
      </c>
      <c r="AG1124" s="30" t="n">
        <f aca="false">IFERROR(AF1124/AE1124,0)</f>
        <v>0</v>
      </c>
    </row>
    <row r="1125" customFormat="false" ht="15" hidden="false" customHeight="false" outlineLevel="0" collapsed="false">
      <c r="A1125" s="29" t="n">
        <v>1124</v>
      </c>
      <c r="B1125" s="44" t="n">
        <v>46262.2590277778</v>
      </c>
      <c r="C1125" s="44" t="n">
        <v>46262.2600231482</v>
      </c>
      <c r="D1125" s="43" t="n">
        <f aca="false">INT(C1125)</f>
        <v>46262</v>
      </c>
      <c r="E1125" s="43" t="n">
        <f aca="false">D1125-WEEKDAY(D1125,3)</f>
        <v>46258</v>
      </c>
      <c r="F1125" s="29" t="s">
        <v>196</v>
      </c>
      <c r="G1125" s="29" t="n">
        <v>2026</v>
      </c>
      <c r="H1125" s="29" t="s">
        <v>254</v>
      </c>
      <c r="I1125" s="29" t="n">
        <v>6</v>
      </c>
      <c r="J1125" s="29" t="s">
        <v>246</v>
      </c>
      <c r="K1125" s="29" t="s">
        <v>247</v>
      </c>
      <c r="L1125" s="29" t="n">
        <v>0.04</v>
      </c>
      <c r="M1125" s="32" t="n">
        <v>29644.27</v>
      </c>
      <c r="N1125" s="32" t="n">
        <v>29636.78</v>
      </c>
      <c r="O1125" s="32" t="n">
        <v>29662.62</v>
      </c>
      <c r="P1125" s="45" t="n">
        <f aca="false">ABS(M1125-N1125)</f>
        <v>7.4900000000016</v>
      </c>
      <c r="Q1125" s="45" t="n">
        <f aca="false">IF(O1125="","",ABS(O1125-M1125))</f>
        <v>18.3499999999985</v>
      </c>
      <c r="R1125" s="31" t="n">
        <f aca="false">P1125*L1125*Summary!$C$6</f>
        <v>29.9600000000064</v>
      </c>
      <c r="S1125" s="32" t="n">
        <v>29636.69</v>
      </c>
      <c r="T1125" s="29" t="s">
        <v>249</v>
      </c>
      <c r="U1125" s="45" t="n">
        <f aca="false">IF(J1125="BUY",S1125-M1125,M1125-S1125)</f>
        <v>-7.58000000000175</v>
      </c>
      <c r="V1125" s="46" t="n">
        <v>0</v>
      </c>
      <c r="W1125" s="46" t="n">
        <v>0</v>
      </c>
      <c r="X1125" s="46" t="n">
        <v>-30.32</v>
      </c>
      <c r="Y1125" s="33" t="n">
        <f aca="false">IFERROR(X1125/R1125,0)</f>
        <v>-1.0120160213616</v>
      </c>
      <c r="Z1125" s="29" t="str">
        <f aca="false">IF(X1125&gt;0,"Win",IF(X1125&lt;0,"Loss","Flat"))</f>
        <v>Loss</v>
      </c>
      <c r="AA1125" s="29" t="n">
        <f aca="false">ROUND((C1125-B1125)*1440,1)</f>
        <v>1.4</v>
      </c>
      <c r="AB1125" s="29" t="str">
        <f aca="false">IF(AA1125&lt;1,"a) &lt;1 min",IF(AA1125&lt;10,"b) 1-10 min",IF(AA1125&lt;60,"c) 10-60 min",IF(AA1125&lt;240,"d) 1-4 h","e) 4 h+"))))</f>
        <v>b) 1-10 min</v>
      </c>
      <c r="AC1125" s="29" t="str">
        <f aca="false">IF(P1125&lt;10,"a) &lt;10",IF(P1125&lt;20,"b) 10-20",IF(P1125&lt;40,"c) 20-40",IF(P1125&lt;80,"d) 40-80","e) 80+"))))</f>
        <v>a) &lt;10</v>
      </c>
      <c r="AD1125" s="31" t="n">
        <f aca="false">Summary!$C$5+SUM(X$2:X1125)</f>
        <v>24020.08</v>
      </c>
      <c r="AE1125" s="31" t="n">
        <f aca="false">MAX(AE1124,AD1125)</f>
        <v>24050.4</v>
      </c>
      <c r="AF1125" s="31" t="n">
        <f aca="false">AE1125-AD1125</f>
        <v>30.3199999999997</v>
      </c>
      <c r="AG1125" s="30" t="n">
        <f aca="false">IFERROR(AF1125/AE1125,0)</f>
        <v>0.00126068589295811</v>
      </c>
    </row>
    <row r="1126" customFormat="false" ht="15" hidden="false" customHeight="false" outlineLevel="0" collapsed="false">
      <c r="A1126" s="29" t="n">
        <v>1125</v>
      </c>
      <c r="B1126" s="44" t="n">
        <v>46265.0715277778</v>
      </c>
      <c r="C1126" s="44" t="n">
        <v>46265.0736111111</v>
      </c>
      <c r="D1126" s="43" t="n">
        <f aca="false">INT(C1126)</f>
        <v>46265</v>
      </c>
      <c r="E1126" s="43" t="n">
        <f aca="false">D1126-WEEKDAY(D1126,3)</f>
        <v>46265</v>
      </c>
      <c r="F1126" s="29" t="s">
        <v>196</v>
      </c>
      <c r="G1126" s="29" t="n">
        <v>2026</v>
      </c>
      <c r="H1126" s="29" t="s">
        <v>245</v>
      </c>
      <c r="I1126" s="29" t="n">
        <v>1</v>
      </c>
      <c r="J1126" s="29" t="s">
        <v>250</v>
      </c>
      <c r="K1126" s="29" t="s">
        <v>251</v>
      </c>
      <c r="L1126" s="29" t="n">
        <v>0.04</v>
      </c>
      <c r="M1126" s="32" t="n">
        <v>29377.55</v>
      </c>
      <c r="N1126" s="32" t="n">
        <v>29388.63</v>
      </c>
      <c r="O1126" s="32" t="n">
        <v>29350.4</v>
      </c>
      <c r="P1126" s="45" t="n">
        <f aca="false">ABS(M1126-N1126)</f>
        <v>11.0800000000017</v>
      </c>
      <c r="Q1126" s="45" t="n">
        <f aca="false">IF(O1126="","",ABS(O1126-M1126))</f>
        <v>27.1499999999978</v>
      </c>
      <c r="R1126" s="31" t="n">
        <f aca="false">P1126*L1126*Summary!$C$6</f>
        <v>44.320000000007</v>
      </c>
      <c r="S1126" s="32" t="n">
        <v>29391.11</v>
      </c>
      <c r="T1126" s="29" t="s">
        <v>249</v>
      </c>
      <c r="U1126" s="45" t="n">
        <f aca="false">IF(J1126="BUY",S1126-M1126,M1126-S1126)</f>
        <v>-13.5600000000013</v>
      </c>
      <c r="V1126" s="46" t="n">
        <v>0</v>
      </c>
      <c r="W1126" s="46" t="n">
        <v>0</v>
      </c>
      <c r="X1126" s="46" t="n">
        <v>-54.24</v>
      </c>
      <c r="Y1126" s="33" t="n">
        <f aca="false">IFERROR(X1126/R1126,0)</f>
        <v>-1.22382671480125</v>
      </c>
      <c r="Z1126" s="29" t="str">
        <f aca="false">IF(X1126&gt;0,"Win",IF(X1126&lt;0,"Loss","Flat"))</f>
        <v>Loss</v>
      </c>
      <c r="AA1126" s="29" t="n">
        <f aca="false">ROUND((C1126-B1126)*1440,1)</f>
        <v>3</v>
      </c>
      <c r="AB1126" s="29" t="str">
        <f aca="false">IF(AA1126&lt;1,"a) &lt;1 min",IF(AA1126&lt;10,"b) 1-10 min",IF(AA1126&lt;60,"c) 10-60 min",IF(AA1126&lt;240,"d) 1-4 h","e) 4 h+"))))</f>
        <v>b) 1-10 min</v>
      </c>
      <c r="AC1126" s="29" t="str">
        <f aca="false">IF(P1126&lt;10,"a) &lt;10",IF(P1126&lt;20,"b) 10-20",IF(P1126&lt;40,"c) 20-40",IF(P1126&lt;80,"d) 40-80","e) 80+"))))</f>
        <v>b) 10-20</v>
      </c>
      <c r="AD1126" s="31" t="n">
        <f aca="false">Summary!$C$5+SUM(X$2:X1126)</f>
        <v>23965.84</v>
      </c>
      <c r="AE1126" s="31" t="n">
        <f aca="false">MAX(AE1125,AD1126)</f>
        <v>24050.4</v>
      </c>
      <c r="AF1126" s="31" t="n">
        <f aca="false">AE1126-AD1126</f>
        <v>84.5600000000013</v>
      </c>
      <c r="AG1126" s="30" t="n">
        <f aca="false">IFERROR(AF1126/AE1126,0)</f>
        <v>0.00351594983867218</v>
      </c>
    </row>
    <row r="1127" customFormat="false" ht="15" hidden="false" customHeight="false" outlineLevel="0" collapsed="false">
      <c r="A1127" s="29" t="n">
        <v>1126</v>
      </c>
      <c r="B1127" s="44" t="n">
        <v>46266.3715277778</v>
      </c>
      <c r="C1127" s="44" t="n">
        <v>46266.3724421296</v>
      </c>
      <c r="D1127" s="43" t="n">
        <f aca="false">INT(C1127)</f>
        <v>46266</v>
      </c>
      <c r="E1127" s="43" t="n">
        <f aca="false">D1127-WEEKDAY(D1127,3)</f>
        <v>46265</v>
      </c>
      <c r="F1127" s="29" t="s">
        <v>197</v>
      </c>
      <c r="G1127" s="29" t="n">
        <v>2026</v>
      </c>
      <c r="H1127" s="29" t="s">
        <v>248</v>
      </c>
      <c r="I1127" s="29" t="n">
        <v>8</v>
      </c>
      <c r="J1127" s="29" t="s">
        <v>246</v>
      </c>
      <c r="K1127" s="29" t="s">
        <v>247</v>
      </c>
      <c r="L1127" s="29" t="n">
        <v>0.04</v>
      </c>
      <c r="M1127" s="32" t="n">
        <v>29492.66</v>
      </c>
      <c r="N1127" s="32" t="n">
        <v>29485.73</v>
      </c>
      <c r="O1127" s="32" t="n">
        <v>29509.63</v>
      </c>
      <c r="P1127" s="45" t="n">
        <f aca="false">ABS(M1127-N1127)</f>
        <v>6.93000000000029</v>
      </c>
      <c r="Q1127" s="45" t="n">
        <f aca="false">IF(O1127="","",ABS(O1127-M1127))</f>
        <v>16.9700000000012</v>
      </c>
      <c r="R1127" s="31" t="n">
        <f aca="false">P1127*L1127*Summary!$C$6</f>
        <v>27.7200000000012</v>
      </c>
      <c r="S1127" s="32" t="n">
        <v>29510.12</v>
      </c>
      <c r="T1127" s="29" t="s">
        <v>227</v>
      </c>
      <c r="U1127" s="45" t="n">
        <f aca="false">IF(J1127="BUY",S1127-M1127,M1127-S1127)</f>
        <v>17.4599999999991</v>
      </c>
      <c r="V1127" s="46" t="n">
        <v>0</v>
      </c>
      <c r="W1127" s="46" t="n">
        <v>0</v>
      </c>
      <c r="X1127" s="46" t="n">
        <v>69.84</v>
      </c>
      <c r="Y1127" s="33" t="n">
        <f aca="false">IFERROR(X1127/R1127,0)</f>
        <v>2.51948051948041</v>
      </c>
      <c r="Z1127" s="29" t="str">
        <f aca="false">IF(X1127&gt;0,"Win",IF(X1127&lt;0,"Loss","Flat"))</f>
        <v>Win</v>
      </c>
      <c r="AA1127" s="29" t="n">
        <f aca="false">ROUND((C1127-B1127)*1440,1)</f>
        <v>1.3</v>
      </c>
      <c r="AB1127" s="29" t="str">
        <f aca="false">IF(AA1127&lt;1,"a) &lt;1 min",IF(AA1127&lt;10,"b) 1-10 min",IF(AA1127&lt;60,"c) 10-60 min",IF(AA1127&lt;240,"d) 1-4 h","e) 4 h+"))))</f>
        <v>b) 1-10 min</v>
      </c>
      <c r="AC1127" s="29" t="str">
        <f aca="false">IF(P1127&lt;10,"a) &lt;10",IF(P1127&lt;20,"b) 10-20",IF(P1127&lt;40,"c) 20-40",IF(P1127&lt;80,"d) 40-80","e) 80+"))))</f>
        <v>a) &lt;10</v>
      </c>
      <c r="AD1127" s="31" t="n">
        <f aca="false">Summary!$C$5+SUM(X$2:X1127)</f>
        <v>24035.68</v>
      </c>
      <c r="AE1127" s="31" t="n">
        <f aca="false">MAX(AE1126,AD1127)</f>
        <v>24050.4</v>
      </c>
      <c r="AF1127" s="31" t="n">
        <f aca="false">AE1127-AD1127</f>
        <v>14.7200000000012</v>
      </c>
      <c r="AG1127" s="30" t="n">
        <f aca="false">IFERROR(AF1127/AE1127,0)</f>
        <v>0.000612048032465205</v>
      </c>
    </row>
    <row r="1128" customFormat="false" ht="15" hidden="false" customHeight="false" outlineLevel="0" collapsed="false">
      <c r="A1128" s="29" t="n">
        <v>1127</v>
      </c>
      <c r="B1128" s="44" t="n">
        <v>46266.4847222222</v>
      </c>
      <c r="C1128" s="44" t="n">
        <v>46266.4897569444</v>
      </c>
      <c r="D1128" s="43" t="n">
        <f aca="false">INT(C1128)</f>
        <v>46266</v>
      </c>
      <c r="E1128" s="43" t="n">
        <f aca="false">D1128-WEEKDAY(D1128,3)</f>
        <v>46265</v>
      </c>
      <c r="F1128" s="29" t="s">
        <v>197</v>
      </c>
      <c r="G1128" s="29" t="n">
        <v>2026</v>
      </c>
      <c r="H1128" s="29" t="s">
        <v>248</v>
      </c>
      <c r="I1128" s="29" t="n">
        <v>11</v>
      </c>
      <c r="J1128" s="29" t="s">
        <v>250</v>
      </c>
      <c r="K1128" s="29" t="s">
        <v>251</v>
      </c>
      <c r="L1128" s="29" t="n">
        <v>0.04</v>
      </c>
      <c r="M1128" s="32" t="n">
        <v>29218.51</v>
      </c>
      <c r="N1128" s="32" t="n">
        <v>29235.65</v>
      </c>
      <c r="O1128" s="32" t="n">
        <v>29176.51</v>
      </c>
      <c r="P1128" s="45" t="n">
        <f aca="false">ABS(M1128-N1128)</f>
        <v>17.1400000000031</v>
      </c>
      <c r="Q1128" s="45" t="n">
        <f aca="false">IF(O1128="","",ABS(O1128-M1128))</f>
        <v>42</v>
      </c>
      <c r="R1128" s="31" t="n">
        <f aca="false">P1128*L1128*Summary!$C$6</f>
        <v>68.5600000000122</v>
      </c>
      <c r="S1128" s="32" t="n">
        <v>29218.51</v>
      </c>
      <c r="T1128" s="29" t="s">
        <v>255</v>
      </c>
      <c r="U1128" s="45" t="n">
        <f aca="false">IF(J1128="BUY",S1128-M1128,M1128-S1128)</f>
        <v>0</v>
      </c>
      <c r="V1128" s="46" t="n">
        <v>0</v>
      </c>
      <c r="W1128" s="46" t="n">
        <v>0</v>
      </c>
      <c r="X1128" s="46" t="n">
        <v>0</v>
      </c>
      <c r="Y1128" s="33" t="n">
        <f aca="false">IFERROR(X1128/R1128,0)</f>
        <v>0</v>
      </c>
      <c r="Z1128" s="29" t="str">
        <f aca="false">IF(X1128&gt;0,"Win",IF(X1128&lt;0,"Loss","Flat"))</f>
        <v>Flat</v>
      </c>
      <c r="AA1128" s="29" t="n">
        <f aca="false">ROUND((C1128-B1128)*1440,1)</f>
        <v>7.3</v>
      </c>
      <c r="AB1128" s="29" t="str">
        <f aca="false">IF(AA1128&lt;1,"a) &lt;1 min",IF(AA1128&lt;10,"b) 1-10 min",IF(AA1128&lt;60,"c) 10-60 min",IF(AA1128&lt;240,"d) 1-4 h","e) 4 h+"))))</f>
        <v>b) 1-10 min</v>
      </c>
      <c r="AC1128" s="29" t="str">
        <f aca="false">IF(P1128&lt;10,"a) &lt;10",IF(P1128&lt;20,"b) 10-20",IF(P1128&lt;40,"c) 20-40",IF(P1128&lt;80,"d) 40-80","e) 80+"))))</f>
        <v>b) 10-20</v>
      </c>
      <c r="AD1128" s="31" t="n">
        <f aca="false">Summary!$C$5+SUM(X$2:X1128)</f>
        <v>24035.68</v>
      </c>
      <c r="AE1128" s="31" t="n">
        <f aca="false">MAX(AE1127,AD1128)</f>
        <v>24050.4</v>
      </c>
      <c r="AF1128" s="31" t="n">
        <f aca="false">AE1128-AD1128</f>
        <v>14.7200000000012</v>
      </c>
      <c r="AG1128" s="30" t="n">
        <f aca="false">IFERROR(AF1128/AE1128,0)</f>
        <v>0.000612048032465205</v>
      </c>
    </row>
    <row r="1129" customFormat="false" ht="15" hidden="false" customHeight="false" outlineLevel="0" collapsed="false">
      <c r="A1129" s="29" t="n">
        <v>1128</v>
      </c>
      <c r="B1129" s="44" t="n">
        <v>46267.4951388889</v>
      </c>
      <c r="C1129" s="44" t="n">
        <v>46267.4961921296</v>
      </c>
      <c r="D1129" s="43" t="n">
        <f aca="false">INT(C1129)</f>
        <v>46267</v>
      </c>
      <c r="E1129" s="43" t="n">
        <f aca="false">D1129-WEEKDAY(D1129,3)</f>
        <v>46265</v>
      </c>
      <c r="F1129" s="29" t="s">
        <v>197</v>
      </c>
      <c r="G1129" s="29" t="n">
        <v>2026</v>
      </c>
      <c r="H1129" s="29" t="s">
        <v>252</v>
      </c>
      <c r="I1129" s="29" t="n">
        <v>11</v>
      </c>
      <c r="J1129" s="29" t="s">
        <v>250</v>
      </c>
      <c r="K1129" s="29" t="s">
        <v>251</v>
      </c>
      <c r="L1129" s="29" t="n">
        <v>0.04</v>
      </c>
      <c r="M1129" s="32" t="n">
        <v>28942.25</v>
      </c>
      <c r="N1129" s="32" t="n">
        <v>28953.09</v>
      </c>
      <c r="O1129" s="32" t="n">
        <v>28915.68</v>
      </c>
      <c r="P1129" s="45" t="n">
        <f aca="false">ABS(M1129-N1129)</f>
        <v>10.8400000000001</v>
      </c>
      <c r="Q1129" s="45" t="n">
        <f aca="false">IF(O1129="","",ABS(O1129-M1129))</f>
        <v>26.5699999999997</v>
      </c>
      <c r="R1129" s="31" t="n">
        <f aca="false">P1129*L1129*Summary!$C$6</f>
        <v>43.3600000000006</v>
      </c>
      <c r="S1129" s="32" t="n">
        <v>28915.35</v>
      </c>
      <c r="T1129" s="29" t="s">
        <v>227</v>
      </c>
      <c r="U1129" s="45" t="n">
        <f aca="false">IF(J1129="BUY",S1129-M1129,M1129-S1129)</f>
        <v>26.9000000000015</v>
      </c>
      <c r="V1129" s="46" t="n">
        <v>0</v>
      </c>
      <c r="W1129" s="46" t="n">
        <v>0</v>
      </c>
      <c r="X1129" s="46" t="n">
        <v>107.6</v>
      </c>
      <c r="Y1129" s="33" t="n">
        <f aca="false">IFERROR(X1129/R1129,0)</f>
        <v>2.48154981549812</v>
      </c>
      <c r="Z1129" s="29" t="str">
        <f aca="false">IF(X1129&gt;0,"Win",IF(X1129&lt;0,"Loss","Flat"))</f>
        <v>Win</v>
      </c>
      <c r="AA1129" s="29" t="n">
        <f aca="false">ROUND((C1129-B1129)*1440,1)</f>
        <v>1.5</v>
      </c>
      <c r="AB1129" s="29" t="str">
        <f aca="false">IF(AA1129&lt;1,"a) &lt;1 min",IF(AA1129&lt;10,"b) 1-10 min",IF(AA1129&lt;60,"c) 10-60 min",IF(AA1129&lt;240,"d) 1-4 h","e) 4 h+"))))</f>
        <v>b) 1-10 min</v>
      </c>
      <c r="AC1129" s="29" t="str">
        <f aca="false">IF(P1129&lt;10,"a) &lt;10",IF(P1129&lt;20,"b) 10-20",IF(P1129&lt;40,"c) 20-40",IF(P1129&lt;80,"d) 40-80","e) 80+"))))</f>
        <v>b) 10-20</v>
      </c>
      <c r="AD1129" s="31" t="n">
        <f aca="false">Summary!$C$5+SUM(X$2:X1129)</f>
        <v>24143.28</v>
      </c>
      <c r="AE1129" s="31" t="n">
        <f aca="false">MAX(AE1128,AD1129)</f>
        <v>24143.28</v>
      </c>
      <c r="AF1129" s="31" t="n">
        <f aca="false">AE1129-AD1129</f>
        <v>0</v>
      </c>
      <c r="AG1129" s="30" t="n">
        <f aca="false">IFERROR(AF1129/AE1129,0)</f>
        <v>0</v>
      </c>
    </row>
    <row r="1130" customFormat="false" ht="15" hidden="false" customHeight="false" outlineLevel="0" collapsed="false">
      <c r="A1130" s="29" t="n">
        <v>1129</v>
      </c>
      <c r="B1130" s="44" t="n">
        <v>46268.2631944444</v>
      </c>
      <c r="C1130" s="44" t="n">
        <v>46268.2658564815</v>
      </c>
      <c r="D1130" s="43" t="n">
        <f aca="false">INT(C1130)</f>
        <v>46268</v>
      </c>
      <c r="E1130" s="43" t="n">
        <f aca="false">D1130-WEEKDAY(D1130,3)</f>
        <v>46265</v>
      </c>
      <c r="F1130" s="29" t="s">
        <v>197</v>
      </c>
      <c r="G1130" s="29" t="n">
        <v>2026</v>
      </c>
      <c r="H1130" s="29" t="s">
        <v>253</v>
      </c>
      <c r="I1130" s="29" t="n">
        <v>6</v>
      </c>
      <c r="J1130" s="29" t="s">
        <v>246</v>
      </c>
      <c r="K1130" s="29" t="s">
        <v>247</v>
      </c>
      <c r="L1130" s="29" t="n">
        <v>0.04</v>
      </c>
      <c r="M1130" s="32" t="n">
        <v>29181.01</v>
      </c>
      <c r="N1130" s="32" t="n">
        <v>29173.14</v>
      </c>
      <c r="O1130" s="32" t="n">
        <v>29200.28</v>
      </c>
      <c r="P1130" s="45" t="n">
        <f aca="false">ABS(M1130-N1130)</f>
        <v>7.86999999999898</v>
      </c>
      <c r="Q1130" s="45" t="n">
        <f aca="false">IF(O1130="","",ABS(O1130-M1130))</f>
        <v>19.2700000000004</v>
      </c>
      <c r="R1130" s="31" t="n">
        <f aca="false">P1130*L1130*Summary!$C$6</f>
        <v>31.4799999999959</v>
      </c>
      <c r="S1130" s="32" t="n">
        <v>29172.72</v>
      </c>
      <c r="T1130" s="29" t="s">
        <v>249</v>
      </c>
      <c r="U1130" s="45" t="n">
        <f aca="false">IF(J1130="BUY",S1130-M1130,M1130-S1130)</f>
        <v>-8.28999999999724</v>
      </c>
      <c r="V1130" s="46" t="n">
        <v>0</v>
      </c>
      <c r="W1130" s="46" t="n">
        <v>0</v>
      </c>
      <c r="X1130" s="46" t="n">
        <v>-33.16</v>
      </c>
      <c r="Y1130" s="33" t="n">
        <f aca="false">IFERROR(X1130/R1130,0)</f>
        <v>-1.05336721728095</v>
      </c>
      <c r="Z1130" s="29" t="str">
        <f aca="false">IF(X1130&gt;0,"Win",IF(X1130&lt;0,"Loss","Flat"))</f>
        <v>Loss</v>
      </c>
      <c r="AA1130" s="29" t="n">
        <f aca="false">ROUND((C1130-B1130)*1440,1)</f>
        <v>3.8</v>
      </c>
      <c r="AB1130" s="29" t="str">
        <f aca="false">IF(AA1130&lt;1,"a) &lt;1 min",IF(AA1130&lt;10,"b) 1-10 min",IF(AA1130&lt;60,"c) 10-60 min",IF(AA1130&lt;240,"d) 1-4 h","e) 4 h+"))))</f>
        <v>b) 1-10 min</v>
      </c>
      <c r="AC1130" s="29" t="str">
        <f aca="false">IF(P1130&lt;10,"a) &lt;10",IF(P1130&lt;20,"b) 10-20",IF(P1130&lt;40,"c) 20-40",IF(P1130&lt;80,"d) 40-80","e) 80+"))))</f>
        <v>a) &lt;10</v>
      </c>
      <c r="AD1130" s="31" t="n">
        <f aca="false">Summary!$C$5+SUM(X$2:X1130)</f>
        <v>24110.12</v>
      </c>
      <c r="AE1130" s="31" t="n">
        <f aca="false">MAX(AE1129,AD1130)</f>
        <v>24143.28</v>
      </c>
      <c r="AF1130" s="31" t="n">
        <f aca="false">AE1130-AD1130</f>
        <v>33.1599999999999</v>
      </c>
      <c r="AG1130" s="30" t="n">
        <f aca="false">IFERROR(AF1130/AE1130,0)</f>
        <v>0.00137346706826909</v>
      </c>
    </row>
    <row r="1131" customFormat="false" ht="15" hidden="false" customHeight="false" outlineLevel="0" collapsed="false">
      <c r="A1131" s="29" t="n">
        <v>1130</v>
      </c>
      <c r="B1131" s="44" t="n">
        <v>46269.3090277778</v>
      </c>
      <c r="C1131" s="44" t="n">
        <v>46269.3111689815</v>
      </c>
      <c r="D1131" s="43" t="n">
        <f aca="false">INT(C1131)</f>
        <v>46269</v>
      </c>
      <c r="E1131" s="43" t="n">
        <f aca="false">D1131-WEEKDAY(D1131,3)</f>
        <v>46265</v>
      </c>
      <c r="F1131" s="29" t="s">
        <v>197</v>
      </c>
      <c r="G1131" s="29" t="n">
        <v>2026</v>
      </c>
      <c r="H1131" s="29" t="s">
        <v>254</v>
      </c>
      <c r="I1131" s="29" t="n">
        <v>7</v>
      </c>
      <c r="J1131" s="29" t="s">
        <v>246</v>
      </c>
      <c r="K1131" s="29" t="s">
        <v>247</v>
      </c>
      <c r="L1131" s="29" t="n">
        <v>0.04</v>
      </c>
      <c r="M1131" s="32" t="n">
        <v>29539.52</v>
      </c>
      <c r="N1131" s="32" t="n">
        <v>29535</v>
      </c>
      <c r="O1131" s="32" t="n">
        <v>29550.6</v>
      </c>
      <c r="P1131" s="45" t="n">
        <f aca="false">ABS(M1131-N1131)</f>
        <v>4.52000000000044</v>
      </c>
      <c r="Q1131" s="45" t="n">
        <f aca="false">IF(O1131="","",ABS(O1131-M1131))</f>
        <v>11.0799999999981</v>
      </c>
      <c r="R1131" s="31" t="n">
        <f aca="false">P1131*L1131*Summary!$C$6</f>
        <v>18.0800000000017</v>
      </c>
      <c r="S1131" s="32" t="n">
        <v>29550.62</v>
      </c>
      <c r="T1131" s="29" t="s">
        <v>227</v>
      </c>
      <c r="U1131" s="45" t="n">
        <f aca="false">IF(J1131="BUY",S1131-M1131,M1131-S1131)</f>
        <v>11.0999999999985</v>
      </c>
      <c r="V1131" s="46" t="n">
        <v>0</v>
      </c>
      <c r="W1131" s="46" t="n">
        <v>0</v>
      </c>
      <c r="X1131" s="46" t="n">
        <v>44.4</v>
      </c>
      <c r="Y1131" s="33" t="n">
        <f aca="false">IFERROR(X1131/R1131,0)</f>
        <v>2.45575221238914</v>
      </c>
      <c r="Z1131" s="29" t="str">
        <f aca="false">IF(X1131&gt;0,"Win",IF(X1131&lt;0,"Loss","Flat"))</f>
        <v>Win</v>
      </c>
      <c r="AA1131" s="29" t="n">
        <f aca="false">ROUND((C1131-B1131)*1440,1)</f>
        <v>3.1</v>
      </c>
      <c r="AB1131" s="29" t="str">
        <f aca="false">IF(AA1131&lt;1,"a) &lt;1 min",IF(AA1131&lt;10,"b) 1-10 min",IF(AA1131&lt;60,"c) 10-60 min",IF(AA1131&lt;240,"d) 1-4 h","e) 4 h+"))))</f>
        <v>b) 1-10 min</v>
      </c>
      <c r="AC1131" s="29" t="str">
        <f aca="false">IF(P1131&lt;10,"a) &lt;10",IF(P1131&lt;20,"b) 10-20",IF(P1131&lt;40,"c) 20-40",IF(P1131&lt;80,"d) 40-80","e) 80+"))))</f>
        <v>a) &lt;10</v>
      </c>
      <c r="AD1131" s="31" t="n">
        <f aca="false">Summary!$C$5+SUM(X$2:X1131)</f>
        <v>24154.52</v>
      </c>
      <c r="AE1131" s="31" t="n">
        <f aca="false">MAX(AE1130,AD1131)</f>
        <v>24154.52</v>
      </c>
      <c r="AF1131" s="31" t="n">
        <f aca="false">AE1131-AD1131</f>
        <v>0</v>
      </c>
      <c r="AG1131" s="30" t="n">
        <f aca="false">IFERROR(AF1131/AE1131,0)</f>
        <v>0</v>
      </c>
    </row>
    <row r="1132" customFormat="false" ht="15" hidden="false" customHeight="false" outlineLevel="0" collapsed="false">
      <c r="A1132" s="29" t="n">
        <v>1131</v>
      </c>
      <c r="B1132" s="44" t="n">
        <v>46273.0965277778</v>
      </c>
      <c r="C1132" s="44" t="n">
        <v>46273.0970486111</v>
      </c>
      <c r="D1132" s="43" t="n">
        <f aca="false">INT(C1132)</f>
        <v>46273</v>
      </c>
      <c r="E1132" s="43" t="n">
        <f aca="false">D1132-WEEKDAY(D1132,3)</f>
        <v>46272</v>
      </c>
      <c r="F1132" s="29" t="s">
        <v>197</v>
      </c>
      <c r="G1132" s="29" t="n">
        <v>2026</v>
      </c>
      <c r="H1132" s="29" t="s">
        <v>248</v>
      </c>
      <c r="I1132" s="29" t="n">
        <v>2</v>
      </c>
      <c r="J1132" s="29" t="s">
        <v>250</v>
      </c>
      <c r="K1132" s="29" t="s">
        <v>251</v>
      </c>
      <c r="L1132" s="29" t="n">
        <v>0.04</v>
      </c>
      <c r="M1132" s="32" t="n">
        <v>29495.28</v>
      </c>
      <c r="N1132" s="32" t="n">
        <v>29505.73</v>
      </c>
      <c r="O1132" s="32" t="n">
        <v>29469.67</v>
      </c>
      <c r="P1132" s="45" t="n">
        <f aca="false">ABS(M1132-N1132)</f>
        <v>10.4500000000007</v>
      </c>
      <c r="Q1132" s="45" t="n">
        <f aca="false">IF(O1132="","",ABS(O1132-M1132))</f>
        <v>25.6100000000006</v>
      </c>
      <c r="R1132" s="31" t="n">
        <f aca="false">P1132*L1132*Summary!$C$6</f>
        <v>41.8000000000029</v>
      </c>
      <c r="S1132" s="32" t="n">
        <v>29506.61</v>
      </c>
      <c r="T1132" s="29" t="s">
        <v>249</v>
      </c>
      <c r="U1132" s="45" t="n">
        <f aca="false">IF(J1132="BUY",S1132-M1132,M1132-S1132)</f>
        <v>-11.3300000000017</v>
      </c>
      <c r="V1132" s="46" t="n">
        <v>0</v>
      </c>
      <c r="W1132" s="46" t="n">
        <v>0</v>
      </c>
      <c r="X1132" s="46" t="n">
        <v>-45.32</v>
      </c>
      <c r="Y1132" s="33" t="n">
        <f aca="false">IFERROR(X1132/R1132,0)</f>
        <v>-1.08421052631571</v>
      </c>
      <c r="Z1132" s="29" t="str">
        <f aca="false">IF(X1132&gt;0,"Win",IF(X1132&lt;0,"Loss","Flat"))</f>
        <v>Loss</v>
      </c>
      <c r="AA1132" s="29" t="n">
        <f aca="false">ROUND((C1132-B1132)*1440,1)</f>
        <v>0.8</v>
      </c>
      <c r="AB1132" s="29" t="str">
        <f aca="false">IF(AA1132&lt;1,"a) &lt;1 min",IF(AA1132&lt;10,"b) 1-10 min",IF(AA1132&lt;60,"c) 10-60 min",IF(AA1132&lt;240,"d) 1-4 h","e) 4 h+"))))</f>
        <v>a) &lt;1 min</v>
      </c>
      <c r="AC1132" s="29" t="str">
        <f aca="false">IF(P1132&lt;10,"a) &lt;10",IF(P1132&lt;20,"b) 10-20",IF(P1132&lt;40,"c) 20-40",IF(P1132&lt;80,"d) 40-80","e) 80+"))))</f>
        <v>b) 10-20</v>
      </c>
      <c r="AD1132" s="31" t="n">
        <f aca="false">Summary!$C$5+SUM(X$2:X1132)</f>
        <v>24109.2</v>
      </c>
      <c r="AE1132" s="31" t="n">
        <f aca="false">MAX(AE1131,AD1132)</f>
        <v>24154.52</v>
      </c>
      <c r="AF1132" s="31" t="n">
        <f aca="false">AE1132-AD1132</f>
        <v>45.3200000000034</v>
      </c>
      <c r="AG1132" s="30" t="n">
        <f aca="false">IFERROR(AF1132/AE1132,0)</f>
        <v>0.00187625338859987</v>
      </c>
    </row>
    <row r="1133" customFormat="false" ht="15" hidden="false" customHeight="false" outlineLevel="0" collapsed="false">
      <c r="A1133" s="29" t="n">
        <v>1132</v>
      </c>
      <c r="B1133" s="44" t="n">
        <v>46273.2006944444</v>
      </c>
      <c r="C1133" s="44" t="n">
        <v>46273.2018402778</v>
      </c>
      <c r="D1133" s="43" t="n">
        <f aca="false">INT(C1133)</f>
        <v>46273</v>
      </c>
      <c r="E1133" s="43" t="n">
        <f aca="false">D1133-WEEKDAY(D1133,3)</f>
        <v>46272</v>
      </c>
      <c r="F1133" s="29" t="s">
        <v>197</v>
      </c>
      <c r="G1133" s="29" t="n">
        <v>2026</v>
      </c>
      <c r="H1133" s="29" t="s">
        <v>248</v>
      </c>
      <c r="I1133" s="29" t="n">
        <v>4</v>
      </c>
      <c r="J1133" s="29" t="s">
        <v>246</v>
      </c>
      <c r="K1133" s="29" t="s">
        <v>247</v>
      </c>
      <c r="L1133" s="29" t="n">
        <v>0.04</v>
      </c>
      <c r="M1133" s="32" t="n">
        <v>29649.73</v>
      </c>
      <c r="N1133" s="32" t="n">
        <v>29644.08</v>
      </c>
      <c r="O1133" s="32" t="n">
        <v>29663.2</v>
      </c>
      <c r="P1133" s="45" t="n">
        <f aca="false">ABS(M1133-N1133)</f>
        <v>5.64999999999782</v>
      </c>
      <c r="Q1133" s="45" t="n">
        <f aca="false">IF(O1133="","",ABS(O1133-M1133))</f>
        <v>13.4700000000012</v>
      </c>
      <c r="R1133" s="31" t="n">
        <f aca="false">P1133*L1133*Summary!$C$6</f>
        <v>22.5999999999913</v>
      </c>
      <c r="S1133" s="32" t="n">
        <v>29649.57</v>
      </c>
      <c r="T1133" s="29" t="s">
        <v>255</v>
      </c>
      <c r="U1133" s="45" t="n">
        <f aca="false">IF(J1133="BUY",S1133-M1133,M1133-S1133)</f>
        <v>-0.159999999999854</v>
      </c>
      <c r="V1133" s="46" t="n">
        <v>0</v>
      </c>
      <c r="W1133" s="46" t="n">
        <v>0</v>
      </c>
      <c r="X1133" s="46" t="n">
        <v>-0.64</v>
      </c>
      <c r="Y1133" s="33" t="n">
        <f aca="false">IFERROR(X1133/R1133,0)</f>
        <v>-0.0283185840708074</v>
      </c>
      <c r="Z1133" s="29" t="str">
        <f aca="false">IF(X1133&gt;0,"Win",IF(X1133&lt;0,"Loss","Flat"))</f>
        <v>Loss</v>
      </c>
      <c r="AA1133" s="29" t="n">
        <f aca="false">ROUND((C1133-B1133)*1440,1)</f>
        <v>1.7</v>
      </c>
      <c r="AB1133" s="29" t="str">
        <f aca="false">IF(AA1133&lt;1,"a) &lt;1 min",IF(AA1133&lt;10,"b) 1-10 min",IF(AA1133&lt;60,"c) 10-60 min",IF(AA1133&lt;240,"d) 1-4 h","e) 4 h+"))))</f>
        <v>b) 1-10 min</v>
      </c>
      <c r="AC1133" s="29" t="str">
        <f aca="false">IF(P1133&lt;10,"a) &lt;10",IF(P1133&lt;20,"b) 10-20",IF(P1133&lt;40,"c) 20-40",IF(P1133&lt;80,"d) 40-80","e) 80+"))))</f>
        <v>a) &lt;10</v>
      </c>
      <c r="AD1133" s="31" t="n">
        <f aca="false">Summary!$C$5+SUM(X$2:X1133)</f>
        <v>24108.56</v>
      </c>
      <c r="AE1133" s="31" t="n">
        <f aca="false">MAX(AE1132,AD1133)</f>
        <v>24154.52</v>
      </c>
      <c r="AF1133" s="31" t="n">
        <f aca="false">AE1133-AD1133</f>
        <v>45.9600000000028</v>
      </c>
      <c r="AG1133" s="30" t="n">
        <f aca="false">IFERROR(AF1133/AE1133,0)</f>
        <v>0.00190274946469658</v>
      </c>
    </row>
    <row r="1134" customFormat="false" ht="15" hidden="false" customHeight="false" outlineLevel="0" collapsed="false">
      <c r="A1134" s="29" t="n">
        <v>1133</v>
      </c>
      <c r="B1134" s="44" t="n">
        <v>46274.5381944445</v>
      </c>
      <c r="C1134" s="44" t="n">
        <v>46274.5426157407</v>
      </c>
      <c r="D1134" s="43" t="n">
        <f aca="false">INT(C1134)</f>
        <v>46274</v>
      </c>
      <c r="E1134" s="43" t="n">
        <f aca="false">D1134-WEEKDAY(D1134,3)</f>
        <v>46272</v>
      </c>
      <c r="F1134" s="29" t="s">
        <v>197</v>
      </c>
      <c r="G1134" s="29" t="n">
        <v>2026</v>
      </c>
      <c r="H1134" s="29" t="s">
        <v>252</v>
      </c>
      <c r="I1134" s="29" t="n">
        <v>12</v>
      </c>
      <c r="J1134" s="29" t="s">
        <v>250</v>
      </c>
      <c r="K1134" s="29" t="s">
        <v>251</v>
      </c>
      <c r="L1134" s="29" t="n">
        <v>0.04</v>
      </c>
      <c r="M1134" s="32" t="n">
        <v>29391.97</v>
      </c>
      <c r="N1134" s="32" t="n">
        <v>29405.54</v>
      </c>
      <c r="O1134" s="32" t="n">
        <v>29358.73</v>
      </c>
      <c r="P1134" s="45" t="n">
        <f aca="false">ABS(M1134-N1134)</f>
        <v>13.5699999999997</v>
      </c>
      <c r="Q1134" s="45" t="n">
        <f aca="false">IF(O1134="","",ABS(O1134-M1134))</f>
        <v>33.2400000000016</v>
      </c>
      <c r="R1134" s="31" t="n">
        <f aca="false">P1134*L1134*Summary!$C$6</f>
        <v>54.2799999999988</v>
      </c>
      <c r="S1134" s="32" t="n">
        <v>29355.54</v>
      </c>
      <c r="T1134" s="29" t="s">
        <v>227</v>
      </c>
      <c r="U1134" s="45" t="n">
        <f aca="false">IF(J1134="BUY",S1134-M1134,M1134-S1134)</f>
        <v>36.4300000000003</v>
      </c>
      <c r="V1134" s="46" t="n">
        <v>0</v>
      </c>
      <c r="W1134" s="46" t="n">
        <v>0</v>
      </c>
      <c r="X1134" s="46" t="n">
        <v>145.72</v>
      </c>
      <c r="Y1134" s="33" t="n">
        <f aca="false">IFERROR(X1134/R1134,0)</f>
        <v>2.68459837877677</v>
      </c>
      <c r="Z1134" s="29" t="str">
        <f aca="false">IF(X1134&gt;0,"Win",IF(X1134&lt;0,"Loss","Flat"))</f>
        <v>Win</v>
      </c>
      <c r="AA1134" s="29" t="n">
        <f aca="false">ROUND((C1134-B1134)*1440,1)</f>
        <v>6.4</v>
      </c>
      <c r="AB1134" s="29" t="str">
        <f aca="false">IF(AA1134&lt;1,"a) &lt;1 min",IF(AA1134&lt;10,"b) 1-10 min",IF(AA1134&lt;60,"c) 10-60 min",IF(AA1134&lt;240,"d) 1-4 h","e) 4 h+"))))</f>
        <v>b) 1-10 min</v>
      </c>
      <c r="AC1134" s="29" t="str">
        <f aca="false">IF(P1134&lt;10,"a) &lt;10",IF(P1134&lt;20,"b) 10-20",IF(P1134&lt;40,"c) 20-40",IF(P1134&lt;80,"d) 40-80","e) 80+"))))</f>
        <v>b) 10-20</v>
      </c>
      <c r="AD1134" s="31" t="n">
        <f aca="false">Summary!$C$5+SUM(X$2:X1134)</f>
        <v>24254.28</v>
      </c>
      <c r="AE1134" s="31" t="n">
        <f aca="false">MAX(AE1133,AD1134)</f>
        <v>24254.28</v>
      </c>
      <c r="AF1134" s="31" t="n">
        <f aca="false">AE1134-AD1134</f>
        <v>0</v>
      </c>
      <c r="AG1134" s="30" t="n">
        <f aca="false">IFERROR(AF1134/AE1134,0)</f>
        <v>0</v>
      </c>
    </row>
    <row r="1135" customFormat="false" ht="15" hidden="false" customHeight="false" outlineLevel="0" collapsed="false">
      <c r="A1135" s="29" t="n">
        <v>1134</v>
      </c>
      <c r="B1135" s="44" t="n">
        <v>46275.5909722222</v>
      </c>
      <c r="C1135" s="44" t="n">
        <v>46275.5927083333</v>
      </c>
      <c r="D1135" s="43" t="n">
        <f aca="false">INT(C1135)</f>
        <v>46275</v>
      </c>
      <c r="E1135" s="43" t="n">
        <f aca="false">D1135-WEEKDAY(D1135,3)</f>
        <v>46272</v>
      </c>
      <c r="F1135" s="29" t="s">
        <v>197</v>
      </c>
      <c r="G1135" s="29" t="n">
        <v>2026</v>
      </c>
      <c r="H1135" s="29" t="s">
        <v>253</v>
      </c>
      <c r="I1135" s="29" t="n">
        <v>14</v>
      </c>
      <c r="J1135" s="29" t="s">
        <v>250</v>
      </c>
      <c r="K1135" s="29" t="s">
        <v>251</v>
      </c>
      <c r="L1135" s="29" t="n">
        <v>0.04</v>
      </c>
      <c r="M1135" s="32" t="n">
        <v>29307.17</v>
      </c>
      <c r="N1135" s="32" t="n">
        <v>29317.91</v>
      </c>
      <c r="O1135" s="32" t="n">
        <v>29280.86</v>
      </c>
      <c r="P1135" s="45" t="n">
        <f aca="false">ABS(M1135-N1135)</f>
        <v>10.7400000000016</v>
      </c>
      <c r="Q1135" s="45" t="n">
        <f aca="false">IF(O1135="","",ABS(O1135-M1135))</f>
        <v>26.3099999999977</v>
      </c>
      <c r="R1135" s="31" t="n">
        <f aca="false">P1135*L1135*Summary!$C$6</f>
        <v>42.9600000000064</v>
      </c>
      <c r="S1135" s="32" t="n">
        <v>29317.91</v>
      </c>
      <c r="T1135" s="29" t="s">
        <v>249</v>
      </c>
      <c r="U1135" s="45" t="n">
        <f aca="false">IF(J1135="BUY",S1135-M1135,M1135-S1135)</f>
        <v>-10.7400000000016</v>
      </c>
      <c r="V1135" s="46" t="n">
        <v>0</v>
      </c>
      <c r="W1135" s="46" t="n">
        <v>0</v>
      </c>
      <c r="X1135" s="46" t="n">
        <v>-42.96</v>
      </c>
      <c r="Y1135" s="33" t="n">
        <f aca="false">IFERROR(X1135/R1135,0)</f>
        <v>-0.999999999999851</v>
      </c>
      <c r="Z1135" s="29" t="str">
        <f aca="false">IF(X1135&gt;0,"Win",IF(X1135&lt;0,"Loss","Flat"))</f>
        <v>Loss</v>
      </c>
      <c r="AA1135" s="29" t="n">
        <f aca="false">ROUND((C1135-B1135)*1440,1)</f>
        <v>2.5</v>
      </c>
      <c r="AB1135" s="29" t="str">
        <f aca="false">IF(AA1135&lt;1,"a) &lt;1 min",IF(AA1135&lt;10,"b) 1-10 min",IF(AA1135&lt;60,"c) 10-60 min",IF(AA1135&lt;240,"d) 1-4 h","e) 4 h+"))))</f>
        <v>b) 1-10 min</v>
      </c>
      <c r="AC1135" s="29" t="str">
        <f aca="false">IF(P1135&lt;10,"a) &lt;10",IF(P1135&lt;20,"b) 10-20",IF(P1135&lt;40,"c) 20-40",IF(P1135&lt;80,"d) 40-80","e) 80+"))))</f>
        <v>b) 10-20</v>
      </c>
      <c r="AD1135" s="31" t="n">
        <f aca="false">Summary!$C$5+SUM(X$2:X1135)</f>
        <v>24211.32</v>
      </c>
      <c r="AE1135" s="31" t="n">
        <f aca="false">MAX(AE1134,AD1135)</f>
        <v>24254.28</v>
      </c>
      <c r="AF1135" s="31" t="n">
        <f aca="false">AE1135-AD1135</f>
        <v>42.9599999999991</v>
      </c>
      <c r="AG1135" s="30" t="n">
        <f aca="false">IFERROR(AF1135/AE1135,0)</f>
        <v>0.00177123377812077</v>
      </c>
    </row>
    <row r="1136" customFormat="false" ht="15" hidden="false" customHeight="false" outlineLevel="0" collapsed="false">
      <c r="A1136" s="29" t="n">
        <v>1135</v>
      </c>
      <c r="B1136" s="44" t="n">
        <v>46279.0451388889</v>
      </c>
      <c r="C1136" s="44" t="n">
        <v>46279.7008333333</v>
      </c>
      <c r="D1136" s="43" t="n">
        <f aca="false">INT(C1136)</f>
        <v>46279</v>
      </c>
      <c r="E1136" s="43" t="n">
        <f aca="false">D1136-WEEKDAY(D1136,3)</f>
        <v>46279</v>
      </c>
      <c r="F1136" s="29" t="s">
        <v>197</v>
      </c>
      <c r="G1136" s="29" t="n">
        <v>2026</v>
      </c>
      <c r="H1136" s="29" t="s">
        <v>245</v>
      </c>
      <c r="I1136" s="29" t="n">
        <v>1</v>
      </c>
      <c r="J1136" s="29" t="s">
        <v>250</v>
      </c>
      <c r="K1136" s="29" t="s">
        <v>251</v>
      </c>
      <c r="L1136" s="29" t="n">
        <v>0.04</v>
      </c>
      <c r="M1136" s="32" t="n">
        <v>29017.67</v>
      </c>
      <c r="N1136" s="32" t="n">
        <v>29113.74</v>
      </c>
      <c r="O1136" s="32" t="n">
        <v>28786.5</v>
      </c>
      <c r="P1136" s="45" t="n">
        <f aca="false">ABS(M1136-N1136)</f>
        <v>96.0700000000034</v>
      </c>
      <c r="Q1136" s="45" t="n">
        <f aca="false">IF(O1136="","",ABS(O1136-M1136))</f>
        <v>231.169999999998</v>
      </c>
      <c r="R1136" s="31" t="n">
        <f aca="false">P1136*L1136*Summary!$C$6</f>
        <v>384.280000000013</v>
      </c>
      <c r="S1136" s="32" t="n">
        <v>29017.81</v>
      </c>
      <c r="T1136" s="29" t="s">
        <v>255</v>
      </c>
      <c r="U1136" s="45" t="n">
        <f aca="false">IF(J1136="BUY",S1136-M1136,M1136-S1136)</f>
        <v>-0.140000000003056</v>
      </c>
      <c r="V1136" s="46" t="n">
        <v>0</v>
      </c>
      <c r="W1136" s="46" t="n">
        <v>0</v>
      </c>
      <c r="X1136" s="46" t="n">
        <v>-0.56</v>
      </c>
      <c r="Y1136" s="33" t="n">
        <f aca="false">IFERROR(X1136/R1136,0)</f>
        <v>-0.0014572707400853</v>
      </c>
      <c r="Z1136" s="29" t="str">
        <f aca="false">IF(X1136&gt;0,"Win",IF(X1136&lt;0,"Loss","Flat"))</f>
        <v>Loss</v>
      </c>
      <c r="AA1136" s="29" t="n">
        <f aca="false">ROUND((C1136-B1136)*1440,1)</f>
        <v>944.2</v>
      </c>
      <c r="AB1136" s="29" t="str">
        <f aca="false">IF(AA1136&lt;1,"a) &lt;1 min",IF(AA1136&lt;10,"b) 1-10 min",IF(AA1136&lt;60,"c) 10-60 min",IF(AA1136&lt;240,"d) 1-4 h","e) 4 h+"))))</f>
        <v>e) 4 h+</v>
      </c>
      <c r="AC1136" s="29" t="str">
        <f aca="false">IF(P1136&lt;10,"a) &lt;10",IF(P1136&lt;20,"b) 10-20",IF(P1136&lt;40,"c) 20-40",IF(P1136&lt;80,"d) 40-80","e) 80+"))))</f>
        <v>e) 80+</v>
      </c>
      <c r="AD1136" s="31" t="n">
        <f aca="false">Summary!$C$5+SUM(X$2:X1136)</f>
        <v>24210.76</v>
      </c>
      <c r="AE1136" s="31" t="n">
        <f aca="false">MAX(AE1135,AD1136)</f>
        <v>24254.28</v>
      </c>
      <c r="AF1136" s="31" t="n">
        <f aca="false">AE1136-AD1136</f>
        <v>43.5199999999968</v>
      </c>
      <c r="AG1136" s="30" t="n">
        <f aca="false">IFERROR(AF1136/AE1136,0)</f>
        <v>0.0017943224865878</v>
      </c>
    </row>
    <row r="1137" customFormat="false" ht="15" hidden="false" customHeight="false" outlineLevel="0" collapsed="false">
      <c r="A1137" s="29" t="n">
        <v>1136</v>
      </c>
      <c r="B1137" s="44" t="n">
        <v>46281.75</v>
      </c>
      <c r="C1137" s="44" t="n">
        <v>46281.7515856482</v>
      </c>
      <c r="D1137" s="43" t="n">
        <f aca="false">INT(C1137)</f>
        <v>46281</v>
      </c>
      <c r="E1137" s="43" t="n">
        <f aca="false">D1137-WEEKDAY(D1137,3)</f>
        <v>46279</v>
      </c>
      <c r="F1137" s="29" t="s">
        <v>197</v>
      </c>
      <c r="G1137" s="29" t="n">
        <v>2026</v>
      </c>
      <c r="H1137" s="29" t="s">
        <v>252</v>
      </c>
      <c r="I1137" s="29" t="n">
        <v>18</v>
      </c>
      <c r="J1137" s="29" t="s">
        <v>246</v>
      </c>
      <c r="K1137" s="29" t="s">
        <v>247</v>
      </c>
      <c r="L1137" s="29" t="n">
        <v>0.04</v>
      </c>
      <c r="M1137" s="32" t="n">
        <v>29190.23</v>
      </c>
      <c r="N1137" s="32" t="n">
        <v>29178.74</v>
      </c>
      <c r="O1137" s="32" t="n">
        <v>29218.39</v>
      </c>
      <c r="P1137" s="45" t="n">
        <f aca="false">ABS(M1137-N1137)</f>
        <v>11.489999999998</v>
      </c>
      <c r="Q1137" s="45" t="n">
        <f aca="false">IF(O1137="","",ABS(O1137-M1137))</f>
        <v>28.1599999999999</v>
      </c>
      <c r="R1137" s="31" t="n">
        <f aca="false">P1137*L1137*Summary!$C$6</f>
        <v>45.9599999999919</v>
      </c>
      <c r="S1137" s="32" t="n">
        <v>29190.02</v>
      </c>
      <c r="T1137" s="29" t="s">
        <v>255</v>
      </c>
      <c r="U1137" s="45" t="n">
        <f aca="false">IF(J1137="BUY",S1137-M1137,M1137-S1137)</f>
        <v>-0.209999999999127</v>
      </c>
      <c r="V1137" s="46" t="n">
        <v>0</v>
      </c>
      <c r="W1137" s="46" t="n">
        <v>0</v>
      </c>
      <c r="X1137" s="46" t="n">
        <v>-0.84</v>
      </c>
      <c r="Y1137" s="33" t="n">
        <f aca="false">IFERROR(X1137/R1137,0)</f>
        <v>-0.018276762402092</v>
      </c>
      <c r="Z1137" s="29" t="str">
        <f aca="false">IF(X1137&gt;0,"Win",IF(X1137&lt;0,"Loss","Flat"))</f>
        <v>Loss</v>
      </c>
      <c r="AA1137" s="29" t="n">
        <f aca="false">ROUND((C1137-B1137)*1440,1)</f>
        <v>2.3</v>
      </c>
      <c r="AB1137" s="29" t="str">
        <f aca="false">IF(AA1137&lt;1,"a) &lt;1 min",IF(AA1137&lt;10,"b) 1-10 min",IF(AA1137&lt;60,"c) 10-60 min",IF(AA1137&lt;240,"d) 1-4 h","e) 4 h+"))))</f>
        <v>b) 1-10 min</v>
      </c>
      <c r="AC1137" s="29" t="str">
        <f aca="false">IF(P1137&lt;10,"a) &lt;10",IF(P1137&lt;20,"b) 10-20",IF(P1137&lt;40,"c) 20-40",IF(P1137&lt;80,"d) 40-80","e) 80+"))))</f>
        <v>b) 10-20</v>
      </c>
      <c r="AD1137" s="31" t="n">
        <f aca="false">Summary!$C$5+SUM(X$2:X1137)</f>
        <v>24209.92</v>
      </c>
      <c r="AE1137" s="31" t="n">
        <f aca="false">MAX(AE1136,AD1137)</f>
        <v>24254.28</v>
      </c>
      <c r="AF1137" s="31" t="n">
        <f aca="false">AE1137-AD1137</f>
        <v>44.3600000000006</v>
      </c>
      <c r="AG1137" s="30" t="n">
        <f aca="false">IFERROR(AF1137/AE1137,0)</f>
        <v>0.00182895554928864</v>
      </c>
    </row>
    <row r="1138" customFormat="false" ht="15" hidden="false" customHeight="false" outlineLevel="0" collapsed="false">
      <c r="A1138" s="29" t="n">
        <v>1137</v>
      </c>
      <c r="B1138" s="44" t="n">
        <v>46281.9229166667</v>
      </c>
      <c r="C1138" s="44" t="n">
        <v>46281.9261689815</v>
      </c>
      <c r="D1138" s="43" t="n">
        <f aca="false">INT(C1138)</f>
        <v>46281</v>
      </c>
      <c r="E1138" s="43" t="n">
        <f aca="false">D1138-WEEKDAY(D1138,3)</f>
        <v>46279</v>
      </c>
      <c r="F1138" s="29" t="s">
        <v>197</v>
      </c>
      <c r="G1138" s="29" t="n">
        <v>2026</v>
      </c>
      <c r="H1138" s="29" t="s">
        <v>252</v>
      </c>
      <c r="I1138" s="29" t="n">
        <v>22</v>
      </c>
      <c r="J1138" s="29" t="s">
        <v>250</v>
      </c>
      <c r="K1138" s="29" t="s">
        <v>251</v>
      </c>
      <c r="L1138" s="29" t="n">
        <v>0.04</v>
      </c>
      <c r="M1138" s="32" t="n">
        <v>28900.27</v>
      </c>
      <c r="N1138" s="32" t="n">
        <v>28936.55</v>
      </c>
      <c r="O1138" s="32" t="n">
        <v>28812.56</v>
      </c>
      <c r="P1138" s="45" t="n">
        <f aca="false">ABS(M1138-N1138)</f>
        <v>36.2799999999988</v>
      </c>
      <c r="Q1138" s="45" t="n">
        <f aca="false">IF(O1138="","",ABS(O1138-M1138))</f>
        <v>87.7099999999991</v>
      </c>
      <c r="R1138" s="31" t="n">
        <f aca="false">P1138*L1138*Summary!$C$6</f>
        <v>145.119999999995</v>
      </c>
      <c r="S1138" s="32" t="n">
        <v>28812.39</v>
      </c>
      <c r="T1138" s="29" t="s">
        <v>227</v>
      </c>
      <c r="U1138" s="45" t="n">
        <f aca="false">IF(J1138="BUY",S1138-M1138,M1138-S1138)</f>
        <v>87.880000000001</v>
      </c>
      <c r="V1138" s="46" t="n">
        <v>0</v>
      </c>
      <c r="W1138" s="46" t="n">
        <v>0</v>
      </c>
      <c r="X1138" s="46" t="n">
        <v>351.52</v>
      </c>
      <c r="Y1138" s="33" t="n">
        <f aca="false">IFERROR(X1138/R1138,0)</f>
        <v>2.42227122381485</v>
      </c>
      <c r="Z1138" s="29" t="str">
        <f aca="false">IF(X1138&gt;0,"Win",IF(X1138&lt;0,"Loss","Flat"))</f>
        <v>Win</v>
      </c>
      <c r="AA1138" s="29" t="n">
        <f aca="false">ROUND((C1138-B1138)*1440,1)</f>
        <v>4.7</v>
      </c>
      <c r="AB1138" s="29" t="str">
        <f aca="false">IF(AA1138&lt;1,"a) &lt;1 min",IF(AA1138&lt;10,"b) 1-10 min",IF(AA1138&lt;60,"c) 10-60 min",IF(AA1138&lt;240,"d) 1-4 h","e) 4 h+"))))</f>
        <v>b) 1-10 min</v>
      </c>
      <c r="AC1138" s="29" t="str">
        <f aca="false">IF(P1138&lt;10,"a) &lt;10",IF(P1138&lt;20,"b) 10-20",IF(P1138&lt;40,"c) 20-40",IF(P1138&lt;80,"d) 40-80","e) 80+"))))</f>
        <v>c) 20-40</v>
      </c>
      <c r="AD1138" s="31" t="n">
        <f aca="false">Summary!$C$5+SUM(X$2:X1138)</f>
        <v>24561.44</v>
      </c>
      <c r="AE1138" s="31" t="n">
        <f aca="false">MAX(AE1137,AD1138)</f>
        <v>24561.44</v>
      </c>
      <c r="AF1138" s="31" t="n">
        <f aca="false">AE1138-AD1138</f>
        <v>0</v>
      </c>
      <c r="AG1138" s="30" t="n">
        <f aca="false">IFERROR(AF1138/AE1138,0)</f>
        <v>0</v>
      </c>
    </row>
    <row r="1139" customFormat="false" ht="15" hidden="false" customHeight="false" outlineLevel="0" collapsed="false">
      <c r="A1139" s="29" t="n">
        <v>1138</v>
      </c>
      <c r="B1139" s="44" t="n">
        <v>46282.4375</v>
      </c>
      <c r="C1139" s="44" t="n">
        <v>46282.4375231482</v>
      </c>
      <c r="D1139" s="43" t="n">
        <f aca="false">INT(C1139)</f>
        <v>46282</v>
      </c>
      <c r="E1139" s="43" t="n">
        <f aca="false">D1139-WEEKDAY(D1139,3)</f>
        <v>46279</v>
      </c>
      <c r="F1139" s="29" t="s">
        <v>197</v>
      </c>
      <c r="G1139" s="29" t="n">
        <v>2026</v>
      </c>
      <c r="H1139" s="29" t="s">
        <v>253</v>
      </c>
      <c r="I1139" s="29" t="n">
        <v>10</v>
      </c>
      <c r="J1139" s="29" t="s">
        <v>246</v>
      </c>
      <c r="K1139" s="29" t="s">
        <v>247</v>
      </c>
      <c r="L1139" s="29" t="n">
        <v>0.04</v>
      </c>
      <c r="M1139" s="32" t="n">
        <v>29242.43</v>
      </c>
      <c r="N1139" s="32" t="n">
        <v>29235.51</v>
      </c>
      <c r="O1139" s="32" t="n">
        <v>29259.39</v>
      </c>
      <c r="P1139" s="45" t="n">
        <f aca="false">ABS(M1139-N1139)</f>
        <v>6.92000000000189</v>
      </c>
      <c r="Q1139" s="45" t="n">
        <f aca="false">IF(O1139="","",ABS(O1139-M1139))</f>
        <v>16.9599999999991</v>
      </c>
      <c r="R1139" s="31" t="n">
        <f aca="false">P1139*L1139*Summary!$C$6</f>
        <v>27.6800000000076</v>
      </c>
      <c r="S1139" s="32" t="n">
        <v>29260.99</v>
      </c>
      <c r="T1139" s="29" t="s">
        <v>227</v>
      </c>
      <c r="U1139" s="45" t="n">
        <f aca="false">IF(J1139="BUY",S1139-M1139,M1139-S1139)</f>
        <v>18.5600000000013</v>
      </c>
      <c r="V1139" s="46" t="n">
        <v>0</v>
      </c>
      <c r="W1139" s="46" t="n">
        <v>0</v>
      </c>
      <c r="X1139" s="46" t="n">
        <v>74.24</v>
      </c>
      <c r="Y1139" s="33" t="n">
        <f aca="false">IFERROR(X1139/R1139,0)</f>
        <v>2.68208092485476</v>
      </c>
      <c r="Z1139" s="29" t="str">
        <f aca="false">IF(X1139&gt;0,"Win",IF(X1139&lt;0,"Loss","Flat"))</f>
        <v>Win</v>
      </c>
      <c r="AA1139" s="29" t="n">
        <f aca="false">ROUND((C1139-B1139)*1440,1)</f>
        <v>0</v>
      </c>
      <c r="AB1139" s="29" t="str">
        <f aca="false">IF(AA1139&lt;1,"a) &lt;1 min",IF(AA1139&lt;10,"b) 1-10 min",IF(AA1139&lt;60,"c) 10-60 min",IF(AA1139&lt;240,"d) 1-4 h","e) 4 h+"))))</f>
        <v>a) &lt;1 min</v>
      </c>
      <c r="AC1139" s="29" t="str">
        <f aca="false">IF(P1139&lt;10,"a) &lt;10",IF(P1139&lt;20,"b) 10-20",IF(P1139&lt;40,"c) 20-40",IF(P1139&lt;80,"d) 40-80","e) 80+"))))</f>
        <v>a) &lt;10</v>
      </c>
      <c r="AD1139" s="31" t="n">
        <f aca="false">Summary!$C$5+SUM(X$2:X1139)</f>
        <v>24635.68</v>
      </c>
      <c r="AE1139" s="31" t="n">
        <f aca="false">MAX(AE1138,AD1139)</f>
        <v>24635.68</v>
      </c>
      <c r="AF1139" s="31" t="n">
        <f aca="false">AE1139-AD1139</f>
        <v>0</v>
      </c>
      <c r="AG1139" s="30" t="n">
        <f aca="false">IFERROR(AF1139/AE1139,0)</f>
        <v>0</v>
      </c>
    </row>
    <row r="1140" customFormat="false" ht="15" hidden="false" customHeight="false" outlineLevel="0" collapsed="false">
      <c r="A1140" s="29" t="n">
        <v>1139</v>
      </c>
      <c r="B1140" s="44" t="n">
        <v>46283.3222222222</v>
      </c>
      <c r="C1140" s="44" t="n">
        <v>46283.3246643519</v>
      </c>
      <c r="D1140" s="43" t="n">
        <f aca="false">INT(C1140)</f>
        <v>46283</v>
      </c>
      <c r="E1140" s="43" t="n">
        <f aca="false">D1140-WEEKDAY(D1140,3)</f>
        <v>46279</v>
      </c>
      <c r="F1140" s="29" t="s">
        <v>197</v>
      </c>
      <c r="G1140" s="29" t="n">
        <v>2026</v>
      </c>
      <c r="H1140" s="29" t="s">
        <v>254</v>
      </c>
      <c r="I1140" s="29" t="n">
        <v>7</v>
      </c>
      <c r="J1140" s="29" t="s">
        <v>246</v>
      </c>
      <c r="K1140" s="29" t="s">
        <v>247</v>
      </c>
      <c r="L1140" s="29" t="n">
        <v>0.04</v>
      </c>
      <c r="M1140" s="32" t="n">
        <v>29499.81</v>
      </c>
      <c r="N1140" s="32" t="n">
        <v>29491.28</v>
      </c>
      <c r="O1140" s="32" t="n">
        <v>29520.7</v>
      </c>
      <c r="P1140" s="45" t="n">
        <f aca="false">ABS(M1140-N1140)</f>
        <v>8.53000000000247</v>
      </c>
      <c r="Q1140" s="45" t="n">
        <f aca="false">IF(O1140="","",ABS(O1140-M1140))</f>
        <v>20.8899999999994</v>
      </c>
      <c r="R1140" s="31" t="n">
        <f aca="false">P1140*L1140*Summary!$C$6</f>
        <v>34.1200000000099</v>
      </c>
      <c r="S1140" s="32" t="n">
        <v>29490.9</v>
      </c>
      <c r="T1140" s="29" t="s">
        <v>249</v>
      </c>
      <c r="U1140" s="45" t="n">
        <f aca="false">IF(J1140="BUY",S1140-M1140,M1140-S1140)</f>
        <v>-8.90999999999985</v>
      </c>
      <c r="V1140" s="46" t="n">
        <v>0</v>
      </c>
      <c r="W1140" s="46" t="n">
        <v>0</v>
      </c>
      <c r="X1140" s="46" t="n">
        <v>-35.64</v>
      </c>
      <c r="Y1140" s="33" t="n">
        <f aca="false">IFERROR(X1140/R1140,0)</f>
        <v>-1.04454865181681</v>
      </c>
      <c r="Z1140" s="29" t="str">
        <f aca="false">IF(X1140&gt;0,"Win",IF(X1140&lt;0,"Loss","Flat"))</f>
        <v>Loss</v>
      </c>
      <c r="AA1140" s="29" t="n">
        <f aca="false">ROUND((C1140-B1140)*1440,1)</f>
        <v>3.5</v>
      </c>
      <c r="AB1140" s="29" t="str">
        <f aca="false">IF(AA1140&lt;1,"a) &lt;1 min",IF(AA1140&lt;10,"b) 1-10 min",IF(AA1140&lt;60,"c) 10-60 min",IF(AA1140&lt;240,"d) 1-4 h","e) 4 h+"))))</f>
        <v>b) 1-10 min</v>
      </c>
      <c r="AC1140" s="29" t="str">
        <f aca="false">IF(P1140&lt;10,"a) &lt;10",IF(P1140&lt;20,"b) 10-20",IF(P1140&lt;40,"c) 20-40",IF(P1140&lt;80,"d) 40-80","e) 80+"))))</f>
        <v>a) &lt;10</v>
      </c>
      <c r="AD1140" s="31" t="n">
        <f aca="false">Summary!$C$5+SUM(X$2:X1140)</f>
        <v>24600.04</v>
      </c>
      <c r="AE1140" s="31" t="n">
        <f aca="false">MAX(AE1139,AD1140)</f>
        <v>24635.68</v>
      </c>
      <c r="AF1140" s="31" t="n">
        <f aca="false">AE1140-AD1140</f>
        <v>35.6399999999994</v>
      </c>
      <c r="AG1140" s="30" t="n">
        <f aca="false">IFERROR(AF1140/AE1140,0)</f>
        <v>0.0014466822105174</v>
      </c>
    </row>
    <row r="1141" customFormat="false" ht="15" hidden="false" customHeight="false" outlineLevel="0" collapsed="false">
      <c r="A1141" s="29" t="n">
        <v>1140</v>
      </c>
      <c r="B1141" s="44" t="n">
        <v>46286.0520833333</v>
      </c>
      <c r="C1141" s="44" t="n">
        <v>46286.0521527778</v>
      </c>
      <c r="D1141" s="43" t="n">
        <f aca="false">INT(C1141)</f>
        <v>46286</v>
      </c>
      <c r="E1141" s="43" t="n">
        <f aca="false">D1141-WEEKDAY(D1141,3)</f>
        <v>46286</v>
      </c>
      <c r="F1141" s="29" t="s">
        <v>197</v>
      </c>
      <c r="G1141" s="29" t="n">
        <v>2026</v>
      </c>
      <c r="H1141" s="29" t="s">
        <v>245</v>
      </c>
      <c r="I1141" s="29" t="n">
        <v>1</v>
      </c>
      <c r="J1141" s="29" t="s">
        <v>246</v>
      </c>
      <c r="K1141" s="29" t="s">
        <v>247</v>
      </c>
      <c r="L1141" s="29" t="n">
        <v>0.04</v>
      </c>
      <c r="M1141" s="32" t="n">
        <v>29708.64</v>
      </c>
      <c r="N1141" s="32" t="n">
        <v>29695.06</v>
      </c>
      <c r="O1141" s="32" t="n">
        <v>29741.91</v>
      </c>
      <c r="P1141" s="45" t="n">
        <f aca="false">ABS(M1141-N1141)</f>
        <v>13.5799999999981</v>
      </c>
      <c r="Q1141" s="45" t="n">
        <f aca="false">IF(O1141="","",ABS(O1141-M1141))</f>
        <v>33.2700000000004</v>
      </c>
      <c r="R1141" s="31" t="n">
        <f aca="false">P1141*L1141*Summary!$C$6</f>
        <v>54.3199999999924</v>
      </c>
      <c r="S1141" s="32" t="n">
        <v>29695.03</v>
      </c>
      <c r="T1141" s="29" t="s">
        <v>249</v>
      </c>
      <c r="U1141" s="45" t="n">
        <f aca="false">IF(J1141="BUY",S1141-M1141,M1141-S1141)</f>
        <v>-13.6100000000006</v>
      </c>
      <c r="V1141" s="46" t="n">
        <v>0</v>
      </c>
      <c r="W1141" s="46" t="n">
        <v>0</v>
      </c>
      <c r="X1141" s="46" t="n">
        <v>-54.44</v>
      </c>
      <c r="Y1141" s="33" t="n">
        <f aca="false">IFERROR(X1141/R1141,0)</f>
        <v>-1.00220913107525</v>
      </c>
      <c r="Z1141" s="29" t="str">
        <f aca="false">IF(X1141&gt;0,"Win",IF(X1141&lt;0,"Loss","Flat"))</f>
        <v>Loss</v>
      </c>
      <c r="AA1141" s="29" t="n">
        <f aca="false">ROUND((C1141-B1141)*1440,1)</f>
        <v>0.1</v>
      </c>
      <c r="AB1141" s="29" t="str">
        <f aca="false">IF(AA1141&lt;1,"a) &lt;1 min",IF(AA1141&lt;10,"b) 1-10 min",IF(AA1141&lt;60,"c) 10-60 min",IF(AA1141&lt;240,"d) 1-4 h","e) 4 h+"))))</f>
        <v>a) &lt;1 min</v>
      </c>
      <c r="AC1141" s="29" t="str">
        <f aca="false">IF(P1141&lt;10,"a) &lt;10",IF(P1141&lt;20,"b) 10-20",IF(P1141&lt;40,"c) 20-40",IF(P1141&lt;80,"d) 40-80","e) 80+"))))</f>
        <v>b) 10-20</v>
      </c>
      <c r="AD1141" s="31" t="n">
        <f aca="false">Summary!$C$5+SUM(X$2:X1141)</f>
        <v>24545.6</v>
      </c>
      <c r="AE1141" s="31" t="n">
        <f aca="false">MAX(AE1140,AD1141)</f>
        <v>24635.68</v>
      </c>
      <c r="AF1141" s="31" t="n">
        <f aca="false">AE1141-AD1141</f>
        <v>90.0800000000018</v>
      </c>
      <c r="AG1141" s="30" t="n">
        <f aca="false">IFERROR(AF1141/AE1141,0)</f>
        <v>0.00365648522792964</v>
      </c>
    </row>
    <row r="1142" customFormat="false" ht="15" hidden="false" customHeight="false" outlineLevel="0" collapsed="false">
      <c r="A1142" s="29" t="n">
        <v>1141</v>
      </c>
      <c r="B1142" s="44" t="n">
        <v>46287.1263888889</v>
      </c>
      <c r="C1142" s="44" t="n">
        <v>46287.1279050926</v>
      </c>
      <c r="D1142" s="43" t="n">
        <f aca="false">INT(C1142)</f>
        <v>46287</v>
      </c>
      <c r="E1142" s="43" t="n">
        <f aca="false">D1142-WEEKDAY(D1142,3)</f>
        <v>46286</v>
      </c>
      <c r="F1142" s="29" t="s">
        <v>197</v>
      </c>
      <c r="G1142" s="29" t="n">
        <v>2026</v>
      </c>
      <c r="H1142" s="29" t="s">
        <v>248</v>
      </c>
      <c r="I1142" s="29" t="n">
        <v>3</v>
      </c>
      <c r="J1142" s="29" t="s">
        <v>246</v>
      </c>
      <c r="K1142" s="29" t="s">
        <v>247</v>
      </c>
      <c r="L1142" s="29" t="n">
        <v>0.04</v>
      </c>
      <c r="M1142" s="32" t="n">
        <v>30556.96</v>
      </c>
      <c r="N1142" s="32" t="n">
        <v>30551.65</v>
      </c>
      <c r="O1142" s="32" t="n">
        <v>30569.96</v>
      </c>
      <c r="P1142" s="45" t="n">
        <f aca="false">ABS(M1142-N1142)</f>
        <v>5.30999999999767</v>
      </c>
      <c r="Q1142" s="45" t="n">
        <f aca="false">IF(O1142="","",ABS(O1142-M1142))</f>
        <v>13</v>
      </c>
      <c r="R1142" s="31" t="n">
        <f aca="false">P1142*L1142*Summary!$C$6</f>
        <v>21.2399999999907</v>
      </c>
      <c r="S1142" s="32" t="n">
        <v>30556.83</v>
      </c>
      <c r="T1142" s="29" t="s">
        <v>255</v>
      </c>
      <c r="U1142" s="45" t="n">
        <f aca="false">IF(J1142="BUY",S1142-M1142,M1142-S1142)</f>
        <v>-0.129999999997381</v>
      </c>
      <c r="V1142" s="46" t="n">
        <v>0</v>
      </c>
      <c r="W1142" s="46" t="n">
        <v>0</v>
      </c>
      <c r="X1142" s="46" t="n">
        <v>-0.52</v>
      </c>
      <c r="Y1142" s="33" t="n">
        <f aca="false">IFERROR(X1142/R1142,0)</f>
        <v>-0.0244821092278827</v>
      </c>
      <c r="Z1142" s="29" t="str">
        <f aca="false">IF(X1142&gt;0,"Win",IF(X1142&lt;0,"Loss","Flat"))</f>
        <v>Loss</v>
      </c>
      <c r="AA1142" s="29" t="n">
        <f aca="false">ROUND((C1142-B1142)*1440,1)</f>
        <v>2.2</v>
      </c>
      <c r="AB1142" s="29" t="str">
        <f aca="false">IF(AA1142&lt;1,"a) &lt;1 min",IF(AA1142&lt;10,"b) 1-10 min",IF(AA1142&lt;60,"c) 10-60 min",IF(AA1142&lt;240,"d) 1-4 h","e) 4 h+"))))</f>
        <v>b) 1-10 min</v>
      </c>
      <c r="AC1142" s="29" t="str">
        <f aca="false">IF(P1142&lt;10,"a) &lt;10",IF(P1142&lt;20,"b) 10-20",IF(P1142&lt;40,"c) 20-40",IF(P1142&lt;80,"d) 40-80","e) 80+"))))</f>
        <v>a) &lt;10</v>
      </c>
      <c r="AD1142" s="31" t="n">
        <f aca="false">Summary!$C$5+SUM(X$2:X1142)</f>
        <v>24545.08</v>
      </c>
      <c r="AE1142" s="31" t="n">
        <f aca="false">MAX(AE1141,AD1142)</f>
        <v>24635.68</v>
      </c>
      <c r="AF1142" s="31" t="n">
        <f aca="false">AE1142-AD1142</f>
        <v>90.5999999999985</v>
      </c>
      <c r="AG1142" s="30" t="n">
        <f aca="false">IFERROR(AF1142/AE1142,0)</f>
        <v>0.00367759282471596</v>
      </c>
    </row>
    <row r="1143" customFormat="false" ht="15" hidden="false" customHeight="false" outlineLevel="0" collapsed="false">
      <c r="A1143" s="29" t="n">
        <v>1142</v>
      </c>
      <c r="B1143" s="44" t="n">
        <v>46288.1243055556</v>
      </c>
      <c r="C1143" s="44" t="n">
        <v>46288.1248842593</v>
      </c>
      <c r="D1143" s="43" t="n">
        <f aca="false">INT(C1143)</f>
        <v>46288</v>
      </c>
      <c r="E1143" s="43" t="n">
        <f aca="false">D1143-WEEKDAY(D1143,3)</f>
        <v>46286</v>
      </c>
      <c r="F1143" s="29" t="s">
        <v>197</v>
      </c>
      <c r="G1143" s="29" t="n">
        <v>2026</v>
      </c>
      <c r="H1143" s="29" t="s">
        <v>252</v>
      </c>
      <c r="I1143" s="29" t="n">
        <v>2</v>
      </c>
      <c r="J1143" s="29" t="s">
        <v>246</v>
      </c>
      <c r="K1143" s="29" t="s">
        <v>247</v>
      </c>
      <c r="L1143" s="29" t="n">
        <v>0.03</v>
      </c>
      <c r="M1143" s="32" t="n">
        <v>30766.28</v>
      </c>
      <c r="N1143" s="32" t="n">
        <v>30760.94</v>
      </c>
      <c r="O1143" s="32" t="n">
        <v>30779.36</v>
      </c>
      <c r="P1143" s="45" t="n">
        <f aca="false">ABS(M1143-N1143)</f>
        <v>5.34000000000015</v>
      </c>
      <c r="Q1143" s="45" t="n">
        <f aca="false">IF(O1143="","",ABS(O1143-M1143))</f>
        <v>13.0800000000017</v>
      </c>
      <c r="R1143" s="31" t="n">
        <f aca="false">P1143*L1143*Summary!$C$6</f>
        <v>16.0200000000004</v>
      </c>
      <c r="S1143" s="32" t="n">
        <v>30765.99</v>
      </c>
      <c r="T1143" s="29" t="s">
        <v>255</v>
      </c>
      <c r="U1143" s="45" t="n">
        <f aca="false">IF(J1143="BUY",S1143-M1143,M1143-S1143)</f>
        <v>-0.289999999997235</v>
      </c>
      <c r="V1143" s="46" t="n">
        <v>0</v>
      </c>
      <c r="W1143" s="46" t="n">
        <v>0</v>
      </c>
      <c r="X1143" s="46" t="n">
        <v>-0.87</v>
      </c>
      <c r="Y1143" s="33" t="n">
        <f aca="false">IFERROR(X1143/R1143,0)</f>
        <v>-0.0543071161048674</v>
      </c>
      <c r="Z1143" s="29" t="str">
        <f aca="false">IF(X1143&gt;0,"Win",IF(X1143&lt;0,"Loss","Flat"))</f>
        <v>Loss</v>
      </c>
      <c r="AA1143" s="29" t="n">
        <f aca="false">ROUND((C1143-B1143)*1440,1)</f>
        <v>0.8</v>
      </c>
      <c r="AB1143" s="29" t="str">
        <f aca="false">IF(AA1143&lt;1,"a) &lt;1 min",IF(AA1143&lt;10,"b) 1-10 min",IF(AA1143&lt;60,"c) 10-60 min",IF(AA1143&lt;240,"d) 1-4 h","e) 4 h+"))))</f>
        <v>a) &lt;1 min</v>
      </c>
      <c r="AC1143" s="29" t="str">
        <f aca="false">IF(P1143&lt;10,"a) &lt;10",IF(P1143&lt;20,"b) 10-20",IF(P1143&lt;40,"c) 20-40",IF(P1143&lt;80,"d) 40-80","e) 80+"))))</f>
        <v>a) &lt;10</v>
      </c>
      <c r="AD1143" s="31" t="n">
        <f aca="false">Summary!$C$5+SUM(X$2:X1143)</f>
        <v>24544.21</v>
      </c>
      <c r="AE1143" s="31" t="n">
        <f aca="false">MAX(AE1142,AD1143)</f>
        <v>24635.68</v>
      </c>
      <c r="AF1143" s="31" t="n">
        <f aca="false">AE1143-AD1143</f>
        <v>91.4700000000012</v>
      </c>
      <c r="AG1143" s="30" t="n">
        <f aca="false">IFERROR(AF1143/AE1143,0)</f>
        <v>0.00371290745780109</v>
      </c>
    </row>
    <row r="1144" customFormat="false" ht="15" hidden="false" customHeight="false" outlineLevel="0" collapsed="false">
      <c r="A1144" s="29" t="n">
        <v>1143</v>
      </c>
      <c r="B1144" s="44" t="n">
        <v>46288.7243055556</v>
      </c>
      <c r="C1144" s="44" t="n">
        <v>46288.7257060185</v>
      </c>
      <c r="D1144" s="43" t="n">
        <f aca="false">INT(C1144)</f>
        <v>46288</v>
      </c>
      <c r="E1144" s="43" t="n">
        <f aca="false">D1144-WEEKDAY(D1144,3)</f>
        <v>46286</v>
      </c>
      <c r="F1144" s="29" t="s">
        <v>197</v>
      </c>
      <c r="G1144" s="29" t="n">
        <v>2026</v>
      </c>
      <c r="H1144" s="29" t="s">
        <v>252</v>
      </c>
      <c r="I1144" s="29" t="n">
        <v>17</v>
      </c>
      <c r="J1144" s="29" t="s">
        <v>250</v>
      </c>
      <c r="K1144" s="29" t="s">
        <v>251</v>
      </c>
      <c r="L1144" s="29" t="n">
        <v>0.04</v>
      </c>
      <c r="M1144" s="32" t="n">
        <v>30355.29</v>
      </c>
      <c r="N1144" s="32" t="n">
        <v>30380.27</v>
      </c>
      <c r="O1144" s="32" t="n">
        <v>30294.1</v>
      </c>
      <c r="P1144" s="45" t="n">
        <f aca="false">ABS(M1144-N1144)</f>
        <v>24.9799999999996</v>
      </c>
      <c r="Q1144" s="45" t="n">
        <f aca="false">IF(O1144="","",ABS(O1144-M1144))</f>
        <v>61.1900000000023</v>
      </c>
      <c r="R1144" s="31" t="n">
        <f aca="false">P1144*L1144*Summary!$C$6</f>
        <v>99.9199999999983</v>
      </c>
      <c r="S1144" s="32" t="n">
        <v>30381.51</v>
      </c>
      <c r="T1144" s="29" t="s">
        <v>249</v>
      </c>
      <c r="U1144" s="45" t="n">
        <f aca="false">IF(J1144="BUY",S1144-M1144,M1144-S1144)</f>
        <v>-26.2199999999975</v>
      </c>
      <c r="V1144" s="46" t="n">
        <v>0</v>
      </c>
      <c r="W1144" s="46" t="n">
        <v>0</v>
      </c>
      <c r="X1144" s="46" t="n">
        <v>-104.88</v>
      </c>
      <c r="Y1144" s="33" t="n">
        <f aca="false">IFERROR(X1144/R1144,0)</f>
        <v>-1.04963971176943</v>
      </c>
      <c r="Z1144" s="29" t="str">
        <f aca="false">IF(X1144&gt;0,"Win",IF(X1144&lt;0,"Loss","Flat"))</f>
        <v>Loss</v>
      </c>
      <c r="AA1144" s="29" t="n">
        <f aca="false">ROUND((C1144-B1144)*1440,1)</f>
        <v>2</v>
      </c>
      <c r="AB1144" s="29" t="str">
        <f aca="false">IF(AA1144&lt;1,"a) &lt;1 min",IF(AA1144&lt;10,"b) 1-10 min",IF(AA1144&lt;60,"c) 10-60 min",IF(AA1144&lt;240,"d) 1-4 h","e) 4 h+"))))</f>
        <v>b) 1-10 min</v>
      </c>
      <c r="AC1144" s="29" t="str">
        <f aca="false">IF(P1144&lt;10,"a) &lt;10",IF(P1144&lt;20,"b) 10-20",IF(P1144&lt;40,"c) 20-40",IF(P1144&lt;80,"d) 40-80","e) 80+"))))</f>
        <v>c) 20-40</v>
      </c>
      <c r="AD1144" s="31" t="n">
        <f aca="false">Summary!$C$5+SUM(X$2:X1144)</f>
        <v>24439.33</v>
      </c>
      <c r="AE1144" s="31" t="n">
        <f aca="false">MAX(AE1143,AD1144)</f>
        <v>24635.68</v>
      </c>
      <c r="AF1144" s="31" t="n">
        <f aca="false">AE1144-AD1144</f>
        <v>196.349999999999</v>
      </c>
      <c r="AG1144" s="30" t="n">
        <f aca="false">IFERROR(AF1144/AE1144,0)</f>
        <v>0.00797014736349874</v>
      </c>
    </row>
    <row r="1145" customFormat="false" ht="15" hidden="false" customHeight="false" outlineLevel="0" collapsed="false">
      <c r="A1145" s="29" t="n">
        <v>1144</v>
      </c>
      <c r="B1145" s="44" t="n">
        <v>46289.3729166667</v>
      </c>
      <c r="C1145" s="44" t="n">
        <v>46289.3750694445</v>
      </c>
      <c r="D1145" s="43" t="n">
        <f aca="false">INT(C1145)</f>
        <v>46289</v>
      </c>
      <c r="E1145" s="43" t="n">
        <f aca="false">D1145-WEEKDAY(D1145,3)</f>
        <v>46286</v>
      </c>
      <c r="F1145" s="29" t="s">
        <v>197</v>
      </c>
      <c r="G1145" s="29" t="n">
        <v>2026</v>
      </c>
      <c r="H1145" s="29" t="s">
        <v>253</v>
      </c>
      <c r="I1145" s="29" t="n">
        <v>8</v>
      </c>
      <c r="J1145" s="29" t="s">
        <v>250</v>
      </c>
      <c r="K1145" s="29" t="s">
        <v>251</v>
      </c>
      <c r="L1145" s="29" t="n">
        <v>0.04</v>
      </c>
      <c r="M1145" s="32" t="n">
        <v>30336.68</v>
      </c>
      <c r="N1145" s="32" t="n">
        <v>30347.59</v>
      </c>
      <c r="O1145" s="32" t="n">
        <v>30309.95</v>
      </c>
      <c r="P1145" s="45" t="n">
        <f aca="false">ABS(M1145-N1145)</f>
        <v>10.9099999999999</v>
      </c>
      <c r="Q1145" s="45" t="n">
        <f aca="false">IF(O1145="","",ABS(O1145-M1145))</f>
        <v>26.7299999999996</v>
      </c>
      <c r="R1145" s="31" t="n">
        <f aca="false">P1145*L1145*Summary!$C$6</f>
        <v>43.6399999999994</v>
      </c>
      <c r="S1145" s="32" t="n">
        <v>30309.6</v>
      </c>
      <c r="T1145" s="29" t="s">
        <v>227</v>
      </c>
      <c r="U1145" s="45" t="n">
        <f aca="false">IF(J1145="BUY",S1145-M1145,M1145-S1145)</f>
        <v>27.0800000000017</v>
      </c>
      <c r="V1145" s="46" t="n">
        <v>0</v>
      </c>
      <c r="W1145" s="46" t="n">
        <v>0</v>
      </c>
      <c r="X1145" s="46" t="n">
        <v>108.32</v>
      </c>
      <c r="Y1145" s="33" t="n">
        <f aca="false">IFERROR(X1145/R1145,0)</f>
        <v>2.48212648945924</v>
      </c>
      <c r="Z1145" s="29" t="str">
        <f aca="false">IF(X1145&gt;0,"Win",IF(X1145&lt;0,"Loss","Flat"))</f>
        <v>Win</v>
      </c>
      <c r="AA1145" s="29" t="n">
        <f aca="false">ROUND((C1145-B1145)*1440,1)</f>
        <v>3.1</v>
      </c>
      <c r="AB1145" s="29" t="str">
        <f aca="false">IF(AA1145&lt;1,"a) &lt;1 min",IF(AA1145&lt;10,"b) 1-10 min",IF(AA1145&lt;60,"c) 10-60 min",IF(AA1145&lt;240,"d) 1-4 h","e) 4 h+"))))</f>
        <v>b) 1-10 min</v>
      </c>
      <c r="AC1145" s="29" t="str">
        <f aca="false">IF(P1145&lt;10,"a) &lt;10",IF(P1145&lt;20,"b) 10-20",IF(P1145&lt;40,"c) 20-40",IF(P1145&lt;80,"d) 40-80","e) 80+"))))</f>
        <v>b) 10-20</v>
      </c>
      <c r="AD1145" s="31" t="n">
        <f aca="false">Summary!$C$5+SUM(X$2:X1145)</f>
        <v>24547.65</v>
      </c>
      <c r="AE1145" s="31" t="n">
        <f aca="false">MAX(AE1144,AD1145)</f>
        <v>24635.68</v>
      </c>
      <c r="AF1145" s="31" t="n">
        <f aca="false">AE1145-AD1145</f>
        <v>88.0299999999988</v>
      </c>
      <c r="AG1145" s="30" t="n">
        <f aca="false">IFERROR(AF1145/AE1145,0)</f>
        <v>0.00357327258675218</v>
      </c>
    </row>
    <row r="1146" customFormat="false" ht="15" hidden="false" customHeight="false" outlineLevel="0" collapsed="false">
      <c r="A1146" s="29" t="n">
        <v>1145</v>
      </c>
      <c r="B1146" s="44" t="n">
        <v>46290.3548611111</v>
      </c>
      <c r="C1146" s="44" t="n">
        <v>46290.3564930556</v>
      </c>
      <c r="D1146" s="43" t="n">
        <f aca="false">INT(C1146)</f>
        <v>46290</v>
      </c>
      <c r="E1146" s="43" t="n">
        <f aca="false">D1146-WEEKDAY(D1146,3)</f>
        <v>46286</v>
      </c>
      <c r="F1146" s="29" t="s">
        <v>197</v>
      </c>
      <c r="G1146" s="29" t="n">
        <v>2026</v>
      </c>
      <c r="H1146" s="29" t="s">
        <v>254</v>
      </c>
      <c r="I1146" s="29" t="n">
        <v>8</v>
      </c>
      <c r="J1146" s="29" t="s">
        <v>246</v>
      </c>
      <c r="K1146" s="29" t="s">
        <v>247</v>
      </c>
      <c r="L1146" s="29" t="n">
        <v>0.04</v>
      </c>
      <c r="M1146" s="32" t="n">
        <v>30537.4</v>
      </c>
      <c r="N1146" s="32" t="n">
        <v>30528.21</v>
      </c>
      <c r="O1146" s="32" t="n">
        <v>30559.93</v>
      </c>
      <c r="P1146" s="45" t="n">
        <f aca="false">ABS(M1146-N1146)</f>
        <v>9.19000000000233</v>
      </c>
      <c r="Q1146" s="45" t="n">
        <f aca="false">IF(O1146="","",ABS(O1146-M1146))</f>
        <v>22.5299999999988</v>
      </c>
      <c r="R1146" s="31" t="n">
        <f aca="false">P1146*L1146*Summary!$C$6</f>
        <v>36.7600000000093</v>
      </c>
      <c r="S1146" s="32" t="n">
        <v>30560.55</v>
      </c>
      <c r="T1146" s="29" t="s">
        <v>227</v>
      </c>
      <c r="U1146" s="45" t="n">
        <f aca="false">IF(J1146="BUY",S1146-M1146,M1146-S1146)</f>
        <v>23.1499999999978</v>
      </c>
      <c r="V1146" s="46" t="n">
        <v>0</v>
      </c>
      <c r="W1146" s="46" t="n">
        <v>0</v>
      </c>
      <c r="X1146" s="46" t="n">
        <v>92.6</v>
      </c>
      <c r="Y1146" s="33" t="n">
        <f aca="false">IFERROR(X1146/R1146,0)</f>
        <v>2.51904243743135</v>
      </c>
      <c r="Z1146" s="29" t="str">
        <f aca="false">IF(X1146&gt;0,"Win",IF(X1146&lt;0,"Loss","Flat"))</f>
        <v>Win</v>
      </c>
      <c r="AA1146" s="29" t="n">
        <f aca="false">ROUND((C1146-B1146)*1440,1)</f>
        <v>2.4</v>
      </c>
      <c r="AB1146" s="29" t="str">
        <f aca="false">IF(AA1146&lt;1,"a) &lt;1 min",IF(AA1146&lt;10,"b) 1-10 min",IF(AA1146&lt;60,"c) 10-60 min",IF(AA1146&lt;240,"d) 1-4 h","e) 4 h+"))))</f>
        <v>b) 1-10 min</v>
      </c>
      <c r="AC1146" s="29" t="str">
        <f aca="false">IF(P1146&lt;10,"a) &lt;10",IF(P1146&lt;20,"b) 10-20",IF(P1146&lt;40,"c) 20-40",IF(P1146&lt;80,"d) 40-80","e) 80+"))))</f>
        <v>a) &lt;10</v>
      </c>
      <c r="AD1146" s="31" t="n">
        <f aca="false">Summary!$C$5+SUM(X$2:X1146)</f>
        <v>24640.25</v>
      </c>
      <c r="AE1146" s="31" t="n">
        <f aca="false">MAX(AE1145,AD1146)</f>
        <v>24640.25</v>
      </c>
      <c r="AF1146" s="31" t="n">
        <f aca="false">AE1146-AD1146</f>
        <v>0</v>
      </c>
      <c r="AG1146" s="30" t="n">
        <f aca="false">IFERROR(AF1146/AE1146,0)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257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258</v>
      </c>
      <c r="B3" s="2"/>
      <c r="C3" s="2"/>
      <c r="D3" s="2"/>
      <c r="E3" s="2"/>
      <c r="F3" s="2"/>
      <c r="G3" s="2"/>
      <c r="H3" s="4" t="s">
        <v>259</v>
      </c>
    </row>
    <row r="4" customFormat="false" ht="31.5" hidden="false" customHeight="true" outlineLevel="0" collapsed="false">
      <c r="A4" s="27" t="s">
        <v>260</v>
      </c>
      <c r="B4" s="27" t="s">
        <v>7</v>
      </c>
      <c r="C4" s="27" t="s">
        <v>62</v>
      </c>
      <c r="D4" s="27" t="s">
        <v>43</v>
      </c>
      <c r="E4" s="27" t="s">
        <v>261</v>
      </c>
      <c r="F4" s="27" t="s">
        <v>262</v>
      </c>
      <c r="G4" s="27" t="s">
        <v>51</v>
      </c>
      <c r="H4" s="2"/>
    </row>
    <row r="5" customFormat="false" ht="15" hidden="false" customHeight="false" outlineLevel="0" collapsed="false">
      <c r="A5" s="2" t="s">
        <v>246</v>
      </c>
      <c r="B5" s="2" t="n">
        <f aca="false">COUNTIFS(Trades!$J$2:$J$1146,$A5)</f>
        <v>641</v>
      </c>
      <c r="C5" s="41" t="n">
        <f aca="false">IFERROR(COUNTIFS(Trades!$J$2:$J$1146,$A5,Trades!$Z$2:$Z$1146,"Win")/B5,0)</f>
        <v>0.279251170046802</v>
      </c>
      <c r="D5" s="40" t="n">
        <f aca="false">SUMIFS(Trades!$X$2:$X$1146,Trades!$J$2:$J$1146,$A5)</f>
        <v>9077.54</v>
      </c>
      <c r="E5" s="40" t="n">
        <f aca="false">IFERROR(D5/B5,0)</f>
        <v>14.1615288611544</v>
      </c>
      <c r="F5" s="47" t="n">
        <f aca="false">IFERROR(AVERAGEIFS(Trades!$Y$2:$Y$1146,Trades!$J$2:$J$1146,$A5),0)</f>
        <v>0.21946965804185</v>
      </c>
      <c r="G5" s="48" t="n">
        <f aca="false">IFERROR(SUMIFS(Trades!$X$2:$X$1146,Trades!$J$2:$J$1146,$A5,Trades!$X$2:$X$1146,"&gt;0")/-SUMIFS(Trades!$X$2:$X$1146,Trades!$J$2:$J$1146,$A5,Trades!$X$2:$X$1146,"&lt;0"),"-")</f>
        <v>1.61197572737318</v>
      </c>
      <c r="H5" s="2"/>
    </row>
    <row r="6" customFormat="false" ht="15" hidden="false" customHeight="false" outlineLevel="0" collapsed="false">
      <c r="A6" s="2" t="s">
        <v>250</v>
      </c>
      <c r="B6" s="2" t="n">
        <f aca="false">COUNTIFS(Trades!$J$2:$J$1146,$A6)</f>
        <v>504</v>
      </c>
      <c r="C6" s="41" t="n">
        <f aca="false">IFERROR(COUNTIFS(Trades!$J$2:$J$1146,$A6,Trades!$Z$2:$Z$1146,"Win")/B6,0)</f>
        <v>0.271825396825397</v>
      </c>
      <c r="D6" s="40" t="n">
        <f aca="false">SUMIFS(Trades!$X$2:$X$1146,Trades!$J$2:$J$1146,$A6)</f>
        <v>5562.71</v>
      </c>
      <c r="E6" s="40" t="n">
        <f aca="false">IFERROR(D6/B6,0)</f>
        <v>11.037123015873</v>
      </c>
      <c r="F6" s="47" t="n">
        <f aca="false">IFERROR(AVERAGEIFS(Trades!$Y$2:$Y$1146,Trades!$J$2:$J$1146,$A6),0)</f>
        <v>0.19317943773462</v>
      </c>
      <c r="G6" s="48" t="n">
        <f aca="false">IFERROR(SUMIFS(Trades!$X$2:$X$1146,Trades!$J$2:$J$1146,$A6,Trades!$X$2:$X$1146,"&gt;0")/-SUMIFS(Trades!$X$2:$X$1146,Trades!$J$2:$J$1146,$A6,Trades!$X$2:$X$1146,"&lt;0"),"-")</f>
        <v>1.31146558834118</v>
      </c>
      <c r="H6" s="2"/>
    </row>
    <row r="7" customFormat="false" ht="15" hidden="false" customHeight="false" outlineLevel="0" collapsed="false">
      <c r="A7" s="34" t="s">
        <v>263</v>
      </c>
      <c r="B7" s="34" t="n">
        <f aca="false">SUM(B5:B6)</f>
        <v>1145</v>
      </c>
      <c r="C7" s="38"/>
      <c r="D7" s="49" t="n">
        <f aca="false">SUM(D5:D6)</f>
        <v>14640.25</v>
      </c>
      <c r="E7" s="38"/>
      <c r="F7" s="38"/>
      <c r="G7" s="38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3" t="s">
        <v>264</v>
      </c>
      <c r="B9" s="2"/>
      <c r="C9" s="2"/>
      <c r="D9" s="2"/>
      <c r="E9" s="2"/>
      <c r="F9" s="2"/>
      <c r="G9" s="2"/>
      <c r="H9" s="4" t="s">
        <v>265</v>
      </c>
    </row>
    <row r="10" customFormat="false" ht="31.5" hidden="false" customHeight="true" outlineLevel="0" collapsed="false">
      <c r="A10" s="27" t="s">
        <v>266</v>
      </c>
      <c r="B10" s="27" t="s">
        <v>7</v>
      </c>
      <c r="C10" s="27" t="s">
        <v>62</v>
      </c>
      <c r="D10" s="27" t="s">
        <v>43</v>
      </c>
      <c r="E10" s="27" t="s">
        <v>261</v>
      </c>
      <c r="F10" s="27" t="s">
        <v>262</v>
      </c>
      <c r="G10" s="27" t="s">
        <v>51</v>
      </c>
      <c r="H10" s="2"/>
    </row>
    <row r="11" customFormat="false" ht="15" hidden="false" customHeight="false" outlineLevel="0" collapsed="false">
      <c r="A11" s="2" t="s">
        <v>247</v>
      </c>
      <c r="B11" s="2" t="n">
        <f aca="false">COUNTIFS(Trades!$K$2:$K$1146,$A11)</f>
        <v>641</v>
      </c>
      <c r="C11" s="41" t="n">
        <f aca="false">IFERROR(COUNTIFS(Trades!$K$2:$K$1146,$A11,Trades!$Z$2:$Z$1146,"Win")/B11,0)</f>
        <v>0.279251170046802</v>
      </c>
      <c r="D11" s="40" t="n">
        <f aca="false">SUMIFS(Trades!$X$2:$X$1146,Trades!$K$2:$K$1146,$A11)</f>
        <v>9077.54</v>
      </c>
      <c r="E11" s="40" t="n">
        <f aca="false">IFERROR(D11/B11,0)</f>
        <v>14.1615288611544</v>
      </c>
      <c r="F11" s="47" t="n">
        <f aca="false">IFERROR(AVERAGEIFS(Trades!$Y$2:$Y$1146,Trades!$K$2:$K$1146,$A11),0)</f>
        <v>0.21946965804185</v>
      </c>
      <c r="G11" s="48" t="n">
        <f aca="false">IFERROR(SUMIFS(Trades!$X$2:$X$1146,Trades!$K$2:$K$1146,$A11,Trades!$X$2:$X$1146,"&gt;0")/-SUMIFS(Trades!$X$2:$X$1146,Trades!$K$2:$K$1146,$A11,Trades!$X$2:$X$1146,"&lt;0"),"-")</f>
        <v>1.61197572737318</v>
      </c>
      <c r="H11" s="2"/>
    </row>
    <row r="12" customFormat="false" ht="15" hidden="false" customHeight="false" outlineLevel="0" collapsed="false">
      <c r="A12" s="2" t="s">
        <v>251</v>
      </c>
      <c r="B12" s="2" t="n">
        <f aca="false">COUNTIFS(Trades!$K$2:$K$1146,$A12)</f>
        <v>504</v>
      </c>
      <c r="C12" s="41" t="n">
        <f aca="false">IFERROR(COUNTIFS(Trades!$K$2:$K$1146,$A12,Trades!$Z$2:$Z$1146,"Win")/B12,0)</f>
        <v>0.271825396825397</v>
      </c>
      <c r="D12" s="40" t="n">
        <f aca="false">SUMIFS(Trades!$X$2:$X$1146,Trades!$K$2:$K$1146,$A12)</f>
        <v>5562.71</v>
      </c>
      <c r="E12" s="40" t="n">
        <f aca="false">IFERROR(D12/B12,0)</f>
        <v>11.037123015873</v>
      </c>
      <c r="F12" s="47" t="n">
        <f aca="false">IFERROR(AVERAGEIFS(Trades!$Y$2:$Y$1146,Trades!$K$2:$K$1146,$A12),0)</f>
        <v>0.19317943773462</v>
      </c>
      <c r="G12" s="48" t="n">
        <f aca="false">IFERROR(SUMIFS(Trades!$X$2:$X$1146,Trades!$K$2:$K$1146,$A12,Trades!$X$2:$X$1146,"&gt;0")/-SUMIFS(Trades!$X$2:$X$1146,Trades!$K$2:$K$1146,$A12,Trades!$X$2:$X$1146,"&lt;0"),"-")</f>
        <v>1.31146558834118</v>
      </c>
      <c r="H12" s="2"/>
    </row>
    <row r="13" customFormat="false" ht="15" hidden="false" customHeight="false" outlineLevel="0" collapsed="false">
      <c r="A13" s="34" t="s">
        <v>263</v>
      </c>
      <c r="B13" s="34" t="n">
        <f aca="false">SUM(B11:B12)</f>
        <v>1145</v>
      </c>
      <c r="C13" s="38"/>
      <c r="D13" s="49" t="n">
        <f aca="false">SUM(D11:D12)</f>
        <v>14640.25</v>
      </c>
      <c r="E13" s="38"/>
      <c r="F13" s="38"/>
      <c r="G13" s="38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39.55" hidden="false" customHeight="false" outlineLevel="0" collapsed="false">
      <c r="A15" s="3" t="s">
        <v>267</v>
      </c>
      <c r="B15" s="2"/>
      <c r="C15" s="2"/>
      <c r="D15" s="2"/>
      <c r="E15" s="2"/>
      <c r="F15" s="2"/>
      <c r="G15" s="2"/>
      <c r="H15" s="4" t="s">
        <v>268</v>
      </c>
    </row>
    <row r="16" customFormat="false" ht="31.5" hidden="false" customHeight="true" outlineLevel="0" collapsed="false">
      <c r="A16" s="27" t="s">
        <v>269</v>
      </c>
      <c r="B16" s="27" t="s">
        <v>7</v>
      </c>
      <c r="C16" s="27" t="s">
        <v>62</v>
      </c>
      <c r="D16" s="27" t="s">
        <v>43</v>
      </c>
      <c r="E16" s="27" t="s">
        <v>261</v>
      </c>
      <c r="F16" s="27" t="s">
        <v>262</v>
      </c>
      <c r="G16" s="27" t="s">
        <v>51</v>
      </c>
      <c r="H16" s="2"/>
    </row>
    <row r="17" customFormat="false" ht="15" hidden="false" customHeight="false" outlineLevel="0" collapsed="false">
      <c r="A17" s="2" t="s">
        <v>227</v>
      </c>
      <c r="B17" s="2" t="n">
        <f aca="false">COUNTIFS(Trades!$T$2:$T$1146,$A17)</f>
        <v>316</v>
      </c>
      <c r="C17" s="41" t="n">
        <f aca="false">IFERROR(COUNTIFS(Trades!$T$2:$T$1146,$A17,Trades!$Z$2:$Z$1146,"Win")/B17,0)</f>
        <v>1</v>
      </c>
      <c r="D17" s="40" t="n">
        <f aca="false">SUMIFS(Trades!$X$2:$X$1146,Trades!$T$2:$T$1146,$A17)</f>
        <v>47333.21</v>
      </c>
      <c r="E17" s="40" t="n">
        <f aca="false">IFERROR(D17/B17,0)</f>
        <v>149.788639240506</v>
      </c>
      <c r="F17" s="47" t="n">
        <f aca="false">IFERROR(AVERAGEIFS(Trades!$Y$2:$Y$1146,Trades!$T$2:$T$1146,$A17),0)</f>
        <v>2.54001141152947</v>
      </c>
      <c r="G17" s="48" t="str">
        <f aca="false">IFERROR(SUMIFS(Trades!$X$2:$X$1146,Trades!$T$2:$T$1146,$A17,Trades!$X$2:$X$1146,"&gt;0")/-SUMIFS(Trades!$X$2:$X$1146,Trades!$T$2:$T$1146,$A17,Trades!$X$2:$X$1146,"&lt;0"),"-")</f>
        <v>-</v>
      </c>
      <c r="H17" s="2"/>
    </row>
    <row r="18" customFormat="false" ht="15" hidden="false" customHeight="false" outlineLevel="0" collapsed="false">
      <c r="A18" s="2" t="s">
        <v>249</v>
      </c>
      <c r="B18" s="2" t="n">
        <f aca="false">COUNTIFS(Trades!$T$2:$T$1146,$A18)</f>
        <v>525</v>
      </c>
      <c r="C18" s="41" t="n">
        <f aca="false">IFERROR(COUNTIFS(Trades!$T$2:$T$1146,$A18,Trades!$Z$2:$Z$1146,"Win")/B18,0)</f>
        <v>0</v>
      </c>
      <c r="D18" s="40" t="n">
        <f aca="false">SUMIFS(Trades!$X$2:$X$1146,Trades!$T$2:$T$1146,$A18)</f>
        <v>-29516.78</v>
      </c>
      <c r="E18" s="40" t="n">
        <f aca="false">IFERROR(D18/B18,0)</f>
        <v>-56.2224380952381</v>
      </c>
      <c r="F18" s="47" t="n">
        <f aca="false">IFERROR(AVERAGEIFS(Trades!$Y$2:$Y$1146,Trades!$T$2:$T$1146,$A18),0)</f>
        <v>-1.04274724320533</v>
      </c>
      <c r="G18" s="48" t="n">
        <f aca="false">IFERROR(SUMIFS(Trades!$X$2:$X$1146,Trades!$T$2:$T$1146,$A18,Trades!$X$2:$X$1146,"&gt;0")/-SUMIFS(Trades!$X$2:$X$1146,Trades!$T$2:$T$1146,$A18,Trades!$X$2:$X$1146,"&lt;0"),"-")</f>
        <v>0</v>
      </c>
      <c r="H18" s="2"/>
    </row>
    <row r="19" customFormat="false" ht="15" hidden="false" customHeight="false" outlineLevel="0" collapsed="false">
      <c r="A19" s="2" t="s">
        <v>255</v>
      </c>
      <c r="B19" s="2" t="n">
        <f aca="false">COUNTIFS(Trades!$T$2:$T$1146,$A19)</f>
        <v>298</v>
      </c>
      <c r="C19" s="41" t="n">
        <f aca="false">IFERROR(COUNTIFS(Trades!$T$2:$T$1146,$A19,Trades!$Z$2:$Z$1146,"Win")/B19,0)</f>
        <v>0</v>
      </c>
      <c r="D19" s="40" t="n">
        <f aca="false">SUMIFS(Trades!$X$2:$X$1146,Trades!$T$2:$T$1146,$A19)</f>
        <v>-921.14</v>
      </c>
      <c r="E19" s="40" t="n">
        <f aca="false">IFERROR(D19/B19,0)</f>
        <v>-3.09107382550336</v>
      </c>
      <c r="F19" s="47" t="n">
        <f aca="false">IFERROR(AVERAGEIFS(Trades!$Y$2:$Y$1146,Trades!$T$2:$T$1146,$A19),0)</f>
        <v>-0.0433900933234471</v>
      </c>
      <c r="G19" s="48" t="n">
        <f aca="false">IFERROR(SUMIFS(Trades!$X$2:$X$1146,Trades!$T$2:$T$1146,$A19,Trades!$X$2:$X$1146,"&gt;0")/-SUMIFS(Trades!$X$2:$X$1146,Trades!$T$2:$T$1146,$A19,Trades!$X$2:$X$1146,"&lt;0"),"-")</f>
        <v>0</v>
      </c>
      <c r="H19" s="2"/>
    </row>
    <row r="20" customFormat="false" ht="15" hidden="false" customHeight="false" outlineLevel="0" collapsed="false">
      <c r="A20" s="2" t="s">
        <v>270</v>
      </c>
      <c r="B20" s="2" t="n">
        <f aca="false">COUNTIFS(Trades!$T$2:$T$1146,$A20)</f>
        <v>0</v>
      </c>
      <c r="C20" s="41" t="n">
        <f aca="false">IFERROR(COUNTIFS(Trades!$T$2:$T$1146,$A20,Trades!$Z$2:$Z$1146,"Win")/B20,0)</f>
        <v>0</v>
      </c>
      <c r="D20" s="40" t="n">
        <f aca="false">SUMIFS(Trades!$X$2:$X$1146,Trades!$T$2:$T$1146,$A20)</f>
        <v>0</v>
      </c>
      <c r="E20" s="40" t="n">
        <f aca="false">IFERROR(D20/B20,0)</f>
        <v>0</v>
      </c>
      <c r="F20" s="47" t="n">
        <f aca="false">IFERROR(AVERAGEIFS(Trades!$Y$2:$Y$1146,Trades!$T$2:$T$1146,$A20),0)</f>
        <v>0</v>
      </c>
      <c r="G20" s="48" t="str">
        <f aca="false">IFERROR(SUMIFS(Trades!$X$2:$X$1146,Trades!$T$2:$T$1146,$A20,Trades!$X$2:$X$1146,"&gt;0")/-SUMIFS(Trades!$X$2:$X$1146,Trades!$T$2:$T$1146,$A20,Trades!$X$2:$X$1146,"&lt;0"),"-")</f>
        <v>-</v>
      </c>
      <c r="H20" s="2"/>
    </row>
    <row r="21" customFormat="false" ht="15" hidden="false" customHeight="false" outlineLevel="0" collapsed="false">
      <c r="A21" s="2" t="s">
        <v>256</v>
      </c>
      <c r="B21" s="2" t="n">
        <f aca="false">COUNTIFS(Trades!$T$2:$T$1146,$A21)</f>
        <v>6</v>
      </c>
      <c r="C21" s="41" t="n">
        <f aca="false">IFERROR(COUNTIFS(Trades!$T$2:$T$1146,$A21,Trades!$Z$2:$Z$1146,"Win")/B21,0)</f>
        <v>0</v>
      </c>
      <c r="D21" s="40" t="n">
        <f aca="false">SUMIFS(Trades!$X$2:$X$1146,Trades!$T$2:$T$1146,$A21)</f>
        <v>-2255.04</v>
      </c>
      <c r="E21" s="40" t="n">
        <f aca="false">IFERROR(D21/B21,0)</f>
        <v>-375.84</v>
      </c>
      <c r="F21" s="47" t="n">
        <f aca="false">IFERROR(AVERAGEIFS(Trades!$Y$2:$Y$1146,Trades!$T$2:$T$1146,$A21),0)</f>
        <v>-0.704761354508562</v>
      </c>
      <c r="G21" s="48" t="n">
        <f aca="false">IFERROR(SUMIFS(Trades!$X$2:$X$1146,Trades!$T$2:$T$1146,$A21,Trades!$X$2:$X$1146,"&gt;0")/-SUMIFS(Trades!$X$2:$X$1146,Trades!$T$2:$T$1146,$A21,Trades!$X$2:$X$1146,"&lt;0"),"-")</f>
        <v>0</v>
      </c>
      <c r="H21" s="2"/>
    </row>
    <row r="22" customFormat="false" ht="15" hidden="false" customHeight="false" outlineLevel="0" collapsed="false">
      <c r="A22" s="34" t="s">
        <v>263</v>
      </c>
      <c r="B22" s="34" t="n">
        <f aca="false">SUM(B17:B21)</f>
        <v>1145</v>
      </c>
      <c r="C22" s="38"/>
      <c r="D22" s="49" t="n">
        <f aca="false">SUM(D17:D21)</f>
        <v>14640.25</v>
      </c>
      <c r="E22" s="38"/>
      <c r="F22" s="38"/>
      <c r="G22" s="38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3" t="s">
        <v>271</v>
      </c>
      <c r="B24" s="2"/>
      <c r="C24" s="2"/>
      <c r="D24" s="2"/>
      <c r="E24" s="2"/>
      <c r="F24" s="2"/>
      <c r="G24" s="2"/>
      <c r="H24" s="4" t="s">
        <v>272</v>
      </c>
    </row>
    <row r="25" customFormat="false" ht="31.5" hidden="false" customHeight="true" outlineLevel="0" collapsed="false">
      <c r="A25" s="27" t="s">
        <v>273</v>
      </c>
      <c r="B25" s="27" t="s">
        <v>7</v>
      </c>
      <c r="C25" s="27" t="s">
        <v>62</v>
      </c>
      <c r="D25" s="27" t="s">
        <v>43</v>
      </c>
      <c r="E25" s="27" t="s">
        <v>261</v>
      </c>
      <c r="F25" s="27" t="s">
        <v>262</v>
      </c>
      <c r="G25" s="27" t="s">
        <v>51</v>
      </c>
      <c r="H25" s="2"/>
    </row>
    <row r="26" customFormat="false" ht="15" hidden="false" customHeight="false" outlineLevel="0" collapsed="false">
      <c r="A26" s="2" t="s">
        <v>245</v>
      </c>
      <c r="B26" s="2" t="n">
        <f aca="false">COUNTIFS(Trades!$H$2:$H$1146,$A26)</f>
        <v>205</v>
      </c>
      <c r="C26" s="41" t="n">
        <f aca="false">IFERROR(COUNTIFS(Trades!$H$2:$H$1146,$A26,Trades!$Z$2:$Z$1146,"Win")/B26,0)</f>
        <v>0.258536585365854</v>
      </c>
      <c r="D26" s="40" t="n">
        <f aca="false">SUMIFS(Trades!$X$2:$X$1146,Trades!$H$2:$H$1146,$A26)</f>
        <v>2261.25</v>
      </c>
      <c r="E26" s="40" t="n">
        <f aca="false">IFERROR(D26/B26,0)</f>
        <v>11.0304878048781</v>
      </c>
      <c r="F26" s="47" t="n">
        <f aca="false">IFERROR(AVERAGEIFS(Trades!$Y$2:$Y$1146,Trades!$H$2:$H$1146,$A26),0)</f>
        <v>0.140483182818643</v>
      </c>
      <c r="G26" s="48" t="n">
        <f aca="false">IFERROR(SUMIFS(Trades!$X$2:$X$1146,Trades!$H$2:$H$1146,$A26,Trades!$X$2:$X$1146,"&gt;0")/-SUMIFS(Trades!$X$2:$X$1146,Trades!$H$2:$H$1146,$A26,Trades!$X$2:$X$1146,"&lt;0"),"-")</f>
        <v>1.30789644603421</v>
      </c>
      <c r="H26" s="2"/>
    </row>
    <row r="27" customFormat="false" ht="15" hidden="false" customHeight="false" outlineLevel="0" collapsed="false">
      <c r="A27" s="2" t="s">
        <v>248</v>
      </c>
      <c r="B27" s="2" t="n">
        <f aca="false">COUNTIFS(Trades!$H$2:$H$1146,$A27)</f>
        <v>241</v>
      </c>
      <c r="C27" s="41" t="n">
        <f aca="false">IFERROR(COUNTIFS(Trades!$H$2:$H$1146,$A27,Trades!$Z$2:$Z$1146,"Win")/B27,0)</f>
        <v>0.24896265560166</v>
      </c>
      <c r="D27" s="40" t="n">
        <f aca="false">SUMIFS(Trades!$X$2:$X$1146,Trades!$H$2:$H$1146,$A27)</f>
        <v>870.74</v>
      </c>
      <c r="E27" s="40" t="n">
        <f aca="false">IFERROR(D27/B27,0)</f>
        <v>3.61302904564315</v>
      </c>
      <c r="F27" s="47" t="n">
        <f aca="false">IFERROR(AVERAGEIFS(Trades!$Y$2:$Y$1146,Trades!$H$2:$H$1146,$A27),0)</f>
        <v>0.118803701894212</v>
      </c>
      <c r="G27" s="48" t="n">
        <f aca="false">IFERROR(SUMIFS(Trades!$X$2:$X$1146,Trades!$H$2:$H$1146,$A27,Trades!$X$2:$X$1146,"&gt;0")/-SUMIFS(Trades!$X$2:$X$1146,Trades!$H$2:$H$1146,$A27,Trades!$X$2:$X$1146,"&lt;0"),"-")</f>
        <v>1.15062725316394</v>
      </c>
      <c r="H27" s="2"/>
    </row>
    <row r="28" customFormat="false" ht="15" hidden="false" customHeight="false" outlineLevel="0" collapsed="false">
      <c r="A28" s="2" t="s">
        <v>252</v>
      </c>
      <c r="B28" s="2" t="n">
        <f aca="false">COUNTIFS(Trades!$H$2:$H$1146,$A28)</f>
        <v>237</v>
      </c>
      <c r="C28" s="41" t="n">
        <f aca="false">IFERROR(COUNTIFS(Trades!$H$2:$H$1146,$A28,Trades!$Z$2:$Z$1146,"Win")/B28,0)</f>
        <v>0.286919831223629</v>
      </c>
      <c r="D28" s="40" t="n">
        <f aca="false">SUMIFS(Trades!$X$2:$X$1146,Trades!$H$2:$H$1146,$A28)</f>
        <v>3609.49</v>
      </c>
      <c r="E28" s="40" t="n">
        <f aca="false">IFERROR(D28/B28,0)</f>
        <v>15.2299156118143</v>
      </c>
      <c r="F28" s="47" t="n">
        <f aca="false">IFERROR(AVERAGEIFS(Trades!$Y$2:$Y$1146,Trades!$H$2:$H$1146,$A28),0)</f>
        <v>0.235799169883291</v>
      </c>
      <c r="G28" s="48" t="n">
        <f aca="false">IFERROR(SUMIFS(Trades!$X$2:$X$1146,Trades!$H$2:$H$1146,$A28,Trades!$X$2:$X$1146,"&gt;0")/-SUMIFS(Trades!$X$2:$X$1146,Trades!$H$2:$H$1146,$A28,Trades!$X$2:$X$1146,"&lt;0"),"-")</f>
        <v>1.48182682219013</v>
      </c>
      <c r="H28" s="2"/>
    </row>
    <row r="29" customFormat="false" ht="15" hidden="false" customHeight="false" outlineLevel="0" collapsed="false">
      <c r="A29" s="2" t="s">
        <v>253</v>
      </c>
      <c r="B29" s="2" t="n">
        <f aca="false">COUNTIFS(Trades!$H$2:$H$1146,$A29)</f>
        <v>243</v>
      </c>
      <c r="C29" s="41" t="n">
        <f aca="false">IFERROR(COUNTIFS(Trades!$H$2:$H$1146,$A29,Trades!$Z$2:$Z$1146,"Win")/B29,0)</f>
        <v>0.296296296296296</v>
      </c>
      <c r="D29" s="40" t="n">
        <f aca="false">SUMIFS(Trades!$X$2:$X$1146,Trades!$H$2:$H$1146,$A29)</f>
        <v>4583.4</v>
      </c>
      <c r="E29" s="40" t="n">
        <f aca="false">IFERROR(D29/B29,0)</f>
        <v>18.8617283950617</v>
      </c>
      <c r="F29" s="47" t="n">
        <f aca="false">IFERROR(AVERAGEIFS(Trades!$Y$2:$Y$1146,Trades!$H$2:$H$1146,$A29),0)</f>
        <v>0.265448801886472</v>
      </c>
      <c r="G29" s="48" t="n">
        <f aca="false">IFERROR(SUMIFS(Trades!$X$2:$X$1146,Trades!$H$2:$H$1146,$A29,Trades!$X$2:$X$1146,"&gt;0")/-SUMIFS(Trades!$X$2:$X$1146,Trades!$H$2:$H$1146,$A29,Trades!$X$2:$X$1146,"&lt;0"),"-")</f>
        <v>1.63252376069697</v>
      </c>
      <c r="H29" s="2"/>
    </row>
    <row r="30" customFormat="false" ht="15" hidden="false" customHeight="false" outlineLevel="0" collapsed="false">
      <c r="A30" s="2" t="s">
        <v>254</v>
      </c>
      <c r="B30" s="2" t="n">
        <f aca="false">COUNTIFS(Trades!$H$2:$H$1146,$A30)</f>
        <v>219</v>
      </c>
      <c r="C30" s="41" t="n">
        <f aca="false">IFERROR(COUNTIFS(Trades!$H$2:$H$1146,$A30,Trades!$Z$2:$Z$1146,"Win")/B30,0)</f>
        <v>0.287671232876712</v>
      </c>
      <c r="D30" s="40" t="n">
        <f aca="false">SUMIFS(Trades!$X$2:$X$1146,Trades!$H$2:$H$1146,$A30)</f>
        <v>3315.37</v>
      </c>
      <c r="E30" s="40" t="n">
        <f aca="false">IFERROR(D30/B30,0)</f>
        <v>15.1386757990868</v>
      </c>
      <c r="F30" s="47" t="n">
        <f aca="false">IFERROR(AVERAGEIFS(Trades!$Y$2:$Y$1146,Trades!$H$2:$H$1146,$A30),0)</f>
        <v>0.274992149168926</v>
      </c>
      <c r="G30" s="48" t="n">
        <f aca="false">IFERROR(SUMIFS(Trades!$X$2:$X$1146,Trades!$H$2:$H$1146,$A30,Trades!$X$2:$X$1146,"&gt;0")/-SUMIFS(Trades!$X$2:$X$1146,Trades!$H$2:$H$1146,$A30,Trades!$X$2:$X$1146,"&lt;0"),"-")</f>
        <v>1.68633527514522</v>
      </c>
      <c r="H30" s="2"/>
    </row>
    <row r="31" customFormat="false" ht="15" hidden="false" customHeight="false" outlineLevel="0" collapsed="false">
      <c r="A31" s="34" t="s">
        <v>263</v>
      </c>
      <c r="B31" s="34" t="n">
        <f aca="false">SUM(B26:B30)</f>
        <v>1145</v>
      </c>
      <c r="C31" s="38"/>
      <c r="D31" s="49" t="n">
        <f aca="false">SUM(D26:D30)</f>
        <v>14640.25</v>
      </c>
      <c r="E31" s="38"/>
      <c r="F31" s="38"/>
      <c r="G31" s="38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26.85" hidden="false" customHeight="false" outlineLevel="0" collapsed="false">
      <c r="A33" s="3" t="s">
        <v>274</v>
      </c>
      <c r="B33" s="2"/>
      <c r="C33" s="2"/>
      <c r="D33" s="2"/>
      <c r="E33" s="2"/>
      <c r="F33" s="2"/>
      <c r="G33" s="2"/>
      <c r="H33" s="4" t="s">
        <v>275</v>
      </c>
    </row>
    <row r="34" customFormat="false" ht="31.5" hidden="false" customHeight="true" outlineLevel="0" collapsed="false">
      <c r="A34" s="27" t="s">
        <v>276</v>
      </c>
      <c r="B34" s="27" t="s">
        <v>7</v>
      </c>
      <c r="C34" s="27" t="s">
        <v>62</v>
      </c>
      <c r="D34" s="27" t="s">
        <v>43</v>
      </c>
      <c r="E34" s="27" t="s">
        <v>261</v>
      </c>
      <c r="F34" s="27" t="s">
        <v>262</v>
      </c>
      <c r="G34" s="27" t="s">
        <v>51</v>
      </c>
      <c r="H34" s="2"/>
    </row>
    <row r="35" customFormat="false" ht="15" hidden="false" customHeight="false" outlineLevel="0" collapsed="false">
      <c r="A35" s="2" t="n">
        <v>1</v>
      </c>
      <c r="B35" s="2" t="n">
        <f aca="false">COUNTIFS(Trades!$I$2:$I$1146,$A35)</f>
        <v>224</v>
      </c>
      <c r="C35" s="41" t="n">
        <f aca="false">IFERROR(COUNTIFS(Trades!$I$2:$I$1146,$A35,Trades!$Z$2:$Z$1146,"Win")/B35,0)</f>
        <v>0.308035714285714</v>
      </c>
      <c r="D35" s="40" t="n">
        <f aca="false">SUMIFS(Trades!$X$2:$X$1146,Trades!$I$2:$I$1146,$A35)</f>
        <v>4121.01</v>
      </c>
      <c r="E35" s="40" t="n">
        <f aca="false">IFERROR(D35/B35,0)</f>
        <v>18.3973660714286</v>
      </c>
      <c r="F35" s="47" t="n">
        <f aca="false">IFERROR(AVERAGEIFS(Trades!$Y$2:$Y$1146,Trades!$I$2:$I$1146,$A35),0)</f>
        <v>0.288186662530038</v>
      </c>
      <c r="G35" s="48" t="n">
        <f aca="false">IFERROR(SUMIFS(Trades!$X$2:$X$1146,Trades!$I$2:$I$1146,$A35,Trades!$X$2:$X$1146,"&gt;0")/-SUMIFS(Trades!$X$2:$X$1146,Trades!$I$2:$I$1146,$A35,Trades!$X$2:$X$1146,"&lt;0"),"-")</f>
        <v>1.46233665116947</v>
      </c>
      <c r="H35" s="2"/>
    </row>
    <row r="36" customFormat="false" ht="15" hidden="false" customHeight="false" outlineLevel="0" collapsed="false">
      <c r="A36" s="2" t="n">
        <v>2</v>
      </c>
      <c r="B36" s="2" t="n">
        <f aca="false">COUNTIFS(Trades!$I$2:$I$1146,$A36)</f>
        <v>65</v>
      </c>
      <c r="C36" s="41" t="n">
        <f aca="false">IFERROR(COUNTIFS(Trades!$I$2:$I$1146,$A36,Trades!$Z$2:$Z$1146,"Win")/B36,0)</f>
        <v>0.292307692307692</v>
      </c>
      <c r="D36" s="40" t="n">
        <f aca="false">SUMIFS(Trades!$X$2:$X$1146,Trades!$I$2:$I$1146,$A36)</f>
        <v>661.32</v>
      </c>
      <c r="E36" s="40" t="n">
        <f aca="false">IFERROR(D36/B36,0)</f>
        <v>10.1741538461538</v>
      </c>
      <c r="F36" s="47" t="n">
        <f aca="false">IFERROR(AVERAGEIFS(Trades!$Y$2:$Y$1146,Trades!$I$2:$I$1146,$A36),0)</f>
        <v>0.21246005446986</v>
      </c>
      <c r="G36" s="48" t="n">
        <f aca="false">IFERROR(SUMIFS(Trades!$X$2:$X$1146,Trades!$I$2:$I$1146,$A36,Trades!$X$2:$X$1146,"&gt;0")/-SUMIFS(Trades!$X$2:$X$1146,Trades!$I$2:$I$1146,$A36,Trades!$X$2:$X$1146,"&lt;0"),"-")</f>
        <v>1.75411368949199</v>
      </c>
      <c r="H36" s="2"/>
    </row>
    <row r="37" customFormat="false" ht="15" hidden="false" customHeight="false" outlineLevel="0" collapsed="false">
      <c r="A37" s="2" t="n">
        <v>3</v>
      </c>
      <c r="B37" s="2" t="n">
        <f aca="false">COUNTIFS(Trades!$I$2:$I$1146,$A37)</f>
        <v>64</v>
      </c>
      <c r="C37" s="41" t="n">
        <f aca="false">IFERROR(COUNTIFS(Trades!$I$2:$I$1146,$A37,Trades!$Z$2:$Z$1146,"Win")/B37,0)</f>
        <v>0.3125</v>
      </c>
      <c r="D37" s="40" t="n">
        <f aca="false">SUMIFS(Trades!$X$2:$X$1146,Trades!$I$2:$I$1146,$A37)</f>
        <v>773.71</v>
      </c>
      <c r="E37" s="40" t="n">
        <f aca="false">IFERROR(D37/B37,0)</f>
        <v>12.08921875</v>
      </c>
      <c r="F37" s="47" t="n">
        <f aca="false">IFERROR(AVERAGEIFS(Trades!$Y$2:$Y$1146,Trades!$I$2:$I$1146,$A37),0)</f>
        <v>0.413882730669295</v>
      </c>
      <c r="G37" s="48" t="n">
        <f aca="false">IFERROR(SUMIFS(Trades!$X$2:$X$1146,Trades!$I$2:$I$1146,$A37,Trades!$X$2:$X$1146,"&gt;0")/-SUMIFS(Trades!$X$2:$X$1146,Trades!$I$2:$I$1146,$A37,Trades!$X$2:$X$1146,"&lt;0"),"-")</f>
        <v>1.81418303886182</v>
      </c>
      <c r="H37" s="2"/>
    </row>
    <row r="38" customFormat="false" ht="15" hidden="false" customHeight="false" outlineLevel="0" collapsed="false">
      <c r="A38" s="2" t="n">
        <v>4</v>
      </c>
      <c r="B38" s="2" t="n">
        <f aca="false">COUNTIFS(Trades!$I$2:$I$1146,$A38)</f>
        <v>34</v>
      </c>
      <c r="C38" s="41" t="n">
        <f aca="false">IFERROR(COUNTIFS(Trades!$I$2:$I$1146,$A38,Trades!$Z$2:$Z$1146,"Win")/B38,0)</f>
        <v>0.235294117647059</v>
      </c>
      <c r="D38" s="40" t="n">
        <f aca="false">SUMIFS(Trades!$X$2:$X$1146,Trades!$I$2:$I$1146,$A38)</f>
        <v>-71.67</v>
      </c>
      <c r="E38" s="40" t="n">
        <f aca="false">IFERROR(D38/B38,0)</f>
        <v>-2.10794117647059</v>
      </c>
      <c r="F38" s="47" t="n">
        <f aca="false">IFERROR(AVERAGEIFS(Trades!$Y$2:$Y$1146,Trades!$I$2:$I$1146,$A38),0)</f>
        <v>0.0954658268048867</v>
      </c>
      <c r="G38" s="48" t="n">
        <f aca="false">IFERROR(SUMIFS(Trades!$X$2:$X$1146,Trades!$I$2:$I$1146,$A38,Trades!$X$2:$X$1146,"&gt;0")/-SUMIFS(Trades!$X$2:$X$1146,Trades!$I$2:$I$1146,$A38,Trades!$X$2:$X$1146,"&lt;0"),"-")</f>
        <v>0.883374286039738</v>
      </c>
      <c r="H38" s="2"/>
    </row>
    <row r="39" customFormat="false" ht="15" hidden="false" customHeight="false" outlineLevel="0" collapsed="false">
      <c r="A39" s="2" t="n">
        <v>5</v>
      </c>
      <c r="B39" s="2" t="n">
        <f aca="false">COUNTIFS(Trades!$I$2:$I$1146,$A39)</f>
        <v>31</v>
      </c>
      <c r="C39" s="41" t="n">
        <f aca="false">IFERROR(COUNTIFS(Trades!$I$2:$I$1146,$A39,Trades!$Z$2:$Z$1146,"Win")/B39,0)</f>
        <v>0.193548387096774</v>
      </c>
      <c r="D39" s="40" t="n">
        <f aca="false">SUMIFS(Trades!$X$2:$X$1146,Trades!$I$2:$I$1146,$A39)</f>
        <v>134.83</v>
      </c>
      <c r="E39" s="40" t="n">
        <f aca="false">IFERROR(D39/B39,0)</f>
        <v>4.34935483870968</v>
      </c>
      <c r="F39" s="47" t="n">
        <f aca="false">IFERROR(AVERAGEIFS(Trades!$Y$2:$Y$1146,Trades!$I$2:$I$1146,$A39),0)</f>
        <v>-0.110901861313526</v>
      </c>
      <c r="G39" s="48" t="n">
        <f aca="false">IFERROR(SUMIFS(Trades!$X$2:$X$1146,Trades!$I$2:$I$1146,$A39,Trades!$X$2:$X$1146,"&gt;0")/-SUMIFS(Trades!$X$2:$X$1146,Trades!$I$2:$I$1146,$A39,Trades!$X$2:$X$1146,"&lt;0"),"-")</f>
        <v>1.27141333011253</v>
      </c>
      <c r="H39" s="2"/>
    </row>
    <row r="40" customFormat="false" ht="15" hidden="false" customHeight="false" outlineLevel="0" collapsed="false">
      <c r="A40" s="2" t="n">
        <v>6</v>
      </c>
      <c r="B40" s="2" t="n">
        <f aca="false">COUNTIFS(Trades!$I$2:$I$1146,$A40)</f>
        <v>19</v>
      </c>
      <c r="C40" s="41" t="n">
        <f aca="false">IFERROR(COUNTIFS(Trades!$I$2:$I$1146,$A40,Trades!$Z$2:$Z$1146,"Win")/B40,0)</f>
        <v>0.157894736842105</v>
      </c>
      <c r="D40" s="40" t="n">
        <f aca="false">SUMIFS(Trades!$X$2:$X$1146,Trades!$I$2:$I$1146,$A40)</f>
        <v>-170.86</v>
      </c>
      <c r="E40" s="40" t="n">
        <f aca="false">IFERROR(D40/B40,0)</f>
        <v>-8.99263157894737</v>
      </c>
      <c r="F40" s="47" t="n">
        <f aca="false">IFERROR(AVERAGEIFS(Trades!$Y$2:$Y$1146,Trades!$I$2:$I$1146,$A40),0)</f>
        <v>-0.238997082398161</v>
      </c>
      <c r="G40" s="48" t="n">
        <f aca="false">IFERROR(SUMIFS(Trades!$X$2:$X$1146,Trades!$I$2:$I$1146,$A40,Trades!$X$2:$X$1146,"&gt;0")/-SUMIFS(Trades!$X$2:$X$1146,Trades!$I$2:$I$1146,$A40,Trades!$X$2:$X$1146,"&lt;0"),"-")</f>
        <v>0.529285360074935</v>
      </c>
      <c r="H40" s="2"/>
    </row>
    <row r="41" customFormat="false" ht="15" hidden="false" customHeight="false" outlineLevel="0" collapsed="false">
      <c r="A41" s="2" t="n">
        <v>7</v>
      </c>
      <c r="B41" s="2" t="n">
        <f aca="false">COUNTIFS(Trades!$I$2:$I$1146,$A41)</f>
        <v>14</v>
      </c>
      <c r="C41" s="41" t="n">
        <f aca="false">IFERROR(COUNTIFS(Trades!$I$2:$I$1146,$A41,Trades!$Z$2:$Z$1146,"Win")/B41,0)</f>
        <v>0.214285714285714</v>
      </c>
      <c r="D41" s="40" t="n">
        <f aca="false">SUMIFS(Trades!$X$2:$X$1146,Trades!$I$2:$I$1146,$A41)</f>
        <v>-106.32</v>
      </c>
      <c r="E41" s="40" t="n">
        <f aca="false">IFERROR(D41/B41,0)</f>
        <v>-7.59428571428572</v>
      </c>
      <c r="F41" s="47" t="n">
        <f aca="false">IFERROR(AVERAGEIFS(Trades!$Y$2:$Y$1146,Trades!$I$2:$I$1146,$A41),0)</f>
        <v>0.0742657003778119</v>
      </c>
      <c r="G41" s="48" t="n">
        <f aca="false">IFERROR(SUMIFS(Trades!$X$2:$X$1146,Trades!$I$2:$I$1146,$A41,Trades!$X$2:$X$1146,"&gt;0")/-SUMIFS(Trades!$X$2:$X$1146,Trades!$I$2:$I$1146,$A41,Trades!$X$2:$X$1146,"&lt;0"),"-")</f>
        <v>0.475532754538279</v>
      </c>
      <c r="H41" s="2"/>
    </row>
    <row r="42" customFormat="false" ht="15" hidden="false" customHeight="false" outlineLevel="0" collapsed="false">
      <c r="A42" s="2" t="n">
        <v>8</v>
      </c>
      <c r="B42" s="2" t="n">
        <f aca="false">COUNTIFS(Trades!$I$2:$I$1146,$A42)</f>
        <v>21</v>
      </c>
      <c r="C42" s="41" t="n">
        <f aca="false">IFERROR(COUNTIFS(Trades!$I$2:$I$1146,$A42,Trades!$Z$2:$Z$1146,"Win")/B42,0)</f>
        <v>0.333333333333333</v>
      </c>
      <c r="D42" s="40" t="n">
        <f aca="false">SUMIFS(Trades!$X$2:$X$1146,Trades!$I$2:$I$1146,$A42)</f>
        <v>290.68</v>
      </c>
      <c r="E42" s="40" t="n">
        <f aca="false">IFERROR(D42/B42,0)</f>
        <v>13.8419047619048</v>
      </c>
      <c r="F42" s="47" t="n">
        <f aca="false">IFERROR(AVERAGEIFS(Trades!$Y$2:$Y$1146,Trades!$I$2:$I$1146,$A42),0)</f>
        <v>0.359591046030297</v>
      </c>
      <c r="G42" s="48" t="n">
        <f aca="false">IFERROR(SUMIFS(Trades!$X$2:$X$1146,Trades!$I$2:$I$1146,$A42,Trades!$X$2:$X$1146,"&gt;0")/-SUMIFS(Trades!$X$2:$X$1146,Trades!$I$2:$I$1146,$A42,Trades!$X$2:$X$1146,"&lt;0"),"-")</f>
        <v>2.35168565449895</v>
      </c>
      <c r="H42" s="2"/>
    </row>
    <row r="43" customFormat="false" ht="15" hidden="false" customHeight="false" outlineLevel="0" collapsed="false">
      <c r="A43" s="2" t="n">
        <v>9</v>
      </c>
      <c r="B43" s="2" t="n">
        <f aca="false">COUNTIFS(Trades!$I$2:$I$1146,$A43)</f>
        <v>36</v>
      </c>
      <c r="C43" s="41" t="n">
        <f aca="false">IFERROR(COUNTIFS(Trades!$I$2:$I$1146,$A43,Trades!$Z$2:$Z$1146,"Win")/B43,0)</f>
        <v>0.388888888888889</v>
      </c>
      <c r="D43" s="40" t="n">
        <f aca="false">SUMIFS(Trades!$X$2:$X$1146,Trades!$I$2:$I$1146,$A43)</f>
        <v>539.25</v>
      </c>
      <c r="E43" s="40" t="n">
        <f aca="false">IFERROR(D43/B43,0)</f>
        <v>14.9791666666667</v>
      </c>
      <c r="F43" s="47" t="n">
        <f aca="false">IFERROR(AVERAGEIFS(Trades!$Y$2:$Y$1146,Trades!$I$2:$I$1146,$A43),0)</f>
        <v>0.600942371200269</v>
      </c>
      <c r="G43" s="48" t="n">
        <f aca="false">IFERROR(SUMIFS(Trades!$X$2:$X$1146,Trades!$I$2:$I$1146,$A43,Trades!$X$2:$X$1146,"&gt;0")/-SUMIFS(Trades!$X$2:$X$1146,Trades!$I$2:$I$1146,$A43,Trades!$X$2:$X$1146,"&lt;0"),"-")</f>
        <v>2.2297044604579</v>
      </c>
      <c r="H43" s="2"/>
    </row>
    <row r="44" customFormat="false" ht="15" hidden="false" customHeight="false" outlineLevel="0" collapsed="false">
      <c r="A44" s="2" t="n">
        <v>10</v>
      </c>
      <c r="B44" s="2" t="n">
        <f aca="false">COUNTIFS(Trades!$I$2:$I$1146,$A44)</f>
        <v>52</v>
      </c>
      <c r="C44" s="41" t="n">
        <f aca="false">IFERROR(COUNTIFS(Trades!$I$2:$I$1146,$A44,Trades!$Z$2:$Z$1146,"Win")/B44,0)</f>
        <v>0.25</v>
      </c>
      <c r="D44" s="40" t="n">
        <f aca="false">SUMIFS(Trades!$X$2:$X$1146,Trades!$I$2:$I$1146,$A44)</f>
        <v>233.19</v>
      </c>
      <c r="E44" s="40" t="n">
        <f aca="false">IFERROR(D44/B44,0)</f>
        <v>4.48442307692308</v>
      </c>
      <c r="F44" s="47" t="n">
        <f aca="false">IFERROR(AVERAGEIFS(Trades!$Y$2:$Y$1146,Trades!$I$2:$I$1146,$A44),0)</f>
        <v>0.132334705795716</v>
      </c>
      <c r="G44" s="48" t="n">
        <f aca="false">IFERROR(SUMIFS(Trades!$X$2:$X$1146,Trades!$I$2:$I$1146,$A44,Trades!$X$2:$X$1146,"&gt;0")/-SUMIFS(Trades!$X$2:$X$1146,Trades!$I$2:$I$1146,$A44,Trades!$X$2:$X$1146,"&lt;0"),"-")</f>
        <v>1.25564033414458</v>
      </c>
      <c r="H44" s="2"/>
    </row>
    <row r="45" customFormat="false" ht="15" hidden="false" customHeight="false" outlineLevel="0" collapsed="false">
      <c r="A45" s="2" t="n">
        <v>11</v>
      </c>
      <c r="B45" s="2" t="n">
        <f aca="false">COUNTIFS(Trades!$I$2:$I$1146,$A45)</f>
        <v>43</v>
      </c>
      <c r="C45" s="41" t="n">
        <f aca="false">IFERROR(COUNTIFS(Trades!$I$2:$I$1146,$A45,Trades!$Z$2:$Z$1146,"Win")/B45,0)</f>
        <v>0.209302325581395</v>
      </c>
      <c r="D45" s="40" t="n">
        <f aca="false">SUMIFS(Trades!$X$2:$X$1146,Trades!$I$2:$I$1146,$A45)</f>
        <v>274.02</v>
      </c>
      <c r="E45" s="40" t="n">
        <f aca="false">IFERROR(D45/B45,0)</f>
        <v>6.37255813953488</v>
      </c>
      <c r="F45" s="47" t="n">
        <f aca="false">IFERROR(AVERAGEIFS(Trades!$Y$2:$Y$1146,Trades!$I$2:$I$1146,$A45),0)</f>
        <v>-0.0211120672752471</v>
      </c>
      <c r="G45" s="48" t="n">
        <f aca="false">IFERROR(SUMIFS(Trades!$X$2:$X$1146,Trades!$I$2:$I$1146,$A45,Trades!$X$2:$X$1146,"&gt;0")/-SUMIFS(Trades!$X$2:$X$1146,Trades!$I$2:$I$1146,$A45,Trades!$X$2:$X$1146,"&lt;0"),"-")</f>
        <v>1.38027699908407</v>
      </c>
      <c r="H45" s="2"/>
    </row>
    <row r="46" customFormat="false" ht="15" hidden="false" customHeight="false" outlineLevel="0" collapsed="false">
      <c r="A46" s="2" t="n">
        <v>12</v>
      </c>
      <c r="B46" s="2" t="n">
        <f aca="false">COUNTIFS(Trades!$I$2:$I$1146,$A46)</f>
        <v>19</v>
      </c>
      <c r="C46" s="41" t="n">
        <f aca="false">IFERROR(COUNTIFS(Trades!$I$2:$I$1146,$A46,Trades!$Z$2:$Z$1146,"Win")/B46,0)</f>
        <v>0.526315789473684</v>
      </c>
      <c r="D46" s="40" t="n">
        <f aca="false">SUMIFS(Trades!$X$2:$X$1146,Trades!$I$2:$I$1146,$A46)</f>
        <v>705.93</v>
      </c>
      <c r="E46" s="40" t="n">
        <f aca="false">IFERROR(D46/B46,0)</f>
        <v>37.1542105263158</v>
      </c>
      <c r="F46" s="47" t="n">
        <f aca="false">IFERROR(AVERAGEIFS(Trades!$Y$2:$Y$1146,Trades!$I$2:$I$1146,$A46),0)</f>
        <v>1.07963057177562</v>
      </c>
      <c r="G46" s="48" t="n">
        <f aca="false">IFERROR(SUMIFS(Trades!$X$2:$X$1146,Trades!$I$2:$I$1146,$A46,Trades!$X$2:$X$1146,"&gt;0")/-SUMIFS(Trades!$X$2:$X$1146,Trades!$I$2:$I$1146,$A46,Trades!$X$2:$X$1146,"&lt;0"),"-")</f>
        <v>5.6439707913953</v>
      </c>
      <c r="H46" s="2"/>
    </row>
    <row r="47" customFormat="false" ht="15" hidden="false" customHeight="false" outlineLevel="0" collapsed="false">
      <c r="A47" s="2" t="n">
        <v>13</v>
      </c>
      <c r="B47" s="2" t="n">
        <f aca="false">COUNTIFS(Trades!$I$2:$I$1146,$A47)</f>
        <v>15</v>
      </c>
      <c r="C47" s="41" t="n">
        <f aca="false">IFERROR(COUNTIFS(Trades!$I$2:$I$1146,$A47,Trades!$Z$2:$Z$1146,"Win")/B47,0)</f>
        <v>0.266666666666667</v>
      </c>
      <c r="D47" s="40" t="n">
        <f aca="false">SUMIFS(Trades!$X$2:$X$1146,Trades!$I$2:$I$1146,$A47)</f>
        <v>147.91</v>
      </c>
      <c r="E47" s="40" t="n">
        <f aca="false">IFERROR(D47/B47,0)</f>
        <v>9.86066666666667</v>
      </c>
      <c r="F47" s="47" t="n">
        <f aca="false">IFERROR(AVERAGEIFS(Trades!$Y$2:$Y$1146,Trades!$I$2:$I$1146,$A47),0)</f>
        <v>0.300020199457524</v>
      </c>
      <c r="G47" s="48" t="n">
        <f aca="false">IFERROR(SUMIFS(Trades!$X$2:$X$1146,Trades!$I$2:$I$1146,$A47,Trades!$X$2:$X$1146,"&gt;0")/-SUMIFS(Trades!$X$2:$X$1146,Trades!$I$2:$I$1146,$A47,Trades!$X$2:$X$1146,"&lt;0"),"-")</f>
        <v>1.80451454990481</v>
      </c>
      <c r="H47" s="2"/>
    </row>
    <row r="48" customFormat="false" ht="15" hidden="false" customHeight="false" outlineLevel="0" collapsed="false">
      <c r="A48" s="2" t="n">
        <v>14</v>
      </c>
      <c r="B48" s="2" t="n">
        <f aca="false">COUNTIFS(Trades!$I$2:$I$1146,$A48)</f>
        <v>36</v>
      </c>
      <c r="C48" s="41" t="n">
        <f aca="false">IFERROR(COUNTIFS(Trades!$I$2:$I$1146,$A48,Trades!$Z$2:$Z$1146,"Win")/B48,0)</f>
        <v>0.305555555555556</v>
      </c>
      <c r="D48" s="40" t="n">
        <f aca="false">SUMIFS(Trades!$X$2:$X$1146,Trades!$I$2:$I$1146,$A48)</f>
        <v>127.96</v>
      </c>
      <c r="E48" s="40" t="n">
        <f aca="false">IFERROR(D48/B48,0)</f>
        <v>3.55444444444444</v>
      </c>
      <c r="F48" s="47" t="n">
        <f aca="false">IFERROR(AVERAGEIFS(Trades!$Y$2:$Y$1146,Trades!$I$2:$I$1146,$A48),0)</f>
        <v>0.271057313155471</v>
      </c>
      <c r="G48" s="48" t="n">
        <f aca="false">IFERROR(SUMIFS(Trades!$X$2:$X$1146,Trades!$I$2:$I$1146,$A48,Trades!$X$2:$X$1146,"&gt;0")/-SUMIFS(Trades!$X$2:$X$1146,Trades!$I$2:$I$1146,$A48,Trades!$X$2:$X$1146,"&lt;0"),"-")</f>
        <v>1.13846536742666</v>
      </c>
      <c r="H48" s="2"/>
    </row>
    <row r="49" customFormat="false" ht="15" hidden="false" customHeight="false" outlineLevel="0" collapsed="false">
      <c r="A49" s="2" t="n">
        <v>15</v>
      </c>
      <c r="B49" s="2" t="n">
        <f aca="false">COUNTIFS(Trades!$I$2:$I$1146,$A49)</f>
        <v>68</v>
      </c>
      <c r="C49" s="41" t="n">
        <f aca="false">IFERROR(COUNTIFS(Trades!$I$2:$I$1146,$A49,Trades!$Z$2:$Z$1146,"Win")/B49,0)</f>
        <v>0.264705882352941</v>
      </c>
      <c r="D49" s="40" t="n">
        <f aca="false">SUMIFS(Trades!$X$2:$X$1146,Trades!$I$2:$I$1146,$A49)</f>
        <v>954.07</v>
      </c>
      <c r="E49" s="40" t="n">
        <f aca="false">IFERROR(D49/B49,0)</f>
        <v>14.0304411764706</v>
      </c>
      <c r="F49" s="47" t="n">
        <f aca="false">IFERROR(AVERAGEIFS(Trades!$Y$2:$Y$1146,Trades!$I$2:$I$1146,$A49),0)</f>
        <v>0.135747468846068</v>
      </c>
      <c r="G49" s="48" t="n">
        <f aca="false">IFERROR(SUMIFS(Trades!$X$2:$X$1146,Trades!$I$2:$I$1146,$A49,Trades!$X$2:$X$1146,"&gt;0")/-SUMIFS(Trades!$X$2:$X$1146,Trades!$I$2:$I$1146,$A49,Trades!$X$2:$X$1146,"&lt;0"),"-")</f>
        <v>1.28539762784367</v>
      </c>
      <c r="H49" s="2"/>
    </row>
    <row r="50" customFormat="false" ht="15" hidden="false" customHeight="false" outlineLevel="0" collapsed="false">
      <c r="A50" s="2" t="n">
        <v>16</v>
      </c>
      <c r="B50" s="2" t="n">
        <f aca="false">COUNTIFS(Trades!$I$2:$I$1146,$A50)</f>
        <v>137</v>
      </c>
      <c r="C50" s="41" t="n">
        <f aca="false">IFERROR(COUNTIFS(Trades!$I$2:$I$1146,$A50,Trades!$Z$2:$Z$1146,"Win")/B50,0)</f>
        <v>0.321167883211679</v>
      </c>
      <c r="D50" s="40" t="n">
        <f aca="false">SUMIFS(Trades!$X$2:$X$1146,Trades!$I$2:$I$1146,$A50)</f>
        <v>3838.77</v>
      </c>
      <c r="E50" s="40" t="n">
        <f aca="false">IFERROR(D50/B50,0)</f>
        <v>28.0202189781022</v>
      </c>
      <c r="F50" s="47" t="n">
        <f aca="false">IFERROR(AVERAGEIFS(Trades!$Y$2:$Y$1146,Trades!$I$2:$I$1146,$A50),0)</f>
        <v>0.396767009626649</v>
      </c>
      <c r="G50" s="48" t="n">
        <f aca="false">IFERROR(SUMIFS(Trades!$X$2:$X$1146,Trades!$I$2:$I$1146,$A50,Trades!$X$2:$X$1146,"&gt;0")/-SUMIFS(Trades!$X$2:$X$1146,Trades!$I$2:$I$1146,$A50,Trades!$X$2:$X$1146,"&lt;0"),"-")</f>
        <v>2.02393412713655</v>
      </c>
      <c r="H50" s="2"/>
    </row>
    <row r="51" customFormat="false" ht="15" hidden="false" customHeight="false" outlineLevel="0" collapsed="false">
      <c r="A51" s="2" t="n">
        <v>17</v>
      </c>
      <c r="B51" s="2" t="n">
        <f aca="false">COUNTIFS(Trades!$I$2:$I$1146,$A51)</f>
        <v>93</v>
      </c>
      <c r="C51" s="41" t="n">
        <f aca="false">IFERROR(COUNTIFS(Trades!$I$2:$I$1146,$A51,Trades!$Z$2:$Z$1146,"Win")/B51,0)</f>
        <v>0.268817204301075</v>
      </c>
      <c r="D51" s="40" t="n">
        <f aca="false">SUMIFS(Trades!$X$2:$X$1146,Trades!$I$2:$I$1146,$A51)</f>
        <v>2487.22</v>
      </c>
      <c r="E51" s="40" t="n">
        <f aca="false">IFERROR(D51/B51,0)</f>
        <v>26.7443010752688</v>
      </c>
      <c r="F51" s="47" t="n">
        <f aca="false">IFERROR(AVERAGEIFS(Trades!$Y$2:$Y$1146,Trades!$I$2:$I$1146,$A51),0)</f>
        <v>0.222261588848339</v>
      </c>
      <c r="G51" s="48" t="n">
        <f aca="false">IFERROR(SUMIFS(Trades!$X$2:$X$1146,Trades!$I$2:$I$1146,$A51,Trades!$X$2:$X$1146,"&gt;0")/-SUMIFS(Trades!$X$2:$X$1146,Trades!$I$2:$I$1146,$A51,Trades!$X$2:$X$1146,"&lt;0"),"-")</f>
        <v>1.83389603205203</v>
      </c>
      <c r="H51" s="2"/>
    </row>
    <row r="52" customFormat="false" ht="15" hidden="false" customHeight="false" outlineLevel="0" collapsed="false">
      <c r="A52" s="2" t="n">
        <v>18</v>
      </c>
      <c r="B52" s="2" t="n">
        <f aca="false">COUNTIFS(Trades!$I$2:$I$1146,$A52)</f>
        <v>45</v>
      </c>
      <c r="C52" s="41" t="n">
        <f aca="false">IFERROR(COUNTIFS(Trades!$I$2:$I$1146,$A52,Trades!$Z$2:$Z$1146,"Win")/B52,0)</f>
        <v>0.155555555555556</v>
      </c>
      <c r="D52" s="40" t="n">
        <f aca="false">SUMIFS(Trades!$X$2:$X$1146,Trades!$I$2:$I$1146,$A52)</f>
        <v>-232.66</v>
      </c>
      <c r="E52" s="40" t="n">
        <f aca="false">IFERROR(D52/B52,0)</f>
        <v>-5.17022222222222</v>
      </c>
      <c r="F52" s="47" t="n">
        <f aca="false">IFERROR(AVERAGEIFS(Trades!$Y$2:$Y$1146,Trades!$I$2:$I$1146,$A52),0)</f>
        <v>-0.199867627933934</v>
      </c>
      <c r="G52" s="48" t="n">
        <f aca="false">IFERROR(SUMIFS(Trades!$X$2:$X$1146,Trades!$I$2:$I$1146,$A52,Trades!$X$2:$X$1146,"&gt;0")/-SUMIFS(Trades!$X$2:$X$1146,Trades!$I$2:$I$1146,$A52,Trades!$X$2:$X$1146,"&lt;0"),"-")</f>
        <v>0.834458714290797</v>
      </c>
      <c r="H52" s="2"/>
    </row>
    <row r="53" customFormat="false" ht="15" hidden="false" customHeight="false" outlineLevel="0" collapsed="false">
      <c r="A53" s="2" t="n">
        <v>19</v>
      </c>
      <c r="B53" s="2" t="n">
        <f aca="false">COUNTIFS(Trades!$I$2:$I$1146,$A53)</f>
        <v>32</v>
      </c>
      <c r="C53" s="41" t="n">
        <f aca="false">IFERROR(COUNTIFS(Trades!$I$2:$I$1146,$A53,Trades!$Z$2:$Z$1146,"Win")/B53,0)</f>
        <v>0.15625</v>
      </c>
      <c r="D53" s="40" t="n">
        <f aca="false">SUMIFS(Trades!$X$2:$X$1146,Trades!$I$2:$I$1146,$A53)</f>
        <v>-621.98</v>
      </c>
      <c r="E53" s="40" t="n">
        <f aca="false">IFERROR(D53/B53,0)</f>
        <v>-19.436875</v>
      </c>
      <c r="F53" s="47" t="n">
        <f aca="false">IFERROR(AVERAGEIFS(Trades!$Y$2:$Y$1146,Trades!$I$2:$I$1146,$A53),0)</f>
        <v>-0.211665500317211</v>
      </c>
      <c r="G53" s="48" t="n">
        <f aca="false">IFERROR(SUMIFS(Trades!$X$2:$X$1146,Trades!$I$2:$I$1146,$A53,Trades!$X$2:$X$1146,"&gt;0")/-SUMIFS(Trades!$X$2:$X$1146,Trades!$I$2:$I$1146,$A53,Trades!$X$2:$X$1146,"&lt;0"),"-")</f>
        <v>0.483915399231656</v>
      </c>
      <c r="H53" s="2"/>
    </row>
    <row r="54" customFormat="false" ht="15" hidden="false" customHeight="false" outlineLevel="0" collapsed="false">
      <c r="A54" s="2" t="n">
        <v>20</v>
      </c>
      <c r="B54" s="2" t="n">
        <f aca="false">COUNTIFS(Trades!$I$2:$I$1146,$A54)</f>
        <v>29</v>
      </c>
      <c r="C54" s="41" t="n">
        <f aca="false">IFERROR(COUNTIFS(Trades!$I$2:$I$1146,$A54,Trades!$Z$2:$Z$1146,"Win")/B54,0)</f>
        <v>0.241379310344828</v>
      </c>
      <c r="D54" s="40" t="n">
        <f aca="false">SUMIFS(Trades!$X$2:$X$1146,Trades!$I$2:$I$1146,$A54)</f>
        <v>1406.51</v>
      </c>
      <c r="E54" s="40" t="n">
        <f aca="false">IFERROR(D54/B54,0)</f>
        <v>48.5003448275862</v>
      </c>
      <c r="F54" s="47" t="n">
        <f aca="false">IFERROR(AVERAGEIFS(Trades!$Y$2:$Y$1146,Trades!$I$2:$I$1146,$A54),0)</f>
        <v>0.140930767012496</v>
      </c>
      <c r="G54" s="48" t="n">
        <f aca="false">IFERROR(SUMIFS(Trades!$X$2:$X$1146,Trades!$I$2:$I$1146,$A54,Trades!$X$2:$X$1146,"&gt;0")/-SUMIFS(Trades!$X$2:$X$1146,Trades!$I$2:$I$1146,$A54,Trades!$X$2:$X$1146,"&lt;0"),"-")</f>
        <v>2.73933098373833</v>
      </c>
      <c r="H54" s="2"/>
    </row>
    <row r="55" customFormat="false" ht="15" hidden="false" customHeight="false" outlineLevel="0" collapsed="false">
      <c r="A55" s="2" t="n">
        <v>21</v>
      </c>
      <c r="B55" s="2" t="n">
        <f aca="false">COUNTIFS(Trades!$I$2:$I$1146,$A55)</f>
        <v>31</v>
      </c>
      <c r="C55" s="41" t="n">
        <f aca="false">IFERROR(COUNTIFS(Trades!$I$2:$I$1146,$A55,Trades!$Z$2:$Z$1146,"Win")/B55,0)</f>
        <v>0.193548387096774</v>
      </c>
      <c r="D55" s="40" t="n">
        <f aca="false">SUMIFS(Trades!$X$2:$X$1146,Trades!$I$2:$I$1146,$A55)</f>
        <v>-514.19</v>
      </c>
      <c r="E55" s="40" t="n">
        <f aca="false">IFERROR(D55/B55,0)</f>
        <v>-16.5867741935484</v>
      </c>
      <c r="F55" s="47" t="n">
        <f aca="false">IFERROR(AVERAGEIFS(Trades!$Y$2:$Y$1146,Trades!$I$2:$I$1146,$A55),0)</f>
        <v>-0.0918759285357204</v>
      </c>
      <c r="G55" s="48" t="n">
        <f aca="false">IFERROR(SUMIFS(Trades!$X$2:$X$1146,Trades!$I$2:$I$1146,$A55,Trades!$X$2:$X$1146,"&gt;0")/-SUMIFS(Trades!$X$2:$X$1146,Trades!$I$2:$I$1146,$A55,Trades!$X$2:$X$1146,"&lt;0"),"-")</f>
        <v>0.63789181613955</v>
      </c>
      <c r="H55" s="2"/>
    </row>
    <row r="56" customFormat="false" ht="15" hidden="false" customHeight="false" outlineLevel="0" collapsed="false">
      <c r="A56" s="2" t="n">
        <v>22</v>
      </c>
      <c r="B56" s="2" t="n">
        <f aca="false">COUNTIFS(Trades!$I$2:$I$1146,$A56)</f>
        <v>26</v>
      </c>
      <c r="C56" s="41" t="n">
        <f aca="false">IFERROR(COUNTIFS(Trades!$I$2:$I$1146,$A56,Trades!$Z$2:$Z$1146,"Win")/B56,0)</f>
        <v>0.192307692307692</v>
      </c>
      <c r="D56" s="40" t="n">
        <f aca="false">SUMIFS(Trades!$X$2:$X$1146,Trades!$I$2:$I$1146,$A56)</f>
        <v>-85.31</v>
      </c>
      <c r="E56" s="40" t="n">
        <f aca="false">IFERROR(D56/B56,0)</f>
        <v>-3.28115384615385</v>
      </c>
      <c r="F56" s="47" t="n">
        <f aca="false">IFERROR(AVERAGEIFS(Trades!$Y$2:$Y$1146,Trades!$I$2:$I$1146,$A56),0)</f>
        <v>-0.11868584849718</v>
      </c>
      <c r="G56" s="48" t="n">
        <f aca="false">IFERROR(SUMIFS(Trades!$X$2:$X$1146,Trades!$I$2:$I$1146,$A56,Trades!$X$2:$X$1146,"&gt;0")/-SUMIFS(Trades!$X$2:$X$1146,Trades!$I$2:$I$1146,$A56,Trades!$X$2:$X$1146,"&lt;0"),"-")</f>
        <v>0.900079645810396</v>
      </c>
      <c r="H56" s="2"/>
    </row>
    <row r="57" customFormat="false" ht="15" hidden="false" customHeight="false" outlineLevel="0" collapsed="false">
      <c r="A57" s="2" t="n">
        <v>23</v>
      </c>
      <c r="B57" s="2" t="n">
        <f aca="false">COUNTIFS(Trades!$I$2:$I$1146,$A57)</f>
        <v>11</v>
      </c>
      <c r="C57" s="41" t="n">
        <f aca="false">IFERROR(COUNTIFS(Trades!$I$2:$I$1146,$A57,Trades!$Z$2:$Z$1146,"Win")/B57,0)</f>
        <v>0.272727272727273</v>
      </c>
      <c r="D57" s="40" t="n">
        <f aca="false">SUMIFS(Trades!$X$2:$X$1146,Trades!$I$2:$I$1146,$A57)</f>
        <v>-253.14</v>
      </c>
      <c r="E57" s="40" t="n">
        <f aca="false">IFERROR(D57/B57,0)</f>
        <v>-23.0127272727273</v>
      </c>
      <c r="F57" s="47" t="n">
        <f aca="false">IFERROR(AVERAGEIFS(Trades!$Y$2:$Y$1146,Trades!$I$2:$I$1146,$A57),0)</f>
        <v>0.0281316091895591</v>
      </c>
      <c r="G57" s="48" t="n">
        <f aca="false">IFERROR(SUMIFS(Trades!$X$2:$X$1146,Trades!$I$2:$I$1146,$A57,Trades!$X$2:$X$1146,"&gt;0")/-SUMIFS(Trades!$X$2:$X$1146,Trades!$I$2:$I$1146,$A57,Trades!$X$2:$X$1146,"&lt;0"),"-")</f>
        <v>0.736658136196242</v>
      </c>
      <c r="H57" s="2"/>
    </row>
    <row r="58" customFormat="false" ht="15" hidden="false" customHeight="false" outlineLevel="0" collapsed="false">
      <c r="A58" s="34" t="s">
        <v>263</v>
      </c>
      <c r="B58" s="34" t="n">
        <f aca="false">SUM(B35:B57)</f>
        <v>1145</v>
      </c>
      <c r="C58" s="38"/>
      <c r="D58" s="49" t="n">
        <f aca="false">SUM(D35:D57)</f>
        <v>14640.25</v>
      </c>
      <c r="E58" s="38"/>
      <c r="F58" s="38"/>
      <c r="G58" s="38"/>
      <c r="H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5" hidden="false" customHeight="false" outlineLevel="0" collapsed="false">
      <c r="A60" s="3" t="s">
        <v>277</v>
      </c>
      <c r="B60" s="2"/>
      <c r="C60" s="2"/>
      <c r="D60" s="2"/>
      <c r="E60" s="2"/>
      <c r="F60" s="2"/>
      <c r="G60" s="2"/>
      <c r="H60" s="4" t="s">
        <v>278</v>
      </c>
    </row>
    <row r="61" customFormat="false" ht="31.5" hidden="false" customHeight="true" outlineLevel="0" collapsed="false">
      <c r="A61" s="27" t="s">
        <v>279</v>
      </c>
      <c r="B61" s="27" t="s">
        <v>7</v>
      </c>
      <c r="C61" s="27" t="s">
        <v>62</v>
      </c>
      <c r="D61" s="27" t="s">
        <v>43</v>
      </c>
      <c r="E61" s="27" t="s">
        <v>261</v>
      </c>
      <c r="F61" s="27" t="s">
        <v>262</v>
      </c>
      <c r="G61" s="27" t="s">
        <v>51</v>
      </c>
      <c r="H61" s="2"/>
    </row>
    <row r="62" customFormat="false" ht="15" hidden="false" customHeight="false" outlineLevel="0" collapsed="false">
      <c r="A62" s="2" t="s">
        <v>280</v>
      </c>
      <c r="B62" s="2" t="n">
        <f aca="false">COUNTIFS(Trades!$AB$2:$AB$1146,$A62)</f>
        <v>151</v>
      </c>
      <c r="C62" s="41" t="n">
        <f aca="false">IFERROR(COUNTIFS(Trades!$AB$2:$AB$1146,$A62,Trades!$Z$2:$Z$1146,"Win")/B62,0)</f>
        <v>0.139072847682119</v>
      </c>
      <c r="D62" s="40" t="n">
        <f aca="false">SUMIFS(Trades!$X$2:$X$1146,Trades!$AB$2:$AB$1146,$A62)</f>
        <v>-4191.93</v>
      </c>
      <c r="E62" s="40" t="n">
        <f aca="false">IFERROR(D62/B62,0)</f>
        <v>-27.7611258278146</v>
      </c>
      <c r="F62" s="47" t="n">
        <f aca="false">IFERROR(AVERAGEIFS(Trades!$Y$2:$Y$1146,Trades!$AB$2:$AB$1146,$A62),0)</f>
        <v>-0.497983676582997</v>
      </c>
      <c r="G62" s="48" t="n">
        <f aca="false">IFERROR(SUMIFS(Trades!$X$2:$X$1146,Trades!$AB$2:$AB$1146,$A62,Trades!$X$2:$X$1146,"&gt;0")/-SUMIFS(Trades!$X$2:$X$1146,Trades!$AB$2:$AB$1146,$A62,Trades!$X$2:$X$1146,"&lt;0"),"-")</f>
        <v>0.296384510801148</v>
      </c>
      <c r="H62" s="2"/>
    </row>
    <row r="63" customFormat="false" ht="15" hidden="false" customHeight="false" outlineLevel="0" collapsed="false">
      <c r="A63" s="2" t="s">
        <v>281</v>
      </c>
      <c r="B63" s="2" t="n">
        <f aca="false">COUNTIFS(Trades!$AB$2:$AB$1146,$A63)</f>
        <v>749</v>
      </c>
      <c r="C63" s="41" t="n">
        <f aca="false">IFERROR(COUNTIFS(Trades!$AB$2:$AB$1146,$A63,Trades!$Z$2:$Z$1146,"Win")/B63,0)</f>
        <v>0.259012016021362</v>
      </c>
      <c r="D63" s="40" t="n">
        <f aca="false">SUMIFS(Trades!$X$2:$X$1146,Trades!$AB$2:$AB$1146,$A63)</f>
        <v>2667.52</v>
      </c>
      <c r="E63" s="40" t="n">
        <f aca="false">IFERROR(D63/B63,0)</f>
        <v>3.56144192256342</v>
      </c>
      <c r="F63" s="47" t="n">
        <f aca="false">IFERROR(AVERAGEIFS(Trades!$Y$2:$Y$1146,Trades!$AB$2:$AB$1146,$A63),0)</f>
        <v>0.16161243543758</v>
      </c>
      <c r="G63" s="48" t="n">
        <f aca="false">IFERROR(SUMIFS(Trades!$X$2:$X$1146,Trades!$AB$2:$AB$1146,$A63,Trades!$X$2:$X$1146,"&gt;0")/-SUMIFS(Trades!$X$2:$X$1146,Trades!$AB$2:$AB$1146,$A63,Trades!$X$2:$X$1146,"&lt;0"),"-")</f>
        <v>1.13407473045778</v>
      </c>
      <c r="H63" s="2"/>
    </row>
    <row r="64" customFormat="false" ht="15" hidden="false" customHeight="false" outlineLevel="0" collapsed="false">
      <c r="A64" s="2" t="s">
        <v>282</v>
      </c>
      <c r="B64" s="2" t="n">
        <f aca="false">COUNTIFS(Trades!$AB$2:$AB$1146,$A64)</f>
        <v>188</v>
      </c>
      <c r="C64" s="41" t="n">
        <f aca="false">IFERROR(COUNTIFS(Trades!$AB$2:$AB$1146,$A64,Trades!$Z$2:$Z$1146,"Win")/B64,0)</f>
        <v>0.367021276595745</v>
      </c>
      <c r="D64" s="40" t="n">
        <f aca="false">SUMIFS(Trades!$X$2:$X$1146,Trades!$AB$2:$AB$1146,$A64)</f>
        <v>6417.85</v>
      </c>
      <c r="E64" s="40" t="n">
        <f aca="false">IFERROR(D64/B64,0)</f>
        <v>34.1375</v>
      </c>
      <c r="F64" s="47" t="n">
        <f aca="false">IFERROR(AVERAGEIFS(Trades!$Y$2:$Y$1146,Trades!$AB$2:$AB$1146,$A64),0)</f>
        <v>0.656458223145845</v>
      </c>
      <c r="G64" s="48" t="n">
        <f aca="false">IFERROR(SUMIFS(Trades!$X$2:$X$1146,Trades!$AB$2:$AB$1146,$A64,Trades!$X$2:$X$1146,"&gt;0")/-SUMIFS(Trades!$X$2:$X$1146,Trades!$AB$2:$AB$1146,$A64,Trades!$X$2:$X$1146,"&lt;0"),"-")</f>
        <v>2.39940429076367</v>
      </c>
      <c r="H64" s="2"/>
    </row>
    <row r="65" customFormat="false" ht="15" hidden="false" customHeight="false" outlineLevel="0" collapsed="false">
      <c r="A65" s="2" t="s">
        <v>283</v>
      </c>
      <c r="B65" s="2" t="n">
        <f aca="false">COUNTIFS(Trades!$AB$2:$AB$1146,$A65)</f>
        <v>38</v>
      </c>
      <c r="C65" s="41" t="n">
        <f aca="false">IFERROR(COUNTIFS(Trades!$AB$2:$AB$1146,$A65,Trades!$Z$2:$Z$1146,"Win")/B65,0)</f>
        <v>0.5</v>
      </c>
      <c r="D65" s="40" t="n">
        <f aca="false">SUMIFS(Trades!$X$2:$X$1146,Trades!$AB$2:$AB$1146,$A65)</f>
        <v>5227.22</v>
      </c>
      <c r="E65" s="40" t="n">
        <f aca="false">IFERROR(D65/B65,0)</f>
        <v>137.558421052632</v>
      </c>
      <c r="F65" s="47" t="n">
        <f aca="false">IFERROR(AVERAGEIFS(Trades!$Y$2:$Y$1146,Trades!$AB$2:$AB$1146,$A65),0)</f>
        <v>1.01657953031117</v>
      </c>
      <c r="G65" s="48" t="n">
        <f aca="false">IFERROR(SUMIFS(Trades!$X$2:$X$1146,Trades!$AB$2:$AB$1146,$A65,Trades!$X$2:$X$1146,"&gt;0")/-SUMIFS(Trades!$X$2:$X$1146,Trades!$AB$2:$AB$1146,$A65,Trades!$X$2:$X$1146,"&lt;0"),"-")</f>
        <v>4.06848173194327</v>
      </c>
      <c r="H65" s="2"/>
    </row>
    <row r="66" customFormat="false" ht="15" hidden="false" customHeight="false" outlineLevel="0" collapsed="false">
      <c r="A66" s="2" t="s">
        <v>284</v>
      </c>
      <c r="B66" s="2" t="n">
        <f aca="false">COUNTIFS(Trades!$AB$2:$AB$1146,$A66)</f>
        <v>19</v>
      </c>
      <c r="C66" s="41" t="n">
        <f aca="false">IFERROR(COUNTIFS(Trades!$AB$2:$AB$1146,$A66,Trades!$Z$2:$Z$1146,"Win")/B66,0)</f>
        <v>0.68421052631579</v>
      </c>
      <c r="D66" s="40" t="n">
        <f aca="false">SUMIFS(Trades!$X$2:$X$1146,Trades!$AB$2:$AB$1146,$A66)</f>
        <v>4519.59</v>
      </c>
      <c r="E66" s="40" t="n">
        <f aca="false">IFERROR(D66/B66,0)</f>
        <v>237.873157894737</v>
      </c>
      <c r="F66" s="47" t="n">
        <f aca="false">IFERROR(AVERAGEIFS(Trades!$Y$2:$Y$1146,Trades!$AB$2:$AB$1146,$A66),0)</f>
        <v>1.58663896532191</v>
      </c>
      <c r="G66" s="48" t="n">
        <f aca="false">IFERROR(SUMIFS(Trades!$X$2:$X$1146,Trades!$AB$2:$AB$1146,$A66,Trades!$X$2:$X$1146,"&gt;0")/-SUMIFS(Trades!$X$2:$X$1146,Trades!$AB$2:$AB$1146,$A66,Trades!$X$2:$X$1146,"&lt;0"),"-")</f>
        <v>9.2198275862069</v>
      </c>
      <c r="H66" s="2"/>
    </row>
    <row r="67" customFormat="false" ht="15" hidden="false" customHeight="false" outlineLevel="0" collapsed="false">
      <c r="A67" s="34" t="s">
        <v>263</v>
      </c>
      <c r="B67" s="34" t="n">
        <f aca="false">SUM(B62:B66)</f>
        <v>1145</v>
      </c>
      <c r="C67" s="38"/>
      <c r="D67" s="49" t="n">
        <f aca="false">SUM(D62:D66)</f>
        <v>14640.25</v>
      </c>
      <c r="E67" s="38"/>
      <c r="F67" s="38"/>
      <c r="G67" s="38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26.85" hidden="false" customHeight="false" outlineLevel="0" collapsed="false">
      <c r="A69" s="3" t="s">
        <v>285</v>
      </c>
      <c r="B69" s="2"/>
      <c r="C69" s="2"/>
      <c r="D69" s="2"/>
      <c r="E69" s="2"/>
      <c r="F69" s="2"/>
      <c r="G69" s="2"/>
      <c r="H69" s="4" t="s">
        <v>286</v>
      </c>
    </row>
    <row r="70" customFormat="false" ht="31.5" hidden="false" customHeight="true" outlineLevel="0" collapsed="false">
      <c r="A70" s="27" t="s">
        <v>287</v>
      </c>
      <c r="B70" s="27" t="s">
        <v>7</v>
      </c>
      <c r="C70" s="27" t="s">
        <v>62</v>
      </c>
      <c r="D70" s="27" t="s">
        <v>43</v>
      </c>
      <c r="E70" s="27" t="s">
        <v>261</v>
      </c>
      <c r="F70" s="27" t="s">
        <v>262</v>
      </c>
      <c r="G70" s="27" t="s">
        <v>51</v>
      </c>
      <c r="H70" s="2"/>
    </row>
    <row r="71" customFormat="false" ht="15" hidden="false" customHeight="false" outlineLevel="0" collapsed="false">
      <c r="A71" s="2" t="s">
        <v>288</v>
      </c>
      <c r="B71" s="2" t="n">
        <f aca="false">COUNTIFS(Trades!$AC$2:$AC$1146,$A71)</f>
        <v>536</v>
      </c>
      <c r="C71" s="41" t="n">
        <f aca="false">IFERROR(COUNTIFS(Trades!$AC$2:$AC$1146,$A71,Trades!$Z$2:$Z$1146,"Win")/B71,0)</f>
        <v>0.272388059701493</v>
      </c>
      <c r="D71" s="40" t="n">
        <f aca="false">SUMIFS(Trades!$X$2:$X$1146,Trades!$AC$2:$AC$1146,$A71)</f>
        <v>2678.17</v>
      </c>
      <c r="E71" s="40" t="n">
        <f aca="false">IFERROR(D71/B71,0)</f>
        <v>4.99658582089552</v>
      </c>
      <c r="F71" s="47" t="n">
        <f aca="false">IFERROR(AVERAGEIFS(Trades!$Y$2:$Y$1146,Trades!$AC$2:$AC$1146,$A71),0)</f>
        <v>0.208575147792785</v>
      </c>
      <c r="G71" s="48" t="n">
        <f aca="false">IFERROR(SUMIFS(Trades!$X$2:$X$1146,Trades!$AC$2:$AC$1146,$A71,Trades!$X$2:$X$1146,"&gt;0")/-SUMIFS(Trades!$X$2:$X$1146,Trades!$AC$2:$AC$1146,$A71,Trades!$X$2:$X$1146,"&lt;0"),"-")</f>
        <v>1.43966916913055</v>
      </c>
      <c r="H71" s="2"/>
    </row>
    <row r="72" customFormat="false" ht="15" hidden="false" customHeight="false" outlineLevel="0" collapsed="false">
      <c r="A72" s="2" t="s">
        <v>289</v>
      </c>
      <c r="B72" s="2" t="n">
        <f aca="false">COUNTIFS(Trades!$AC$2:$AC$1146,$A72)</f>
        <v>369</v>
      </c>
      <c r="C72" s="41" t="n">
        <f aca="false">IFERROR(COUNTIFS(Trades!$AC$2:$AC$1146,$A72,Trades!$Z$2:$Z$1146,"Win")/B72,0)</f>
        <v>0.2710027100271</v>
      </c>
      <c r="D72" s="40" t="n">
        <f aca="false">SUMIFS(Trades!$X$2:$X$1146,Trades!$AC$2:$AC$1146,$A72)</f>
        <v>3963.62</v>
      </c>
      <c r="E72" s="40" t="n">
        <f aca="false">IFERROR(D72/B72,0)</f>
        <v>10.7415176151762</v>
      </c>
      <c r="F72" s="47" t="n">
        <f aca="false">IFERROR(AVERAGEIFS(Trades!$Y$2:$Y$1146,Trades!$AC$2:$AC$1146,$A72),0)</f>
        <v>0.177159407184961</v>
      </c>
      <c r="G72" s="48" t="n">
        <f aca="false">IFERROR(SUMIFS(Trades!$X$2:$X$1146,Trades!$AC$2:$AC$1146,$A72,Trades!$X$2:$X$1146,"&gt;0")/-SUMIFS(Trades!$X$2:$X$1146,Trades!$AC$2:$AC$1146,$A72,Trades!$X$2:$X$1146,"&lt;0"),"-")</f>
        <v>1.38912543429835</v>
      </c>
      <c r="H72" s="2"/>
    </row>
    <row r="73" customFormat="false" ht="15" hidden="false" customHeight="false" outlineLevel="0" collapsed="false">
      <c r="A73" s="2" t="s">
        <v>290</v>
      </c>
      <c r="B73" s="2" t="n">
        <f aca="false">COUNTIFS(Trades!$AC$2:$AC$1146,$A73)</f>
        <v>174</v>
      </c>
      <c r="C73" s="41" t="n">
        <f aca="false">IFERROR(COUNTIFS(Trades!$AC$2:$AC$1146,$A73,Trades!$Z$2:$Z$1146,"Win")/B73,0)</f>
        <v>0.281609195402299</v>
      </c>
      <c r="D73" s="40" t="n">
        <f aca="false">SUMIFS(Trades!$X$2:$X$1146,Trades!$AC$2:$AC$1146,$A73)</f>
        <v>4362.79</v>
      </c>
      <c r="E73" s="40" t="n">
        <f aca="false">IFERROR(D73/B73,0)</f>
        <v>25.0735057471264</v>
      </c>
      <c r="F73" s="47" t="n">
        <f aca="false">IFERROR(AVERAGEIFS(Trades!$Y$2:$Y$1146,Trades!$AC$2:$AC$1146,$A73),0)</f>
        <v>0.238494796219102</v>
      </c>
      <c r="G73" s="48" t="n">
        <f aca="false">IFERROR(SUMIFS(Trades!$X$2:$X$1146,Trades!$AC$2:$AC$1146,$A73,Trades!$X$2:$X$1146,"&gt;0")/-SUMIFS(Trades!$X$2:$X$1146,Trades!$AC$2:$AC$1146,$A73,Trades!$X$2:$X$1146,"&lt;0"),"-")</f>
        <v>1.51999694875942</v>
      </c>
      <c r="H73" s="2"/>
    </row>
    <row r="74" customFormat="false" ht="15" hidden="false" customHeight="false" outlineLevel="0" collapsed="false">
      <c r="A74" s="2" t="s">
        <v>291</v>
      </c>
      <c r="B74" s="2" t="n">
        <f aca="false">COUNTIFS(Trades!$AC$2:$AC$1146,$A74)</f>
        <v>53</v>
      </c>
      <c r="C74" s="41" t="n">
        <f aca="false">IFERROR(COUNTIFS(Trades!$AC$2:$AC$1146,$A74,Trades!$Z$2:$Z$1146,"Win")/B74,0)</f>
        <v>0.358490566037736</v>
      </c>
      <c r="D74" s="40" t="n">
        <f aca="false">SUMIFS(Trades!$X$2:$X$1146,Trades!$AC$2:$AC$1146,$A74)</f>
        <v>3914.27</v>
      </c>
      <c r="E74" s="40" t="n">
        <f aca="false">IFERROR(D74/B74,0)</f>
        <v>73.8541509433962</v>
      </c>
      <c r="F74" s="47" t="n">
        <f aca="false">IFERROR(AVERAGEIFS(Trades!$Y$2:$Y$1146,Trades!$AC$2:$AC$1146,$A74),0)</f>
        <v>0.391425418445014</v>
      </c>
      <c r="G74" s="48" t="n">
        <f aca="false">IFERROR(SUMIFS(Trades!$X$2:$X$1146,Trades!$AC$2:$AC$1146,$A74,Trades!$X$2:$X$1146,"&gt;0")/-SUMIFS(Trades!$X$2:$X$1146,Trades!$AC$2:$AC$1146,$A74,Trades!$X$2:$X$1146,"&lt;0"),"-")</f>
        <v>1.75663361858167</v>
      </c>
      <c r="H74" s="2"/>
    </row>
    <row r="75" customFormat="false" ht="15" hidden="false" customHeight="false" outlineLevel="0" collapsed="false">
      <c r="A75" s="2" t="s">
        <v>292</v>
      </c>
      <c r="B75" s="2" t="n">
        <f aca="false">COUNTIFS(Trades!$AC$2:$AC$1146,$A75)</f>
        <v>13</v>
      </c>
      <c r="C75" s="41" t="n">
        <f aca="false">IFERROR(COUNTIFS(Trades!$AC$2:$AC$1146,$A75,Trades!$Z$2:$Z$1146,"Win")/B75,0)</f>
        <v>0.153846153846154</v>
      </c>
      <c r="D75" s="40" t="n">
        <f aca="false">SUMIFS(Trades!$X$2:$X$1146,Trades!$AC$2:$AC$1146,$A75)</f>
        <v>-278.6</v>
      </c>
      <c r="E75" s="40" t="n">
        <f aca="false">IFERROR(D75/B75,0)</f>
        <v>-21.4307692307692</v>
      </c>
      <c r="F75" s="47" t="n">
        <f aca="false">IFERROR(AVERAGEIFS(Trades!$Y$2:$Y$1146,Trades!$AC$2:$AC$1146,$A75),0)</f>
        <v>-0.105327289601426</v>
      </c>
      <c r="G75" s="48" t="n">
        <f aca="false">IFERROR(SUMIFS(Trades!$X$2:$X$1146,Trades!$AC$2:$AC$1146,$A75,Trades!$X$2:$X$1146,"&gt;0")/-SUMIFS(Trades!$X$2:$X$1146,Trades!$AC$2:$AC$1146,$A75,Trades!$X$2:$X$1146,"&lt;0"),"-")</f>
        <v>0.90232649455188</v>
      </c>
      <c r="H75" s="2"/>
    </row>
    <row r="76" customFormat="false" ht="15" hidden="false" customHeight="false" outlineLevel="0" collapsed="false">
      <c r="A76" s="34" t="s">
        <v>263</v>
      </c>
      <c r="B76" s="34" t="n">
        <f aca="false">SUM(B71:B75)</f>
        <v>1145</v>
      </c>
      <c r="C76" s="38"/>
      <c r="D76" s="49" t="n">
        <f aca="false">SUM(D71:D75)</f>
        <v>14640.25</v>
      </c>
      <c r="E76" s="38"/>
      <c r="F76" s="38"/>
      <c r="G76" s="38"/>
      <c r="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5" hidden="false" customHeight="false" outlineLevel="0" collapsed="false">
      <c r="A78" s="3" t="s">
        <v>293</v>
      </c>
      <c r="B78" s="2"/>
      <c r="C78" s="2"/>
      <c r="D78" s="2"/>
      <c r="E78" s="2"/>
      <c r="F78" s="2"/>
      <c r="G78" s="2"/>
      <c r="H78" s="4" t="s">
        <v>294</v>
      </c>
    </row>
    <row r="79" customFormat="false" ht="31.5" hidden="false" customHeight="true" outlineLevel="0" collapsed="false">
      <c r="A79" s="27" t="s">
        <v>295</v>
      </c>
      <c r="B79" s="27" t="s">
        <v>7</v>
      </c>
      <c r="C79" s="27" t="s">
        <v>62</v>
      </c>
      <c r="D79" s="27" t="s">
        <v>43</v>
      </c>
      <c r="E79" s="27" t="s">
        <v>261</v>
      </c>
      <c r="F79" s="27" t="s">
        <v>262</v>
      </c>
      <c r="G79" s="27" t="s">
        <v>51</v>
      </c>
      <c r="H79" s="2"/>
    </row>
    <row r="80" customFormat="false" ht="15" hidden="false" customHeight="false" outlineLevel="0" collapsed="false">
      <c r="A80" s="2" t="n">
        <v>2022</v>
      </c>
      <c r="B80" s="2" t="n">
        <f aca="false">COUNTIFS(Trades!$G$2:$G$1146,$A80)</f>
        <v>197</v>
      </c>
      <c r="C80" s="41" t="n">
        <f aca="false">IFERROR(COUNTIFS(Trades!$G$2:$G$1146,$A80,Trades!$Z$2:$Z$1146,"Win")/B80,0)</f>
        <v>0.258883248730964</v>
      </c>
      <c r="D80" s="40" t="n">
        <f aca="false">SUMIFS(Trades!$X$2:$X$1146,Trades!$G$2:$G$1146,$A80)</f>
        <v>2838.75</v>
      </c>
      <c r="E80" s="40" t="n">
        <f aca="false">IFERROR(D80/B80,0)</f>
        <v>14.4098984771574</v>
      </c>
      <c r="F80" s="47" t="n">
        <f aca="false">IFERROR(AVERAGEIFS(Trades!$Y$2:$Y$1146,Trades!$G$2:$G$1146,$A80),0)</f>
        <v>0.173691824259575</v>
      </c>
      <c r="G80" s="48" t="n">
        <f aca="false">IFERROR(SUMIFS(Trades!$X$2:$X$1146,Trades!$G$2:$G$1146,$A80,Trades!$X$2:$X$1146,"&gt;0")/-SUMIFS(Trades!$X$2:$X$1146,Trades!$G$2:$G$1146,$A80,Trades!$X$2:$X$1146,"&lt;0"),"-")</f>
        <v>1.50022379012363</v>
      </c>
      <c r="H80" s="2"/>
    </row>
    <row r="81" customFormat="false" ht="15" hidden="false" customHeight="false" outlineLevel="0" collapsed="false">
      <c r="A81" s="2" t="n">
        <v>2023</v>
      </c>
      <c r="B81" s="2" t="n">
        <f aca="false">COUNTIFS(Trades!$G$2:$G$1146,$A81)</f>
        <v>257</v>
      </c>
      <c r="C81" s="41" t="n">
        <f aca="false">IFERROR(COUNTIFS(Trades!$G$2:$G$1146,$A81,Trades!$Z$2:$Z$1146,"Win")/B81,0)</f>
        <v>0.284046692607004</v>
      </c>
      <c r="D81" s="40" t="n">
        <f aca="false">SUMIFS(Trades!$X$2:$X$1146,Trades!$G$2:$G$1146,$A81)</f>
        <v>1282.65</v>
      </c>
      <c r="E81" s="40" t="n">
        <f aca="false">IFERROR(D81/B81,0)</f>
        <v>4.99085603112841</v>
      </c>
      <c r="F81" s="47" t="n">
        <f aca="false">IFERROR(AVERAGEIFS(Trades!$Y$2:$Y$1146,Trades!$G$2:$G$1146,$A81),0)</f>
        <v>0.219003653244291</v>
      </c>
      <c r="G81" s="48" t="n">
        <f aca="false">IFERROR(SUMIFS(Trades!$X$2:$X$1146,Trades!$G$2:$G$1146,$A81,Trades!$X$2:$X$1146,"&gt;0")/-SUMIFS(Trades!$X$2:$X$1146,Trades!$G$2:$G$1146,$A81,Trades!$X$2:$X$1146,"&lt;0"),"-")</f>
        <v>1.24159462055716</v>
      </c>
      <c r="H81" s="2"/>
    </row>
    <row r="82" customFormat="false" ht="15" hidden="false" customHeight="false" outlineLevel="0" collapsed="false">
      <c r="A82" s="2" t="n">
        <v>2024</v>
      </c>
      <c r="B82" s="2" t="n">
        <f aca="false">COUNTIFS(Trades!$G$2:$G$1146,$A82)</f>
        <v>245</v>
      </c>
      <c r="C82" s="41" t="n">
        <f aca="false">IFERROR(COUNTIFS(Trades!$G$2:$G$1146,$A82,Trades!$Z$2:$Z$1146,"Win")/B82,0)</f>
        <v>0.23265306122449</v>
      </c>
      <c r="D82" s="40" t="n">
        <f aca="false">SUMIFS(Trades!$X$2:$X$1146,Trades!$G$2:$G$1146,$A82)</f>
        <v>592.9</v>
      </c>
      <c r="E82" s="40" t="n">
        <f aca="false">IFERROR(D82/B82,0)</f>
        <v>2.42</v>
      </c>
      <c r="F82" s="47" t="n">
        <f aca="false">IFERROR(AVERAGEIFS(Trades!$Y$2:$Y$1146,Trades!$G$2:$G$1146,$A82),0)</f>
        <v>0.0968866796476476</v>
      </c>
      <c r="G82" s="48" t="n">
        <f aca="false">IFERROR(SUMIFS(Trades!$X$2:$X$1146,Trades!$G$2:$G$1146,$A82,Trades!$X$2:$X$1146,"&gt;0")/-SUMIFS(Trades!$X$2:$X$1146,Trades!$G$2:$G$1146,$A82,Trades!$X$2:$X$1146,"&lt;0"),"-")</f>
        <v>1.10842611150937</v>
      </c>
      <c r="H82" s="2"/>
    </row>
    <row r="83" customFormat="false" ht="15" hidden="false" customHeight="false" outlineLevel="0" collapsed="false">
      <c r="A83" s="2" t="n">
        <v>2025</v>
      </c>
      <c r="B83" s="2" t="n">
        <f aca="false">COUNTIFS(Trades!$G$2:$G$1146,$A83)</f>
        <v>258</v>
      </c>
      <c r="C83" s="41" t="n">
        <f aca="false">IFERROR(COUNTIFS(Trades!$G$2:$G$1146,$A83,Trades!$Z$2:$Z$1146,"Win")/B83,0)</f>
        <v>0.317829457364341</v>
      </c>
      <c r="D83" s="40" t="n">
        <f aca="false">SUMIFS(Trades!$X$2:$X$1146,Trades!$G$2:$G$1146,$A83)</f>
        <v>6360.3</v>
      </c>
      <c r="E83" s="40" t="n">
        <f aca="false">IFERROR(D83/B83,0)</f>
        <v>24.6523255813954</v>
      </c>
      <c r="F83" s="47" t="n">
        <f aca="false">IFERROR(AVERAGEIFS(Trades!$Y$2:$Y$1146,Trades!$G$2:$G$1146,$A83),0)</f>
        <v>0.306365374317785</v>
      </c>
      <c r="G83" s="48" t="n">
        <f aca="false">IFERROR(SUMIFS(Trades!$X$2:$X$1146,Trades!$G$2:$G$1146,$A83,Trades!$X$2:$X$1146,"&gt;0")/-SUMIFS(Trades!$X$2:$X$1146,Trades!$G$2:$G$1146,$A83,Trades!$X$2:$X$1146,"&lt;0"),"-")</f>
        <v>1.73476644539996</v>
      </c>
      <c r="H83" s="2"/>
    </row>
    <row r="84" customFormat="false" ht="15" hidden="false" customHeight="false" outlineLevel="0" collapsed="false">
      <c r="A84" s="2" t="n">
        <v>2026</v>
      </c>
      <c r="B84" s="2" t="n">
        <f aca="false">COUNTIFS(Trades!$G$2:$G$1146,$A84)</f>
        <v>188</v>
      </c>
      <c r="C84" s="41" t="n">
        <f aca="false">IFERROR(COUNTIFS(Trades!$G$2:$G$1146,$A84,Trades!$Z$2:$Z$1146,"Win")/B84,0)</f>
        <v>0.281914893617021</v>
      </c>
      <c r="D84" s="40" t="n">
        <f aca="false">SUMIFS(Trades!$X$2:$X$1146,Trades!$G$2:$G$1146,$A84)</f>
        <v>3565.65</v>
      </c>
      <c r="E84" s="40" t="n">
        <f aca="false">IFERROR(D84/B84,0)</f>
        <v>18.9662234042553</v>
      </c>
      <c r="F84" s="47" t="n">
        <f aca="false">IFERROR(AVERAGEIFS(Trades!$Y$2:$Y$1146,Trades!$G$2:$G$1146,$A84),0)</f>
        <v>0.238094447194112</v>
      </c>
      <c r="G84" s="48" t="n">
        <f aca="false">IFERROR(SUMIFS(Trades!$X$2:$X$1146,Trades!$G$2:$G$1146,$A84,Trades!$X$2:$X$1146,"&gt;0")/-SUMIFS(Trades!$X$2:$X$1146,Trades!$G$2:$G$1146,$A84,Trades!$X$2:$X$1146,"&lt;0"),"-")</f>
        <v>1.47012699685145</v>
      </c>
      <c r="H84" s="2"/>
    </row>
    <row r="85" customFormat="false" ht="15" hidden="false" customHeight="false" outlineLevel="0" collapsed="false">
      <c r="A85" s="34" t="s">
        <v>263</v>
      </c>
      <c r="B85" s="34" t="n">
        <f aca="false">SUM(B80:B84)</f>
        <v>1145</v>
      </c>
      <c r="C85" s="38"/>
      <c r="D85" s="49" t="n">
        <f aca="false">SUM(D80:D84)</f>
        <v>14640.25</v>
      </c>
      <c r="E85" s="38"/>
      <c r="F85" s="38"/>
      <c r="G85" s="38"/>
      <c r="H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</row>
    <row r="87" customFormat="false" ht="15" hidden="false" customHeight="false" outlineLevel="0" collapsed="false">
      <c r="A87" s="3" t="s">
        <v>296</v>
      </c>
      <c r="B87" s="2"/>
      <c r="C87" s="2"/>
      <c r="D87" s="2"/>
      <c r="E87" s="2"/>
      <c r="F87" s="2"/>
      <c r="G87" s="2"/>
      <c r="H87" s="4" t="s">
        <v>297</v>
      </c>
    </row>
    <row r="88" customFormat="false" ht="31.5" hidden="false" customHeight="true" outlineLevel="0" collapsed="false">
      <c r="A88" s="27" t="s">
        <v>298</v>
      </c>
      <c r="B88" s="27" t="s">
        <v>7</v>
      </c>
      <c r="C88" s="27" t="s">
        <v>299</v>
      </c>
      <c r="D88" s="27" t="s">
        <v>43</v>
      </c>
      <c r="E88" s="2"/>
      <c r="F88" s="2"/>
      <c r="G88" s="2"/>
      <c r="H88" s="2"/>
    </row>
    <row r="89" customFormat="false" ht="15" hidden="false" customHeight="false" outlineLevel="0" collapsed="false">
      <c r="A89" s="2" t="s">
        <v>300</v>
      </c>
      <c r="B89" s="2" t="n">
        <f aca="false">COUNTIFS(Trades!$Y$2:$Y$1146,"&gt;=-99",Trades!$Y$2:$Y$1146,"&lt;-1.05")</f>
        <v>137</v>
      </c>
      <c r="C89" s="41" t="n">
        <f aca="false">IFERROR(B89/Summary!$C$20,0)</f>
        <v>0.119650655021834</v>
      </c>
      <c r="D89" s="40" t="n">
        <f aca="false">SUMIFS(Trades!$X$2:$X$1146,Trades!$Y$2:$Y$1146,"&gt;=-99",Trades!$Y$2:$Y$1146,"&lt;-1.05")</f>
        <v>-6261.43</v>
      </c>
      <c r="E89" s="2"/>
      <c r="F89" s="2"/>
      <c r="G89" s="2"/>
      <c r="H89" s="2"/>
    </row>
    <row r="90" customFormat="false" ht="15" hidden="false" customHeight="false" outlineLevel="0" collapsed="false">
      <c r="A90" s="2" t="s">
        <v>301</v>
      </c>
      <c r="B90" s="2" t="n">
        <f aca="false">COUNTIFS(Trades!$Y$2:$Y$1146,"&gt;=-1.05",Trades!$Y$2:$Y$1146,"&lt;-0.95")</f>
        <v>390</v>
      </c>
      <c r="C90" s="41" t="n">
        <f aca="false">IFERROR(B90/Summary!$C$20,0)</f>
        <v>0.34061135371179</v>
      </c>
      <c r="D90" s="40" t="n">
        <f aca="false">SUMIFS(Trades!$X$2:$X$1146,Trades!$Y$2:$Y$1146,"&gt;=-1.05",Trades!$Y$2:$Y$1146,"&lt;-0.95")</f>
        <v>-24122.65</v>
      </c>
      <c r="E90" s="2"/>
      <c r="F90" s="2"/>
      <c r="G90" s="2"/>
      <c r="H90" s="2"/>
    </row>
    <row r="91" customFormat="false" ht="15" hidden="false" customHeight="false" outlineLevel="0" collapsed="false">
      <c r="A91" s="2" t="s">
        <v>302</v>
      </c>
      <c r="B91" s="2" t="n">
        <f aca="false">COUNTIFS(Trades!$Y$2:$Y$1146,"&gt;=-0.95",Trades!$Y$2:$Y$1146,"&lt;-0.05")</f>
        <v>73</v>
      </c>
      <c r="C91" s="41" t="n">
        <f aca="false">IFERROR(B91/Summary!$C$20,0)</f>
        <v>0.0637554585152838</v>
      </c>
      <c r="D91" s="40" t="n">
        <f aca="false">SUMIFS(Trades!$X$2:$X$1146,Trades!$Y$2:$Y$1146,"&gt;=-0.95",Trades!$Y$2:$Y$1146,"&lt;-0.05")</f>
        <v>-2099.36</v>
      </c>
      <c r="E91" s="2"/>
      <c r="F91" s="2"/>
      <c r="G91" s="2"/>
      <c r="H91" s="2"/>
    </row>
    <row r="92" customFormat="false" ht="15" hidden="false" customHeight="false" outlineLevel="0" collapsed="false">
      <c r="A92" s="2" t="s">
        <v>303</v>
      </c>
      <c r="B92" s="2" t="n">
        <f aca="false">COUNTIFS(Trades!$Y$2:$Y$1146,"&gt;=-0.05",Trades!$Y$2:$Y$1146,"&lt;0.05")</f>
        <v>229</v>
      </c>
      <c r="C92" s="41" t="n">
        <f aca="false">IFERROR(B92/Summary!$C$20,0)</f>
        <v>0.2</v>
      </c>
      <c r="D92" s="40" t="n">
        <f aca="false">SUMIFS(Trades!$X$2:$X$1146,Trades!$Y$2:$Y$1146,"&gt;=-0.05",Trades!$Y$2:$Y$1146,"&lt;0.05")</f>
        <v>-209.52</v>
      </c>
      <c r="E92" s="2"/>
      <c r="F92" s="2"/>
      <c r="G92" s="2"/>
      <c r="H92" s="2"/>
    </row>
    <row r="93" customFormat="false" ht="15" hidden="false" customHeight="false" outlineLevel="0" collapsed="false">
      <c r="A93" s="2" t="s">
        <v>304</v>
      </c>
      <c r="B93" s="2" t="n">
        <f aca="false">COUNTIFS(Trades!$Y$2:$Y$1146,"&gt;=0.05",Trades!$Y$2:$Y$1146,"&lt;1")</f>
        <v>0</v>
      </c>
      <c r="C93" s="41" t="n">
        <f aca="false">IFERROR(B93/Summary!$C$20,0)</f>
        <v>0</v>
      </c>
      <c r="D93" s="40" t="n">
        <f aca="false">SUMIFS(Trades!$X$2:$X$1146,Trades!$Y$2:$Y$1146,"&gt;=0.05",Trades!$Y$2:$Y$1146,"&lt;1")</f>
        <v>0</v>
      </c>
      <c r="E93" s="2"/>
      <c r="F93" s="2"/>
      <c r="G93" s="2"/>
      <c r="H93" s="2"/>
    </row>
    <row r="94" customFormat="false" ht="15" hidden="false" customHeight="false" outlineLevel="0" collapsed="false">
      <c r="A94" s="2" t="s">
        <v>305</v>
      </c>
      <c r="B94" s="2" t="n">
        <f aca="false">COUNTIFS(Trades!$Y$2:$Y$1146,"&gt;=1",Trades!$Y$2:$Y$1146,"&lt;2")</f>
        <v>1</v>
      </c>
      <c r="C94" s="41" t="n">
        <f aca="false">IFERROR(B94/Summary!$C$20,0)</f>
        <v>0.000873362445414847</v>
      </c>
      <c r="D94" s="40" t="n">
        <f aca="false">SUMIFS(Trades!$X$2:$X$1146,Trades!$Y$2:$Y$1146,"&gt;=1",Trades!$Y$2:$Y$1146,"&lt;2")</f>
        <v>79.08</v>
      </c>
      <c r="E94" s="2"/>
      <c r="F94" s="2"/>
      <c r="G94" s="2"/>
      <c r="H94" s="2"/>
    </row>
    <row r="95" customFormat="false" ht="15" hidden="false" customHeight="false" outlineLevel="0" collapsed="false">
      <c r="A95" s="2" t="s">
        <v>306</v>
      </c>
      <c r="B95" s="2" t="n">
        <f aca="false">COUNTIFS(Trades!$Y$2:$Y$1146,"&gt;=2",Trades!$Y$2:$Y$1146,"&lt;3")</f>
        <v>303</v>
      </c>
      <c r="C95" s="41" t="n">
        <f aca="false">IFERROR(B95/Summary!$C$20,0)</f>
        <v>0.264628820960699</v>
      </c>
      <c r="D95" s="40" t="n">
        <f aca="false">SUMIFS(Trades!$X$2:$X$1146,Trades!$Y$2:$Y$1146,"&gt;=2",Trades!$Y$2:$Y$1146,"&lt;3")</f>
        <v>45516.73</v>
      </c>
      <c r="E95" s="2"/>
      <c r="F95" s="2"/>
      <c r="G95" s="2"/>
      <c r="H95" s="2"/>
    </row>
    <row r="96" customFormat="false" ht="15" hidden="false" customHeight="false" outlineLevel="0" collapsed="false">
      <c r="A96" s="2" t="s">
        <v>307</v>
      </c>
      <c r="B96" s="2" t="n">
        <f aca="false">COUNTIFS(Trades!$Y$2:$Y$1146,"&gt;=3",Trades!$Y$2:$Y$1146,"&lt;99")</f>
        <v>12</v>
      </c>
      <c r="C96" s="41" t="n">
        <f aca="false">IFERROR(B96/Summary!$C$20,0)</f>
        <v>0.0104803493449782</v>
      </c>
      <c r="D96" s="40" t="n">
        <f aca="false">SUMIFS(Trades!$X$2:$X$1146,Trades!$Y$2:$Y$1146,"&gt;=3",Trades!$Y$2:$Y$1146,"&lt;99")</f>
        <v>1737.4</v>
      </c>
      <c r="E96" s="2"/>
      <c r="F96" s="2"/>
      <c r="G96" s="2"/>
      <c r="H96" s="2"/>
    </row>
  </sheetData>
  <conditionalFormatting sqref="D5:D6">
    <cfRule type="cellIs" priority="2" operator="lessThan" aboveAverage="0" equalAverage="0" bottom="0" percent="0" rank="0" text="" dxfId="0">
      <formula>0</formula>
    </cfRule>
  </conditionalFormatting>
  <conditionalFormatting sqref="D11:D12">
    <cfRule type="cellIs" priority="3" operator="lessThan" aboveAverage="0" equalAverage="0" bottom="0" percent="0" rank="0" text="" dxfId="0">
      <formula>0</formula>
    </cfRule>
  </conditionalFormatting>
  <conditionalFormatting sqref="D17:D21">
    <cfRule type="cellIs" priority="4" operator="lessThan" aboveAverage="0" equalAverage="0" bottom="0" percent="0" rank="0" text="" dxfId="0">
      <formula>0</formula>
    </cfRule>
  </conditionalFormatting>
  <conditionalFormatting sqref="D26:D30">
    <cfRule type="cellIs" priority="5" operator="lessThan" aboveAverage="0" equalAverage="0" bottom="0" percent="0" rank="0" text="" dxfId="0">
      <formula>0</formula>
    </cfRule>
  </conditionalFormatting>
  <conditionalFormatting sqref="D35:D57">
    <cfRule type="cellIs" priority="6" operator="lessThan" aboveAverage="0" equalAverage="0" bottom="0" percent="0" rank="0" text="" dxfId="0">
      <formula>0</formula>
    </cfRule>
  </conditionalFormatting>
  <conditionalFormatting sqref="D62:D66">
    <cfRule type="cellIs" priority="7" operator="lessThan" aboveAverage="0" equalAverage="0" bottom="0" percent="0" rank="0" text="" dxfId="0">
      <formula>0</formula>
    </cfRule>
  </conditionalFormatting>
  <conditionalFormatting sqref="D71:D75">
    <cfRule type="cellIs" priority="8" operator="lessThan" aboveAverage="0" equalAverage="0" bottom="0" percent="0" rank="0" text="" dxfId="0">
      <formula>0</formula>
    </cfRule>
  </conditionalFormatting>
  <conditionalFormatting sqref="D80:D84">
    <cfRule type="cellIs" priority="9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2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308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5" t="s">
        <v>309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27" t="s">
        <v>217</v>
      </c>
      <c r="B4" s="27" t="s">
        <v>310</v>
      </c>
      <c r="C4" s="27" t="s">
        <v>311</v>
      </c>
      <c r="D4" s="27" t="s">
        <v>312</v>
      </c>
      <c r="E4" s="27" t="s">
        <v>313</v>
      </c>
      <c r="F4" s="27" t="s">
        <v>314</v>
      </c>
      <c r="G4" s="27" t="s">
        <v>7</v>
      </c>
      <c r="H4" s="27" t="s">
        <v>315</v>
      </c>
    </row>
    <row r="5" customFormat="false" ht="15" hidden="false" customHeight="false" outlineLevel="0" collapsed="false">
      <c r="A5" s="50" t="n">
        <v>1</v>
      </c>
      <c r="B5" s="51" t="n">
        <v>46094.1280208333</v>
      </c>
      <c r="C5" s="51" t="n">
        <v>46133.1743518519</v>
      </c>
      <c r="D5" s="51" t="n">
        <v>46254.6272453704</v>
      </c>
      <c r="E5" s="46" t="n">
        <v>1669.23</v>
      </c>
      <c r="F5" s="52" t="n">
        <v>0.0706946176155687</v>
      </c>
      <c r="G5" s="50" t="n">
        <v>111</v>
      </c>
      <c r="H5" s="50" t="n">
        <v>160</v>
      </c>
    </row>
    <row r="6" customFormat="false" ht="15" hidden="false" customHeight="false" outlineLevel="0" collapsed="false">
      <c r="A6" s="50" t="n">
        <v>2</v>
      </c>
      <c r="B6" s="51" t="n">
        <v>45383.0479166667</v>
      </c>
      <c r="C6" s="51" t="n">
        <v>45596.1677314815</v>
      </c>
      <c r="D6" s="51" t="n">
        <v>45678.125150463</v>
      </c>
      <c r="E6" s="46" t="n">
        <v>1630.07</v>
      </c>
      <c r="F6" s="52" t="n">
        <v>0.103452893510291</v>
      </c>
      <c r="G6" s="50" t="n">
        <v>197</v>
      </c>
      <c r="H6" s="50" t="n">
        <v>295</v>
      </c>
    </row>
    <row r="7" customFormat="false" ht="15" hidden="false" customHeight="false" outlineLevel="0" collapsed="false">
      <c r="A7" s="50" t="n">
        <v>3</v>
      </c>
      <c r="B7" s="51" t="n">
        <v>44820.3765856482</v>
      </c>
      <c r="C7" s="51" t="n">
        <v>44869.1031597222</v>
      </c>
      <c r="D7" s="51" t="n">
        <v>44875.7051736111</v>
      </c>
      <c r="E7" s="46" t="n">
        <v>1244.5</v>
      </c>
      <c r="F7" s="52" t="n">
        <v>0.101244464909376</v>
      </c>
      <c r="G7" s="50" t="n">
        <v>39</v>
      </c>
      <c r="H7" s="50" t="n">
        <v>55</v>
      </c>
    </row>
    <row r="8" customFormat="false" ht="15" hidden="false" customHeight="false" outlineLevel="0" collapsed="false">
      <c r="A8" s="50" t="n">
        <v>4</v>
      </c>
      <c r="B8" s="51" t="n">
        <v>45747.1039699074</v>
      </c>
      <c r="C8" s="51" t="n">
        <v>45754.0493171296</v>
      </c>
      <c r="D8" s="51" t="n">
        <v>45756.9312847222</v>
      </c>
      <c r="E8" s="46" t="n">
        <v>1015.02</v>
      </c>
      <c r="F8" s="52" t="n">
        <v>0.06130954610085</v>
      </c>
      <c r="G8" s="50" t="n">
        <v>6</v>
      </c>
      <c r="H8" s="50" t="n">
        <v>9</v>
      </c>
    </row>
    <row r="9" customFormat="false" ht="15" hidden="false" customHeight="false" outlineLevel="0" collapsed="false">
      <c r="A9" s="50" t="n">
        <v>5</v>
      </c>
      <c r="B9" s="51" t="n">
        <v>45112.4113078704</v>
      </c>
      <c r="C9" s="51" t="n">
        <v>45205.682650463</v>
      </c>
      <c r="D9" s="51" t="n">
        <v>45250.6928240741</v>
      </c>
      <c r="E9" s="46" t="n">
        <v>870.84</v>
      </c>
      <c r="F9" s="52" t="n">
        <v>0.0630772885834481</v>
      </c>
      <c r="G9" s="50" t="n">
        <v>102</v>
      </c>
      <c r="H9" s="50" t="n">
        <v>138</v>
      </c>
    </row>
    <row r="10" customFormat="false" ht="15" hidden="false" customHeight="false" outlineLevel="0" collapsed="false">
      <c r="A10" s="50" t="n">
        <v>6</v>
      </c>
      <c r="B10" s="51" t="n">
        <v>44707.7063425926</v>
      </c>
      <c r="C10" s="51" t="n">
        <v>44728.4437615741</v>
      </c>
      <c r="D10" s="51" t="n">
        <v>44753.7023726852</v>
      </c>
      <c r="E10" s="46" t="n">
        <v>780.31</v>
      </c>
      <c r="F10" s="52" t="n">
        <v>0.0745368610286967</v>
      </c>
      <c r="G10" s="50" t="n">
        <v>30</v>
      </c>
      <c r="H10" s="50" t="n">
        <v>45</v>
      </c>
    </row>
    <row r="11" customFormat="false" ht="15" hidden="false" customHeight="false" outlineLevel="0" collapsed="false">
      <c r="A11" s="50" t="n">
        <v>7</v>
      </c>
      <c r="B11" s="51" t="n">
        <v>44992.713912037</v>
      </c>
      <c r="C11" s="51" t="n">
        <v>45075.051400463</v>
      </c>
      <c r="D11" s="51" t="n">
        <v>45099.3396759259</v>
      </c>
      <c r="E11" s="46" t="n">
        <v>735.76</v>
      </c>
      <c r="F11" s="52" t="n">
        <v>0.0550966002695829</v>
      </c>
      <c r="G11" s="50" t="n">
        <v>77</v>
      </c>
      <c r="H11" s="50" t="n">
        <v>106</v>
      </c>
    </row>
    <row r="12" customFormat="false" ht="15" hidden="false" customHeight="false" outlineLevel="0" collapsed="false">
      <c r="A12" s="50" t="n">
        <v>8</v>
      </c>
      <c r="B12" s="51" t="n">
        <v>45688.1654976852</v>
      </c>
      <c r="C12" s="51" t="n">
        <v>45734.7010648148</v>
      </c>
      <c r="D12" s="51" t="n">
        <v>45743.0547222222</v>
      </c>
      <c r="E12" s="46" t="n">
        <v>675.05</v>
      </c>
      <c r="F12" s="52" t="n">
        <v>0.0417943880795137</v>
      </c>
      <c r="G12" s="50" t="n">
        <v>38</v>
      </c>
      <c r="H12" s="50" t="n">
        <v>54</v>
      </c>
    </row>
    <row r="13" customFormat="false" ht="15" hidden="false" customHeight="false" outlineLevel="0" collapsed="false">
      <c r="A13" s="50" t="n">
        <v>9</v>
      </c>
      <c r="B13" s="51" t="n">
        <v>44922.0633912037</v>
      </c>
      <c r="C13" s="51" t="n">
        <v>44951.0649421296</v>
      </c>
      <c r="D13" s="51" t="n">
        <v>44991.1946064815</v>
      </c>
      <c r="E13" s="46" t="n">
        <v>623.78</v>
      </c>
      <c r="F13" s="52" t="n">
        <v>0.0477407741325183</v>
      </c>
      <c r="G13" s="50" t="n">
        <v>45</v>
      </c>
      <c r="H13" s="50" t="n">
        <v>69</v>
      </c>
    </row>
    <row r="14" customFormat="false" ht="15" hidden="false" customHeight="false" outlineLevel="0" collapsed="false">
      <c r="A14" s="50" t="n">
        <v>10</v>
      </c>
      <c r="B14" s="51" t="n">
        <v>45806.0834259259</v>
      </c>
      <c r="C14" s="51" t="n">
        <v>45817.7392939815</v>
      </c>
      <c r="D14" s="51" t="n">
        <v>45849.144212963</v>
      </c>
      <c r="E14" s="46" t="n">
        <v>586.36</v>
      </c>
      <c r="F14" s="52" t="n">
        <v>0.0317694584953344</v>
      </c>
      <c r="G14" s="50" t="n">
        <v>28</v>
      </c>
      <c r="H14" s="50" t="n">
        <v>43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7.35" hidden="false" customHeight="false" outlineLevel="0" collapsed="false">
      <c r="A17" s="1" t="s">
        <v>316</v>
      </c>
      <c r="B17" s="2"/>
      <c r="C17" s="2"/>
      <c r="D17" s="2"/>
      <c r="E17" s="2"/>
      <c r="F17" s="2"/>
      <c r="G17" s="2"/>
      <c r="H17" s="2"/>
    </row>
    <row r="18" customFormat="false" ht="31.5" hidden="false" customHeight="true" outlineLevel="0" collapsed="false">
      <c r="A18" s="27"/>
      <c r="B18" s="27" t="s">
        <v>317</v>
      </c>
      <c r="C18" s="27" t="s">
        <v>7</v>
      </c>
      <c r="D18" s="27" t="s">
        <v>318</v>
      </c>
      <c r="E18" s="27" t="s">
        <v>319</v>
      </c>
      <c r="F18" s="2"/>
      <c r="G18" s="2"/>
      <c r="H18" s="2"/>
    </row>
    <row r="19" customFormat="false" ht="15" hidden="false" customHeight="false" outlineLevel="0" collapsed="false">
      <c r="A19" s="50"/>
      <c r="B19" s="50" t="s">
        <v>320</v>
      </c>
      <c r="C19" s="50" t="n">
        <v>4</v>
      </c>
      <c r="D19" s="46" t="n">
        <v>1180.49</v>
      </c>
      <c r="E19" s="51" t="n">
        <v>44817.6666550926</v>
      </c>
      <c r="F19" s="2"/>
      <c r="G19" s="2"/>
      <c r="H19" s="2"/>
    </row>
    <row r="20" customFormat="false" ht="15" hidden="false" customHeight="false" outlineLevel="0" collapsed="false">
      <c r="A20" s="50"/>
      <c r="B20" s="50" t="s">
        <v>321</v>
      </c>
      <c r="C20" s="50" t="n">
        <v>20</v>
      </c>
      <c r="D20" s="46" t="n">
        <v>-656.58</v>
      </c>
      <c r="E20" s="51" t="n">
        <v>45566.7066550926</v>
      </c>
      <c r="F20" s="2"/>
      <c r="G20" s="2"/>
      <c r="H20" s="2"/>
    </row>
    <row r="21" customFormat="false" ht="15" hidden="false" customHeight="false" outlineLevel="0" collapsed="false">
      <c r="A21" s="2"/>
      <c r="B21" s="50" t="s">
        <v>322</v>
      </c>
      <c r="C21" s="50" t="n">
        <v>17</v>
      </c>
      <c r="D21" s="46" t="n">
        <v>-656.28</v>
      </c>
      <c r="E21" s="53" t="n">
        <v>45568</v>
      </c>
      <c r="F21" s="2"/>
      <c r="G21" s="2"/>
      <c r="H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323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324</v>
      </c>
      <c r="B3" s="50" t="s">
        <v>325</v>
      </c>
    </row>
    <row r="4" customFormat="false" ht="15" hidden="false" customHeight="false" outlineLevel="0" collapsed="false">
      <c r="A4" s="2" t="s">
        <v>326</v>
      </c>
      <c r="B4" s="50" t="n">
        <v>1532138</v>
      </c>
    </row>
    <row r="5" customFormat="false" ht="15" hidden="false" customHeight="false" outlineLevel="0" collapsed="false">
      <c r="A5" s="2" t="s">
        <v>327</v>
      </c>
      <c r="B5" s="50" t="n">
        <v>337463758</v>
      </c>
    </row>
    <row r="6" customFormat="false" ht="15" hidden="false" customHeight="false" outlineLevel="0" collapsed="false">
      <c r="A6" s="2" t="s">
        <v>328</v>
      </c>
      <c r="B6" s="50" t="n">
        <v>1</v>
      </c>
    </row>
    <row r="7" customFormat="false" ht="15" hidden="false" customHeight="false" outlineLevel="0" collapsed="false">
      <c r="A7" s="2" t="s">
        <v>329</v>
      </c>
      <c r="B7" s="50" t="n">
        <v>14640.25</v>
      </c>
    </row>
    <row r="8" customFormat="false" ht="15" hidden="false" customHeight="false" outlineLevel="0" collapsed="false">
      <c r="A8" s="2" t="s">
        <v>330</v>
      </c>
      <c r="B8" s="50" t="n">
        <v>311.53</v>
      </c>
    </row>
    <row r="9" customFormat="false" ht="15" hidden="false" customHeight="false" outlineLevel="0" collapsed="false">
      <c r="A9" s="2" t="s">
        <v>331</v>
      </c>
      <c r="B9" s="50" t="n">
        <v>319.25</v>
      </c>
    </row>
    <row r="10" customFormat="false" ht="15" hidden="false" customHeight="false" outlineLevel="0" collapsed="false">
      <c r="A10" s="2" t="s">
        <v>332</v>
      </c>
      <c r="B10" s="50" t="n">
        <v>47333.21</v>
      </c>
    </row>
    <row r="11" customFormat="false" ht="15" hidden="false" customHeight="false" outlineLevel="0" collapsed="false">
      <c r="A11" s="2" t="s">
        <v>333</v>
      </c>
      <c r="B11" s="50" t="s">
        <v>91</v>
      </c>
    </row>
    <row r="12" customFormat="false" ht="15" hidden="false" customHeight="false" outlineLevel="0" collapsed="false">
      <c r="A12" s="2" t="s">
        <v>334</v>
      </c>
      <c r="B12" s="50" t="s">
        <v>94</v>
      </c>
    </row>
    <row r="13" customFormat="false" ht="15" hidden="false" customHeight="false" outlineLevel="0" collapsed="false">
      <c r="A13" s="2" t="s">
        <v>335</v>
      </c>
      <c r="B13" s="50" t="n">
        <v>-32692.96</v>
      </c>
    </row>
    <row r="14" customFormat="false" ht="15" hidden="false" customHeight="false" outlineLevel="0" collapsed="false">
      <c r="A14" s="2" t="s">
        <v>336</v>
      </c>
      <c r="B14" s="50" t="s">
        <v>337</v>
      </c>
    </row>
    <row r="15" customFormat="false" ht="15" hidden="false" customHeight="false" outlineLevel="0" collapsed="false">
      <c r="A15" s="2" t="s">
        <v>338</v>
      </c>
      <c r="B15" s="50" t="s">
        <v>339</v>
      </c>
    </row>
    <row r="16" customFormat="false" ht="15" hidden="false" customHeight="false" outlineLevel="0" collapsed="false">
      <c r="A16" s="2" t="s">
        <v>340</v>
      </c>
      <c r="B16" s="50" t="n">
        <v>1.44781</v>
      </c>
    </row>
    <row r="17" customFormat="false" ht="15" hidden="false" customHeight="false" outlineLevel="0" collapsed="false">
      <c r="A17" s="2" t="s">
        <v>341</v>
      </c>
      <c r="B17" s="50" t="n">
        <v>12.786245</v>
      </c>
    </row>
    <row r="18" customFormat="false" ht="15" hidden="false" customHeight="false" outlineLevel="0" collapsed="false">
      <c r="A18" s="2" t="s">
        <v>342</v>
      </c>
      <c r="B18" s="50" t="s">
        <v>343</v>
      </c>
    </row>
    <row r="19" customFormat="false" ht="15" hidden="false" customHeight="false" outlineLevel="0" collapsed="false">
      <c r="A19" s="2" t="s">
        <v>344</v>
      </c>
      <c r="B19" s="50" t="n">
        <v>7.859313</v>
      </c>
    </row>
    <row r="20" customFormat="false" ht="15" hidden="false" customHeight="false" outlineLevel="0" collapsed="false">
      <c r="A20" s="2" t="s">
        <v>345</v>
      </c>
      <c r="B20" s="50" t="n">
        <v>15.127772</v>
      </c>
    </row>
    <row r="21" customFormat="false" ht="15" hidden="false" customHeight="false" outlineLevel="0" collapsed="false">
      <c r="A21" s="2" t="s">
        <v>346</v>
      </c>
      <c r="B21" s="50" t="s">
        <v>120</v>
      </c>
    </row>
    <row r="22" customFormat="false" ht="15" hidden="false" customHeight="false" outlineLevel="0" collapsed="false">
      <c r="A22" s="2" t="s">
        <v>347</v>
      </c>
      <c r="B22" s="50" t="s">
        <v>348</v>
      </c>
    </row>
    <row r="23" customFormat="false" ht="15" hidden="false" customHeight="false" outlineLevel="0" collapsed="false">
      <c r="A23" s="2" t="s">
        <v>349</v>
      </c>
      <c r="B23" s="50" t="n">
        <v>0.956064</v>
      </c>
    </row>
    <row r="24" customFormat="false" ht="15" hidden="false" customHeight="false" outlineLevel="0" collapsed="false">
      <c r="A24" s="2" t="s">
        <v>350</v>
      </c>
      <c r="B24" s="50" t="s">
        <v>351</v>
      </c>
    </row>
    <row r="25" customFormat="false" ht="15" hidden="false" customHeight="false" outlineLevel="0" collapsed="false">
      <c r="A25" s="2" t="s">
        <v>352</v>
      </c>
      <c r="B25" s="50" t="s">
        <v>348</v>
      </c>
    </row>
    <row r="26" customFormat="false" ht="15" hidden="false" customHeight="false" outlineLevel="0" collapsed="false">
      <c r="A26" s="2" t="s">
        <v>353</v>
      </c>
      <c r="B26" s="50" t="n">
        <v>1190.54592</v>
      </c>
    </row>
    <row r="27" customFormat="false" ht="15" hidden="false" customHeight="false" outlineLevel="0" collapsed="false">
      <c r="A27" s="2" t="s">
        <v>354</v>
      </c>
      <c r="B27" s="50" t="n">
        <v>0.758247</v>
      </c>
    </row>
    <row r="28" customFormat="false" ht="15" hidden="false" customHeight="false" outlineLevel="0" collapsed="false">
      <c r="A28" s="2" t="s">
        <v>355</v>
      </c>
      <c r="B28" s="50" t="n">
        <v>0.383535</v>
      </c>
    </row>
    <row r="29" customFormat="false" ht="15" hidden="false" customHeight="false" outlineLevel="0" collapsed="false">
      <c r="A29" s="2" t="s">
        <v>356</v>
      </c>
      <c r="B29" s="50" t="n">
        <v>-0.142762</v>
      </c>
    </row>
    <row r="30" customFormat="false" ht="15" hidden="false" customHeight="false" outlineLevel="0" collapsed="false">
      <c r="A30" s="2" t="s">
        <v>357</v>
      </c>
      <c r="B30" s="50" t="s">
        <v>358</v>
      </c>
    </row>
    <row r="31" customFormat="false" ht="15" hidden="false" customHeight="false" outlineLevel="0" collapsed="false">
      <c r="A31" s="2" t="s">
        <v>359</v>
      </c>
      <c r="B31" s="50" t="s">
        <v>360</v>
      </c>
    </row>
    <row r="32" customFormat="false" ht="15" hidden="false" customHeight="false" outlineLevel="0" collapsed="false">
      <c r="A32" s="2" t="s">
        <v>361</v>
      </c>
      <c r="B32" s="50" t="s">
        <v>115</v>
      </c>
    </row>
    <row r="33" customFormat="false" ht="15" hidden="false" customHeight="false" outlineLevel="0" collapsed="false">
      <c r="A33" s="2" t="s">
        <v>362</v>
      </c>
      <c r="B33" s="50" t="n">
        <v>1145</v>
      </c>
    </row>
    <row r="34" customFormat="false" ht="15" hidden="false" customHeight="false" outlineLevel="0" collapsed="false">
      <c r="A34" s="2" t="s">
        <v>363</v>
      </c>
      <c r="B34" s="50" t="s">
        <v>75</v>
      </c>
    </row>
    <row r="35" customFormat="false" ht="15" hidden="false" customHeight="false" outlineLevel="0" collapsed="false">
      <c r="A35" s="2" t="s">
        <v>364</v>
      </c>
      <c r="B35" s="50" t="s">
        <v>72</v>
      </c>
    </row>
    <row r="36" customFormat="false" ht="15" hidden="false" customHeight="false" outlineLevel="0" collapsed="false">
      <c r="A36" s="2" t="s">
        <v>365</v>
      </c>
      <c r="B36" s="50" t="n">
        <v>2290</v>
      </c>
    </row>
    <row r="37" customFormat="false" ht="15" hidden="false" customHeight="false" outlineLevel="0" collapsed="false">
      <c r="A37" s="2" t="s">
        <v>366</v>
      </c>
      <c r="B37" s="50" t="s">
        <v>58</v>
      </c>
    </row>
    <row r="38" customFormat="false" ht="15" hidden="false" customHeight="false" outlineLevel="0" collapsed="false">
      <c r="A38" s="2" t="s">
        <v>367</v>
      </c>
      <c r="B38" s="50" t="s">
        <v>60</v>
      </c>
    </row>
    <row r="39" customFormat="false" ht="15" hidden="false" customHeight="false" outlineLevel="0" collapsed="false">
      <c r="A39" s="2" t="s">
        <v>368</v>
      </c>
      <c r="B39" s="50" t="n">
        <v>1500.76</v>
      </c>
    </row>
    <row r="40" customFormat="false" ht="15" hidden="false" customHeight="false" outlineLevel="0" collapsed="false">
      <c r="A40" s="2" t="s">
        <v>369</v>
      </c>
      <c r="B40" s="50" t="n">
        <v>-461.04</v>
      </c>
    </row>
    <row r="41" customFormat="false" ht="15" hidden="false" customHeight="false" outlineLevel="0" collapsed="false">
      <c r="A41" s="2" t="s">
        <v>370</v>
      </c>
      <c r="B41" s="50" t="n">
        <v>144.749878</v>
      </c>
    </row>
    <row r="42" customFormat="false" ht="15" hidden="false" customHeight="false" outlineLevel="0" collapsed="false">
      <c r="A42" s="2" t="s">
        <v>371</v>
      </c>
      <c r="B42" s="50" t="n">
        <v>-39.966944</v>
      </c>
    </row>
    <row r="43" customFormat="false" ht="15" hidden="false" customHeight="false" outlineLevel="0" collapsed="false">
      <c r="A43" s="2" t="s">
        <v>372</v>
      </c>
      <c r="B43" s="50" t="s">
        <v>373</v>
      </c>
    </row>
    <row r="44" customFormat="false" ht="15" hidden="false" customHeight="false" outlineLevel="0" collapsed="false">
      <c r="A44" s="2" t="s">
        <v>374</v>
      </c>
      <c r="B44" s="50" t="s">
        <v>375</v>
      </c>
    </row>
    <row r="45" customFormat="false" ht="15" hidden="false" customHeight="false" outlineLevel="0" collapsed="false">
      <c r="A45" s="2" t="s">
        <v>376</v>
      </c>
      <c r="B45" s="50" t="s">
        <v>377</v>
      </c>
    </row>
    <row r="46" customFormat="false" ht="15" hidden="false" customHeight="false" outlineLevel="0" collapsed="false">
      <c r="A46" s="2" t="s">
        <v>378</v>
      </c>
      <c r="B46" s="50" t="s">
        <v>379</v>
      </c>
    </row>
    <row r="47" customFormat="false" ht="15" hidden="false" customHeight="false" outlineLevel="0" collapsed="false">
      <c r="A47" s="2" t="s">
        <v>380</v>
      </c>
      <c r="B47" s="50" t="n">
        <v>1</v>
      </c>
    </row>
    <row r="48" customFormat="false" ht="15" hidden="false" customHeight="false" outlineLevel="0" collapsed="false">
      <c r="A48" s="2" t="s">
        <v>381</v>
      </c>
      <c r="B48" s="5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1" t="s">
        <v>382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383</v>
      </c>
      <c r="B3" s="2" t="s">
        <v>384</v>
      </c>
    </row>
    <row r="4" customFormat="false" ht="15" hidden="false" customHeight="false" outlineLevel="0" collapsed="false">
      <c r="A4" s="3" t="s">
        <v>385</v>
      </c>
      <c r="B4" s="2" t="s">
        <v>386</v>
      </c>
    </row>
    <row r="5" customFormat="false" ht="15" hidden="false" customHeight="false" outlineLevel="0" collapsed="false">
      <c r="A5" s="3" t="s">
        <v>387</v>
      </c>
      <c r="B5" s="2" t="s">
        <v>388</v>
      </c>
    </row>
    <row r="6" customFormat="false" ht="15" hidden="false" customHeight="false" outlineLevel="0" collapsed="false">
      <c r="A6" s="3" t="s">
        <v>389</v>
      </c>
      <c r="B6" s="2" t="s">
        <v>390</v>
      </c>
    </row>
    <row r="7" customFormat="false" ht="15" hidden="false" customHeight="false" outlineLevel="0" collapsed="false">
      <c r="A7" s="3" t="s">
        <v>391</v>
      </c>
      <c r="B7" s="2" t="s">
        <v>392</v>
      </c>
    </row>
    <row r="8" customFormat="false" ht="15" hidden="false" customHeight="false" outlineLevel="0" collapsed="false">
      <c r="A8" s="3" t="s">
        <v>393</v>
      </c>
      <c r="B8" s="2" t="n">
        <v>10000</v>
      </c>
    </row>
    <row r="9" customFormat="false" ht="15" hidden="false" customHeight="false" outlineLevel="0" collapsed="false">
      <c r="A9" s="3" t="s">
        <v>394</v>
      </c>
      <c r="B9" s="2" t="s">
        <v>395</v>
      </c>
    </row>
    <row r="10" customFormat="false" ht="15" hidden="false" customHeight="false" outlineLevel="0" collapsed="false">
      <c r="A10" s="3" t="s">
        <v>396</v>
      </c>
      <c r="B10" s="2" t="s">
        <v>325</v>
      </c>
    </row>
    <row r="11" customFormat="false" ht="15" hidden="false" customHeight="false" outlineLevel="0" collapsed="false">
      <c r="A11" s="2"/>
      <c r="B11" s="2"/>
    </row>
    <row r="12" customFormat="false" ht="31.5" hidden="false" customHeight="true" outlineLevel="0" collapsed="false">
      <c r="A12" s="27" t="s">
        <v>397</v>
      </c>
      <c r="B12" s="27" t="s">
        <v>38</v>
      </c>
    </row>
    <row r="13" customFormat="false" ht="15" hidden="false" customHeight="false" outlineLevel="0" collapsed="false">
      <c r="A13" s="3" t="s">
        <v>398</v>
      </c>
      <c r="B13" s="2"/>
    </row>
    <row r="14" customFormat="false" ht="15" hidden="false" customHeight="false" outlineLevel="0" collapsed="false">
      <c r="A14" s="2" t="s">
        <v>399</v>
      </c>
      <c r="B14" s="50" t="s">
        <v>400</v>
      </c>
    </row>
    <row r="15" customFormat="false" ht="15" hidden="false" customHeight="false" outlineLevel="0" collapsed="false">
      <c r="A15" s="2" t="s">
        <v>401</v>
      </c>
      <c r="B15" s="50" t="s">
        <v>400</v>
      </c>
    </row>
    <row r="16" customFormat="false" ht="15" hidden="false" customHeight="false" outlineLevel="0" collapsed="false">
      <c r="A16" s="3" t="s">
        <v>402</v>
      </c>
      <c r="B16" s="2"/>
    </row>
    <row r="17" customFormat="false" ht="15" hidden="false" customHeight="false" outlineLevel="0" collapsed="false">
      <c r="A17" s="2" t="s">
        <v>403</v>
      </c>
      <c r="B17" s="50" t="s">
        <v>404</v>
      </c>
    </row>
    <row r="18" customFormat="false" ht="15" hidden="false" customHeight="false" outlineLevel="0" collapsed="false">
      <c r="A18" s="2" t="s">
        <v>405</v>
      </c>
      <c r="B18" s="50" t="s">
        <v>406</v>
      </c>
    </row>
    <row r="19" customFormat="false" ht="15" hidden="false" customHeight="false" outlineLevel="0" collapsed="false">
      <c r="A19" s="2" t="s">
        <v>407</v>
      </c>
      <c r="B19" s="50" t="s">
        <v>404</v>
      </c>
    </row>
    <row r="20" customFormat="false" ht="15" hidden="false" customHeight="false" outlineLevel="0" collapsed="false">
      <c r="A20" s="2" t="s">
        <v>408</v>
      </c>
      <c r="B20" s="50" t="s">
        <v>409</v>
      </c>
    </row>
    <row r="21" customFormat="false" ht="15" hidden="false" customHeight="false" outlineLevel="0" collapsed="false">
      <c r="A21" s="3" t="s">
        <v>410</v>
      </c>
      <c r="B21" s="2"/>
    </row>
    <row r="22" customFormat="false" ht="15" hidden="false" customHeight="false" outlineLevel="0" collapsed="false">
      <c r="A22" s="2" t="s">
        <v>411</v>
      </c>
      <c r="B22" s="50" t="s">
        <v>400</v>
      </c>
    </row>
    <row r="23" customFormat="false" ht="15" hidden="false" customHeight="false" outlineLevel="0" collapsed="false">
      <c r="A23" s="2" t="s">
        <v>412</v>
      </c>
      <c r="B23" s="50" t="s">
        <v>413</v>
      </c>
    </row>
    <row r="24" customFormat="false" ht="15" hidden="false" customHeight="false" outlineLevel="0" collapsed="false">
      <c r="A24" s="2" t="s">
        <v>414</v>
      </c>
      <c r="B24" s="50" t="s">
        <v>415</v>
      </c>
    </row>
    <row r="25" customFormat="false" ht="15" hidden="false" customHeight="false" outlineLevel="0" collapsed="false">
      <c r="A25" s="2" t="s">
        <v>416</v>
      </c>
      <c r="B25" s="50" t="s">
        <v>417</v>
      </c>
    </row>
    <row r="26" customFormat="false" ht="15" hidden="false" customHeight="false" outlineLevel="0" collapsed="false">
      <c r="A26" s="2" t="s">
        <v>418</v>
      </c>
      <c r="B26" s="50" t="s">
        <v>419</v>
      </c>
    </row>
    <row r="27" customFormat="false" ht="15" hidden="false" customHeight="false" outlineLevel="0" collapsed="false">
      <c r="A27" s="3" t="s">
        <v>420</v>
      </c>
      <c r="B27" s="2"/>
    </row>
    <row r="28" customFormat="false" ht="15" hidden="false" customHeight="false" outlineLevel="0" collapsed="false">
      <c r="A28" s="2" t="s">
        <v>421</v>
      </c>
      <c r="B28" s="50" t="s">
        <v>404</v>
      </c>
    </row>
    <row r="29" customFormat="false" ht="15" hidden="false" customHeight="false" outlineLevel="0" collapsed="false">
      <c r="A29" s="2" t="s">
        <v>422</v>
      </c>
      <c r="B29" s="50" t="s">
        <v>423</v>
      </c>
    </row>
    <row r="30" customFormat="false" ht="15" hidden="false" customHeight="false" outlineLevel="0" collapsed="false">
      <c r="A30" s="2" t="s">
        <v>424</v>
      </c>
      <c r="B30" s="50" t="s">
        <v>404</v>
      </c>
    </row>
    <row r="31" customFormat="false" ht="15" hidden="false" customHeight="false" outlineLevel="0" collapsed="false">
      <c r="A31" s="2" t="s">
        <v>425</v>
      </c>
      <c r="B31" s="50" t="s">
        <v>426</v>
      </c>
    </row>
    <row r="32" customFormat="false" ht="15" hidden="false" customHeight="false" outlineLevel="0" collapsed="false">
      <c r="A32" s="3" t="s">
        <v>427</v>
      </c>
      <c r="B32" s="2"/>
    </row>
    <row r="33" customFormat="false" ht="15" hidden="false" customHeight="false" outlineLevel="0" collapsed="false">
      <c r="A33" s="2" t="s">
        <v>428</v>
      </c>
      <c r="B33" s="50" t="s">
        <v>429</v>
      </c>
    </row>
    <row r="34" customFormat="false" ht="15" hidden="false" customHeight="false" outlineLevel="0" collapsed="false">
      <c r="A34" s="2" t="s">
        <v>430</v>
      </c>
      <c r="B34" s="50" t="s">
        <v>431</v>
      </c>
    </row>
    <row r="35" customFormat="false" ht="15" hidden="false" customHeight="false" outlineLevel="0" collapsed="false">
      <c r="A35" s="2" t="s">
        <v>432</v>
      </c>
      <c r="B35" s="50" t="s">
        <v>433</v>
      </c>
    </row>
    <row r="36" customFormat="false" ht="15" hidden="false" customHeight="false" outlineLevel="0" collapsed="false">
      <c r="A36" s="3" t="s">
        <v>434</v>
      </c>
      <c r="B36" s="2"/>
    </row>
    <row r="37" customFormat="false" ht="15" hidden="false" customHeight="false" outlineLevel="0" collapsed="false">
      <c r="A37" s="2" t="s">
        <v>435</v>
      </c>
      <c r="B37" s="50" t="s">
        <v>351</v>
      </c>
    </row>
    <row r="38" customFormat="false" ht="15" hidden="false" customHeight="false" outlineLevel="0" collapsed="false">
      <c r="A38" s="2" t="s">
        <v>436</v>
      </c>
      <c r="B38" s="50" t="s">
        <v>415</v>
      </c>
    </row>
    <row r="39" customFormat="false" ht="15" hidden="false" customHeight="false" outlineLevel="0" collapsed="false">
      <c r="A39" s="2" t="s">
        <v>437</v>
      </c>
      <c r="B39" s="50" t="s">
        <v>438</v>
      </c>
    </row>
    <row r="40" customFormat="false" ht="15" hidden="false" customHeight="false" outlineLevel="0" collapsed="false">
      <c r="A40" s="2" t="s">
        <v>439</v>
      </c>
      <c r="B40" s="50" t="s">
        <v>440</v>
      </c>
    </row>
    <row r="41" customFormat="false" ht="15" hidden="false" customHeight="false" outlineLevel="0" collapsed="false">
      <c r="A41" s="3" t="s">
        <v>441</v>
      </c>
      <c r="B41" s="2"/>
    </row>
    <row r="42" customFormat="false" ht="15" hidden="false" customHeight="false" outlineLevel="0" collapsed="false">
      <c r="A42" s="2" t="s">
        <v>442</v>
      </c>
      <c r="B42" s="50" t="s">
        <v>443</v>
      </c>
    </row>
    <row r="43" customFormat="false" ht="15" hidden="false" customHeight="false" outlineLevel="0" collapsed="false">
      <c r="A43" s="2" t="s">
        <v>444</v>
      </c>
      <c r="B43" s="50" t="s">
        <v>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2026-10-17T10:02:38Z</dcterms:created>
  <dc:creator>openpyxl</dc:creator>
  <dc:description/>
  <dc:language>en-US</dc:language>
  <cp:lastModifiedBy/>
  <dcterms:modified xsi:type="dcterms:W3CDTF">2026-10-17T10:03:00Z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